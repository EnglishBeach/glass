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084D05A5-935E-45FE-B4C2-ED78492F4D26}" xr6:coauthVersionLast="46" xr6:coauthVersionMax="46" xr10:uidLastSave="{00000000-0000-0000-0000-000000000000}"/>
  <bookViews>
    <workbookView xWindow="28680" yWindow="-120" windowWidth="29040" windowHeight="15990" activeTab="8" xr2:uid="{0302BE19-1FF7-41F7-880F-6539212B9FEB}"/>
  </bookViews>
  <sheets>
    <sheet name="Values" sheetId="2" r:id="rId1"/>
    <sheet name="ALL" sheetId="4" r:id="rId2"/>
    <sheet name="FLUID" sheetId="11" r:id="rId3"/>
    <sheet name="SOLID" sheetId="12" r:id="rId4"/>
    <sheet name="EVALUATION" sheetId="8" r:id="rId5"/>
    <sheet name="data" sheetId="7" r:id="rId6"/>
    <sheet name="A" sheetId="13" r:id="rId7"/>
    <sheet name="F" sheetId="14" r:id="rId8"/>
    <sheet name="S" sheetId="15" r:id="rId9"/>
  </sheets>
  <functionGroups builtInGroupCount="19"/>
  <externalReferences>
    <externalReference r:id="rId10"/>
  </externalReferences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4" l="1"/>
  <c r="D35" i="4"/>
  <c r="B41" i="12"/>
  <c r="C41" i="12"/>
  <c r="D41" i="12"/>
  <c r="A41" i="12"/>
  <c r="B41" i="11"/>
  <c r="C41" i="11"/>
  <c r="D41" i="11"/>
  <c r="A41" i="11"/>
  <c r="B41" i="4"/>
  <c r="C41" i="4"/>
  <c r="D41" i="4"/>
  <c r="A41" i="4"/>
  <c r="D34" i="11"/>
  <c r="AE34" i="11" s="1"/>
  <c r="A40" i="4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B32" i="8"/>
  <c r="E31" i="8"/>
  <c r="D31" i="8"/>
  <c r="C31" i="8"/>
  <c r="E30" i="8"/>
  <c r="D30" i="8"/>
  <c r="C30" i="8"/>
  <c r="E29" i="8"/>
  <c r="D29" i="8"/>
  <c r="C29" i="8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5" i="12"/>
  <c r="E109" i="12" s="1"/>
  <c r="E74" i="12"/>
  <c r="E108" i="12" s="1"/>
  <c r="E73" i="12"/>
  <c r="E107" i="12" s="1"/>
  <c r="E72" i="12"/>
  <c r="E106" i="12" s="1"/>
  <c r="E71" i="12"/>
  <c r="E105" i="12" s="1"/>
  <c r="E70" i="12"/>
  <c r="E104" i="12" s="1"/>
  <c r="E69" i="12"/>
  <c r="E103" i="12" s="1"/>
  <c r="E68" i="12"/>
  <c r="E102" i="12" s="1"/>
  <c r="E67" i="12"/>
  <c r="E101" i="12" s="1"/>
  <c r="E66" i="12"/>
  <c r="E100" i="12" s="1"/>
  <c r="E65" i="12"/>
  <c r="E99" i="12" s="1"/>
  <c r="E64" i="12"/>
  <c r="E98" i="12" s="1"/>
  <c r="E63" i="12"/>
  <c r="E97" i="12" s="1"/>
  <c r="E62" i="12"/>
  <c r="E96" i="12" s="1"/>
  <c r="E61" i="12"/>
  <c r="E95" i="12" s="1"/>
  <c r="E60" i="12"/>
  <c r="E94" i="12" s="1"/>
  <c r="E59" i="12"/>
  <c r="E93" i="12" s="1"/>
  <c r="E58" i="12"/>
  <c r="E92" i="12" s="1"/>
  <c r="E57" i="12"/>
  <c r="E91" i="12" s="1"/>
  <c r="E56" i="12"/>
  <c r="E90" i="12" s="1"/>
  <c r="E55" i="12"/>
  <c r="E89" i="12" s="1"/>
  <c r="E54" i="12"/>
  <c r="E88" i="12" s="1"/>
  <c r="E53" i="12"/>
  <c r="E87" i="12" s="1"/>
  <c r="E52" i="12"/>
  <c r="E86" i="12" s="1"/>
  <c r="E51" i="12"/>
  <c r="E85" i="12" s="1"/>
  <c r="E50" i="12"/>
  <c r="E84" i="12" s="1"/>
  <c r="E49" i="12"/>
  <c r="E83" i="12" s="1"/>
  <c r="E48" i="12"/>
  <c r="E82" i="12" s="1"/>
  <c r="E47" i="12"/>
  <c r="E81" i="12" s="1"/>
  <c r="E46" i="12"/>
  <c r="E80" i="12" s="1"/>
  <c r="AL45" i="12"/>
  <c r="AH34" i="8" s="1"/>
  <c r="AK45" i="12"/>
  <c r="AG34" i="8" s="1"/>
  <c r="AJ45" i="12"/>
  <c r="AF34" i="8" s="1"/>
  <c r="AI45" i="12"/>
  <c r="AE34" i="8" s="1"/>
  <c r="AH45" i="12"/>
  <c r="AD34" i="8" s="1"/>
  <c r="AG45" i="12"/>
  <c r="AC34" i="8" s="1"/>
  <c r="AF45" i="12"/>
  <c r="AB34" i="8" s="1"/>
  <c r="AE45" i="12"/>
  <c r="AA34" i="8" s="1"/>
  <c r="AD45" i="12"/>
  <c r="Z34" i="8" s="1"/>
  <c r="AC45" i="12"/>
  <c r="Y34" i="8" s="1"/>
  <c r="AB45" i="12"/>
  <c r="X34" i="8" s="1"/>
  <c r="AA45" i="12"/>
  <c r="W34" i="8" s="1"/>
  <c r="Z45" i="12"/>
  <c r="V34" i="8" s="1"/>
  <c r="Y45" i="12"/>
  <c r="U34" i="8" s="1"/>
  <c r="X45" i="12"/>
  <c r="T34" i="8" s="1"/>
  <c r="W45" i="12"/>
  <c r="S34" i="8" s="1"/>
  <c r="V45" i="12"/>
  <c r="R34" i="8" s="1"/>
  <c r="U45" i="12"/>
  <c r="Q34" i="8" s="1"/>
  <c r="T45" i="12"/>
  <c r="P34" i="8" s="1"/>
  <c r="S45" i="12"/>
  <c r="O34" i="8" s="1"/>
  <c r="R45" i="12"/>
  <c r="N34" i="8" s="1"/>
  <c r="Q45" i="12"/>
  <c r="M34" i="8" s="1"/>
  <c r="P45" i="12"/>
  <c r="L34" i="8" s="1"/>
  <c r="O45" i="12"/>
  <c r="K34" i="8" s="1"/>
  <c r="N45" i="12"/>
  <c r="J34" i="8" s="1"/>
  <c r="M45" i="12"/>
  <c r="I34" i="8" s="1"/>
  <c r="L45" i="12"/>
  <c r="H34" i="8" s="1"/>
  <c r="K45" i="12"/>
  <c r="G34" i="8" s="1"/>
  <c r="J45" i="12"/>
  <c r="F34" i="8" s="1"/>
  <c r="I45" i="12"/>
  <c r="E34" i="8" s="1"/>
  <c r="H45" i="12"/>
  <c r="D34" i="8" s="1"/>
  <c r="G45" i="12"/>
  <c r="C34" i="8" s="1"/>
  <c r="F45" i="12"/>
  <c r="B34" i="8" s="1"/>
  <c r="E45" i="12"/>
  <c r="E79" i="12" s="1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D37" i="12"/>
  <c r="AF37" i="12" s="1"/>
  <c r="D36" i="12"/>
  <c r="AJ36" i="12" s="1"/>
  <c r="D35" i="12"/>
  <c r="AF35" i="12" s="1"/>
  <c r="D34" i="12"/>
  <c r="AG34" i="12" s="1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5" i="11"/>
  <c r="E109" i="11" s="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96" i="11" s="1"/>
  <c r="E61" i="11"/>
  <c r="E95" i="11" s="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81" i="11" s="1"/>
  <c r="E46" i="11"/>
  <c r="E80" i="11" s="1"/>
  <c r="AL45" i="11"/>
  <c r="AH2" i="8" s="1"/>
  <c r="AK45" i="11"/>
  <c r="AG2" i="8" s="1"/>
  <c r="AJ45" i="11"/>
  <c r="AF2" i="8" s="1"/>
  <c r="AI45" i="11"/>
  <c r="AE2" i="8" s="1"/>
  <c r="AH45" i="11"/>
  <c r="AD2" i="8" s="1"/>
  <c r="AG45" i="11"/>
  <c r="AC2" i="8" s="1"/>
  <c r="AF45" i="11"/>
  <c r="AB2" i="8" s="1"/>
  <c r="AE45" i="11"/>
  <c r="AA2" i="8" s="1"/>
  <c r="AD45" i="11"/>
  <c r="Z2" i="8" s="1"/>
  <c r="AC45" i="11"/>
  <c r="Y2" i="8" s="1"/>
  <c r="AB45" i="11"/>
  <c r="X2" i="8" s="1"/>
  <c r="AA45" i="11"/>
  <c r="W2" i="8" s="1"/>
  <c r="Z45" i="11"/>
  <c r="V2" i="8" s="1"/>
  <c r="Y45" i="11"/>
  <c r="U2" i="8" s="1"/>
  <c r="X45" i="11"/>
  <c r="T2" i="8" s="1"/>
  <c r="W45" i="11"/>
  <c r="S2" i="8" s="1"/>
  <c r="V45" i="11"/>
  <c r="R2" i="8" s="1"/>
  <c r="U45" i="11"/>
  <c r="Q2" i="8" s="1"/>
  <c r="T45" i="11"/>
  <c r="P2" i="8" s="1"/>
  <c r="S45" i="11"/>
  <c r="O2" i="8" s="1"/>
  <c r="R45" i="11"/>
  <c r="N2" i="8" s="1"/>
  <c r="Q45" i="11"/>
  <c r="M2" i="8" s="1"/>
  <c r="P45" i="11"/>
  <c r="L2" i="8" s="1"/>
  <c r="O45" i="11"/>
  <c r="K2" i="8" s="1"/>
  <c r="N45" i="11"/>
  <c r="J2" i="8" s="1"/>
  <c r="M45" i="11"/>
  <c r="I2" i="8" s="1"/>
  <c r="L45" i="11"/>
  <c r="H2" i="8" s="1"/>
  <c r="K45" i="11"/>
  <c r="G2" i="8" s="1"/>
  <c r="J45" i="11"/>
  <c r="F2" i="8" s="1"/>
  <c r="I45" i="11"/>
  <c r="E2" i="8" s="1"/>
  <c r="H45" i="11"/>
  <c r="D2" i="8" s="1"/>
  <c r="G45" i="11"/>
  <c r="C2" i="8" s="1"/>
  <c r="F45" i="11"/>
  <c r="B2" i="8" s="1"/>
  <c r="E45" i="11"/>
  <c r="E79" i="11" s="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D37" i="11"/>
  <c r="AB37" i="11" s="1"/>
  <c r="D36" i="11"/>
  <c r="AK36" i="11" s="1"/>
  <c r="D35" i="11"/>
  <c r="AJ35" i="11" s="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B2" i="2"/>
  <c r="B1" i="2" s="1"/>
  <c r="A2" i="11" s="1"/>
  <c r="A114" i="11" s="1"/>
  <c r="A115" i="11" s="1"/>
  <c r="A22" i="7"/>
  <c r="A2" i="12" l="1"/>
  <c r="A114" i="12" s="1"/>
  <c r="A115" i="12" s="1"/>
  <c r="A49" i="8"/>
  <c r="A58" i="8"/>
  <c r="A57" i="8"/>
  <c r="AC36" i="12"/>
  <c r="A50" i="8"/>
  <c r="A42" i="8"/>
  <c r="BA3" i="12"/>
  <c r="E41" i="12"/>
  <c r="C78" i="12" s="1"/>
  <c r="AA108" i="12" s="1"/>
  <c r="A41" i="8"/>
  <c r="M37" i="12"/>
  <c r="A64" i="8"/>
  <c r="A56" i="8"/>
  <c r="A48" i="8"/>
  <c r="A40" i="8"/>
  <c r="N34" i="12"/>
  <c r="AC37" i="12"/>
  <c r="A63" i="8"/>
  <c r="A55" i="8"/>
  <c r="A47" i="8"/>
  <c r="A39" i="8"/>
  <c r="AA34" i="12"/>
  <c r="A62" i="8"/>
  <c r="A54" i="8"/>
  <c r="A46" i="8"/>
  <c r="A38" i="8"/>
  <c r="A61" i="8"/>
  <c r="A53" i="8"/>
  <c r="A45" i="8"/>
  <c r="A37" i="8"/>
  <c r="A60" i="8"/>
  <c r="A52" i="8"/>
  <c r="A44" i="8"/>
  <c r="A36" i="8"/>
  <c r="I36" i="12"/>
  <c r="A59" i="8"/>
  <c r="A51" i="8"/>
  <c r="A43" i="8"/>
  <c r="A35" i="8"/>
  <c r="E41" i="11"/>
  <c r="C78" i="11" s="1"/>
  <c r="U100" i="11" s="1"/>
  <c r="BA4" i="11"/>
  <c r="A25" i="8"/>
  <c r="A17" i="8"/>
  <c r="A9" i="8"/>
  <c r="BA3" i="11"/>
  <c r="I35" i="11"/>
  <c r="V36" i="11"/>
  <c r="A32" i="8"/>
  <c r="A24" i="8"/>
  <c r="A16" i="8"/>
  <c r="A8" i="8"/>
  <c r="K35" i="11"/>
  <c r="A31" i="8"/>
  <c r="A23" i="8"/>
  <c r="A15" i="8"/>
  <c r="A7" i="8"/>
  <c r="Q35" i="11"/>
  <c r="X37" i="11"/>
  <c r="A30" i="8"/>
  <c r="A22" i="8"/>
  <c r="A14" i="8"/>
  <c r="A6" i="8"/>
  <c r="S35" i="11"/>
  <c r="AJ37" i="11"/>
  <c r="A29" i="8"/>
  <c r="A21" i="8"/>
  <c r="A13" i="8"/>
  <c r="A5" i="8"/>
  <c r="AC35" i="11"/>
  <c r="A28" i="8"/>
  <c r="A20" i="8"/>
  <c r="A12" i="8"/>
  <c r="A4" i="8"/>
  <c r="P34" i="11"/>
  <c r="AG35" i="11"/>
  <c r="A27" i="8"/>
  <c r="A19" i="8"/>
  <c r="A11" i="8"/>
  <c r="X34" i="11"/>
  <c r="AK35" i="11"/>
  <c r="A3" i="8"/>
  <c r="A26" i="8"/>
  <c r="A18" i="8"/>
  <c r="A10" i="8"/>
  <c r="O34" i="12"/>
  <c r="AC34" i="12"/>
  <c r="AG36" i="12"/>
  <c r="N37" i="12"/>
  <c r="AD37" i="12"/>
  <c r="E34" i="12"/>
  <c r="R34" i="12"/>
  <c r="AD34" i="12"/>
  <c r="E36" i="12"/>
  <c r="AK36" i="12"/>
  <c r="Q37" i="12"/>
  <c r="AG37" i="12"/>
  <c r="F34" i="12"/>
  <c r="S34" i="12"/>
  <c r="AE34" i="12"/>
  <c r="R37" i="12"/>
  <c r="AH37" i="12"/>
  <c r="G34" i="12"/>
  <c r="U34" i="12"/>
  <c r="AH34" i="12"/>
  <c r="M36" i="12"/>
  <c r="E37" i="12"/>
  <c r="U37" i="12"/>
  <c r="AK37" i="12"/>
  <c r="J34" i="12"/>
  <c r="V34" i="12"/>
  <c r="AI34" i="12"/>
  <c r="Q36" i="12"/>
  <c r="F37" i="12"/>
  <c r="V37" i="12"/>
  <c r="AL37" i="12"/>
  <c r="K34" i="12"/>
  <c r="W34" i="12"/>
  <c r="AK34" i="12"/>
  <c r="U36" i="12"/>
  <c r="I37" i="12"/>
  <c r="Y37" i="12"/>
  <c r="M34" i="12"/>
  <c r="Z34" i="12"/>
  <c r="AL34" i="12"/>
  <c r="Y36" i="12"/>
  <c r="J37" i="12"/>
  <c r="Z37" i="12"/>
  <c r="X36" i="11"/>
  <c r="AF34" i="11"/>
  <c r="U35" i="11"/>
  <c r="F36" i="11"/>
  <c r="Z36" i="11"/>
  <c r="Y35" i="11"/>
  <c r="H36" i="11"/>
  <c r="AD36" i="11"/>
  <c r="E35" i="11"/>
  <c r="AA35" i="11"/>
  <c r="J36" i="11"/>
  <c r="AF36" i="11"/>
  <c r="N36" i="11"/>
  <c r="AH36" i="11"/>
  <c r="P36" i="11"/>
  <c r="H34" i="11"/>
  <c r="M35" i="11"/>
  <c r="AI35" i="11"/>
  <c r="R36" i="11"/>
  <c r="K37" i="11"/>
  <c r="A80" i="12"/>
  <c r="I97" i="12"/>
  <c r="Y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L34" i="12"/>
  <c r="T34" i="12"/>
  <c r="AB34" i="12"/>
  <c r="AJ34" i="12"/>
  <c r="I35" i="12"/>
  <c r="Q35" i="12"/>
  <c r="Y35" i="12"/>
  <c r="AG35" i="12"/>
  <c r="F36" i="12"/>
  <c r="N36" i="12"/>
  <c r="V36" i="12"/>
  <c r="AD36" i="12"/>
  <c r="AL36" i="12"/>
  <c r="K37" i="12"/>
  <c r="S37" i="12"/>
  <c r="AA37" i="12"/>
  <c r="AI37" i="12"/>
  <c r="J35" i="12"/>
  <c r="R35" i="12"/>
  <c r="Z35" i="12"/>
  <c r="AH35" i="12"/>
  <c r="G36" i="12"/>
  <c r="O36" i="12"/>
  <c r="W36" i="12"/>
  <c r="AE36" i="12"/>
  <c r="L37" i="12"/>
  <c r="T37" i="12"/>
  <c r="AB37" i="12"/>
  <c r="AJ37" i="12"/>
  <c r="K35" i="12"/>
  <c r="S35" i="12"/>
  <c r="AA35" i="12"/>
  <c r="AI35" i="12"/>
  <c r="H36" i="12"/>
  <c r="P36" i="12"/>
  <c r="X36" i="12"/>
  <c r="AF36" i="12"/>
  <c r="AF41" i="12" s="1"/>
  <c r="L35" i="12"/>
  <c r="T35" i="12"/>
  <c r="AB35" i="12"/>
  <c r="AJ35" i="12"/>
  <c r="A91" i="12"/>
  <c r="A93" i="12"/>
  <c r="A95" i="12"/>
  <c r="A97" i="12"/>
  <c r="A99" i="12"/>
  <c r="A101" i="12"/>
  <c r="A103" i="12"/>
  <c r="A105" i="12"/>
  <c r="A107" i="12"/>
  <c r="H34" i="12"/>
  <c r="P34" i="12"/>
  <c r="X34" i="12"/>
  <c r="AF34" i="12"/>
  <c r="E35" i="12"/>
  <c r="M35" i="12"/>
  <c r="U35" i="12"/>
  <c r="AC35" i="12"/>
  <c r="AK35" i="12"/>
  <c r="J36" i="12"/>
  <c r="R36" i="12"/>
  <c r="Z36" i="12"/>
  <c r="AH36" i="12"/>
  <c r="G37" i="12"/>
  <c r="O37" i="12"/>
  <c r="W37" i="12"/>
  <c r="AE37" i="12"/>
  <c r="I34" i="12"/>
  <c r="Q34" i="12"/>
  <c r="Y34" i="12"/>
  <c r="F35" i="12"/>
  <c r="N35" i="12"/>
  <c r="V35" i="12"/>
  <c r="AD35" i="12"/>
  <c r="AL35" i="12"/>
  <c r="K36" i="12"/>
  <c r="S36" i="12"/>
  <c r="AA36" i="12"/>
  <c r="AI36" i="12"/>
  <c r="H37" i="12"/>
  <c r="P37" i="12"/>
  <c r="X37" i="12"/>
  <c r="G35" i="12"/>
  <c r="O35" i="12"/>
  <c r="W35" i="12"/>
  <c r="AE35" i="12"/>
  <c r="L36" i="12"/>
  <c r="T36" i="12"/>
  <c r="AB36" i="12"/>
  <c r="H35" i="12"/>
  <c r="P35" i="12"/>
  <c r="X35" i="12"/>
  <c r="C115" i="12"/>
  <c r="A82" i="11"/>
  <c r="A84" i="11"/>
  <c r="A106" i="11"/>
  <c r="A80" i="11"/>
  <c r="A89" i="11"/>
  <c r="A105" i="11"/>
  <c r="I34" i="11"/>
  <c r="Q34" i="11"/>
  <c r="Y34" i="11"/>
  <c r="AG34" i="11"/>
  <c r="F35" i="11"/>
  <c r="N35" i="11"/>
  <c r="V35" i="11"/>
  <c r="AD35" i="11"/>
  <c r="AL35" i="11"/>
  <c r="K36" i="11"/>
  <c r="S36" i="11"/>
  <c r="AA36" i="11"/>
  <c r="AI36" i="11"/>
  <c r="L37" i="11"/>
  <c r="Y37" i="11"/>
  <c r="AK37" i="11"/>
  <c r="A87" i="11"/>
  <c r="A107" i="11"/>
  <c r="J34" i="11"/>
  <c r="R34" i="11"/>
  <c r="Z34" i="11"/>
  <c r="AH34" i="11"/>
  <c r="G35" i="11"/>
  <c r="O35" i="11"/>
  <c r="W35" i="11"/>
  <c r="AE35" i="11"/>
  <c r="L36" i="11"/>
  <c r="T36" i="11"/>
  <c r="AB36" i="11"/>
  <c r="AJ36" i="11"/>
  <c r="M37" i="11"/>
  <c r="AA37" i="11"/>
  <c r="A85" i="11"/>
  <c r="K34" i="11"/>
  <c r="S34" i="11"/>
  <c r="AA34" i="11"/>
  <c r="AI34" i="11"/>
  <c r="H35" i="11"/>
  <c r="P35" i="11"/>
  <c r="X35" i="11"/>
  <c r="AF35" i="11"/>
  <c r="E36" i="11"/>
  <c r="M36" i="11"/>
  <c r="U36" i="11"/>
  <c r="AC36" i="11"/>
  <c r="AL36" i="11"/>
  <c r="P37" i="1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L34" i="11"/>
  <c r="T34" i="11"/>
  <c r="AB34" i="11"/>
  <c r="AJ34" i="11"/>
  <c r="AH37" i="11"/>
  <c r="Z37" i="11"/>
  <c r="R37" i="11"/>
  <c r="J37" i="11"/>
  <c r="AE37" i="11"/>
  <c r="W37" i="11"/>
  <c r="O37" i="11"/>
  <c r="G37" i="11"/>
  <c r="AL37" i="11"/>
  <c r="AD37" i="11"/>
  <c r="V37" i="11"/>
  <c r="N37" i="11"/>
  <c r="F37" i="11"/>
  <c r="Q37" i="11"/>
  <c r="AC37" i="11"/>
  <c r="A91" i="11"/>
  <c r="A103" i="11"/>
  <c r="E34" i="11"/>
  <c r="M34" i="11"/>
  <c r="U34" i="11"/>
  <c r="AC34" i="11"/>
  <c r="AK34" i="11"/>
  <c r="J35" i="11"/>
  <c r="R35" i="11"/>
  <c r="Z35" i="11"/>
  <c r="AH35" i="11"/>
  <c r="G36" i="11"/>
  <c r="O36" i="11"/>
  <c r="W36" i="11"/>
  <c r="AE36" i="11"/>
  <c r="E37" i="11"/>
  <c r="S37" i="11"/>
  <c r="AF37" i="11"/>
  <c r="A81" i="11"/>
  <c r="A93" i="11"/>
  <c r="A101" i="11"/>
  <c r="F34" i="11"/>
  <c r="N34" i="11"/>
  <c r="V34" i="11"/>
  <c r="AD34" i="11"/>
  <c r="AL34" i="11"/>
  <c r="H37" i="11"/>
  <c r="T37" i="11"/>
  <c r="AG37" i="11"/>
  <c r="A83" i="11"/>
  <c r="A97" i="11"/>
  <c r="G34" i="11"/>
  <c r="O34" i="11"/>
  <c r="W34" i="11"/>
  <c r="L35" i="11"/>
  <c r="T35" i="11"/>
  <c r="AB35" i="11"/>
  <c r="I36" i="11"/>
  <c r="Q36" i="11"/>
  <c r="Y36" i="11"/>
  <c r="AG36" i="11"/>
  <c r="I37" i="11"/>
  <c r="U37" i="11"/>
  <c r="AI37" i="11"/>
  <c r="C115" i="11"/>
  <c r="A98" i="8"/>
  <c r="A99" i="8" s="1"/>
  <c r="B98" i="8"/>
  <c r="AG87" i="12" l="1"/>
  <c r="H92" i="11"/>
  <c r="V96" i="11"/>
  <c r="S82" i="12"/>
  <c r="R81" i="11"/>
  <c r="J105" i="11"/>
  <c r="AF92" i="12"/>
  <c r="I80" i="11"/>
  <c r="AI89" i="11"/>
  <c r="AJ84" i="11"/>
  <c r="L80" i="11"/>
  <c r="AD92" i="11"/>
  <c r="P85" i="11"/>
  <c r="Q80" i="11"/>
  <c r="AD85" i="11"/>
  <c r="T80" i="11"/>
  <c r="AD81" i="11"/>
  <c r="L94" i="11"/>
  <c r="AG92" i="11"/>
  <c r="V100" i="11"/>
  <c r="AG100" i="11"/>
  <c r="O80" i="11"/>
  <c r="X82" i="11"/>
  <c r="Z91" i="11"/>
  <c r="AE82" i="11"/>
  <c r="AH87" i="11"/>
  <c r="AF96" i="11"/>
  <c r="W98" i="11"/>
  <c r="K87" i="11"/>
  <c r="I107" i="11"/>
  <c r="S82" i="11"/>
  <c r="R83" i="11"/>
  <c r="T92" i="11"/>
  <c r="I83" i="11"/>
  <c r="AJ82" i="11"/>
  <c r="Z102" i="11"/>
  <c r="V82" i="11"/>
  <c r="Z96" i="11"/>
  <c r="Q102" i="11"/>
  <c r="U81" i="11"/>
  <c r="AL88" i="11"/>
  <c r="Y81" i="11"/>
  <c r="T88" i="11"/>
  <c r="X84" i="11"/>
  <c r="AI81" i="11"/>
  <c r="N86" i="11"/>
  <c r="T107" i="11"/>
  <c r="AG81" i="11"/>
  <c r="AF89" i="11"/>
  <c r="AL81" i="11"/>
  <c r="N89" i="11"/>
  <c r="AB86" i="11"/>
  <c r="AE83" i="11"/>
  <c r="X91" i="11"/>
  <c r="O92" i="11"/>
  <c r="AE80" i="11"/>
  <c r="P86" i="11"/>
  <c r="Z80" i="11"/>
  <c r="Z86" i="11"/>
  <c r="AK80" i="11"/>
  <c r="P88" i="11"/>
  <c r="AI85" i="11"/>
  <c r="M97" i="11"/>
  <c r="S98" i="11"/>
  <c r="M83" i="11"/>
  <c r="J87" i="11"/>
  <c r="AH80" i="11"/>
  <c r="T87" i="11"/>
  <c r="N84" i="11"/>
  <c r="T90" i="11"/>
  <c r="AE87" i="11"/>
  <c r="AG87" i="11"/>
  <c r="AC107" i="11"/>
  <c r="X89" i="11"/>
  <c r="F92" i="11"/>
  <c r="AJ87" i="11"/>
  <c r="H82" i="11"/>
  <c r="AJ88" i="11"/>
  <c r="Y80" i="11"/>
  <c r="AJ83" i="11"/>
  <c r="Z90" i="11"/>
  <c r="L81" i="11"/>
  <c r="X86" i="11"/>
  <c r="N93" i="11"/>
  <c r="L82" i="11"/>
  <c r="N88" i="11"/>
  <c r="AB80" i="11"/>
  <c r="Y83" i="11"/>
  <c r="H90" i="11"/>
  <c r="G81" i="11"/>
  <c r="H85" i="11"/>
  <c r="F80" i="11"/>
  <c r="R82" i="11"/>
  <c r="AB88" i="11"/>
  <c r="F83" i="11"/>
  <c r="AF84" i="11"/>
  <c r="AJ86" i="11"/>
  <c r="X88" i="11"/>
  <c r="AB90" i="11"/>
  <c r="P92" i="11"/>
  <c r="T94" i="11"/>
  <c r="J97" i="11"/>
  <c r="T103" i="11"/>
  <c r="M82" i="11"/>
  <c r="I84" i="11"/>
  <c r="M86" i="11"/>
  <c r="I88" i="11"/>
  <c r="U90" i="11"/>
  <c r="S93" i="11"/>
  <c r="J100" i="11"/>
  <c r="AL82" i="11"/>
  <c r="AD86" i="11"/>
  <c r="AF91" i="11"/>
  <c r="N100" i="11"/>
  <c r="AA88" i="11"/>
  <c r="AF97" i="11"/>
  <c r="AJ103" i="11"/>
  <c r="AI87" i="11"/>
  <c r="AF99" i="11"/>
  <c r="O84" i="11"/>
  <c r="S94" i="11"/>
  <c r="AC99" i="11"/>
  <c r="O108" i="11"/>
  <c r="T106" i="11"/>
  <c r="M102" i="11"/>
  <c r="AF98" i="11"/>
  <c r="U104" i="11"/>
  <c r="AC83" i="11"/>
  <c r="AD89" i="11"/>
  <c r="T91" i="11"/>
  <c r="AA82" i="11"/>
  <c r="L84" i="11"/>
  <c r="AH86" i="11"/>
  <c r="N83" i="11"/>
  <c r="AJ90" i="11"/>
  <c r="N104" i="11"/>
  <c r="U86" i="11"/>
  <c r="U94" i="11"/>
  <c r="R92" i="11"/>
  <c r="L101" i="11"/>
  <c r="S86" i="11"/>
  <c r="F107" i="11"/>
  <c r="Q106" i="11"/>
  <c r="R90" i="11"/>
  <c r="J86" i="11"/>
  <c r="P80" i="11"/>
  <c r="Q83" i="11"/>
  <c r="X90" i="11"/>
  <c r="K81" i="11"/>
  <c r="X85" i="11"/>
  <c r="N92" i="11"/>
  <c r="AK81" i="11"/>
  <c r="L88" i="11"/>
  <c r="S80" i="11"/>
  <c r="U83" i="11"/>
  <c r="AH90" i="11"/>
  <c r="F81" i="11"/>
  <c r="F85" i="11"/>
  <c r="AB92" i="11"/>
  <c r="AC81" i="11"/>
  <c r="AB87" i="11"/>
  <c r="V80" i="11"/>
  <c r="L83" i="11"/>
  <c r="P90" i="11"/>
  <c r="V83" i="11"/>
  <c r="R85" i="11"/>
  <c r="N87" i="11"/>
  <c r="J89" i="11"/>
  <c r="F91" i="11"/>
  <c r="AF92" i="11"/>
  <c r="AJ94" i="11"/>
  <c r="V98" i="11"/>
  <c r="H105" i="11"/>
  <c r="AC82" i="11"/>
  <c r="Y84" i="11"/>
  <c r="AC86" i="11"/>
  <c r="Y88" i="11"/>
  <c r="AK90" i="11"/>
  <c r="AC94" i="11"/>
  <c r="L105" i="11"/>
  <c r="J84" i="11"/>
  <c r="J88" i="11"/>
  <c r="AB93" i="11"/>
  <c r="AB103" i="11"/>
  <c r="W90" i="11"/>
  <c r="AF103" i="11"/>
  <c r="AE81" i="11"/>
  <c r="AE89" i="11"/>
  <c r="AF93" i="11"/>
  <c r="AC87" i="11"/>
  <c r="X97" i="11"/>
  <c r="Y101" i="11"/>
  <c r="V99" i="11"/>
  <c r="H108" i="11"/>
  <c r="AG108" i="11"/>
  <c r="X102" i="11"/>
  <c r="U108" i="11"/>
  <c r="H80" i="11"/>
  <c r="X81" i="11"/>
  <c r="AJ80" i="11"/>
  <c r="N80" i="11"/>
  <c r="F87" i="11"/>
  <c r="Z97" i="11"/>
  <c r="Q88" i="11"/>
  <c r="AF87" i="11"/>
  <c r="AD108" i="11"/>
  <c r="N96" i="11"/>
  <c r="AJ100" i="11"/>
  <c r="W80" i="11"/>
  <c r="I81" i="11"/>
  <c r="AL92" i="11"/>
  <c r="X80" i="11"/>
  <c r="AH83" i="11"/>
  <c r="R91" i="11"/>
  <c r="V81" i="11"/>
  <c r="R86" i="11"/>
  <c r="H93" i="11"/>
  <c r="K82" i="11"/>
  <c r="F89" i="11"/>
  <c r="AA80" i="11"/>
  <c r="F84" i="11"/>
  <c r="AB91" i="11"/>
  <c r="N81" i="11"/>
  <c r="AL85" i="11"/>
  <c r="V93" i="11"/>
  <c r="P82" i="11"/>
  <c r="V88" i="11"/>
  <c r="AD80" i="11"/>
  <c r="AB83" i="11"/>
  <c r="J91" i="11"/>
  <c r="AD83" i="11"/>
  <c r="Z85" i="11"/>
  <c r="V87" i="11"/>
  <c r="R89" i="11"/>
  <c r="N91" i="11"/>
  <c r="J93" i="11"/>
  <c r="F95" i="11"/>
  <c r="L99" i="11"/>
  <c r="AH106" i="11"/>
  <c r="AK82" i="11"/>
  <c r="AG84" i="11"/>
  <c r="AK86" i="11"/>
  <c r="AG88" i="11"/>
  <c r="O91" i="11"/>
  <c r="AK94" i="11"/>
  <c r="F106" i="11"/>
  <c r="R84" i="11"/>
  <c r="Z88" i="11"/>
  <c r="AJ93" i="11"/>
  <c r="AG83" i="11"/>
  <c r="AG91" i="11"/>
  <c r="V108" i="11"/>
  <c r="K83" i="11"/>
  <c r="AI91" i="11"/>
  <c r="Q95" i="11"/>
  <c r="O88" i="11"/>
  <c r="V102" i="11"/>
  <c r="S102" i="11"/>
  <c r="X100" i="11"/>
  <c r="AF108" i="11"/>
  <c r="I99" i="11"/>
  <c r="AB104" i="11"/>
  <c r="AF81" i="11"/>
  <c r="AG80" i="11"/>
  <c r="K80" i="11"/>
  <c r="AH91" i="11"/>
  <c r="AH82" i="11"/>
  <c r="J85" i="11"/>
  <c r="X92" i="11"/>
  <c r="Q84" i="11"/>
  <c r="R104" i="11"/>
  <c r="H101" i="11"/>
  <c r="G89" i="11"/>
  <c r="O100" i="11"/>
  <c r="AK102" i="11"/>
  <c r="AI82" i="11"/>
  <c r="V84" i="11"/>
  <c r="G80" i="11"/>
  <c r="AF80" i="11"/>
  <c r="L92" i="11"/>
  <c r="AH81" i="11"/>
  <c r="L87" i="11"/>
  <c r="J80" i="11"/>
  <c r="Z82" i="11"/>
  <c r="AL89" i="11"/>
  <c r="AI80" i="11"/>
  <c r="AL84" i="11"/>
  <c r="V92" i="11"/>
  <c r="Z81" i="11"/>
  <c r="AF86" i="11"/>
  <c r="M80" i="11"/>
  <c r="AF82" i="11"/>
  <c r="P89" i="11"/>
  <c r="AL80" i="11"/>
  <c r="T84" i="11"/>
  <c r="AJ92" i="11"/>
  <c r="AL83" i="11"/>
  <c r="AH85" i="11"/>
  <c r="AD87" i="11"/>
  <c r="Z89" i="11"/>
  <c r="V91" i="11"/>
  <c r="R93" i="11"/>
  <c r="V95" i="11"/>
  <c r="F100" i="11"/>
  <c r="AJ107" i="11"/>
  <c r="G83" i="11"/>
  <c r="K85" i="11"/>
  <c r="G87" i="11"/>
  <c r="K89" i="11"/>
  <c r="AE91" i="11"/>
  <c r="X95" i="11"/>
  <c r="F108" i="11"/>
  <c r="AH84" i="11"/>
  <c r="AJ89" i="11"/>
  <c r="N94" i="11"/>
  <c r="AA84" i="11"/>
  <c r="AA92" i="11"/>
  <c r="H94" i="11"/>
  <c r="AI83" i="11"/>
  <c r="G93" i="11"/>
  <c r="AA96" i="11"/>
  <c r="Y89" i="11"/>
  <c r="AJ105" i="11"/>
  <c r="AC103" i="11"/>
  <c r="R101" i="11"/>
  <c r="M98" i="11"/>
  <c r="M101" i="11"/>
  <c r="P106" i="11"/>
  <c r="W82" i="11"/>
  <c r="AD84" i="11"/>
  <c r="R87" i="11"/>
  <c r="H89" i="11"/>
  <c r="P81" i="11"/>
  <c r="V89" i="11"/>
  <c r="AF88" i="11"/>
  <c r="AB94" i="11"/>
  <c r="U82" i="11"/>
  <c r="AC90" i="11"/>
  <c r="AF83" i="11"/>
  <c r="AK89" i="11"/>
  <c r="N102" i="11"/>
  <c r="AJ98" i="11"/>
  <c r="AB84" i="11"/>
  <c r="AD88" i="11"/>
  <c r="L91" i="11"/>
  <c r="G82" i="11"/>
  <c r="J81" i="11"/>
  <c r="V85" i="11"/>
  <c r="F93" i="11"/>
  <c r="J82" i="11"/>
  <c r="F88" i="11"/>
  <c r="R80" i="11"/>
  <c r="T83" i="11"/>
  <c r="AF90" i="11"/>
  <c r="M81" i="11"/>
  <c r="AF85" i="11"/>
  <c r="P93" i="11"/>
  <c r="O82" i="11"/>
  <c r="Z87" i="11"/>
  <c r="U80" i="11"/>
  <c r="J83" i="11"/>
  <c r="J90" i="11"/>
  <c r="H81" i="11"/>
  <c r="N85" i="11"/>
  <c r="T82" i="11"/>
  <c r="H84" i="11"/>
  <c r="L86" i="11"/>
  <c r="AL87" i="11"/>
  <c r="AH89" i="11"/>
  <c r="AD91" i="11"/>
  <c r="Z93" i="11"/>
  <c r="AL95" i="11"/>
  <c r="AL100" i="11"/>
  <c r="S81" i="11"/>
  <c r="O83" i="11"/>
  <c r="S85" i="11"/>
  <c r="O87" i="11"/>
  <c r="S89" i="11"/>
  <c r="Q92" i="11"/>
  <c r="AB97" i="11"/>
  <c r="F82" i="11"/>
  <c r="AJ85" i="11"/>
  <c r="F90" i="11"/>
  <c r="Y95" i="11"/>
  <c r="AK85" i="11"/>
  <c r="AK93" i="11"/>
  <c r="AD95" i="11"/>
  <c r="G85" i="11"/>
  <c r="AE93" i="11"/>
  <c r="AD100" i="11"/>
  <c r="S90" i="11"/>
  <c r="AC95" i="11"/>
  <c r="O104" i="11"/>
  <c r="N103" i="11"/>
  <c r="AK98" i="11"/>
  <c r="I103" i="11"/>
  <c r="T108" i="11"/>
  <c r="AC80" i="11"/>
  <c r="Z83" i="11"/>
  <c r="AJ91" i="11"/>
  <c r="Q81" i="11"/>
  <c r="H86" i="11"/>
  <c r="AB82" i="11"/>
  <c r="P84" i="11"/>
  <c r="T86" i="11"/>
  <c r="H88" i="11"/>
  <c r="L90" i="11"/>
  <c r="AL91" i="11"/>
  <c r="AH93" i="11"/>
  <c r="P96" i="11"/>
  <c r="AF101" i="11"/>
  <c r="AA81" i="11"/>
  <c r="W83" i="11"/>
  <c r="AA85" i="11"/>
  <c r="W87" i="11"/>
  <c r="AA89" i="11"/>
  <c r="Y92" i="11"/>
  <c r="F98" i="11"/>
  <c r="N82" i="11"/>
  <c r="F86" i="11"/>
  <c r="V90" i="11"/>
  <c r="S96" i="11"/>
  <c r="W86" i="11"/>
  <c r="W94" i="11"/>
  <c r="R97" i="11"/>
  <c r="AE85" i="11"/>
  <c r="P95" i="11"/>
  <c r="L103" i="11"/>
  <c r="AC91" i="11"/>
  <c r="O96" i="11"/>
  <c r="S106" i="11"/>
  <c r="P104" i="11"/>
  <c r="I100" i="11"/>
  <c r="M105" i="11"/>
  <c r="W84" i="12"/>
  <c r="AD90" i="12"/>
  <c r="G82" i="12"/>
  <c r="I90" i="12"/>
  <c r="U87" i="12"/>
  <c r="AD83" i="12"/>
  <c r="W83" i="12"/>
  <c r="N90" i="12"/>
  <c r="Z86" i="12"/>
  <c r="W91" i="12"/>
  <c r="G80" i="12"/>
  <c r="U95" i="12"/>
  <c r="S97" i="12"/>
  <c r="AJ82" i="12"/>
  <c r="T81" i="12"/>
  <c r="K83" i="12"/>
  <c r="M85" i="12"/>
  <c r="Z85" i="12"/>
  <c r="Y96" i="12"/>
  <c r="X91" i="12"/>
  <c r="M105" i="12"/>
  <c r="AL86" i="12"/>
  <c r="F84" i="12"/>
  <c r="N94" i="12"/>
  <c r="X90" i="12"/>
  <c r="M108" i="11"/>
  <c r="I106" i="11"/>
  <c r="M104" i="11"/>
  <c r="I102" i="11"/>
  <c r="M100" i="11"/>
  <c r="I98" i="11"/>
  <c r="M96" i="11"/>
  <c r="L108" i="11"/>
  <c r="H106" i="11"/>
  <c r="T104" i="11"/>
  <c r="P102" i="11"/>
  <c r="AB100" i="11"/>
  <c r="X98" i="11"/>
  <c r="AJ96" i="11"/>
  <c r="AI108" i="11"/>
  <c r="AE106" i="11"/>
  <c r="AI104" i="11"/>
  <c r="AE102" i="11"/>
  <c r="AI100" i="11"/>
  <c r="AE98" i="11"/>
  <c r="Y108" i="11"/>
  <c r="AC106" i="11"/>
  <c r="Y104" i="11"/>
  <c r="AC102" i="11"/>
  <c r="Y100" i="11"/>
  <c r="AC98" i="11"/>
  <c r="Y96" i="11"/>
  <c r="X108" i="11"/>
  <c r="AJ106" i="11"/>
  <c r="AF104" i="11"/>
  <c r="F103" i="11"/>
  <c r="J101" i="11"/>
  <c r="N99" i="11"/>
  <c r="G108" i="11"/>
  <c r="K106" i="11"/>
  <c r="G104" i="11"/>
  <c r="K102" i="11"/>
  <c r="G100" i="11"/>
  <c r="K98" i="11"/>
  <c r="G96" i="11"/>
  <c r="J104" i="11"/>
  <c r="H97" i="11"/>
  <c r="K94" i="11"/>
  <c r="G92" i="11"/>
  <c r="K90" i="11"/>
  <c r="G88" i="11"/>
  <c r="K86" i="11"/>
  <c r="G84" i="11"/>
  <c r="R102" i="11"/>
  <c r="K96" i="11"/>
  <c r="X93" i="11"/>
  <c r="T101" i="11"/>
  <c r="J96" i="11"/>
  <c r="W93" i="11"/>
  <c r="AA91" i="11"/>
  <c r="W89" i="11"/>
  <c r="AA87" i="11"/>
  <c r="W85" i="11"/>
  <c r="AA83" i="11"/>
  <c r="W81" i="11"/>
  <c r="J102" i="11"/>
  <c r="X96" i="11"/>
  <c r="AL93" i="11"/>
  <c r="AL102" i="11"/>
  <c r="P97" i="11"/>
  <c r="O94" i="11"/>
  <c r="S92" i="11"/>
  <c r="O90" i="11"/>
  <c r="S88" i="11"/>
  <c r="O86" i="11"/>
  <c r="S84" i="11"/>
  <c r="AH102" i="11"/>
  <c r="AI96" i="11"/>
  <c r="F94" i="11"/>
  <c r="J92" i="11"/>
  <c r="N90" i="11"/>
  <c r="R88" i="11"/>
  <c r="V86" i="11"/>
  <c r="Z84" i="11"/>
  <c r="AD82" i="11"/>
  <c r="AL106" i="11"/>
  <c r="P99" i="11"/>
  <c r="H95" i="11"/>
  <c r="K93" i="11"/>
  <c r="G91" i="11"/>
  <c r="AI107" i="11"/>
  <c r="AE105" i="11"/>
  <c r="AI103" i="11"/>
  <c r="AE101" i="11"/>
  <c r="AI99" i="11"/>
  <c r="AE97" i="11"/>
  <c r="AI95" i="11"/>
  <c r="AH107" i="11"/>
  <c r="AL105" i="11"/>
  <c r="L104" i="11"/>
  <c r="H102" i="11"/>
  <c r="T100" i="11"/>
  <c r="P98" i="11"/>
  <c r="AB96" i="11"/>
  <c r="AA108" i="11"/>
  <c r="W106" i="11"/>
  <c r="AA104" i="11"/>
  <c r="W102" i="11"/>
  <c r="AA100" i="11"/>
  <c r="AH108" i="11"/>
  <c r="Q108" i="11"/>
  <c r="U106" i="11"/>
  <c r="Q104" i="11"/>
  <c r="U102" i="11"/>
  <c r="Q100" i="11"/>
  <c r="U98" i="11"/>
  <c r="Q96" i="11"/>
  <c r="P108" i="11"/>
  <c r="AB106" i="11"/>
  <c r="X104" i="11"/>
  <c r="AJ102" i="11"/>
  <c r="AF100" i="11"/>
  <c r="F99" i="11"/>
  <c r="AK107" i="11"/>
  <c r="AG105" i="11"/>
  <c r="AK103" i="11"/>
  <c r="AG101" i="11"/>
  <c r="AK99" i="11"/>
  <c r="AG97" i="11"/>
  <c r="AK95" i="11"/>
  <c r="P103" i="11"/>
  <c r="AD96" i="11"/>
  <c r="AG93" i="11"/>
  <c r="AK91" i="11"/>
  <c r="AG89" i="11"/>
  <c r="AK87" i="11"/>
  <c r="AG85" i="11"/>
  <c r="AK83" i="11"/>
  <c r="X101" i="11"/>
  <c r="AG95" i="11"/>
  <c r="AL108" i="11"/>
  <c r="Z100" i="11"/>
  <c r="AF95" i="11"/>
  <c r="O93" i="11"/>
  <c r="S91" i="11"/>
  <c r="O89" i="11"/>
  <c r="S87" i="11"/>
  <c r="O85" i="11"/>
  <c r="S83" i="11"/>
  <c r="O81" i="11"/>
  <c r="P101" i="11"/>
  <c r="H96" i="11"/>
  <c r="AD93" i="11"/>
  <c r="F102" i="11"/>
  <c r="AL96" i="11"/>
  <c r="G94" i="11"/>
  <c r="K92" i="11"/>
  <c r="G90" i="11"/>
  <c r="K88" i="11"/>
  <c r="G86" i="11"/>
  <c r="K84" i="11"/>
  <c r="AA107" i="11"/>
  <c r="W105" i="11"/>
  <c r="AA103" i="11"/>
  <c r="W101" i="11"/>
  <c r="AA99" i="11"/>
  <c r="W97" i="11"/>
  <c r="AA95" i="11"/>
  <c r="Z107" i="11"/>
  <c r="AD105" i="11"/>
  <c r="AH103" i="11"/>
  <c r="AL101" i="11"/>
  <c r="L100" i="11"/>
  <c r="H98" i="11"/>
  <c r="T96" i="11"/>
  <c r="S108" i="11"/>
  <c r="O106" i="11"/>
  <c r="S104" i="11"/>
  <c r="O102" i="11"/>
  <c r="S100" i="11"/>
  <c r="Z108" i="11"/>
  <c r="I108" i="11"/>
  <c r="M106" i="11"/>
  <c r="I104" i="11"/>
  <c r="S107" i="11"/>
  <c r="O105" i="11"/>
  <c r="S103" i="11"/>
  <c r="O101" i="11"/>
  <c r="S99" i="11"/>
  <c r="O97" i="11"/>
  <c r="S95" i="11"/>
  <c r="R107" i="11"/>
  <c r="V105" i="11"/>
  <c r="Z103" i="11"/>
  <c r="AD101" i="11"/>
  <c r="AH99" i="11"/>
  <c r="AL97" i="11"/>
  <c r="L96" i="11"/>
  <c r="K108" i="11"/>
  <c r="G106" i="11"/>
  <c r="K104" i="11"/>
  <c r="G102" i="11"/>
  <c r="K100" i="11"/>
  <c r="R108" i="11"/>
  <c r="AE107" i="11"/>
  <c r="AI105" i="11"/>
  <c r="AE103" i="11"/>
  <c r="AI101" i="11"/>
  <c r="AE99" i="11"/>
  <c r="AI97" i="11"/>
  <c r="AE95" i="11"/>
  <c r="AL107" i="11"/>
  <c r="L106" i="11"/>
  <c r="H104" i="11"/>
  <c r="T102" i="11"/>
  <c r="P100" i="11"/>
  <c r="AB98" i="11"/>
  <c r="U107" i="11"/>
  <c r="Q105" i="11"/>
  <c r="U103" i="11"/>
  <c r="Q101" i="11"/>
  <c r="U99" i="11"/>
  <c r="Q97" i="11"/>
  <c r="U95" i="11"/>
  <c r="AB101" i="11"/>
  <c r="AJ95" i="11"/>
  <c r="Q93" i="11"/>
  <c r="U91" i="11"/>
  <c r="Q89" i="11"/>
  <c r="U87" i="11"/>
  <c r="Q85" i="11"/>
  <c r="Z106" i="11"/>
  <c r="AJ99" i="11"/>
  <c r="AH94" i="11"/>
  <c r="V106" i="11"/>
  <c r="AL98" i="11"/>
  <c r="AG94" i="11"/>
  <c r="AK92" i="11"/>
  <c r="AG90" i="11"/>
  <c r="AK88" i="11"/>
  <c r="AG86" i="11"/>
  <c r="AK84" i="11"/>
  <c r="AG82" i="11"/>
  <c r="L107" i="11"/>
  <c r="AB99" i="11"/>
  <c r="N95" i="11"/>
  <c r="H107" i="11"/>
  <c r="R100" i="11"/>
  <c r="F96" i="11"/>
  <c r="AC93" i="11"/>
  <c r="Y91" i="11"/>
  <c r="AC89" i="11"/>
  <c r="Y87" i="11"/>
  <c r="AC85" i="11"/>
  <c r="N108" i="11"/>
  <c r="T99" i="11"/>
  <c r="I95" i="11"/>
  <c r="T93" i="11"/>
  <c r="P91" i="11"/>
  <c r="AB89" i="11"/>
  <c r="X87" i="11"/>
  <c r="K107" i="11"/>
  <c r="G105" i="11"/>
  <c r="K103" i="11"/>
  <c r="G101" i="11"/>
  <c r="K99" i="11"/>
  <c r="G97" i="11"/>
  <c r="K95" i="11"/>
  <c r="J107" i="11"/>
  <c r="N105" i="11"/>
  <c r="R103" i="11"/>
  <c r="V101" i="11"/>
  <c r="Z99" i="11"/>
  <c r="AD97" i="11"/>
  <c r="AH95" i="11"/>
  <c r="AG107" i="11"/>
  <c r="AK105" i="11"/>
  <c r="AG103" i="11"/>
  <c r="AK101" i="11"/>
  <c r="AG99" i="11"/>
  <c r="J108" i="11"/>
  <c r="W107" i="11"/>
  <c r="AA105" i="11"/>
  <c r="W103" i="11"/>
  <c r="AA101" i="11"/>
  <c r="W99" i="11"/>
  <c r="AA97" i="11"/>
  <c r="W95" i="11"/>
  <c r="AD107" i="11"/>
  <c r="AH105" i="11"/>
  <c r="AL103" i="11"/>
  <c r="L102" i="11"/>
  <c r="H100" i="11"/>
  <c r="T98" i="11"/>
  <c r="M107" i="11"/>
  <c r="I105" i="11"/>
  <c r="M103" i="11"/>
  <c r="I101" i="11"/>
  <c r="M99" i="11"/>
  <c r="I97" i="11"/>
  <c r="M95" i="11"/>
  <c r="AH100" i="11"/>
  <c r="T95" i="11"/>
  <c r="I93" i="11"/>
  <c r="M91" i="11"/>
  <c r="I89" i="11"/>
  <c r="M87" i="11"/>
  <c r="I85" i="11"/>
  <c r="AF105" i="11"/>
  <c r="O98" i="11"/>
  <c r="Z94" i="11"/>
  <c r="AB105" i="11"/>
  <c r="N98" i="11"/>
  <c r="Y94" i="11"/>
  <c r="AC92" i="11"/>
  <c r="Y90" i="11"/>
  <c r="AC88" i="11"/>
  <c r="Y86" i="11"/>
  <c r="AC84" i="11"/>
  <c r="Y82" i="11"/>
  <c r="R106" i="11"/>
  <c r="AH98" i="11"/>
  <c r="AF94" i="11"/>
  <c r="N106" i="11"/>
  <c r="X99" i="11"/>
  <c r="AB95" i="11"/>
  <c r="U93" i="11"/>
  <c r="Q91" i="11"/>
  <c r="U89" i="11"/>
  <c r="Q87" i="11"/>
  <c r="U85" i="11"/>
  <c r="J106" i="11"/>
  <c r="Z98" i="11"/>
  <c r="AL94" i="11"/>
  <c r="L93" i="11"/>
  <c r="H91" i="11"/>
  <c r="T89" i="11"/>
  <c r="P87" i="11"/>
  <c r="AB85" i="11"/>
  <c r="X83" i="11"/>
  <c r="AJ81" i="11"/>
  <c r="X103" i="11"/>
  <c r="L97" i="11"/>
  <c r="M94" i="11"/>
  <c r="I92" i="11"/>
  <c r="M90" i="11"/>
  <c r="AK108" i="11"/>
  <c r="AG106" i="11"/>
  <c r="AK104" i="11"/>
  <c r="AG102" i="11"/>
  <c r="AK100" i="11"/>
  <c r="AG98" i="11"/>
  <c r="AK96" i="11"/>
  <c r="AJ108" i="11"/>
  <c r="AF106" i="11"/>
  <c r="F105" i="11"/>
  <c r="J103" i="11"/>
  <c r="N101" i="11"/>
  <c r="R99" i="11"/>
  <c r="V97" i="11"/>
  <c r="Z95" i="11"/>
  <c r="Y107" i="11"/>
  <c r="AC105" i="11"/>
  <c r="Y103" i="11"/>
  <c r="AC101" i="11"/>
  <c r="Y99" i="11"/>
  <c r="AF107" i="11"/>
  <c r="O107" i="11"/>
  <c r="S105" i="11"/>
  <c r="O103" i="11"/>
  <c r="S101" i="11"/>
  <c r="O99" i="11"/>
  <c r="S97" i="11"/>
  <c r="O95" i="11"/>
  <c r="V107" i="11"/>
  <c r="Z105" i="11"/>
  <c r="AD103" i="11"/>
  <c r="AH101" i="11"/>
  <c r="AL99" i="11"/>
  <c r="AE108" i="11"/>
  <c r="AI106" i="11"/>
  <c r="AE104" i="11"/>
  <c r="AI102" i="11"/>
  <c r="AE100" i="11"/>
  <c r="AI98" i="11"/>
  <c r="AE96" i="11"/>
  <c r="AB107" i="11"/>
  <c r="H99" i="11"/>
  <c r="AI94" i="11"/>
  <c r="AE92" i="11"/>
  <c r="AI90" i="11"/>
  <c r="AE88" i="11"/>
  <c r="AI86" i="11"/>
  <c r="AE84" i="11"/>
  <c r="AL104" i="11"/>
  <c r="AK97" i="11"/>
  <c r="R94" i="11"/>
  <c r="AH104" i="11"/>
  <c r="AJ97" i="11"/>
  <c r="Q94" i="11"/>
  <c r="U92" i="11"/>
  <c r="Q90" i="11"/>
  <c r="U88" i="11"/>
  <c r="Q86" i="11"/>
  <c r="U84" i="11"/>
  <c r="Q82" i="11"/>
  <c r="X105" i="11"/>
  <c r="L98" i="11"/>
  <c r="X94" i="11"/>
  <c r="T105" i="11"/>
  <c r="AD98" i="11"/>
  <c r="L95" i="11"/>
  <c r="M93" i="11"/>
  <c r="I91" i="11"/>
  <c r="M89" i="11"/>
  <c r="I87" i="11"/>
  <c r="M85" i="11"/>
  <c r="P105" i="11"/>
  <c r="G98" i="11"/>
  <c r="AD94" i="11"/>
  <c r="AH92" i="11"/>
  <c r="AL90" i="11"/>
  <c r="L89" i="11"/>
  <c r="H87" i="11"/>
  <c r="T85" i="11"/>
  <c r="P83" i="11"/>
  <c r="AB81" i="11"/>
  <c r="AD102" i="11"/>
  <c r="AH96" i="11"/>
  <c r="AI93" i="11"/>
  <c r="AC108" i="11"/>
  <c r="Y106" i="11"/>
  <c r="AC104" i="11"/>
  <c r="Y102" i="11"/>
  <c r="AC100" i="11"/>
  <c r="Y98" i="11"/>
  <c r="AC96" i="11"/>
  <c r="AB108" i="11"/>
  <c r="X106" i="11"/>
  <c r="AJ104" i="11"/>
  <c r="AF102" i="11"/>
  <c r="F101" i="11"/>
  <c r="J99" i="11"/>
  <c r="N97" i="11"/>
  <c r="R95" i="11"/>
  <c r="Q107" i="11"/>
  <c r="U105" i="11"/>
  <c r="Q103" i="11"/>
  <c r="U101" i="11"/>
  <c r="Q99" i="11"/>
  <c r="X107" i="11"/>
  <c r="G107" i="11"/>
  <c r="K105" i="11"/>
  <c r="G103" i="11"/>
  <c r="K101" i="11"/>
  <c r="G99" i="11"/>
  <c r="K97" i="11"/>
  <c r="G95" i="11"/>
  <c r="N107" i="11"/>
  <c r="R105" i="11"/>
  <c r="V103" i="11"/>
  <c r="Z101" i="11"/>
  <c r="AD99" i="11"/>
  <c r="W108" i="11"/>
  <c r="AA106" i="11"/>
  <c r="W104" i="11"/>
  <c r="AA102" i="11"/>
  <c r="W100" i="11"/>
  <c r="AA98" i="11"/>
  <c r="W96" i="11"/>
  <c r="AD106" i="11"/>
  <c r="R98" i="11"/>
  <c r="AA94" i="11"/>
  <c r="W92" i="11"/>
  <c r="AA90" i="11"/>
  <c r="W88" i="11"/>
  <c r="AA86" i="11"/>
  <c r="W84" i="11"/>
  <c r="F104" i="11"/>
  <c r="U97" i="11"/>
  <c r="J94" i="11"/>
  <c r="H103" i="11"/>
  <c r="T97" i="11"/>
  <c r="I94" i="11"/>
  <c r="M92" i="11"/>
  <c r="I90" i="11"/>
  <c r="M88" i="11"/>
  <c r="I86" i="11"/>
  <c r="M84" i="11"/>
  <c r="I82" i="11"/>
  <c r="AD104" i="11"/>
  <c r="AH97" i="11"/>
  <c r="P94" i="11"/>
  <c r="Z104" i="11"/>
  <c r="J98" i="11"/>
  <c r="AE94" i="11"/>
  <c r="AI92" i="11"/>
  <c r="AE90" i="11"/>
  <c r="AI88" i="11"/>
  <c r="AE86" i="11"/>
  <c r="AI84" i="11"/>
  <c r="V104" i="11"/>
  <c r="AC97" i="11"/>
  <c r="V94" i="11"/>
  <c r="Z92" i="11"/>
  <c r="AD90" i="11"/>
  <c r="AH88" i="11"/>
  <c r="AL86" i="11"/>
  <c r="L85" i="11"/>
  <c r="H83" i="11"/>
  <c r="T81" i="11"/>
  <c r="AJ101" i="11"/>
  <c r="R96" i="11"/>
  <c r="AA93" i="11"/>
  <c r="W91" i="11"/>
  <c r="K91" i="11"/>
  <c r="P107" i="11"/>
  <c r="Y85" i="11"/>
  <c r="Y93" i="11"/>
  <c r="Y97" i="11"/>
  <c r="Y105" i="11"/>
  <c r="AB102" i="11"/>
  <c r="I96" i="11"/>
  <c r="AG104" i="11"/>
  <c r="J95" i="11"/>
  <c r="U96" i="11"/>
  <c r="AG96" i="11"/>
  <c r="AK106" i="11"/>
  <c r="F97" i="11"/>
  <c r="Q98" i="11"/>
  <c r="BA4" i="12"/>
  <c r="R95" i="12"/>
  <c r="H83" i="12"/>
  <c r="Y89" i="12"/>
  <c r="G81" i="12"/>
  <c r="AI96" i="12"/>
  <c r="M104" i="12"/>
  <c r="H81" i="12"/>
  <c r="AC82" i="12"/>
  <c r="K88" i="12"/>
  <c r="AA107" i="12"/>
  <c r="AD85" i="12"/>
  <c r="M99" i="12"/>
  <c r="AF80" i="12"/>
  <c r="AE84" i="12"/>
  <c r="R91" i="12"/>
  <c r="AD81" i="12"/>
  <c r="AC89" i="12"/>
  <c r="AC91" i="12"/>
  <c r="AK41" i="11"/>
  <c r="AJ41" i="11"/>
  <c r="R104" i="12"/>
  <c r="H106" i="12"/>
  <c r="AC93" i="12"/>
  <c r="S107" i="12"/>
  <c r="U107" i="12"/>
  <c r="AJ102" i="12"/>
  <c r="O103" i="12"/>
  <c r="AH96" i="12"/>
  <c r="AH107" i="12"/>
  <c r="AL105" i="12"/>
  <c r="L104" i="12"/>
  <c r="H102" i="12"/>
  <c r="T100" i="12"/>
  <c r="S108" i="12"/>
  <c r="O106" i="12"/>
  <c r="AF107" i="12"/>
  <c r="F106" i="12"/>
  <c r="J104" i="12"/>
  <c r="N102" i="12"/>
  <c r="R100" i="12"/>
  <c r="V98" i="12"/>
  <c r="Z96" i="12"/>
  <c r="AD94" i="12"/>
  <c r="G107" i="12"/>
  <c r="K105" i="12"/>
  <c r="G103" i="12"/>
  <c r="H108" i="12"/>
  <c r="T106" i="12"/>
  <c r="P104" i="12"/>
  <c r="AB102" i="12"/>
  <c r="X100" i="12"/>
  <c r="AJ98" i="12"/>
  <c r="AF96" i="12"/>
  <c r="M107" i="12"/>
  <c r="T107" i="12"/>
  <c r="P105" i="12"/>
  <c r="AB103" i="12"/>
  <c r="X101" i="12"/>
  <c r="AJ99" i="12"/>
  <c r="AF97" i="12"/>
  <c r="F96" i="12"/>
  <c r="Q106" i="12"/>
  <c r="M101" i="12"/>
  <c r="AG97" i="12"/>
  <c r="Q95" i="12"/>
  <c r="U93" i="12"/>
  <c r="Q91" i="12"/>
  <c r="AK104" i="12"/>
  <c r="AG100" i="12"/>
  <c r="AC103" i="12"/>
  <c r="U99" i="12"/>
  <c r="AI95" i="12"/>
  <c r="S93" i="12"/>
  <c r="O91" i="12"/>
  <c r="S89" i="12"/>
  <c r="O87" i="12"/>
  <c r="S85" i="12"/>
  <c r="O83" i="12"/>
  <c r="W101" i="12"/>
  <c r="AC97" i="12"/>
  <c r="AC94" i="12"/>
  <c r="X92" i="12"/>
  <c r="AJ90" i="12"/>
  <c r="AF88" i="12"/>
  <c r="F87" i="12"/>
  <c r="AC104" i="12"/>
  <c r="AG99" i="12"/>
  <c r="AG95" i="12"/>
  <c r="Q93" i="12"/>
  <c r="U91" i="12"/>
  <c r="I105" i="12"/>
  <c r="AE99" i="12"/>
  <c r="AI102" i="12"/>
  <c r="AK98" i="12"/>
  <c r="M96" i="12"/>
  <c r="AE93" i="12"/>
  <c r="AI91" i="12"/>
  <c r="AE89" i="12"/>
  <c r="AI87" i="12"/>
  <c r="AE85" i="12"/>
  <c r="AI83" i="12"/>
  <c r="O95" i="12"/>
  <c r="H90" i="12"/>
  <c r="R87" i="12"/>
  <c r="R84" i="12"/>
  <c r="K82" i="12"/>
  <c r="AE96" i="12"/>
  <c r="H91" i="12"/>
  <c r="Q87" i="12"/>
  <c r="P84" i="12"/>
  <c r="J82" i="12"/>
  <c r="Z107" i="12"/>
  <c r="AD105" i="12"/>
  <c r="AH103" i="12"/>
  <c r="AL101" i="12"/>
  <c r="L100" i="12"/>
  <c r="K108" i="12"/>
  <c r="G106" i="12"/>
  <c r="X107" i="12"/>
  <c r="AJ105" i="12"/>
  <c r="AF103" i="12"/>
  <c r="F102" i="12"/>
  <c r="J100" i="12"/>
  <c r="N98" i="12"/>
  <c r="R96" i="12"/>
  <c r="AG108" i="12"/>
  <c r="AK106" i="12"/>
  <c r="AG104" i="12"/>
  <c r="AK102" i="12"/>
  <c r="AL107" i="12"/>
  <c r="L106" i="12"/>
  <c r="H104" i="12"/>
  <c r="T102" i="12"/>
  <c r="P100" i="12"/>
  <c r="AB98" i="12"/>
  <c r="AE108" i="12"/>
  <c r="AL108" i="12"/>
  <c r="L107" i="12"/>
  <c r="H105" i="12"/>
  <c r="T103" i="12"/>
  <c r="P101" i="12"/>
  <c r="AB99" i="12"/>
  <c r="X97" i="12"/>
  <c r="AJ95" i="12"/>
  <c r="W105" i="12"/>
  <c r="AI100" i="12"/>
  <c r="U97" i="12"/>
  <c r="F95" i="12"/>
  <c r="M93" i="12"/>
  <c r="I91" i="12"/>
  <c r="O104" i="12"/>
  <c r="Q100" i="12"/>
  <c r="I103" i="12"/>
  <c r="AE98" i="12"/>
  <c r="Y95" i="12"/>
  <c r="K93" i="12"/>
  <c r="G91" i="12"/>
  <c r="K89" i="12"/>
  <c r="G87" i="12"/>
  <c r="K85" i="12"/>
  <c r="U108" i="12"/>
  <c r="G101" i="12"/>
  <c r="O97" i="12"/>
  <c r="T94" i="12"/>
  <c r="P92" i="12"/>
  <c r="AB90" i="12"/>
  <c r="X88" i="12"/>
  <c r="AJ86" i="12"/>
  <c r="G104" i="12"/>
  <c r="Q99" i="12"/>
  <c r="V95" i="12"/>
  <c r="I93" i="12"/>
  <c r="M91" i="12"/>
  <c r="AA104" i="12"/>
  <c r="O99" i="12"/>
  <c r="O102" i="12"/>
  <c r="X98" i="12"/>
  <c r="AD95" i="12"/>
  <c r="W93" i="12"/>
  <c r="AA91" i="12"/>
  <c r="W89" i="12"/>
  <c r="AA87" i="12"/>
  <c r="W85" i="12"/>
  <c r="AA83" i="12"/>
  <c r="X94" i="12"/>
  <c r="AF89" i="12"/>
  <c r="AE86" i="12"/>
  <c r="G84" i="12"/>
  <c r="AG81" i="12"/>
  <c r="R107" i="12"/>
  <c r="V105" i="12"/>
  <c r="Z103" i="12"/>
  <c r="AD101" i="12"/>
  <c r="AH99" i="12"/>
  <c r="AG107" i="12"/>
  <c r="AK105" i="12"/>
  <c r="P107" i="12"/>
  <c r="AB105" i="12"/>
  <c r="X103" i="12"/>
  <c r="AJ101" i="12"/>
  <c r="AF99" i="12"/>
  <c r="F98" i="12"/>
  <c r="J96" i="12"/>
  <c r="Y108" i="12"/>
  <c r="AC106" i="12"/>
  <c r="Y104" i="12"/>
  <c r="AC102" i="12"/>
  <c r="AD107" i="12"/>
  <c r="AH105" i="12"/>
  <c r="AL103" i="12"/>
  <c r="L102" i="12"/>
  <c r="H100" i="12"/>
  <c r="T98" i="12"/>
  <c r="W108" i="12"/>
  <c r="AD108" i="12"/>
  <c r="AH106" i="12"/>
  <c r="AL104" i="12"/>
  <c r="L103" i="12"/>
  <c r="H101" i="12"/>
  <c r="T99" i="12"/>
  <c r="P97" i="12"/>
  <c r="AB95" i="12"/>
  <c r="S104" i="12"/>
  <c r="S100" i="12"/>
  <c r="G97" i="12"/>
  <c r="AG94" i="12"/>
  <c r="AI92" i="12"/>
  <c r="AE90" i="12"/>
  <c r="AG103" i="12"/>
  <c r="W99" i="12"/>
  <c r="Y102" i="12"/>
  <c r="Q98" i="12"/>
  <c r="N95" i="12"/>
  <c r="AG92" i="12"/>
  <c r="AK90" i="12"/>
  <c r="AG88" i="12"/>
  <c r="AK86" i="12"/>
  <c r="AG84" i="12"/>
  <c r="AI106" i="12"/>
  <c r="AC100" i="12"/>
  <c r="AB96" i="12"/>
  <c r="L94" i="12"/>
  <c r="H92" i="12"/>
  <c r="T90" i="12"/>
  <c r="P88" i="12"/>
  <c r="AB86" i="12"/>
  <c r="Y103" i="12"/>
  <c r="AA98" i="12"/>
  <c r="K95" i="12"/>
  <c r="AE92" i="12"/>
  <c r="AI90" i="12"/>
  <c r="U103" i="12"/>
  <c r="AI107" i="12"/>
  <c r="AG101" i="12"/>
  <c r="K98" i="12"/>
  <c r="S95" i="12"/>
  <c r="O93" i="12"/>
  <c r="S91" i="12"/>
  <c r="O89" i="12"/>
  <c r="S87" i="12"/>
  <c r="O85" i="12"/>
  <c r="S83" i="12"/>
  <c r="T93" i="12"/>
  <c r="T89" i="12"/>
  <c r="R86" i="12"/>
  <c r="AH83" i="12"/>
  <c r="Y81" i="12"/>
  <c r="V94" i="12"/>
  <c r="G90" i="12"/>
  <c r="P86" i="12"/>
  <c r="AG83" i="12"/>
  <c r="X81" i="12"/>
  <c r="G95" i="12"/>
  <c r="F90" i="12"/>
  <c r="J107" i="12"/>
  <c r="N105" i="12"/>
  <c r="R103" i="12"/>
  <c r="V101" i="12"/>
  <c r="Z99" i="12"/>
  <c r="Y107" i="12"/>
  <c r="AC105" i="12"/>
  <c r="H107" i="12"/>
  <c r="T105" i="12"/>
  <c r="P103" i="12"/>
  <c r="AB101" i="12"/>
  <c r="X99" i="12"/>
  <c r="AJ97" i="12"/>
  <c r="AF95" i="12"/>
  <c r="Q108" i="12"/>
  <c r="U106" i="12"/>
  <c r="Q104" i="12"/>
  <c r="U102" i="12"/>
  <c r="V107" i="12"/>
  <c r="Z105" i="12"/>
  <c r="AD103" i="12"/>
  <c r="AH101" i="12"/>
  <c r="AL99" i="12"/>
  <c r="L98" i="12"/>
  <c r="O108" i="12"/>
  <c r="V108" i="12"/>
  <c r="Z106" i="12"/>
  <c r="AD104" i="12"/>
  <c r="AH102" i="12"/>
  <c r="AL100" i="12"/>
  <c r="L99" i="12"/>
  <c r="H97" i="12"/>
  <c r="T95" i="12"/>
  <c r="AI103" i="12"/>
  <c r="Y99" i="12"/>
  <c r="AG96" i="12"/>
  <c r="W94" i="12"/>
  <c r="AA92" i="12"/>
  <c r="W90" i="12"/>
  <c r="K103" i="12"/>
  <c r="AC108" i="12"/>
  <c r="Y101" i="12"/>
  <c r="AD97" i="12"/>
  <c r="AE94" i="12"/>
  <c r="Y92" i="12"/>
  <c r="AC90" i="12"/>
  <c r="Y88" i="12"/>
  <c r="AC86" i="12"/>
  <c r="Y84" i="12"/>
  <c r="O105" i="12"/>
  <c r="M100" i="12"/>
  <c r="Q96" i="12"/>
  <c r="AH93" i="12"/>
  <c r="AL91" i="12"/>
  <c r="L90" i="12"/>
  <c r="H88" i="12"/>
  <c r="T86" i="12"/>
  <c r="S102" i="12"/>
  <c r="O98" i="12"/>
  <c r="AB94" i="12"/>
  <c r="W92" i="12"/>
  <c r="AA90" i="12"/>
  <c r="Q102" i="12"/>
  <c r="Y106" i="12"/>
  <c r="Q101" i="12"/>
  <c r="AK97" i="12"/>
  <c r="I95" i="12"/>
  <c r="G93" i="12"/>
  <c r="K91" i="12"/>
  <c r="G89" i="12"/>
  <c r="K87" i="12"/>
  <c r="G85" i="12"/>
  <c r="U104" i="12"/>
  <c r="AJ92" i="12"/>
  <c r="F89" i="12"/>
  <c r="F86" i="12"/>
  <c r="X83" i="12"/>
  <c r="Q81" i="12"/>
  <c r="AL93" i="12"/>
  <c r="AD89" i="12"/>
  <c r="AF85" i="12"/>
  <c r="V83" i="12"/>
  <c r="P81" i="12"/>
  <c r="AJ108" i="12"/>
  <c r="AF106" i="12"/>
  <c r="F105" i="12"/>
  <c r="J103" i="12"/>
  <c r="N101" i="12"/>
  <c r="R99" i="12"/>
  <c r="Q107" i="12"/>
  <c r="AH108" i="12"/>
  <c r="AL106" i="12"/>
  <c r="L105" i="12"/>
  <c r="H103" i="12"/>
  <c r="T101" i="12"/>
  <c r="P99" i="12"/>
  <c r="AB97" i="12"/>
  <c r="X95" i="12"/>
  <c r="I108" i="12"/>
  <c r="M106" i="12"/>
  <c r="I104" i="12"/>
  <c r="M102" i="12"/>
  <c r="N107" i="12"/>
  <c r="R105" i="12"/>
  <c r="V103" i="12"/>
  <c r="Z101" i="12"/>
  <c r="AD99" i="12"/>
  <c r="AH97" i="12"/>
  <c r="G108" i="12"/>
  <c r="N108" i="12"/>
  <c r="R106" i="12"/>
  <c r="V104" i="12"/>
  <c r="Z102" i="12"/>
  <c r="AD100" i="12"/>
  <c r="AH98" i="12"/>
  <c r="AL96" i="12"/>
  <c r="L95" i="12"/>
  <c r="M103" i="12"/>
  <c r="I99" i="12"/>
  <c r="U96" i="12"/>
  <c r="O94" i="12"/>
  <c r="S92" i="12"/>
  <c r="AK108" i="12"/>
  <c r="AA102" i="12"/>
  <c r="I106" i="12"/>
  <c r="I101" i="12"/>
  <c r="Q97" i="12"/>
  <c r="U94" i="12"/>
  <c r="Q92" i="12"/>
  <c r="U90" i="12"/>
  <c r="Q88" i="12"/>
  <c r="U86" i="12"/>
  <c r="Q84" i="12"/>
  <c r="AE104" i="12"/>
  <c r="AI99" i="12"/>
  <c r="G96" i="12"/>
  <c r="Z93" i="12"/>
  <c r="AD91" i="12"/>
  <c r="AH89" i="12"/>
  <c r="AL87" i="12"/>
  <c r="L86" i="12"/>
  <c r="AK101" i="12"/>
  <c r="AA97" i="12"/>
  <c r="S94" i="12"/>
  <c r="O92" i="12"/>
  <c r="S90" i="12"/>
  <c r="AI101" i="12"/>
  <c r="AE105" i="12"/>
  <c r="W100" i="12"/>
  <c r="W97" i="12"/>
  <c r="AJ94" i="12"/>
  <c r="AK92" i="12"/>
  <c r="AG90" i="12"/>
  <c r="AK88" i="12"/>
  <c r="AG86" i="12"/>
  <c r="AK84" i="12"/>
  <c r="U100" i="12"/>
  <c r="N92" i="12"/>
  <c r="AE88" i="12"/>
  <c r="AG85" i="12"/>
  <c r="M83" i="12"/>
  <c r="T108" i="12"/>
  <c r="P106" i="12"/>
  <c r="AB104" i="12"/>
  <c r="X102" i="12"/>
  <c r="AJ100" i="12"/>
  <c r="AI108" i="12"/>
  <c r="AE106" i="12"/>
  <c r="R108" i="12"/>
  <c r="V106" i="12"/>
  <c r="Z104" i="12"/>
  <c r="AD102" i="12"/>
  <c r="AH100" i="12"/>
  <c r="AL98" i="12"/>
  <c r="L97" i="12"/>
  <c r="H95" i="12"/>
  <c r="W107" i="12"/>
  <c r="AA105" i="12"/>
  <c r="W103" i="12"/>
  <c r="X108" i="12"/>
  <c r="AJ106" i="12"/>
  <c r="AF104" i="12"/>
  <c r="F103" i="12"/>
  <c r="J101" i="12"/>
  <c r="N99" i="12"/>
  <c r="R97" i="12"/>
  <c r="AC107" i="12"/>
  <c r="AJ107" i="12"/>
  <c r="AF105" i="12"/>
  <c r="F104" i="12"/>
  <c r="J102" i="12"/>
  <c r="N100" i="12"/>
  <c r="R98" i="12"/>
  <c r="V96" i="12"/>
  <c r="Z94" i="12"/>
  <c r="I102" i="12"/>
  <c r="U98" i="12"/>
  <c r="AL95" i="12"/>
  <c r="AK93" i="12"/>
  <c r="AG91" i="12"/>
  <c r="K106" i="12"/>
  <c r="AA101" i="12"/>
  <c r="AI104" i="12"/>
  <c r="O100" i="12"/>
  <c r="S96" i="12"/>
  <c r="AI93" i="12"/>
  <c r="AE91" i="12"/>
  <c r="AI89" i="12"/>
  <c r="AE87" i="12"/>
  <c r="AI85" i="12"/>
  <c r="AE83" i="12"/>
  <c r="AA103" i="12"/>
  <c r="AC98" i="12"/>
  <c r="W95" i="12"/>
  <c r="J93" i="12"/>
  <c r="N91" i="12"/>
  <c r="R89" i="12"/>
  <c r="V87" i="12"/>
  <c r="AG106" i="12"/>
  <c r="AA100" i="12"/>
  <c r="AA96" i="12"/>
  <c r="AG93" i="12"/>
  <c r="AK91" i="12"/>
  <c r="AA106" i="12"/>
  <c r="Y100" i="12"/>
  <c r="W104" i="12"/>
  <c r="AC99" i="12"/>
  <c r="AJ96" i="12"/>
  <c r="Q94" i="12"/>
  <c r="U92" i="12"/>
  <c r="Q90" i="12"/>
  <c r="U88" i="12"/>
  <c r="Q86" i="12"/>
  <c r="U84" i="12"/>
  <c r="AE97" i="12"/>
  <c r="J91" i="12"/>
  <c r="F88" i="12"/>
  <c r="L85" i="12"/>
  <c r="AA82" i="12"/>
  <c r="W98" i="12"/>
  <c r="L92" i="12"/>
  <c r="R88" i="12"/>
  <c r="AL84" i="12"/>
  <c r="Z82" i="12"/>
  <c r="S98" i="12"/>
  <c r="AD92" i="12"/>
  <c r="W80" i="12"/>
  <c r="O80" i="12"/>
  <c r="J81" i="12"/>
  <c r="F83" i="12"/>
  <c r="X85" i="12"/>
  <c r="G88" i="12"/>
  <c r="L91" i="12"/>
  <c r="I96" i="12"/>
  <c r="AG80" i="12"/>
  <c r="AK82" i="12"/>
  <c r="N85" i="12"/>
  <c r="AH87" i="12"/>
  <c r="AF90" i="12"/>
  <c r="L96" i="12"/>
  <c r="AB81" i="12"/>
  <c r="Q83" i="12"/>
  <c r="AK85" i="12"/>
  <c r="W88" i="12"/>
  <c r="V92" i="12"/>
  <c r="G98" i="12"/>
  <c r="O82" i="12"/>
  <c r="AH84" i="12"/>
  <c r="L87" i="12"/>
  <c r="AL89" i="12"/>
  <c r="AK94" i="12"/>
  <c r="L80" i="12"/>
  <c r="AL81" i="12"/>
  <c r="N84" i="12"/>
  <c r="M87" i="12"/>
  <c r="F92" i="12"/>
  <c r="M98" i="12"/>
  <c r="O81" i="12"/>
  <c r="U83" i="12"/>
  <c r="O86" i="12"/>
  <c r="V90" i="12"/>
  <c r="V97" i="12"/>
  <c r="AA84" i="12"/>
  <c r="AB91" i="12"/>
  <c r="AI82" i="12"/>
  <c r="Y98" i="12"/>
  <c r="Y90" i="12"/>
  <c r="G100" i="12"/>
  <c r="G92" i="12"/>
  <c r="M108" i="12"/>
  <c r="R93" i="12"/>
  <c r="I84" i="12"/>
  <c r="I92" i="12"/>
  <c r="Q105" i="12"/>
  <c r="G94" i="12"/>
  <c r="AH94" i="12"/>
  <c r="R102" i="12"/>
  <c r="AK107" i="12"/>
  <c r="N103" i="12"/>
  <c r="AE103" i="12"/>
  <c r="T97" i="12"/>
  <c r="AH104" i="12"/>
  <c r="J99" i="12"/>
  <c r="X106" i="12"/>
  <c r="J80" i="12"/>
  <c r="AE80" i="12"/>
  <c r="R81" i="12"/>
  <c r="N83" i="12"/>
  <c r="AH85" i="12"/>
  <c r="T88" i="12"/>
  <c r="AH91" i="12"/>
  <c r="AK96" i="12"/>
  <c r="K81" i="12"/>
  <c r="G83" i="12"/>
  <c r="Y85" i="12"/>
  <c r="J88" i="12"/>
  <c r="P91" i="12"/>
  <c r="F97" i="12"/>
  <c r="AJ81" i="12"/>
  <c r="AB83" i="12"/>
  <c r="J86" i="12"/>
  <c r="AJ88" i="12"/>
  <c r="F93" i="12"/>
  <c r="AE101" i="12"/>
  <c r="W82" i="12"/>
  <c r="F85" i="12"/>
  <c r="Y87" i="12"/>
  <c r="P90" i="12"/>
  <c r="AC95" i="12"/>
  <c r="T80" i="12"/>
  <c r="H82" i="12"/>
  <c r="X84" i="12"/>
  <c r="Z87" i="12"/>
  <c r="AB92" i="12"/>
  <c r="K99" i="12"/>
  <c r="W81" i="12"/>
  <c r="AF83" i="12"/>
  <c r="AA86" i="12"/>
  <c r="Z91" i="12"/>
  <c r="AA99" i="12"/>
  <c r="J85" i="12"/>
  <c r="AH92" i="12"/>
  <c r="AB84" i="12"/>
  <c r="M84" i="12"/>
  <c r="M92" i="12"/>
  <c r="S103" i="12"/>
  <c r="Y93" i="12"/>
  <c r="N87" i="12"/>
  <c r="M95" i="12"/>
  <c r="AA85" i="12"/>
  <c r="AA93" i="12"/>
  <c r="K101" i="12"/>
  <c r="AA95" i="12"/>
  <c r="N96" i="12"/>
  <c r="AJ103" i="12"/>
  <c r="J97" i="12"/>
  <c r="X104" i="12"/>
  <c r="S105" i="12"/>
  <c r="AD98" i="12"/>
  <c r="N106" i="12"/>
  <c r="AB100" i="12"/>
  <c r="L108" i="12"/>
  <c r="S80" i="12"/>
  <c r="Z80" i="12"/>
  <c r="R80" i="12"/>
  <c r="Z81" i="12"/>
  <c r="Y83" i="12"/>
  <c r="G86" i="12"/>
  <c r="AH88" i="12"/>
  <c r="R92" i="12"/>
  <c r="AI97" i="12"/>
  <c r="S81" i="12"/>
  <c r="P83" i="12"/>
  <c r="AJ85" i="12"/>
  <c r="V88" i="12"/>
  <c r="AJ91" i="12"/>
  <c r="AL97" i="12"/>
  <c r="F82" i="12"/>
  <c r="AL83" i="12"/>
  <c r="W86" i="12"/>
  <c r="L89" i="12"/>
  <c r="AB93" i="12"/>
  <c r="S106" i="12"/>
  <c r="AE82" i="12"/>
  <c r="Q85" i="12"/>
  <c r="AK87" i="12"/>
  <c r="AL90" i="12"/>
  <c r="T96" i="12"/>
  <c r="AB80" i="12"/>
  <c r="P82" i="12"/>
  <c r="AI84" i="12"/>
  <c r="N88" i="12"/>
  <c r="L93" i="12"/>
  <c r="AG102" i="12"/>
  <c r="AE81" i="12"/>
  <c r="O84" i="12"/>
  <c r="P87" i="12"/>
  <c r="J92" i="12"/>
  <c r="Q103" i="12"/>
  <c r="U85" i="12"/>
  <c r="P93" i="12"/>
  <c r="V85" i="12"/>
  <c r="AC84" i="12"/>
  <c r="AC92" i="12"/>
  <c r="G105" i="12"/>
  <c r="K94" i="12"/>
  <c r="AD87" i="12"/>
  <c r="AH95" i="12"/>
  <c r="M86" i="12"/>
  <c r="M94" i="12"/>
  <c r="G102" i="12"/>
  <c r="K96" i="12"/>
  <c r="AD96" i="12"/>
  <c r="N104" i="12"/>
  <c r="Z97" i="12"/>
  <c r="J105" i="12"/>
  <c r="AI105" i="12"/>
  <c r="H99" i="12"/>
  <c r="AD106" i="12"/>
  <c r="F101" i="12"/>
  <c r="AB108" i="12"/>
  <c r="AF101" i="12"/>
  <c r="AI80" i="12"/>
  <c r="K80" i="12"/>
  <c r="AH80" i="12"/>
  <c r="AH81" i="12"/>
  <c r="AJ83" i="12"/>
  <c r="S86" i="12"/>
  <c r="H89" i="12"/>
  <c r="AL92" i="12"/>
  <c r="AF98" i="12"/>
  <c r="AA81" i="12"/>
  <c r="Z83" i="12"/>
  <c r="H86" i="12"/>
  <c r="AI88" i="12"/>
  <c r="T92" i="12"/>
  <c r="AI98" i="12"/>
  <c r="N82" i="12"/>
  <c r="K84" i="12"/>
  <c r="AI86" i="12"/>
  <c r="X89" i="12"/>
  <c r="J94" i="12"/>
  <c r="M81" i="12"/>
  <c r="I83" i="12"/>
  <c r="AB85" i="12"/>
  <c r="L88" i="12"/>
  <c r="T91" i="12"/>
  <c r="M97" i="12"/>
  <c r="AJ80" i="12"/>
  <c r="X82" i="12"/>
  <c r="H85" i="12"/>
  <c r="AA88" i="12"/>
  <c r="AF93" i="12"/>
  <c r="M80" i="12"/>
  <c r="I82" i="12"/>
  <c r="Z84" i="12"/>
  <c r="AB87" i="12"/>
  <c r="N93" i="12"/>
  <c r="AF81" i="12"/>
  <c r="AD86" i="12"/>
  <c r="J95" i="12"/>
  <c r="AF87" i="12"/>
  <c r="I86" i="12"/>
  <c r="I94" i="12"/>
  <c r="I100" i="12"/>
  <c r="P96" i="12"/>
  <c r="J89" i="12"/>
  <c r="P98" i="12"/>
  <c r="W87" i="12"/>
  <c r="H96" i="12"/>
  <c r="U105" i="12"/>
  <c r="H98" i="12"/>
  <c r="J98" i="12"/>
  <c r="X105" i="12"/>
  <c r="F99" i="12"/>
  <c r="AB106" i="12"/>
  <c r="O107" i="12"/>
  <c r="Z100" i="12"/>
  <c r="J108" i="12"/>
  <c r="P102" i="12"/>
  <c r="F80" i="12"/>
  <c r="AA80" i="12"/>
  <c r="H80" i="12"/>
  <c r="L82" i="12"/>
  <c r="H84" i="12"/>
  <c r="AF86" i="12"/>
  <c r="U89" i="12"/>
  <c r="V93" i="12"/>
  <c r="AK100" i="12"/>
  <c r="AI81" i="12"/>
  <c r="AK83" i="12"/>
  <c r="V86" i="12"/>
  <c r="I89" i="12"/>
  <c r="X93" i="12"/>
  <c r="O101" i="12"/>
  <c r="V82" i="12"/>
  <c r="V84" i="12"/>
  <c r="J87" i="12"/>
  <c r="AK89" i="12"/>
  <c r="AI94" i="12"/>
  <c r="U81" i="12"/>
  <c r="R83" i="12"/>
  <c r="AL85" i="12"/>
  <c r="Z88" i="12"/>
  <c r="Z92" i="12"/>
  <c r="I98" i="12"/>
  <c r="F81" i="12"/>
  <c r="AF82" i="12"/>
  <c r="R85" i="12"/>
  <c r="N89" i="12"/>
  <c r="P94" i="12"/>
  <c r="U80" i="12"/>
  <c r="Q82" i="12"/>
  <c r="AJ84" i="12"/>
  <c r="O88" i="12"/>
  <c r="AJ93" i="12"/>
  <c r="R82" i="12"/>
  <c r="AC87" i="12"/>
  <c r="Y97" i="12"/>
  <c r="S88" i="12"/>
  <c r="Y86" i="12"/>
  <c r="Y94" i="12"/>
  <c r="S101" i="12"/>
  <c r="N97" i="12"/>
  <c r="Z89" i="12"/>
  <c r="S99" i="12"/>
  <c r="I88" i="12"/>
  <c r="AC96" i="12"/>
  <c r="K107" i="12"/>
  <c r="AG98" i="12"/>
  <c r="Z98" i="12"/>
  <c r="J106" i="12"/>
  <c r="V99" i="12"/>
  <c r="F107" i="12"/>
  <c r="AE107" i="12"/>
  <c r="L101" i="12"/>
  <c r="Z108" i="12"/>
  <c r="AF102" i="12"/>
  <c r="V80" i="12"/>
  <c r="N80" i="12"/>
  <c r="P80" i="12"/>
  <c r="T82" i="12"/>
  <c r="S84" i="12"/>
  <c r="H87" i="12"/>
  <c r="AG89" i="12"/>
  <c r="F94" i="12"/>
  <c r="I80" i="12"/>
  <c r="M82" i="12"/>
  <c r="J84" i="12"/>
  <c r="AH86" i="12"/>
  <c r="V89" i="12"/>
  <c r="H94" i="12"/>
  <c r="Y105" i="12"/>
  <c r="AD82" i="12"/>
  <c r="AF84" i="12"/>
  <c r="X87" i="12"/>
  <c r="O90" i="12"/>
  <c r="Z95" i="12"/>
  <c r="AC81" i="12"/>
  <c r="AC83" i="12"/>
  <c r="K86" i="12"/>
  <c r="AL88" i="12"/>
  <c r="H93" i="12"/>
  <c r="G99" i="12"/>
  <c r="N81" i="12"/>
  <c r="J83" i="12"/>
  <c r="AC85" i="12"/>
  <c r="AB89" i="12"/>
  <c r="AE95" i="12"/>
  <c r="AC80" i="12"/>
  <c r="Y82" i="12"/>
  <c r="I85" i="12"/>
  <c r="AB88" i="12"/>
  <c r="R94" i="12"/>
  <c r="AH82" i="12"/>
  <c r="AD88" i="12"/>
  <c r="AK103" i="12"/>
  <c r="Z90" i="12"/>
  <c r="M88" i="12"/>
  <c r="X96" i="12"/>
  <c r="AG105" i="12"/>
  <c r="K100" i="12"/>
  <c r="F91" i="12"/>
  <c r="W102" i="12"/>
  <c r="AA89" i="12"/>
  <c r="AK99" i="12"/>
  <c r="Y91" i="12"/>
  <c r="AC101" i="12"/>
  <c r="F100" i="12"/>
  <c r="AB107" i="12"/>
  <c r="AF100" i="12"/>
  <c r="P108" i="12"/>
  <c r="AL94" i="12"/>
  <c r="V102" i="12"/>
  <c r="W106" i="12"/>
  <c r="T104" i="12"/>
  <c r="AL80" i="12"/>
  <c r="AD80" i="12"/>
  <c r="X80" i="12"/>
  <c r="AB82" i="12"/>
  <c r="AD84" i="12"/>
  <c r="T87" i="12"/>
  <c r="J90" i="12"/>
  <c r="AA94" i="12"/>
  <c r="Q80" i="12"/>
  <c r="U82" i="12"/>
  <c r="T84" i="12"/>
  <c r="I87" i="12"/>
  <c r="AJ89" i="12"/>
  <c r="AF94" i="12"/>
  <c r="L81" i="12"/>
  <c r="AL82" i="12"/>
  <c r="P85" i="12"/>
  <c r="AJ87" i="12"/>
  <c r="AH90" i="12"/>
  <c r="O96" i="12"/>
  <c r="AK81" i="12"/>
  <c r="L84" i="12"/>
  <c r="X86" i="12"/>
  <c r="M89" i="12"/>
  <c r="AD93" i="12"/>
  <c r="K102" i="12"/>
  <c r="V81" i="12"/>
  <c r="T83" i="12"/>
  <c r="N86" i="12"/>
  <c r="R90" i="12"/>
  <c r="W96" i="12"/>
  <c r="AK80" i="12"/>
  <c r="AG82" i="12"/>
  <c r="T85" i="12"/>
  <c r="P89" i="12"/>
  <c r="AK95" i="12"/>
  <c r="L83" i="12"/>
  <c r="Q89" i="12"/>
  <c r="I81" i="12"/>
  <c r="AF91" i="12"/>
  <c r="AC88" i="12"/>
  <c r="K97" i="12"/>
  <c r="K90" i="12"/>
  <c r="U101" i="12"/>
  <c r="V91" i="12"/>
  <c r="K104" i="12"/>
  <c r="M90" i="12"/>
  <c r="AE100" i="12"/>
  <c r="K92" i="12"/>
  <c r="AE102" i="12"/>
  <c r="V100" i="12"/>
  <c r="F108" i="12"/>
  <c r="R101" i="12"/>
  <c r="AF108" i="12"/>
  <c r="P95" i="12"/>
  <c r="AL102" i="12"/>
  <c r="I107" i="12"/>
  <c r="AJ104" i="12"/>
  <c r="AC54" i="12"/>
  <c r="Y43" i="8" s="1"/>
  <c r="P74" i="11"/>
  <c r="K69" i="11"/>
  <c r="G26" i="8" s="1"/>
  <c r="I41" i="12"/>
  <c r="Y41" i="12"/>
  <c r="M41" i="12"/>
  <c r="AK62" i="12"/>
  <c r="AG51" i="8" s="1"/>
  <c r="AG67" i="12"/>
  <c r="AC56" i="8" s="1"/>
  <c r="AA56" i="12"/>
  <c r="AF74" i="11"/>
  <c r="K56" i="12"/>
  <c r="U61" i="12"/>
  <c r="Q50" i="8" s="1"/>
  <c r="AG71" i="12"/>
  <c r="AC60" i="8" s="1"/>
  <c r="X49" i="11"/>
  <c r="T6" i="8" s="1"/>
  <c r="AG49" i="12"/>
  <c r="AC38" i="8" s="1"/>
  <c r="Q41" i="12"/>
  <c r="X73" i="11"/>
  <c r="J74" i="12"/>
  <c r="F63" i="8" s="1"/>
  <c r="AG41" i="11"/>
  <c r="AA41" i="11"/>
  <c r="J41" i="11"/>
  <c r="N73" i="12"/>
  <c r="J62" i="8" s="1"/>
  <c r="AG59" i="12"/>
  <c r="AC48" i="8" s="1"/>
  <c r="AG69" i="12"/>
  <c r="AC58" i="8" s="1"/>
  <c r="AG57" i="12"/>
  <c r="AC46" i="8" s="1"/>
  <c r="AG73" i="12"/>
  <c r="AC62" i="8" s="1"/>
  <c r="AG65" i="12"/>
  <c r="AC54" i="8" s="1"/>
  <c r="AG61" i="12"/>
  <c r="AC50" i="8" s="1"/>
  <c r="AE57" i="12"/>
  <c r="AA46" i="8" s="1"/>
  <c r="Z73" i="12"/>
  <c r="V62" i="8" s="1"/>
  <c r="I66" i="12"/>
  <c r="E55" i="8" s="1"/>
  <c r="H59" i="12"/>
  <c r="D48" i="8" s="1"/>
  <c r="T59" i="12"/>
  <c r="P48" i="8" s="1"/>
  <c r="AB41" i="12"/>
  <c r="AG63" i="12"/>
  <c r="AC52" i="8" s="1"/>
  <c r="P64" i="11"/>
  <c r="L21" i="8" s="1"/>
  <c r="P63" i="11"/>
  <c r="L20" i="8" s="1"/>
  <c r="P53" i="11"/>
  <c r="L10" i="8" s="1"/>
  <c r="P57" i="11"/>
  <c r="L14" i="8" s="1"/>
  <c r="P62" i="11"/>
  <c r="L19" i="8" s="1"/>
  <c r="P58" i="11"/>
  <c r="L15" i="8" s="1"/>
  <c r="P69" i="11"/>
  <c r="L26" i="8" s="1"/>
  <c r="P70" i="11"/>
  <c r="L27" i="8" s="1"/>
  <c r="P67" i="11"/>
  <c r="L24" i="8" s="1"/>
  <c r="Y41" i="11"/>
  <c r="P59" i="11"/>
  <c r="L16" i="8" s="1"/>
  <c r="P47" i="11"/>
  <c r="L4" i="8" s="1"/>
  <c r="AL41" i="12"/>
  <c r="V61" i="12"/>
  <c r="R50" i="8" s="1"/>
  <c r="AJ41" i="12"/>
  <c r="H71" i="11"/>
  <c r="D28" i="8" s="1"/>
  <c r="AF69" i="12"/>
  <c r="AB58" i="8" s="1"/>
  <c r="AB73" i="12"/>
  <c r="X62" i="8" s="1"/>
  <c r="U56" i="12"/>
  <c r="W68" i="12"/>
  <c r="S57" i="8" s="1"/>
  <c r="AJ67" i="12"/>
  <c r="AF56" i="8" s="1"/>
  <c r="J60" i="12"/>
  <c r="F49" i="8" s="1"/>
  <c r="L41" i="12"/>
  <c r="F62" i="12"/>
  <c r="B51" i="8" s="1"/>
  <c r="AI57" i="11"/>
  <c r="AE14" i="8" s="1"/>
  <c r="F41" i="11"/>
  <c r="O65" i="12"/>
  <c r="K54" i="8" s="1"/>
  <c r="Q73" i="12"/>
  <c r="M62" i="8" s="1"/>
  <c r="R59" i="12"/>
  <c r="N48" i="8" s="1"/>
  <c r="AD57" i="11"/>
  <c r="Z14" i="8" s="1"/>
  <c r="X64" i="11"/>
  <c r="T21" i="8" s="1"/>
  <c r="AC60" i="12"/>
  <c r="Y49" i="8" s="1"/>
  <c r="AJ71" i="12"/>
  <c r="AF60" i="8" s="1"/>
  <c r="V66" i="12"/>
  <c r="R55" i="8" s="1"/>
  <c r="X41" i="11"/>
  <c r="M51" i="11"/>
  <c r="I8" i="8" s="1"/>
  <c r="AJ57" i="12"/>
  <c r="AF46" i="8" s="1"/>
  <c r="T41" i="12"/>
  <c r="AD65" i="12"/>
  <c r="Z54" i="8" s="1"/>
  <c r="H71" i="12"/>
  <c r="D60" i="8" s="1"/>
  <c r="AJ65" i="12"/>
  <c r="AF54" i="8" s="1"/>
  <c r="V59" i="12"/>
  <c r="R48" i="8" s="1"/>
  <c r="AJ61" i="12"/>
  <c r="AF50" i="8" s="1"/>
  <c r="AJ69" i="12"/>
  <c r="AF58" i="8" s="1"/>
  <c r="L70" i="12"/>
  <c r="H59" i="8" s="1"/>
  <c r="F56" i="11"/>
  <c r="AJ73" i="12"/>
  <c r="AF62" i="8" s="1"/>
  <c r="V63" i="12"/>
  <c r="R52" i="8" s="1"/>
  <c r="AJ59" i="12"/>
  <c r="AF48" i="8" s="1"/>
  <c r="Q74" i="12"/>
  <c r="M63" i="8" s="1"/>
  <c r="X69" i="11"/>
  <c r="T26" i="8" s="1"/>
  <c r="AI41" i="12"/>
  <c r="F56" i="12"/>
  <c r="G59" i="12"/>
  <c r="C48" i="8" s="1"/>
  <c r="M56" i="12"/>
  <c r="AJ68" i="12"/>
  <c r="AF57" i="8" s="1"/>
  <c r="AA41" i="12"/>
  <c r="AJ63" i="12"/>
  <c r="AF52" i="8" s="1"/>
  <c r="AB61" i="12"/>
  <c r="X50" i="8" s="1"/>
  <c r="AL71" i="12"/>
  <c r="AH60" i="8" s="1"/>
  <c r="J57" i="12"/>
  <c r="F46" i="8" s="1"/>
  <c r="Q49" i="11"/>
  <c r="M6" i="8" s="1"/>
  <c r="P70" i="12"/>
  <c r="L59" i="8" s="1"/>
  <c r="R69" i="12"/>
  <c r="N58" i="8" s="1"/>
  <c r="L67" i="12"/>
  <c r="H56" i="8" s="1"/>
  <c r="M65" i="12"/>
  <c r="I54" i="8" s="1"/>
  <c r="G63" i="12"/>
  <c r="C52" i="8" s="1"/>
  <c r="N57" i="12"/>
  <c r="J46" i="8" s="1"/>
  <c r="L53" i="12"/>
  <c r="X69" i="12"/>
  <c r="T58" i="8" s="1"/>
  <c r="AE59" i="12"/>
  <c r="AA48" i="8" s="1"/>
  <c r="H48" i="12"/>
  <c r="D37" i="8" s="1"/>
  <c r="U73" i="12"/>
  <c r="Q62" i="8" s="1"/>
  <c r="I71" i="12"/>
  <c r="E60" i="8" s="1"/>
  <c r="V69" i="12"/>
  <c r="R58" i="8" s="1"/>
  <c r="U67" i="12"/>
  <c r="Q56" i="8" s="1"/>
  <c r="AK65" i="12"/>
  <c r="AG54" i="8" s="1"/>
  <c r="I63" i="12"/>
  <c r="E52" i="8" s="1"/>
  <c r="K61" i="12"/>
  <c r="G50" i="8" s="1"/>
  <c r="AB59" i="12"/>
  <c r="X48" i="8" s="1"/>
  <c r="AG72" i="12"/>
  <c r="AC61" i="8" s="1"/>
  <c r="AG58" i="12"/>
  <c r="AC47" i="8" s="1"/>
  <c r="W73" i="12"/>
  <c r="S62" i="8" s="1"/>
  <c r="K73" i="12"/>
  <c r="G62" i="8" s="1"/>
  <c r="AK73" i="12"/>
  <c r="AG62" i="8" s="1"/>
  <c r="N67" i="12"/>
  <c r="J56" i="8" s="1"/>
  <c r="AL65" i="12"/>
  <c r="AH54" i="8" s="1"/>
  <c r="AI61" i="12"/>
  <c r="AE50" i="8" s="1"/>
  <c r="J59" i="12"/>
  <c r="F48" i="8" s="1"/>
  <c r="P41" i="12"/>
  <c r="AD57" i="12"/>
  <c r="Z46" i="8" s="1"/>
  <c r="W72" i="12"/>
  <c r="S61" i="8" s="1"/>
  <c r="H58" i="12"/>
  <c r="D47" i="8" s="1"/>
  <c r="K41" i="12"/>
  <c r="AD63" i="11"/>
  <c r="Z20" i="8" s="1"/>
  <c r="R67" i="11"/>
  <c r="N24" i="8" s="1"/>
  <c r="O55" i="12"/>
  <c r="K44" i="8" s="1"/>
  <c r="L71" i="12"/>
  <c r="H60" i="8" s="1"/>
  <c r="U69" i="12"/>
  <c r="Q58" i="8" s="1"/>
  <c r="H67" i="12"/>
  <c r="D56" i="8" s="1"/>
  <c r="I65" i="12"/>
  <c r="E54" i="8" s="1"/>
  <c r="W65" i="12"/>
  <c r="S54" i="8" s="1"/>
  <c r="R63" i="12"/>
  <c r="N52" i="8" s="1"/>
  <c r="F61" i="12"/>
  <c r="B50" i="8" s="1"/>
  <c r="L64" i="12"/>
  <c r="H53" i="8" s="1"/>
  <c r="AB60" i="12"/>
  <c r="X49" i="8" s="1"/>
  <c r="G61" i="12"/>
  <c r="C50" i="8" s="1"/>
  <c r="R73" i="12"/>
  <c r="N62" i="8" s="1"/>
  <c r="AC69" i="12"/>
  <c r="Y58" i="8" s="1"/>
  <c r="I67" i="12"/>
  <c r="E56" i="8" s="1"/>
  <c r="AF65" i="12"/>
  <c r="AB54" i="8" s="1"/>
  <c r="L63" i="12"/>
  <c r="H52" i="8" s="1"/>
  <c r="AF61" i="12"/>
  <c r="AB50" i="8" s="1"/>
  <c r="AE41" i="12"/>
  <c r="N68" i="12"/>
  <c r="J57" i="8" s="1"/>
  <c r="T66" i="12"/>
  <c r="P55" i="8" s="1"/>
  <c r="AC47" i="12"/>
  <c r="Y36" i="8" s="1"/>
  <c r="R67" i="12"/>
  <c r="N56" i="8" s="1"/>
  <c r="AB62" i="11"/>
  <c r="X19" i="8" s="1"/>
  <c r="Y74" i="12"/>
  <c r="U63" i="8" s="1"/>
  <c r="V73" i="12"/>
  <c r="R62" i="8" s="1"/>
  <c r="Z71" i="12"/>
  <c r="V60" i="8" s="1"/>
  <c r="U71" i="12"/>
  <c r="Q60" i="8" s="1"/>
  <c r="K65" i="12"/>
  <c r="G54" i="8" s="1"/>
  <c r="R70" i="12"/>
  <c r="N59" i="8" s="1"/>
  <c r="G52" i="12"/>
  <c r="C41" i="8" s="1"/>
  <c r="K69" i="12"/>
  <c r="G58" i="8" s="1"/>
  <c r="I61" i="12"/>
  <c r="E50" i="8" s="1"/>
  <c r="AC67" i="11"/>
  <c r="Y24" i="8" s="1"/>
  <c r="J47" i="11"/>
  <c r="F4" i="8" s="1"/>
  <c r="K59" i="12"/>
  <c r="G48" i="8" s="1"/>
  <c r="R71" i="12"/>
  <c r="N60" i="8" s="1"/>
  <c r="Y69" i="12"/>
  <c r="U58" i="8" s="1"/>
  <c r="J67" i="12"/>
  <c r="F56" i="8" s="1"/>
  <c r="AI65" i="12"/>
  <c r="AE54" i="8" s="1"/>
  <c r="U63" i="12"/>
  <c r="Q52" i="8" s="1"/>
  <c r="U59" i="12"/>
  <c r="Q48" i="8" s="1"/>
  <c r="L61" i="12"/>
  <c r="H50" i="8" s="1"/>
  <c r="AA59" i="12"/>
  <c r="W48" i="8" s="1"/>
  <c r="AK74" i="12"/>
  <c r="AG63" i="8" s="1"/>
  <c r="AH58" i="12"/>
  <c r="AD47" i="8" s="1"/>
  <c r="AH41" i="12"/>
  <c r="AH53" i="12"/>
  <c r="AH51" i="12"/>
  <c r="AD40" i="8" s="1"/>
  <c r="AH55" i="12"/>
  <c r="AD44" i="8" s="1"/>
  <c r="AH52" i="12"/>
  <c r="AD41" i="8" s="1"/>
  <c r="AH62" i="12"/>
  <c r="AD51" i="8" s="1"/>
  <c r="AH47" i="12"/>
  <c r="AD36" i="8" s="1"/>
  <c r="AH49" i="12"/>
  <c r="AD38" i="8" s="1"/>
  <c r="AH48" i="12"/>
  <c r="AD37" i="8" s="1"/>
  <c r="AH66" i="12"/>
  <c r="AD55" i="8" s="1"/>
  <c r="AH70" i="12"/>
  <c r="AD59" i="8" s="1"/>
  <c r="AH46" i="12"/>
  <c r="AD35" i="8" s="1"/>
  <c r="AH54" i="12"/>
  <c r="AD43" i="8" s="1"/>
  <c r="AD73" i="12"/>
  <c r="Z62" i="8" s="1"/>
  <c r="X73" i="12"/>
  <c r="T62" i="8" s="1"/>
  <c r="AH71" i="12"/>
  <c r="AD60" i="8" s="1"/>
  <c r="AD69" i="12"/>
  <c r="Z58" i="8" s="1"/>
  <c r="AD61" i="12"/>
  <c r="Z50" i="8" s="1"/>
  <c r="AH57" i="12"/>
  <c r="AD46" i="8" s="1"/>
  <c r="X59" i="12"/>
  <c r="T48" i="8" s="1"/>
  <c r="S47" i="12"/>
  <c r="O36" i="8" s="1"/>
  <c r="S51" i="12"/>
  <c r="O40" i="8" s="1"/>
  <c r="S62" i="12"/>
  <c r="O51" i="8" s="1"/>
  <c r="S49" i="12"/>
  <c r="O38" i="8" s="1"/>
  <c r="S48" i="12"/>
  <c r="O37" i="8" s="1"/>
  <c r="S64" i="12"/>
  <c r="O53" i="8" s="1"/>
  <c r="S52" i="12"/>
  <c r="O41" i="8" s="1"/>
  <c r="S55" i="12"/>
  <c r="O44" i="8" s="1"/>
  <c r="S46" i="12"/>
  <c r="O35" i="8" s="1"/>
  <c r="S60" i="12"/>
  <c r="O49" i="8" s="1"/>
  <c r="S50" i="12"/>
  <c r="O39" i="8" s="1"/>
  <c r="S58" i="12"/>
  <c r="O47" i="8" s="1"/>
  <c r="S72" i="12"/>
  <c r="O61" i="8" s="1"/>
  <c r="O74" i="12"/>
  <c r="K63" i="8" s="1"/>
  <c r="AE64" i="12"/>
  <c r="AA53" i="8" s="1"/>
  <c r="AA63" i="11"/>
  <c r="W20" i="8" s="1"/>
  <c r="V64" i="11"/>
  <c r="R21" i="8" s="1"/>
  <c r="X59" i="11"/>
  <c r="T16" i="8" s="1"/>
  <c r="X54" i="11"/>
  <c r="T11" i="8" s="1"/>
  <c r="G57" i="12"/>
  <c r="C46" i="8" s="1"/>
  <c r="AI59" i="12"/>
  <c r="AE48" i="8" s="1"/>
  <c r="Z50" i="12"/>
  <c r="V39" i="8" s="1"/>
  <c r="Z58" i="12"/>
  <c r="V47" i="8" s="1"/>
  <c r="Z41" i="12"/>
  <c r="Z53" i="12"/>
  <c r="Z68" i="12"/>
  <c r="V57" i="8" s="1"/>
  <c r="Z72" i="12"/>
  <c r="V61" i="8" s="1"/>
  <c r="Z51" i="12"/>
  <c r="V40" i="8" s="1"/>
  <c r="Z55" i="12"/>
  <c r="V44" i="8" s="1"/>
  <c r="Z74" i="12"/>
  <c r="V63" i="8" s="1"/>
  <c r="Z62" i="12"/>
  <c r="V51" i="8" s="1"/>
  <c r="Z47" i="12"/>
  <c r="V36" i="8" s="1"/>
  <c r="Z49" i="12"/>
  <c r="V38" i="8" s="1"/>
  <c r="Z48" i="12"/>
  <c r="V37" i="8" s="1"/>
  <c r="Z52" i="12"/>
  <c r="V41" i="8" s="1"/>
  <c r="Z64" i="12"/>
  <c r="V53" i="8" s="1"/>
  <c r="Z66" i="12"/>
  <c r="V55" i="8" s="1"/>
  <c r="Z70" i="12"/>
  <c r="V59" i="8" s="1"/>
  <c r="AF52" i="12"/>
  <c r="AB41" i="8" s="1"/>
  <c r="AF56" i="12"/>
  <c r="AF47" i="12"/>
  <c r="AB36" i="8" s="1"/>
  <c r="AF51" i="12"/>
  <c r="AB40" i="8" s="1"/>
  <c r="AF55" i="12"/>
  <c r="AB44" i="8" s="1"/>
  <c r="AF54" i="12"/>
  <c r="AB43" i="8" s="1"/>
  <c r="AF60" i="12"/>
  <c r="AB49" i="8" s="1"/>
  <c r="AF70" i="12"/>
  <c r="AB59" i="8" s="1"/>
  <c r="AF74" i="12"/>
  <c r="AB63" i="8" s="1"/>
  <c r="AF49" i="12"/>
  <c r="AB38" i="8" s="1"/>
  <c r="AF53" i="12"/>
  <c r="AF48" i="12"/>
  <c r="AB37" i="8" s="1"/>
  <c r="AF58" i="12"/>
  <c r="AB47" i="8" s="1"/>
  <c r="AF66" i="12"/>
  <c r="AB55" i="8" s="1"/>
  <c r="AF68" i="12"/>
  <c r="AB57" i="8" s="1"/>
  <c r="AF46" i="12"/>
  <c r="AB35" i="8" s="1"/>
  <c r="AF62" i="12"/>
  <c r="AB51" i="8" s="1"/>
  <c r="AF72" i="12"/>
  <c r="AB61" i="8" s="1"/>
  <c r="O73" i="12"/>
  <c r="K62" i="8" s="1"/>
  <c r="AL73" i="12"/>
  <c r="AH62" i="8" s="1"/>
  <c r="AF73" i="12"/>
  <c r="AB62" i="8" s="1"/>
  <c r="K71" i="12"/>
  <c r="G60" i="8" s="1"/>
  <c r="S71" i="12"/>
  <c r="O60" i="8" s="1"/>
  <c r="P71" i="12"/>
  <c r="L60" i="8" s="1"/>
  <c r="T71" i="12"/>
  <c r="P60" i="8" s="1"/>
  <c r="G69" i="12"/>
  <c r="C58" i="8" s="1"/>
  <c r="O69" i="12"/>
  <c r="K58" i="8" s="1"/>
  <c r="AL69" i="12"/>
  <c r="AH58" i="8" s="1"/>
  <c r="AK69" i="12"/>
  <c r="AG58" i="8" s="1"/>
  <c r="V67" i="12"/>
  <c r="R56" i="8" s="1"/>
  <c r="P67" i="12"/>
  <c r="L56" i="8" s="1"/>
  <c r="T67" i="12"/>
  <c r="P56" i="8" s="1"/>
  <c r="J65" i="12"/>
  <c r="F54" i="8" s="1"/>
  <c r="L65" i="12"/>
  <c r="H54" i="8" s="1"/>
  <c r="F65" i="12"/>
  <c r="B54" i="8" s="1"/>
  <c r="AE65" i="12"/>
  <c r="AA54" i="8" s="1"/>
  <c r="AC63" i="12"/>
  <c r="Y52" i="8" s="1"/>
  <c r="O63" i="12"/>
  <c r="K52" i="8" s="1"/>
  <c r="Q63" i="12"/>
  <c r="M52" i="8" s="1"/>
  <c r="T63" i="12"/>
  <c r="P52" i="8" s="1"/>
  <c r="J61" i="12"/>
  <c r="F50" i="8" s="1"/>
  <c r="M61" i="12"/>
  <c r="I50" i="8" s="1"/>
  <c r="AL61" i="12"/>
  <c r="AH50" i="8" s="1"/>
  <c r="AC59" i="12"/>
  <c r="Y48" i="8" s="1"/>
  <c r="O59" i="12"/>
  <c r="K48" i="8" s="1"/>
  <c r="I57" i="12"/>
  <c r="E46" i="8" s="1"/>
  <c r="K57" i="12"/>
  <c r="G46" i="8" s="1"/>
  <c r="V57" i="12"/>
  <c r="R46" i="8" s="1"/>
  <c r="Z60" i="12"/>
  <c r="V49" i="8" s="1"/>
  <c r="U60" i="12"/>
  <c r="Q49" i="8" s="1"/>
  <c r="H41" i="12"/>
  <c r="O57" i="12"/>
  <c r="K46" i="8" s="1"/>
  <c r="W41" i="12"/>
  <c r="M60" i="12"/>
  <c r="I49" i="8" s="1"/>
  <c r="K54" i="12"/>
  <c r="G43" i="8" s="1"/>
  <c r="K55" i="12"/>
  <c r="G44" i="8" s="1"/>
  <c r="K47" i="12"/>
  <c r="G36" i="8" s="1"/>
  <c r="K62" i="12"/>
  <c r="G51" i="8" s="1"/>
  <c r="K49" i="12"/>
  <c r="G38" i="8" s="1"/>
  <c r="K53" i="12"/>
  <c r="K48" i="12"/>
  <c r="G37" i="8" s="1"/>
  <c r="K64" i="12"/>
  <c r="G53" i="8" s="1"/>
  <c r="K68" i="12"/>
  <c r="G57" i="8" s="1"/>
  <c r="K46" i="12"/>
  <c r="G35" i="8" s="1"/>
  <c r="K60" i="12"/>
  <c r="G49" i="8" s="1"/>
  <c r="K66" i="12"/>
  <c r="G55" i="8" s="1"/>
  <c r="K50" i="12"/>
  <c r="G39" i="8" s="1"/>
  <c r="K52" i="12"/>
  <c r="G41" i="8" s="1"/>
  <c r="K51" i="12"/>
  <c r="G40" i="8" s="1"/>
  <c r="H74" i="12"/>
  <c r="D63" i="8" s="1"/>
  <c r="AG74" i="12"/>
  <c r="AC63" i="8" s="1"/>
  <c r="AE74" i="12"/>
  <c r="AA63" i="8" s="1"/>
  <c r="T72" i="12"/>
  <c r="P61" i="8" s="1"/>
  <c r="J72" i="12"/>
  <c r="F61" i="8" s="1"/>
  <c r="AE72" i="12"/>
  <c r="AA61" i="8" s="1"/>
  <c r="AC70" i="12"/>
  <c r="Y59" i="8" s="1"/>
  <c r="K70" i="12"/>
  <c r="G59" i="8" s="1"/>
  <c r="AK68" i="12"/>
  <c r="AG57" i="8" s="1"/>
  <c r="AE68" i="12"/>
  <c r="AA57" i="8" s="1"/>
  <c r="G66" i="12"/>
  <c r="C55" i="8" s="1"/>
  <c r="H64" i="12"/>
  <c r="D53" i="8" s="1"/>
  <c r="W60" i="12"/>
  <c r="S49" i="8" s="1"/>
  <c r="AF59" i="12"/>
  <c r="AB48" i="8" s="1"/>
  <c r="P53" i="12"/>
  <c r="F49" i="12"/>
  <c r="B38" i="8" s="1"/>
  <c r="O47" i="12"/>
  <c r="K36" i="8" s="1"/>
  <c r="AI62" i="12"/>
  <c r="AE51" i="8" s="1"/>
  <c r="AE52" i="12"/>
  <c r="AA41" i="8" s="1"/>
  <c r="T48" i="12"/>
  <c r="P37" i="8" s="1"/>
  <c r="N58" i="11"/>
  <c r="J15" i="8" s="1"/>
  <c r="AK67" i="11"/>
  <c r="AG24" i="8" s="1"/>
  <c r="AL41" i="11"/>
  <c r="X70" i="11"/>
  <c r="T27" i="8" s="1"/>
  <c r="X62" i="11"/>
  <c r="T19" i="8" s="1"/>
  <c r="AA63" i="12"/>
  <c r="W52" i="8" s="1"/>
  <c r="Z56" i="12"/>
  <c r="K63" i="12"/>
  <c r="G52" i="8" s="1"/>
  <c r="W57" i="12"/>
  <c r="S46" i="8" s="1"/>
  <c r="R46" i="12"/>
  <c r="N35" i="8" s="1"/>
  <c r="R54" i="12"/>
  <c r="N43" i="8" s="1"/>
  <c r="R50" i="12"/>
  <c r="N39" i="8" s="1"/>
  <c r="R58" i="12"/>
  <c r="N47" i="8" s="1"/>
  <c r="R41" i="12"/>
  <c r="R53" i="12"/>
  <c r="R68" i="12"/>
  <c r="N57" i="8" s="1"/>
  <c r="R72" i="12"/>
  <c r="N61" i="8" s="1"/>
  <c r="R51" i="12"/>
  <c r="N40" i="8" s="1"/>
  <c r="R55" i="12"/>
  <c r="N44" i="8" s="1"/>
  <c r="R62" i="12"/>
  <c r="N51" i="8" s="1"/>
  <c r="R47" i="12"/>
  <c r="N36" i="8" s="1"/>
  <c r="R49" i="12"/>
  <c r="N38" i="8" s="1"/>
  <c r="R48" i="12"/>
  <c r="N37" i="8" s="1"/>
  <c r="R52" i="12"/>
  <c r="N41" i="8" s="1"/>
  <c r="R64" i="12"/>
  <c r="N53" i="8" s="1"/>
  <c r="X50" i="12"/>
  <c r="T39" i="8" s="1"/>
  <c r="X52" i="12"/>
  <c r="T41" i="8" s="1"/>
  <c r="X56" i="12"/>
  <c r="X47" i="12"/>
  <c r="T36" i="8" s="1"/>
  <c r="X55" i="12"/>
  <c r="T44" i="8" s="1"/>
  <c r="X68" i="12"/>
  <c r="T57" i="8" s="1"/>
  <c r="X70" i="12"/>
  <c r="T59" i="8" s="1"/>
  <c r="X74" i="12"/>
  <c r="T63" i="8" s="1"/>
  <c r="X54" i="12"/>
  <c r="T43" i="8" s="1"/>
  <c r="X51" i="12"/>
  <c r="T40" i="8" s="1"/>
  <c r="X53" i="12"/>
  <c r="X60" i="12"/>
  <c r="T49" i="8" s="1"/>
  <c r="X49" i="12"/>
  <c r="T38" i="8" s="1"/>
  <c r="X48" i="12"/>
  <c r="T37" i="8" s="1"/>
  <c r="X58" i="12"/>
  <c r="T47" i="8" s="1"/>
  <c r="X64" i="12"/>
  <c r="T53" i="8" s="1"/>
  <c r="X66" i="12"/>
  <c r="T55" i="8" s="1"/>
  <c r="X72" i="12"/>
  <c r="T61" i="8" s="1"/>
  <c r="AE73" i="12"/>
  <c r="AA62" i="8" s="1"/>
  <c r="G73" i="12"/>
  <c r="C62" i="8" s="1"/>
  <c r="M73" i="12"/>
  <c r="I62" i="8" s="1"/>
  <c r="I73" i="12"/>
  <c r="E62" i="8" s="1"/>
  <c r="AA71" i="12"/>
  <c r="W60" i="8" s="1"/>
  <c r="AI71" i="12"/>
  <c r="AE60" i="8" s="1"/>
  <c r="X71" i="12"/>
  <c r="T60" i="8" s="1"/>
  <c r="AB71" i="12"/>
  <c r="X60" i="8" s="1"/>
  <c r="W69" i="12"/>
  <c r="S58" i="8" s="1"/>
  <c r="AE69" i="12"/>
  <c r="AA58" i="8" s="1"/>
  <c r="L69" i="12"/>
  <c r="H58" i="8" s="1"/>
  <c r="H69" i="12"/>
  <c r="D58" i="8" s="1"/>
  <c r="AD67" i="12"/>
  <c r="Z56" i="8" s="1"/>
  <c r="X67" i="12"/>
  <c r="T56" i="8" s="1"/>
  <c r="Z67" i="12"/>
  <c r="V56" i="8" s="1"/>
  <c r="AB67" i="12"/>
  <c r="X56" i="8" s="1"/>
  <c r="R65" i="12"/>
  <c r="N54" i="8" s="1"/>
  <c r="T65" i="12"/>
  <c r="P54" i="8" s="1"/>
  <c r="N65" i="12"/>
  <c r="J54" i="8" s="1"/>
  <c r="H65" i="12"/>
  <c r="D54" i="8" s="1"/>
  <c r="AK63" i="12"/>
  <c r="AG52" i="8" s="1"/>
  <c r="W63" i="12"/>
  <c r="S52" i="8" s="1"/>
  <c r="Y63" i="12"/>
  <c r="U52" i="8" s="1"/>
  <c r="AB63" i="12"/>
  <c r="X52" i="8" s="1"/>
  <c r="R61" i="12"/>
  <c r="N50" i="8" s="1"/>
  <c r="H61" i="12"/>
  <c r="D50" i="8" s="1"/>
  <c r="AK59" i="12"/>
  <c r="AG48" i="8" s="1"/>
  <c r="W59" i="12"/>
  <c r="S48" i="8" s="1"/>
  <c r="Z59" i="12"/>
  <c r="V48" i="8" s="1"/>
  <c r="Q57" i="12"/>
  <c r="M46" i="8" s="1"/>
  <c r="S57" i="12"/>
  <c r="O46" i="8" s="1"/>
  <c r="AK56" i="12"/>
  <c r="AH56" i="12"/>
  <c r="O41" i="12"/>
  <c r="S59" i="12"/>
  <c r="O48" i="8" s="1"/>
  <c r="AL52" i="12"/>
  <c r="AH41" i="8" s="1"/>
  <c r="I74" i="12"/>
  <c r="E63" i="8" s="1"/>
  <c r="T74" i="12"/>
  <c r="P63" i="8" s="1"/>
  <c r="AK72" i="12"/>
  <c r="AG61" i="8" s="1"/>
  <c r="AH72" i="12"/>
  <c r="AD61" i="8" s="1"/>
  <c r="S70" i="12"/>
  <c r="O59" i="8" s="1"/>
  <c r="Y68" i="12"/>
  <c r="U57" i="8" s="1"/>
  <c r="H66" i="12"/>
  <c r="D55" i="8" s="1"/>
  <c r="AF64" i="12"/>
  <c r="AB53" i="8" s="1"/>
  <c r="Y60" i="12"/>
  <c r="U49" i="8" s="1"/>
  <c r="AG55" i="12"/>
  <c r="AC44" i="8" s="1"/>
  <c r="F53" i="12"/>
  <c r="AE49" i="12"/>
  <c r="AA38" i="8" s="1"/>
  <c r="Q47" i="12"/>
  <c r="M36" i="8" s="1"/>
  <c r="AE54" i="12"/>
  <c r="AA43" i="8" s="1"/>
  <c r="L52" i="12"/>
  <c r="H41" i="8" s="1"/>
  <c r="N48" i="12"/>
  <c r="J37" i="8" s="1"/>
  <c r="X63" i="11"/>
  <c r="T20" i="8" s="1"/>
  <c r="X52" i="11"/>
  <c r="T9" i="8" s="1"/>
  <c r="AE61" i="12"/>
  <c r="AA50" i="8" s="1"/>
  <c r="W61" i="12"/>
  <c r="S50" i="8" s="1"/>
  <c r="S56" i="12"/>
  <c r="J46" i="12"/>
  <c r="F35" i="8" s="1"/>
  <c r="J52" i="12"/>
  <c r="F41" i="8" s="1"/>
  <c r="J54" i="12"/>
  <c r="F43" i="8" s="1"/>
  <c r="J51" i="12"/>
  <c r="F40" i="8" s="1"/>
  <c r="J50" i="12"/>
  <c r="F39" i="8" s="1"/>
  <c r="J58" i="12"/>
  <c r="F47" i="8" s="1"/>
  <c r="J41" i="12"/>
  <c r="J53" i="12"/>
  <c r="J55" i="12"/>
  <c r="F44" i="8" s="1"/>
  <c r="J62" i="12"/>
  <c r="F51" i="8" s="1"/>
  <c r="J47" i="12"/>
  <c r="F36" i="8" s="1"/>
  <c r="J49" i="12"/>
  <c r="F38" i="8" s="1"/>
  <c r="J68" i="12"/>
  <c r="F57" i="8" s="1"/>
  <c r="P46" i="12"/>
  <c r="L35" i="8" s="1"/>
  <c r="P62" i="12"/>
  <c r="L51" i="8" s="1"/>
  <c r="P50" i="12"/>
  <c r="L39" i="8" s="1"/>
  <c r="P52" i="12"/>
  <c r="L41" i="8" s="1"/>
  <c r="P56" i="12"/>
  <c r="P47" i="12"/>
  <c r="L36" i="8" s="1"/>
  <c r="P54" i="12"/>
  <c r="L43" i="8" s="1"/>
  <c r="P51" i="12"/>
  <c r="L40" i="8" s="1"/>
  <c r="P60" i="12"/>
  <c r="L49" i="8" s="1"/>
  <c r="P49" i="12"/>
  <c r="L38" i="8" s="1"/>
  <c r="P48" i="12"/>
  <c r="L37" i="8" s="1"/>
  <c r="P58" i="12"/>
  <c r="L47" i="8" s="1"/>
  <c r="P55" i="12"/>
  <c r="L44" i="8" s="1"/>
  <c r="P64" i="12"/>
  <c r="L53" i="8" s="1"/>
  <c r="P68" i="12"/>
  <c r="L57" i="8" s="1"/>
  <c r="N71" i="12"/>
  <c r="J60" i="8" s="1"/>
  <c r="F71" i="12"/>
  <c r="B60" i="8" s="1"/>
  <c r="AF71" i="12"/>
  <c r="AB60" i="8" s="1"/>
  <c r="J69" i="12"/>
  <c r="F58" i="8" s="1"/>
  <c r="T69" i="12"/>
  <c r="P58" i="8" s="1"/>
  <c r="P69" i="12"/>
  <c r="L58" i="8" s="1"/>
  <c r="M67" i="12"/>
  <c r="I56" i="8" s="1"/>
  <c r="AL67" i="12"/>
  <c r="AH56" i="8" s="1"/>
  <c r="AF67" i="12"/>
  <c r="AB56" i="8" s="1"/>
  <c r="AH67" i="12"/>
  <c r="AD56" i="8" s="1"/>
  <c r="Z65" i="12"/>
  <c r="V54" i="8" s="1"/>
  <c r="AB65" i="12"/>
  <c r="X54" i="8" s="1"/>
  <c r="V65" i="12"/>
  <c r="R54" i="8" s="1"/>
  <c r="P65" i="12"/>
  <c r="L54" i="8" s="1"/>
  <c r="F63" i="12"/>
  <c r="B52" i="8" s="1"/>
  <c r="AE63" i="12"/>
  <c r="AA52" i="8" s="1"/>
  <c r="Z61" i="12"/>
  <c r="V50" i="8" s="1"/>
  <c r="AC61" i="12"/>
  <c r="Y50" i="8" s="1"/>
  <c r="P61" i="12"/>
  <c r="L50" i="8" s="1"/>
  <c r="F59" i="12"/>
  <c r="B48" i="8" s="1"/>
  <c r="AH59" i="12"/>
  <c r="AD48" i="8" s="1"/>
  <c r="Y57" i="12"/>
  <c r="U46" i="8" s="1"/>
  <c r="AA57" i="12"/>
  <c r="W46" i="8" s="1"/>
  <c r="AL57" i="12"/>
  <c r="AH46" i="8" s="1"/>
  <c r="R56" i="12"/>
  <c r="T57" i="12"/>
  <c r="P46" i="8" s="1"/>
  <c r="G41" i="12"/>
  <c r="M57" i="12"/>
  <c r="I46" i="8" s="1"/>
  <c r="AD58" i="12"/>
  <c r="Z47" i="8" s="1"/>
  <c r="AD41" i="12"/>
  <c r="AD54" i="12"/>
  <c r="Z43" i="8" s="1"/>
  <c r="AD62" i="12"/>
  <c r="Z51" i="8" s="1"/>
  <c r="AD52" i="12"/>
  <c r="Z41" i="8" s="1"/>
  <c r="AD47" i="12"/>
  <c r="Z36" i="8" s="1"/>
  <c r="AD55" i="12"/>
  <c r="Z44" i="8" s="1"/>
  <c r="AD60" i="12"/>
  <c r="Z49" i="8" s="1"/>
  <c r="AD74" i="12"/>
  <c r="Z63" i="8" s="1"/>
  <c r="AD68" i="12"/>
  <c r="Z57" i="8" s="1"/>
  <c r="AD49" i="12"/>
  <c r="Z38" i="8" s="1"/>
  <c r="AD53" i="12"/>
  <c r="AD56" i="12"/>
  <c r="AD64" i="12"/>
  <c r="Z53" i="8" s="1"/>
  <c r="AD48" i="12"/>
  <c r="Z37" i="8" s="1"/>
  <c r="AD51" i="12"/>
  <c r="Z40" i="8" s="1"/>
  <c r="AD46" i="12"/>
  <c r="Z35" i="8" s="1"/>
  <c r="AD66" i="12"/>
  <c r="Z55" i="8" s="1"/>
  <c r="AD70" i="12"/>
  <c r="Z59" i="8" s="1"/>
  <c r="AJ58" i="12"/>
  <c r="AF47" i="8" s="1"/>
  <c r="AJ56" i="12"/>
  <c r="AJ54" i="12"/>
  <c r="AF43" i="8" s="1"/>
  <c r="AJ47" i="12"/>
  <c r="AF36" i="8" s="1"/>
  <c r="AJ72" i="12"/>
  <c r="AF61" i="8" s="1"/>
  <c r="AJ62" i="12"/>
  <c r="AF51" i="8" s="1"/>
  <c r="AJ49" i="12"/>
  <c r="AF38" i="8" s="1"/>
  <c r="AJ52" i="12"/>
  <c r="AF41" i="8" s="1"/>
  <c r="AJ64" i="12"/>
  <c r="AF53" i="8" s="1"/>
  <c r="AJ48" i="12"/>
  <c r="AF37" i="8" s="1"/>
  <c r="AJ53" i="12"/>
  <c r="AJ55" i="12"/>
  <c r="AF44" i="8" s="1"/>
  <c r="AJ46" i="12"/>
  <c r="AF35" i="8" s="1"/>
  <c r="AJ51" i="12"/>
  <c r="AF40" i="8" s="1"/>
  <c r="AJ60" i="12"/>
  <c r="AF49" i="8" s="1"/>
  <c r="AJ66" i="12"/>
  <c r="AF55" i="8" s="1"/>
  <c r="AJ70" i="12"/>
  <c r="AF59" i="8" s="1"/>
  <c r="AJ74" i="12"/>
  <c r="AF63" i="8" s="1"/>
  <c r="F74" i="12"/>
  <c r="B63" i="8" s="1"/>
  <c r="R74" i="12"/>
  <c r="N63" i="8" s="1"/>
  <c r="H72" i="12"/>
  <c r="D61" i="8" s="1"/>
  <c r="K72" i="12"/>
  <c r="G61" i="8" s="1"/>
  <c r="AG70" i="12"/>
  <c r="AC59" i="8" s="1"/>
  <c r="N70" i="12"/>
  <c r="J59" i="8" s="1"/>
  <c r="M68" i="12"/>
  <c r="I57" i="8" s="1"/>
  <c r="S66" i="12"/>
  <c r="O55" i="8" s="1"/>
  <c r="P66" i="12"/>
  <c r="L55" i="8" s="1"/>
  <c r="AG64" i="12"/>
  <c r="AC53" i="8" s="1"/>
  <c r="AC55" i="12"/>
  <c r="Y44" i="8" s="1"/>
  <c r="X62" i="12"/>
  <c r="T51" i="8" s="1"/>
  <c r="S54" i="12"/>
  <c r="O43" i="8" s="1"/>
  <c r="X46" i="12"/>
  <c r="T35" i="8" s="1"/>
  <c r="O74" i="11"/>
  <c r="X68" i="11"/>
  <c r="T25" i="8" s="1"/>
  <c r="AA66" i="11"/>
  <c r="W23" i="8" s="1"/>
  <c r="S63" i="12"/>
  <c r="O52" i="8" s="1"/>
  <c r="AH60" i="12"/>
  <c r="AD49" i="8" s="1"/>
  <c r="Y52" i="12"/>
  <c r="U41" i="8" s="1"/>
  <c r="Y58" i="12"/>
  <c r="U47" i="8" s="1"/>
  <c r="Y49" i="12"/>
  <c r="U38" i="8" s="1"/>
  <c r="Y48" i="12"/>
  <c r="U37" i="8" s="1"/>
  <c r="Y64" i="12"/>
  <c r="U53" i="8" s="1"/>
  <c r="Y62" i="12"/>
  <c r="U51" i="8" s="1"/>
  <c r="Y66" i="12"/>
  <c r="U55" i="8" s="1"/>
  <c r="Y46" i="12"/>
  <c r="U35" i="8" s="1"/>
  <c r="Y54" i="12"/>
  <c r="U43" i="8" s="1"/>
  <c r="Y50" i="12"/>
  <c r="U39" i="8" s="1"/>
  <c r="Y53" i="12"/>
  <c r="Y55" i="12"/>
  <c r="U44" i="8" s="1"/>
  <c r="Y56" i="12"/>
  <c r="Y47" i="12"/>
  <c r="U36" i="8" s="1"/>
  <c r="AE48" i="12"/>
  <c r="AA37" i="8" s="1"/>
  <c r="AE58" i="12"/>
  <c r="AA47" i="8" s="1"/>
  <c r="AE46" i="12"/>
  <c r="AA35" i="8" s="1"/>
  <c r="AE66" i="12"/>
  <c r="AA55" i="8" s="1"/>
  <c r="AE70" i="12"/>
  <c r="AA59" i="8" s="1"/>
  <c r="AE50" i="12"/>
  <c r="AA39" i="8" s="1"/>
  <c r="AE62" i="12"/>
  <c r="AA51" i="8" s="1"/>
  <c r="AE51" i="12"/>
  <c r="AA40" i="8" s="1"/>
  <c r="AE56" i="12"/>
  <c r="AE47" i="12"/>
  <c r="AA36" i="8" s="1"/>
  <c r="AE55" i="12"/>
  <c r="AA44" i="8" s="1"/>
  <c r="AE53" i="12"/>
  <c r="AE60" i="12"/>
  <c r="AA49" i="8" s="1"/>
  <c r="AK64" i="12"/>
  <c r="AG53" i="8" s="1"/>
  <c r="AK48" i="12"/>
  <c r="AG37" i="8" s="1"/>
  <c r="AK46" i="12"/>
  <c r="AG35" i="8" s="1"/>
  <c r="AK51" i="12"/>
  <c r="AG40" i="8" s="1"/>
  <c r="AK53" i="12"/>
  <c r="AK66" i="12"/>
  <c r="AG55" i="8" s="1"/>
  <c r="AK50" i="12"/>
  <c r="AG39" i="8" s="1"/>
  <c r="AK52" i="12"/>
  <c r="AG41" i="8" s="1"/>
  <c r="AK58" i="12"/>
  <c r="AG47" i="8" s="1"/>
  <c r="AK41" i="12"/>
  <c r="AK54" i="12"/>
  <c r="AG43" i="8" s="1"/>
  <c r="AK47" i="12"/>
  <c r="AG36" i="8" s="1"/>
  <c r="AK55" i="12"/>
  <c r="AG44" i="8" s="1"/>
  <c r="H53" i="12"/>
  <c r="H46" i="12"/>
  <c r="D35" i="8" s="1"/>
  <c r="H62" i="12"/>
  <c r="D51" i="8" s="1"/>
  <c r="H50" i="12"/>
  <c r="D39" i="8" s="1"/>
  <c r="H52" i="12"/>
  <c r="D41" i="8" s="1"/>
  <c r="H56" i="12"/>
  <c r="H47" i="12"/>
  <c r="D36" i="8" s="1"/>
  <c r="H55" i="12"/>
  <c r="D44" i="8" s="1"/>
  <c r="H54" i="12"/>
  <c r="D43" i="8" s="1"/>
  <c r="H51" i="12"/>
  <c r="D40" i="8" s="1"/>
  <c r="H60" i="12"/>
  <c r="D49" i="8" s="1"/>
  <c r="H49" i="12"/>
  <c r="D38" i="8" s="1"/>
  <c r="AH73" i="12"/>
  <c r="AD62" i="8" s="1"/>
  <c r="J73" i="12"/>
  <c r="F62" i="8" s="1"/>
  <c r="AC73" i="12"/>
  <c r="Y62" i="8" s="1"/>
  <c r="Y73" i="12"/>
  <c r="U62" i="8" s="1"/>
  <c r="AD71" i="12"/>
  <c r="Z60" i="8" s="1"/>
  <c r="V71" i="12"/>
  <c r="R60" i="8" s="1"/>
  <c r="M71" i="12"/>
  <c r="I60" i="8" s="1"/>
  <c r="Z69" i="12"/>
  <c r="V58" i="8" s="1"/>
  <c r="AH69" i="12"/>
  <c r="AD58" i="8" s="1"/>
  <c r="AB69" i="12"/>
  <c r="X58" i="8" s="1"/>
  <c r="G67" i="12"/>
  <c r="C56" i="8" s="1"/>
  <c r="K67" i="12"/>
  <c r="G56" i="8" s="1"/>
  <c r="AH65" i="12"/>
  <c r="AD54" i="8" s="1"/>
  <c r="X65" i="12"/>
  <c r="T54" i="8" s="1"/>
  <c r="N63" i="12"/>
  <c r="J52" i="8" s="1"/>
  <c r="H63" i="12"/>
  <c r="D52" i="8" s="1"/>
  <c r="J63" i="12"/>
  <c r="F52" i="8" s="1"/>
  <c r="AH61" i="12"/>
  <c r="AD50" i="8" s="1"/>
  <c r="AK61" i="12"/>
  <c r="AG50" i="8" s="1"/>
  <c r="X61" i="12"/>
  <c r="T50" i="8" s="1"/>
  <c r="N59" i="12"/>
  <c r="J48" i="8" s="1"/>
  <c r="I59" i="12"/>
  <c r="E48" i="8" s="1"/>
  <c r="L59" i="12"/>
  <c r="H48" i="8" s="1"/>
  <c r="AI57" i="12"/>
  <c r="AE46" i="8" s="1"/>
  <c r="H57" i="12"/>
  <c r="D46" i="8" s="1"/>
  <c r="AI56" i="12"/>
  <c r="AC56" i="12"/>
  <c r="V50" i="12"/>
  <c r="R39" i="8" s="1"/>
  <c r="V54" i="12"/>
  <c r="R43" i="8" s="1"/>
  <c r="V58" i="12"/>
  <c r="R47" i="8" s="1"/>
  <c r="V41" i="12"/>
  <c r="V72" i="12"/>
  <c r="R61" i="8" s="1"/>
  <c r="V62" i="12"/>
  <c r="R51" i="8" s="1"/>
  <c r="V47" i="12"/>
  <c r="R36" i="8" s="1"/>
  <c r="V55" i="12"/>
  <c r="R44" i="8" s="1"/>
  <c r="V60" i="12"/>
  <c r="R49" i="8" s="1"/>
  <c r="V52" i="12"/>
  <c r="R41" i="8" s="1"/>
  <c r="V49" i="12"/>
  <c r="R38" i="8" s="1"/>
  <c r="V53" i="12"/>
  <c r="V56" i="12"/>
  <c r="V64" i="12"/>
  <c r="R53" i="8" s="1"/>
  <c r="V48" i="12"/>
  <c r="R37" i="8" s="1"/>
  <c r="V51" i="12"/>
  <c r="R40" i="8" s="1"/>
  <c r="AB50" i="12"/>
  <c r="X39" i="8" s="1"/>
  <c r="AB58" i="12"/>
  <c r="X47" i="8" s="1"/>
  <c r="AB56" i="12"/>
  <c r="AB54" i="12"/>
  <c r="X43" i="8" s="1"/>
  <c r="AB72" i="12"/>
  <c r="X61" i="8" s="1"/>
  <c r="AB47" i="12"/>
  <c r="X36" i="8" s="1"/>
  <c r="AB62" i="12"/>
  <c r="X51" i="8" s="1"/>
  <c r="AB49" i="12"/>
  <c r="X38" i="8" s="1"/>
  <c r="AB52" i="12"/>
  <c r="X41" i="8" s="1"/>
  <c r="AB64" i="12"/>
  <c r="X53" i="8" s="1"/>
  <c r="AB48" i="12"/>
  <c r="X37" i="8" s="1"/>
  <c r="AB53" i="12"/>
  <c r="AB55" i="12"/>
  <c r="X44" i="8" s="1"/>
  <c r="AB68" i="12"/>
  <c r="X57" i="8" s="1"/>
  <c r="AB70" i="12"/>
  <c r="X59" i="8" s="1"/>
  <c r="AB74" i="12"/>
  <c r="X63" i="8" s="1"/>
  <c r="L74" i="12"/>
  <c r="H63" i="8" s="1"/>
  <c r="N74" i="12"/>
  <c r="J63" i="8" s="1"/>
  <c r="AH74" i="12"/>
  <c r="AD63" i="8" s="1"/>
  <c r="Y72" i="12"/>
  <c r="U61" i="8" s="1"/>
  <c r="AI72" i="12"/>
  <c r="AE61" i="8" s="1"/>
  <c r="T70" i="12"/>
  <c r="P59" i="8" s="1"/>
  <c r="V70" i="12"/>
  <c r="R59" i="8" s="1"/>
  <c r="G68" i="12"/>
  <c r="C57" i="8" s="1"/>
  <c r="J64" i="12"/>
  <c r="F53" i="8" s="1"/>
  <c r="AC51" i="12"/>
  <c r="Y40" i="8" s="1"/>
  <c r="AI49" i="12"/>
  <c r="AE38" i="8" s="1"/>
  <c r="AF50" i="12"/>
  <c r="AB39" i="8" s="1"/>
  <c r="J48" i="12"/>
  <c r="F37" i="8" s="1"/>
  <c r="Z46" i="12"/>
  <c r="V35" i="8" s="1"/>
  <c r="X67" i="11"/>
  <c r="T24" i="8" s="1"/>
  <c r="X65" i="11"/>
  <c r="T22" i="8" s="1"/>
  <c r="S41" i="11"/>
  <c r="Y59" i="11"/>
  <c r="U16" i="8" s="1"/>
  <c r="P59" i="12"/>
  <c r="L48" i="8" s="1"/>
  <c r="S41" i="12"/>
  <c r="Q51" i="12"/>
  <c r="M40" i="8" s="1"/>
  <c r="Q60" i="12"/>
  <c r="M49" i="8" s="1"/>
  <c r="Q49" i="12"/>
  <c r="M38" i="8" s="1"/>
  <c r="Q70" i="12"/>
  <c r="M59" i="8" s="1"/>
  <c r="Q48" i="12"/>
  <c r="M37" i="8" s="1"/>
  <c r="Q52" i="12"/>
  <c r="M41" i="8" s="1"/>
  <c r="Q54" i="12"/>
  <c r="M43" i="8" s="1"/>
  <c r="Q58" i="12"/>
  <c r="M47" i="8" s="1"/>
  <c r="Q53" i="12"/>
  <c r="Q64" i="12"/>
  <c r="M53" i="8" s="1"/>
  <c r="Q66" i="12"/>
  <c r="M55" i="8" s="1"/>
  <c r="Q46" i="12"/>
  <c r="M35" i="8" s="1"/>
  <c r="Q62" i="12"/>
  <c r="M51" i="8" s="1"/>
  <c r="Q55" i="12"/>
  <c r="M44" i="8" s="1"/>
  <c r="Q50" i="12"/>
  <c r="M39" i="8" s="1"/>
  <c r="Q72" i="12"/>
  <c r="M61" i="8" s="1"/>
  <c r="Q56" i="12"/>
  <c r="W49" i="12"/>
  <c r="S38" i="8" s="1"/>
  <c r="W48" i="12"/>
  <c r="S37" i="8" s="1"/>
  <c r="W58" i="12"/>
  <c r="S47" i="8" s="1"/>
  <c r="W64" i="12"/>
  <c r="S53" i="8" s="1"/>
  <c r="W46" i="12"/>
  <c r="S35" i="8" s="1"/>
  <c r="W66" i="12"/>
  <c r="S55" i="8" s="1"/>
  <c r="W70" i="12"/>
  <c r="S59" i="8" s="1"/>
  <c r="W50" i="12"/>
  <c r="S39" i="8" s="1"/>
  <c r="W52" i="12"/>
  <c r="S41" i="8" s="1"/>
  <c r="W62" i="12"/>
  <c r="S51" i="8" s="1"/>
  <c r="W54" i="12"/>
  <c r="S43" i="8" s="1"/>
  <c r="W56" i="12"/>
  <c r="W47" i="12"/>
  <c r="S36" i="8" s="1"/>
  <c r="W53" i="12"/>
  <c r="W55" i="12"/>
  <c r="S44" i="8" s="1"/>
  <c r="W74" i="12"/>
  <c r="S63" i="8" s="1"/>
  <c r="AC62" i="12"/>
  <c r="Y51" i="8" s="1"/>
  <c r="AC49" i="12"/>
  <c r="Y38" i="8" s="1"/>
  <c r="AC53" i="12"/>
  <c r="AC64" i="12"/>
  <c r="Y53" i="8" s="1"/>
  <c r="AC48" i="12"/>
  <c r="Y37" i="8" s="1"/>
  <c r="AC46" i="12"/>
  <c r="Y35" i="8" s="1"/>
  <c r="AC66" i="12"/>
  <c r="Y55" i="8" s="1"/>
  <c r="AC68" i="12"/>
  <c r="Y57" i="8" s="1"/>
  <c r="AC50" i="12"/>
  <c r="Y39" i="8" s="1"/>
  <c r="AC52" i="12"/>
  <c r="Y41" i="8" s="1"/>
  <c r="AC58" i="12"/>
  <c r="Y47" i="8" s="1"/>
  <c r="AC41" i="12"/>
  <c r="S73" i="12"/>
  <c r="O62" i="8" s="1"/>
  <c r="O71" i="12"/>
  <c r="K60" i="8" s="1"/>
  <c r="Q71" i="12"/>
  <c r="M60" i="8" s="1"/>
  <c r="S69" i="12"/>
  <c r="O58" i="8" s="1"/>
  <c r="AC67" i="12"/>
  <c r="Y56" i="8" s="1"/>
  <c r="O67" i="12"/>
  <c r="K56" i="8" s="1"/>
  <c r="Q67" i="12"/>
  <c r="M56" i="8" s="1"/>
  <c r="S67" i="12"/>
  <c r="O56" i="8" s="1"/>
  <c r="P63" i="12"/>
  <c r="L52" i="8" s="1"/>
  <c r="Q59" i="12"/>
  <c r="M48" i="8" s="1"/>
  <c r="AC57" i="12"/>
  <c r="Y46" i="8" s="1"/>
  <c r="P57" i="12"/>
  <c r="L46" i="8" s="1"/>
  <c r="J56" i="12"/>
  <c r="N46" i="12"/>
  <c r="J35" i="8" s="1"/>
  <c r="N50" i="12"/>
  <c r="J39" i="8" s="1"/>
  <c r="N52" i="12"/>
  <c r="J41" i="8" s="1"/>
  <c r="N41" i="12"/>
  <c r="N72" i="12"/>
  <c r="J61" i="8" s="1"/>
  <c r="N58" i="12"/>
  <c r="J47" i="8" s="1"/>
  <c r="N47" i="12"/>
  <c r="J36" i="8" s="1"/>
  <c r="N51" i="12"/>
  <c r="J40" i="8" s="1"/>
  <c r="N55" i="12"/>
  <c r="J44" i="8" s="1"/>
  <c r="N60" i="12"/>
  <c r="J49" i="8" s="1"/>
  <c r="N62" i="12"/>
  <c r="J51" i="8" s="1"/>
  <c r="N54" i="12"/>
  <c r="J43" i="8" s="1"/>
  <c r="N49" i="12"/>
  <c r="J38" i="8" s="1"/>
  <c r="N53" i="12"/>
  <c r="N56" i="12"/>
  <c r="N64" i="12"/>
  <c r="J53" i="8" s="1"/>
  <c r="T46" i="12"/>
  <c r="P35" i="8" s="1"/>
  <c r="T60" i="12"/>
  <c r="P49" i="8" s="1"/>
  <c r="T50" i="12"/>
  <c r="P39" i="8" s="1"/>
  <c r="T58" i="12"/>
  <c r="P47" i="8" s="1"/>
  <c r="T56" i="12"/>
  <c r="T54" i="12"/>
  <c r="P43" i="8" s="1"/>
  <c r="T47" i="12"/>
  <c r="P36" i="8" s="1"/>
  <c r="T53" i="12"/>
  <c r="T62" i="12"/>
  <c r="P51" i="8" s="1"/>
  <c r="T49" i="12"/>
  <c r="P38" i="8" s="1"/>
  <c r="T51" i="12"/>
  <c r="P40" i="8" s="1"/>
  <c r="T52" i="12"/>
  <c r="P41" i="8" s="1"/>
  <c r="T64" i="12"/>
  <c r="P53" i="8" s="1"/>
  <c r="M74" i="12"/>
  <c r="I63" i="8" s="1"/>
  <c r="V74" i="12"/>
  <c r="R63" i="8" s="1"/>
  <c r="K74" i="12"/>
  <c r="G63" i="8" s="1"/>
  <c r="L72" i="12"/>
  <c r="H61" i="8" s="1"/>
  <c r="F72" i="12"/>
  <c r="B61" i="8" s="1"/>
  <c r="AK70" i="12"/>
  <c r="AG59" i="8" s="1"/>
  <c r="G70" i="12"/>
  <c r="C59" i="8" s="1"/>
  <c r="H68" i="12"/>
  <c r="D57" i="8" s="1"/>
  <c r="AH68" i="12"/>
  <c r="AD57" i="8" s="1"/>
  <c r="AB66" i="12"/>
  <c r="X55" i="8" s="1"/>
  <c r="J66" i="12"/>
  <c r="F55" i="8" s="1"/>
  <c r="AH64" i="12"/>
  <c r="AD53" i="8" s="1"/>
  <c r="G56" i="12"/>
  <c r="T55" i="12"/>
  <c r="P44" i="8" s="1"/>
  <c r="W51" i="12"/>
  <c r="S40" i="8" s="1"/>
  <c r="AK49" i="12"/>
  <c r="AG38" i="8" s="1"/>
  <c r="Z54" i="12"/>
  <c r="V43" i="8" s="1"/>
  <c r="AH50" i="12"/>
  <c r="AD39" i="8" s="1"/>
  <c r="AB46" i="12"/>
  <c r="X35" i="8" s="1"/>
  <c r="X57" i="11"/>
  <c r="T14" i="8" s="1"/>
  <c r="X53" i="11"/>
  <c r="T10" i="8" s="1"/>
  <c r="X60" i="11"/>
  <c r="T17" i="8" s="1"/>
  <c r="X66" i="11"/>
  <c r="T23" i="8" s="1"/>
  <c r="X58" i="11"/>
  <c r="T15" i="8" s="1"/>
  <c r="AK60" i="12"/>
  <c r="AG49" i="8" s="1"/>
  <c r="AB57" i="12"/>
  <c r="X46" i="8" s="1"/>
  <c r="I47" i="12"/>
  <c r="E36" i="8" s="1"/>
  <c r="I51" i="12"/>
  <c r="E40" i="8" s="1"/>
  <c r="I60" i="12"/>
  <c r="E49" i="8" s="1"/>
  <c r="I68" i="12"/>
  <c r="E57" i="8" s="1"/>
  <c r="I70" i="12"/>
  <c r="E59" i="8" s="1"/>
  <c r="I54" i="12"/>
  <c r="E43" i="8" s="1"/>
  <c r="I49" i="12"/>
  <c r="E38" i="8" s="1"/>
  <c r="I55" i="12"/>
  <c r="E44" i="8" s="1"/>
  <c r="I48" i="12"/>
  <c r="E37" i="8" s="1"/>
  <c r="I64" i="12"/>
  <c r="E53" i="8" s="1"/>
  <c r="I52" i="12"/>
  <c r="E41" i="8" s="1"/>
  <c r="I58" i="12"/>
  <c r="E47" i="8" s="1"/>
  <c r="I46" i="12"/>
  <c r="E35" i="8" s="1"/>
  <c r="I53" i="12"/>
  <c r="I72" i="12"/>
  <c r="E61" i="8" s="1"/>
  <c r="I50" i="12"/>
  <c r="E39" i="8" s="1"/>
  <c r="I62" i="12"/>
  <c r="E51" i="8" s="1"/>
  <c r="O51" i="12"/>
  <c r="K40" i="8" s="1"/>
  <c r="O61" i="12"/>
  <c r="K50" i="8" s="1"/>
  <c r="O60" i="12"/>
  <c r="K49" i="8" s="1"/>
  <c r="O49" i="12"/>
  <c r="K38" i="8" s="1"/>
  <c r="O53" i="12"/>
  <c r="O68" i="12"/>
  <c r="K57" i="8" s="1"/>
  <c r="O48" i="12"/>
  <c r="K37" i="8" s="1"/>
  <c r="O58" i="12"/>
  <c r="K47" i="8" s="1"/>
  <c r="O64" i="12"/>
  <c r="K53" i="8" s="1"/>
  <c r="O46" i="12"/>
  <c r="K35" i="8" s="1"/>
  <c r="O66" i="12"/>
  <c r="K55" i="8" s="1"/>
  <c r="O50" i="12"/>
  <c r="K39" i="8" s="1"/>
  <c r="O54" i="12"/>
  <c r="K43" i="8" s="1"/>
  <c r="O62" i="12"/>
  <c r="K51" i="8" s="1"/>
  <c r="O72" i="12"/>
  <c r="K61" i="8" s="1"/>
  <c r="O52" i="12"/>
  <c r="K41" i="8" s="1"/>
  <c r="O56" i="12"/>
  <c r="U52" i="12"/>
  <c r="Q41" i="8" s="1"/>
  <c r="U54" i="12"/>
  <c r="Q43" i="8" s="1"/>
  <c r="U47" i="12"/>
  <c r="Q36" i="8" s="1"/>
  <c r="U55" i="12"/>
  <c r="Q44" i="8" s="1"/>
  <c r="U62" i="12"/>
  <c r="Q51" i="8" s="1"/>
  <c r="U49" i="12"/>
  <c r="Q38" i="8" s="1"/>
  <c r="U53" i="12"/>
  <c r="U72" i="12"/>
  <c r="Q61" i="8" s="1"/>
  <c r="U51" i="12"/>
  <c r="Q40" i="8" s="1"/>
  <c r="U64" i="12"/>
  <c r="Q53" i="8" s="1"/>
  <c r="U48" i="12"/>
  <c r="Q37" i="8" s="1"/>
  <c r="U46" i="12"/>
  <c r="Q35" i="8" s="1"/>
  <c r="U50" i="12"/>
  <c r="Q39" i="8" s="1"/>
  <c r="U68" i="12"/>
  <c r="Q57" i="8" s="1"/>
  <c r="U70" i="12"/>
  <c r="Q59" i="8" s="1"/>
  <c r="U58" i="12"/>
  <c r="Q47" i="8" s="1"/>
  <c r="U41" i="12"/>
  <c r="U57" i="12"/>
  <c r="Q46" i="8" s="1"/>
  <c r="AA73" i="12"/>
  <c r="W62" i="8" s="1"/>
  <c r="AI73" i="12"/>
  <c r="AE62" i="8" s="1"/>
  <c r="L73" i="12"/>
  <c r="H62" i="8" s="1"/>
  <c r="H73" i="12"/>
  <c r="D62" i="8" s="1"/>
  <c r="AE71" i="12"/>
  <c r="AA60" i="8" s="1"/>
  <c r="G71" i="12"/>
  <c r="C60" i="8" s="1"/>
  <c r="Y71" i="12"/>
  <c r="U60" i="8" s="1"/>
  <c r="AC71" i="12"/>
  <c r="Y60" i="8" s="1"/>
  <c r="AA69" i="12"/>
  <c r="W58" i="8" s="1"/>
  <c r="AI69" i="12"/>
  <c r="AE58" i="8" s="1"/>
  <c r="M69" i="12"/>
  <c r="I58" i="8" s="1"/>
  <c r="I69" i="12"/>
  <c r="E58" i="8" s="1"/>
  <c r="AK67" i="12"/>
  <c r="AG56" i="8" s="1"/>
  <c r="W67" i="12"/>
  <c r="S56" i="8" s="1"/>
  <c r="Y67" i="12"/>
  <c r="U56" i="8" s="1"/>
  <c r="AA67" i="12"/>
  <c r="W56" i="8" s="1"/>
  <c r="Q65" i="12"/>
  <c r="M54" i="8" s="1"/>
  <c r="S65" i="12"/>
  <c r="O54" i="8" s="1"/>
  <c r="U65" i="12"/>
  <c r="Q54" i="8" s="1"/>
  <c r="G65" i="12"/>
  <c r="C54" i="8" s="1"/>
  <c r="AD63" i="12"/>
  <c r="Z52" i="8" s="1"/>
  <c r="X63" i="12"/>
  <c r="T52" i="8" s="1"/>
  <c r="Z63" i="12"/>
  <c r="V52" i="8" s="1"/>
  <c r="Q61" i="12"/>
  <c r="M50" i="8" s="1"/>
  <c r="S61" i="12"/>
  <c r="O50" i="8" s="1"/>
  <c r="N61" i="12"/>
  <c r="J50" i="8" s="1"/>
  <c r="AD59" i="12"/>
  <c r="Z48" i="8" s="1"/>
  <c r="Y59" i="12"/>
  <c r="U48" i="8" s="1"/>
  <c r="R57" i="12"/>
  <c r="N46" i="8" s="1"/>
  <c r="AK57" i="12"/>
  <c r="AG46" i="8" s="1"/>
  <c r="X57" i="12"/>
  <c r="T46" i="8" s="1"/>
  <c r="AI48" i="12"/>
  <c r="AE37" i="8" s="1"/>
  <c r="F48" i="12"/>
  <c r="B37" i="8" s="1"/>
  <c r="L48" i="12"/>
  <c r="H37" i="8" s="1"/>
  <c r="AC74" i="12"/>
  <c r="Y63" i="8" s="1"/>
  <c r="AL74" i="12"/>
  <c r="AH63" i="8" s="1"/>
  <c r="S74" i="12"/>
  <c r="O63" i="8" s="1"/>
  <c r="AC72" i="12"/>
  <c r="Y61" i="8" s="1"/>
  <c r="AD72" i="12"/>
  <c r="Z61" i="8" s="1"/>
  <c r="H70" i="12"/>
  <c r="D59" i="8" s="1"/>
  <c r="O70" i="12"/>
  <c r="K59" i="8" s="1"/>
  <c r="Q68" i="12"/>
  <c r="M57" i="8" s="1"/>
  <c r="S68" i="12"/>
  <c r="O57" i="8" s="1"/>
  <c r="U66" i="12"/>
  <c r="Q55" i="8" s="1"/>
  <c r="R66" i="12"/>
  <c r="N55" i="8" s="1"/>
  <c r="I56" i="12"/>
  <c r="Y51" i="12"/>
  <c r="U40" i="8" s="1"/>
  <c r="K58" i="12"/>
  <c r="G47" i="8" s="1"/>
  <c r="AJ50" i="12"/>
  <c r="AF39" i="8" s="1"/>
  <c r="V46" i="12"/>
  <c r="R35" i="8" s="1"/>
  <c r="X74" i="11"/>
  <c r="X61" i="11"/>
  <c r="T18" i="8" s="1"/>
  <c r="L57" i="12"/>
  <c r="H46" i="8" s="1"/>
  <c r="T61" i="12"/>
  <c r="P50" i="8" s="1"/>
  <c r="G47" i="12"/>
  <c r="C36" i="8" s="1"/>
  <c r="G55" i="12"/>
  <c r="C44" i="8" s="1"/>
  <c r="G51" i="12"/>
  <c r="C40" i="8" s="1"/>
  <c r="G60" i="12"/>
  <c r="C49" i="8" s="1"/>
  <c r="G49" i="12"/>
  <c r="C38" i="8" s="1"/>
  <c r="G48" i="12"/>
  <c r="C37" i="8" s="1"/>
  <c r="G58" i="12"/>
  <c r="C47" i="8" s="1"/>
  <c r="G53" i="12"/>
  <c r="G64" i="12"/>
  <c r="C53" i="8" s="1"/>
  <c r="G46" i="12"/>
  <c r="C35" i="8" s="1"/>
  <c r="G54" i="12"/>
  <c r="C43" i="8" s="1"/>
  <c r="G50" i="12"/>
  <c r="C39" i="8" s="1"/>
  <c r="G62" i="12"/>
  <c r="C51" i="8" s="1"/>
  <c r="G72" i="12"/>
  <c r="C61" i="8" s="1"/>
  <c r="M54" i="12"/>
  <c r="I43" i="8" s="1"/>
  <c r="M51" i="12"/>
  <c r="I40" i="8" s="1"/>
  <c r="M47" i="12"/>
  <c r="I36" i="8" s="1"/>
  <c r="M55" i="12"/>
  <c r="I44" i="8" s="1"/>
  <c r="M72" i="12"/>
  <c r="I61" i="8" s="1"/>
  <c r="M62" i="12"/>
  <c r="I51" i="8" s="1"/>
  <c r="M49" i="12"/>
  <c r="I38" i="8" s="1"/>
  <c r="M64" i="12"/>
  <c r="I53" i="8" s="1"/>
  <c r="M48" i="12"/>
  <c r="I37" i="8" s="1"/>
  <c r="M52" i="12"/>
  <c r="I41" i="8" s="1"/>
  <c r="M53" i="12"/>
  <c r="M46" i="12"/>
  <c r="I35" i="8" s="1"/>
  <c r="M66" i="12"/>
  <c r="I55" i="8" s="1"/>
  <c r="M70" i="12"/>
  <c r="I59" i="8" s="1"/>
  <c r="M50" i="12"/>
  <c r="I39" i="8" s="1"/>
  <c r="F73" i="12"/>
  <c r="B62" i="8" s="1"/>
  <c r="T73" i="12"/>
  <c r="P62" i="8" s="1"/>
  <c r="P73" i="12"/>
  <c r="L62" i="8" s="1"/>
  <c r="J71" i="12"/>
  <c r="F60" i="8" s="1"/>
  <c r="W71" i="12"/>
  <c r="S60" i="8" s="1"/>
  <c r="AK71" i="12"/>
  <c r="AG60" i="8" s="1"/>
  <c r="N69" i="12"/>
  <c r="J58" i="8" s="1"/>
  <c r="F69" i="12"/>
  <c r="B58" i="8" s="1"/>
  <c r="Q69" i="12"/>
  <c r="M58" i="8" s="1"/>
  <c r="F67" i="12"/>
  <c r="B56" i="8" s="1"/>
  <c r="AE67" i="12"/>
  <c r="AA56" i="8" s="1"/>
  <c r="AI67" i="12"/>
  <c r="AE56" i="8" s="1"/>
  <c r="Y65" i="12"/>
  <c r="U54" i="8" s="1"/>
  <c r="AA65" i="12"/>
  <c r="W54" i="8" s="1"/>
  <c r="AC65" i="12"/>
  <c r="Y54" i="8" s="1"/>
  <c r="M63" i="12"/>
  <c r="I52" i="8" s="1"/>
  <c r="AL63" i="12"/>
  <c r="AH52" i="8" s="1"/>
  <c r="AF63" i="12"/>
  <c r="AB52" i="8" s="1"/>
  <c r="AH63" i="12"/>
  <c r="AD52" i="8" s="1"/>
  <c r="Y61" i="12"/>
  <c r="U50" i="8" s="1"/>
  <c r="AA61" i="12"/>
  <c r="W50" i="8" s="1"/>
  <c r="M59" i="12"/>
  <c r="I48" i="8" s="1"/>
  <c r="AL59" i="12"/>
  <c r="AH48" i="8" s="1"/>
  <c r="Z57" i="12"/>
  <c r="V46" i="8" s="1"/>
  <c r="F57" i="12"/>
  <c r="B46" i="8" s="1"/>
  <c r="AF57" i="12"/>
  <c r="AB46" i="8" s="1"/>
  <c r="X41" i="12"/>
  <c r="R60" i="12"/>
  <c r="N49" i="8" s="1"/>
  <c r="AA62" i="12"/>
  <c r="W51" i="8" s="1"/>
  <c r="AA49" i="12"/>
  <c r="W38" i="8" s="1"/>
  <c r="AA53" i="12"/>
  <c r="AA48" i="12"/>
  <c r="W37" i="8" s="1"/>
  <c r="AA52" i="12"/>
  <c r="W41" i="8" s="1"/>
  <c r="AA64" i="12"/>
  <c r="W53" i="8" s="1"/>
  <c r="AA70" i="12"/>
  <c r="W59" i="8" s="1"/>
  <c r="AA46" i="12"/>
  <c r="W35" i="8" s="1"/>
  <c r="AA51" i="12"/>
  <c r="W40" i="8" s="1"/>
  <c r="AA55" i="12"/>
  <c r="W44" i="8" s="1"/>
  <c r="AA60" i="12"/>
  <c r="W49" i="8" s="1"/>
  <c r="AA66" i="12"/>
  <c r="W55" i="8" s="1"/>
  <c r="AA50" i="12"/>
  <c r="W39" i="8" s="1"/>
  <c r="AA58" i="12"/>
  <c r="W47" i="8" s="1"/>
  <c r="AA72" i="12"/>
  <c r="W61" i="8" s="1"/>
  <c r="AA54" i="12"/>
  <c r="W43" i="8" s="1"/>
  <c r="AA68" i="12"/>
  <c r="W57" i="8" s="1"/>
  <c r="AA74" i="12"/>
  <c r="W63" i="8" s="1"/>
  <c r="AG48" i="12"/>
  <c r="AC37" i="8" s="1"/>
  <c r="AG62" i="12"/>
  <c r="AC51" i="8" s="1"/>
  <c r="AG66" i="12"/>
  <c r="AC55" i="8" s="1"/>
  <c r="AG46" i="12"/>
  <c r="AC35" i="8" s="1"/>
  <c r="AG68" i="12"/>
  <c r="AC57" i="8" s="1"/>
  <c r="AG50" i="12"/>
  <c r="AC39" i="8" s="1"/>
  <c r="AG52" i="12"/>
  <c r="AC41" i="8" s="1"/>
  <c r="AG41" i="12"/>
  <c r="AG53" i="12"/>
  <c r="AG56" i="12"/>
  <c r="AG54" i="12"/>
  <c r="AC43" i="8" s="1"/>
  <c r="AG47" i="12"/>
  <c r="AC36" i="8" s="1"/>
  <c r="AG51" i="12"/>
  <c r="AC40" i="8" s="1"/>
  <c r="AG60" i="12"/>
  <c r="AC49" i="8" s="1"/>
  <c r="U74" i="12"/>
  <c r="Q63" i="8" s="1"/>
  <c r="P74" i="12"/>
  <c r="L63" i="8" s="1"/>
  <c r="G74" i="12"/>
  <c r="C63" i="8" s="1"/>
  <c r="AI74" i="12"/>
  <c r="AE63" i="8" s="1"/>
  <c r="P72" i="12"/>
  <c r="L61" i="8" s="1"/>
  <c r="AL72" i="12"/>
  <c r="AH61" i="8" s="1"/>
  <c r="Y70" i="12"/>
  <c r="U59" i="8" s="1"/>
  <c r="J70" i="12"/>
  <c r="F59" i="8" s="1"/>
  <c r="T68" i="12"/>
  <c r="P57" i="8" s="1"/>
  <c r="V68" i="12"/>
  <c r="R57" i="8" s="1"/>
  <c r="N66" i="12"/>
  <c r="J55" i="8" s="1"/>
  <c r="F64" i="12"/>
  <c r="B53" i="8" s="1"/>
  <c r="S53" i="12"/>
  <c r="AB51" i="12"/>
  <c r="X40" i="8" s="1"/>
  <c r="AA47" i="12"/>
  <c r="W36" i="8" s="1"/>
  <c r="M58" i="12"/>
  <c r="I47" i="8" s="1"/>
  <c r="AI52" i="12"/>
  <c r="AE41" i="8" s="1"/>
  <c r="AD50" i="12"/>
  <c r="Z39" i="8" s="1"/>
  <c r="L49" i="12"/>
  <c r="H38" i="8" s="1"/>
  <c r="AI47" i="12"/>
  <c r="AE36" i="8" s="1"/>
  <c r="L62" i="12"/>
  <c r="H51" i="8" s="1"/>
  <c r="AL62" i="12"/>
  <c r="AH51" i="8" s="1"/>
  <c r="F58" i="12"/>
  <c r="B47" i="8" s="1"/>
  <c r="F54" i="12"/>
  <c r="B43" i="8" s="1"/>
  <c r="AL50" i="12"/>
  <c r="AH39" i="8" s="1"/>
  <c r="AL70" i="12"/>
  <c r="AH59" i="8" s="1"/>
  <c r="F68" i="12"/>
  <c r="B57" i="8" s="1"/>
  <c r="AI68" i="12"/>
  <c r="AE57" i="8" s="1"/>
  <c r="AL66" i="12"/>
  <c r="AH55" i="8" s="1"/>
  <c r="F60" i="12"/>
  <c r="B49" i="8" s="1"/>
  <c r="AI55" i="12"/>
  <c r="AE44" i="8" s="1"/>
  <c r="F55" i="12"/>
  <c r="B44" i="8" s="1"/>
  <c r="F51" i="12"/>
  <c r="B40" i="8" s="1"/>
  <c r="L47" i="12"/>
  <c r="H36" i="8" s="1"/>
  <c r="F47" i="12"/>
  <c r="B36" i="8" s="1"/>
  <c r="AL58" i="12"/>
  <c r="AH47" i="8" s="1"/>
  <c r="AI54" i="12"/>
  <c r="AE43" i="8" s="1"/>
  <c r="AL46" i="12"/>
  <c r="AH35" i="8" s="1"/>
  <c r="AL51" i="12"/>
  <c r="AH40" i="8" s="1"/>
  <c r="AI58" i="12"/>
  <c r="AE47" i="8" s="1"/>
  <c r="L54" i="12"/>
  <c r="H43" i="8" s="1"/>
  <c r="AL48" i="12"/>
  <c r="AH37" i="8" s="1"/>
  <c r="AL64" i="12"/>
  <c r="AH53" i="8" s="1"/>
  <c r="L56" i="12"/>
  <c r="AL56" i="12"/>
  <c r="AL53" i="12"/>
  <c r="L51" i="12"/>
  <c r="H40" i="8" s="1"/>
  <c r="AL49" i="12"/>
  <c r="AH38" i="8" s="1"/>
  <c r="F41" i="12"/>
  <c r="L58" i="12"/>
  <c r="H47" i="8" s="1"/>
  <c r="AL54" i="12"/>
  <c r="AH43" i="8" s="1"/>
  <c r="F52" i="12"/>
  <c r="B41" i="8" s="1"/>
  <c r="AI50" i="12"/>
  <c r="AE39" i="8" s="1"/>
  <c r="AL68" i="12"/>
  <c r="AH57" i="8" s="1"/>
  <c r="AI66" i="12"/>
  <c r="AE55" i="8" s="1"/>
  <c r="AI60" i="12"/>
  <c r="AE49" i="8" s="1"/>
  <c r="AI51" i="12"/>
  <c r="AE40" i="8" s="1"/>
  <c r="L50" i="12"/>
  <c r="H39" i="8" s="1"/>
  <c r="F50" i="12"/>
  <c r="B39" i="8" s="1"/>
  <c r="AI46" i="12"/>
  <c r="AE35" i="8" s="1"/>
  <c r="F70" i="12"/>
  <c r="B59" i="8" s="1"/>
  <c r="AI70" i="12"/>
  <c r="AE59" i="8" s="1"/>
  <c r="L68" i="12"/>
  <c r="H57" i="8" s="1"/>
  <c r="L66" i="12"/>
  <c r="H55" i="8" s="1"/>
  <c r="F66" i="12"/>
  <c r="B55" i="8" s="1"/>
  <c r="L60" i="12"/>
  <c r="H49" i="8" s="1"/>
  <c r="AL60" i="12"/>
  <c r="AH49" i="8" s="1"/>
  <c r="AI63" i="12"/>
  <c r="AE52" i="8" s="1"/>
  <c r="AL55" i="12"/>
  <c r="AH44" i="8" s="1"/>
  <c r="AL47" i="12"/>
  <c r="AH36" i="8" s="1"/>
  <c r="L46" i="12"/>
  <c r="H35" i="8" s="1"/>
  <c r="F46" i="12"/>
  <c r="B35" i="8" s="1"/>
  <c r="AI64" i="12"/>
  <c r="AE53" i="8" s="1"/>
  <c r="L55" i="12"/>
  <c r="H44" i="8" s="1"/>
  <c r="AI53" i="12"/>
  <c r="T41" i="11"/>
  <c r="V63" i="11"/>
  <c r="R20" i="8" s="1"/>
  <c r="L57" i="11"/>
  <c r="H14" i="8" s="1"/>
  <c r="J68" i="11"/>
  <c r="F25" i="8" s="1"/>
  <c r="AH70" i="11"/>
  <c r="AD27" i="8" s="1"/>
  <c r="Q41" i="11"/>
  <c r="AC41" i="11"/>
  <c r="F67" i="11"/>
  <c r="B24" i="8" s="1"/>
  <c r="N63" i="11"/>
  <c r="J20" i="8" s="1"/>
  <c r="Y73" i="11"/>
  <c r="AG74" i="11"/>
  <c r="G63" i="11"/>
  <c r="C20" i="8" s="1"/>
  <c r="AJ56" i="11"/>
  <c r="AI62" i="11"/>
  <c r="AE19" i="8" s="1"/>
  <c r="K53" i="11"/>
  <c r="G10" i="8" s="1"/>
  <c r="H49" i="11"/>
  <c r="D6" i="8" s="1"/>
  <c r="G67" i="11"/>
  <c r="C24" i="8" s="1"/>
  <c r="K67" i="11"/>
  <c r="G24" i="8" s="1"/>
  <c r="M69" i="11"/>
  <c r="I26" i="8" s="1"/>
  <c r="K68" i="11"/>
  <c r="G25" i="8" s="1"/>
  <c r="F54" i="11"/>
  <c r="B11" i="8" s="1"/>
  <c r="I49" i="11"/>
  <c r="E6" i="8" s="1"/>
  <c r="AH47" i="11"/>
  <c r="AD4" i="8" s="1"/>
  <c r="S58" i="11"/>
  <c r="O15" i="8" s="1"/>
  <c r="R63" i="11"/>
  <c r="N20" i="8" s="1"/>
  <c r="Q63" i="11"/>
  <c r="M20" i="8" s="1"/>
  <c r="T51" i="11"/>
  <c r="P8" i="8" s="1"/>
  <c r="M49" i="11"/>
  <c r="I6" i="8" s="1"/>
  <c r="AL74" i="11"/>
  <c r="J60" i="11"/>
  <c r="F17" i="8" s="1"/>
  <c r="J67" i="11"/>
  <c r="F24" i="8" s="1"/>
  <c r="M47" i="11"/>
  <c r="I4" i="8" s="1"/>
  <c r="AB55" i="11"/>
  <c r="X12" i="8" s="1"/>
  <c r="Z72" i="11"/>
  <c r="AH63" i="11"/>
  <c r="AD20" i="8" s="1"/>
  <c r="J57" i="11"/>
  <c r="F14" i="8" s="1"/>
  <c r="AH54" i="11"/>
  <c r="AD11" i="8" s="1"/>
  <c r="J63" i="11"/>
  <c r="F20" i="8" s="1"/>
  <c r="AH49" i="11"/>
  <c r="AD6" i="8" s="1"/>
  <c r="AH67" i="11"/>
  <c r="AD24" i="8" s="1"/>
  <c r="AA57" i="11"/>
  <c r="W14" i="8" s="1"/>
  <c r="S74" i="11"/>
  <c r="AJ70" i="11"/>
  <c r="AF27" i="8" s="1"/>
  <c r="Y69" i="11"/>
  <c r="U26" i="8" s="1"/>
  <c r="AG49" i="11"/>
  <c r="AC6" i="8" s="1"/>
  <c r="AG64" i="11"/>
  <c r="AC21" i="8" s="1"/>
  <c r="M67" i="11"/>
  <c r="I24" i="8" s="1"/>
  <c r="AK59" i="11"/>
  <c r="AG16" i="8" s="1"/>
  <c r="AK47" i="11"/>
  <c r="AG4" i="8" s="1"/>
  <c r="AK57" i="11"/>
  <c r="AG14" i="8" s="1"/>
  <c r="O70" i="11"/>
  <c r="K27" i="8" s="1"/>
  <c r="AB61" i="11"/>
  <c r="X18" i="8" s="1"/>
  <c r="AJ74" i="11"/>
  <c r="Z66" i="11"/>
  <c r="V23" i="8" s="1"/>
  <c r="S62" i="11"/>
  <c r="O19" i="8" s="1"/>
  <c r="S61" i="11"/>
  <c r="O18" i="8" s="1"/>
  <c r="S53" i="11"/>
  <c r="O10" i="8" s="1"/>
  <c r="M53" i="11"/>
  <c r="I10" i="8" s="1"/>
  <c r="K57" i="11"/>
  <c r="G14" i="8" s="1"/>
  <c r="Q70" i="11"/>
  <c r="M27" i="8" s="1"/>
  <c r="S46" i="11"/>
  <c r="O67" i="11"/>
  <c r="K24" i="8" s="1"/>
  <c r="AA59" i="11"/>
  <c r="W16" i="8" s="1"/>
  <c r="M61" i="11"/>
  <c r="I18" i="8" s="1"/>
  <c r="O46" i="11"/>
  <c r="S66" i="11"/>
  <c r="O23" i="8" s="1"/>
  <c r="O59" i="11"/>
  <c r="K16" i="8" s="1"/>
  <c r="AI70" i="11"/>
  <c r="AE27" i="8" s="1"/>
  <c r="I41" i="11"/>
  <c r="K63" i="11"/>
  <c r="G20" i="8" s="1"/>
  <c r="T49" i="11"/>
  <c r="P6" i="8" s="1"/>
  <c r="AB41" i="11"/>
  <c r="S67" i="11"/>
  <c r="O24" i="8" s="1"/>
  <c r="N67" i="11"/>
  <c r="J24" i="8" s="1"/>
  <c r="G59" i="11"/>
  <c r="C16" i="8" s="1"/>
  <c r="Y47" i="11"/>
  <c r="U4" i="8" s="1"/>
  <c r="W41" i="11"/>
  <c r="AF69" i="11"/>
  <c r="AB26" i="8" s="1"/>
  <c r="AJ57" i="11"/>
  <c r="AF14" i="8" s="1"/>
  <c r="AE66" i="11"/>
  <c r="AA23" i="8" s="1"/>
  <c r="L74" i="11"/>
  <c r="S70" i="11"/>
  <c r="O27" i="8" s="1"/>
  <c r="Y64" i="11"/>
  <c r="U21" i="8" s="1"/>
  <c r="AF41" i="11"/>
  <c r="AK64" i="11"/>
  <c r="AG21" i="8" s="1"/>
  <c r="AD41" i="11"/>
  <c r="S59" i="11"/>
  <c r="O16" i="8" s="1"/>
  <c r="F50" i="11"/>
  <c r="B7" i="8" s="1"/>
  <c r="M41" i="11"/>
  <c r="AK63" i="11"/>
  <c r="AG20" i="8" s="1"/>
  <c r="Y63" i="11"/>
  <c r="U20" i="8" s="1"/>
  <c r="AJ49" i="11"/>
  <c r="AF6" i="8" s="1"/>
  <c r="Z54" i="11"/>
  <c r="V11" i="8" s="1"/>
  <c r="J71" i="11"/>
  <c r="F28" i="8" s="1"/>
  <c r="AK74" i="11"/>
  <c r="K70" i="11"/>
  <c r="G27" i="8" s="1"/>
  <c r="AH64" i="11"/>
  <c r="AD21" i="8" s="1"/>
  <c r="AA62" i="11"/>
  <c r="W19" i="8" s="1"/>
  <c r="AH51" i="11"/>
  <c r="AD8" i="8" s="1"/>
  <c r="J50" i="11"/>
  <c r="F7" i="8" s="1"/>
  <c r="K71" i="11"/>
  <c r="G28" i="8" s="1"/>
  <c r="Z63" i="11"/>
  <c r="V20" i="8" s="1"/>
  <c r="AB63" i="11"/>
  <c r="X20" i="8" s="1"/>
  <c r="S47" i="11"/>
  <c r="O4" i="8" s="1"/>
  <c r="AA67" i="11"/>
  <c r="W24" i="8" s="1"/>
  <c r="K59" i="11"/>
  <c r="G16" i="8" s="1"/>
  <c r="G41" i="11"/>
  <c r="M64" i="11"/>
  <c r="I21" i="8" s="1"/>
  <c r="Y57" i="11"/>
  <c r="U14" i="8" s="1"/>
  <c r="M60" i="11"/>
  <c r="I17" i="8" s="1"/>
  <c r="V59" i="11"/>
  <c r="R16" i="8" s="1"/>
  <c r="F70" i="11"/>
  <c r="B27" i="8" s="1"/>
  <c r="AJ64" i="11"/>
  <c r="AF21" i="8" s="1"/>
  <c r="G62" i="11"/>
  <c r="C19" i="8" s="1"/>
  <c r="AH56" i="11"/>
  <c r="S65" i="11"/>
  <c r="O22" i="8" s="1"/>
  <c r="S51" i="11"/>
  <c r="O8" i="8" s="1"/>
  <c r="S73" i="11"/>
  <c r="X71" i="11"/>
  <c r="T28" i="8" s="1"/>
  <c r="U59" i="11"/>
  <c r="Q16" i="8" s="1"/>
  <c r="S63" i="11"/>
  <c r="O20" i="8" s="1"/>
  <c r="AL63" i="11"/>
  <c r="AH20" i="8" s="1"/>
  <c r="AK49" i="11"/>
  <c r="AG6" i="8" s="1"/>
  <c r="T70" i="11"/>
  <c r="P27" i="8" s="1"/>
  <c r="AG67" i="11"/>
  <c r="AC24" i="8" s="1"/>
  <c r="AG59" i="11"/>
  <c r="AC16" i="8" s="1"/>
  <c r="AJ59" i="11"/>
  <c r="AF16" i="8" s="1"/>
  <c r="AH41" i="11"/>
  <c r="AG57" i="11"/>
  <c r="AC14" i="8" s="1"/>
  <c r="AG66" i="11"/>
  <c r="AC23" i="8" s="1"/>
  <c r="N64" i="11"/>
  <c r="J21" i="8" s="1"/>
  <c r="Z62" i="11"/>
  <c r="V19" i="8" s="1"/>
  <c r="S56" i="11"/>
  <c r="AG65" i="11"/>
  <c r="AC22" i="8" s="1"/>
  <c r="P73" i="11"/>
  <c r="I74" i="11"/>
  <c r="W63" i="11"/>
  <c r="S20" i="8" s="1"/>
  <c r="Z52" i="11"/>
  <c r="V9" i="8" s="1"/>
  <c r="AK66" i="11"/>
  <c r="AG23" i="8" s="1"/>
  <c r="AA73" i="11"/>
  <c r="S55" i="11"/>
  <c r="O12" i="8" s="1"/>
  <c r="V49" i="11"/>
  <c r="R6" i="8" s="1"/>
  <c r="AC68" i="11"/>
  <c r="Y25" i="8" s="1"/>
  <c r="AC71" i="11"/>
  <c r="Y28" i="8" s="1"/>
  <c r="AC65" i="11"/>
  <c r="Y22" i="8" s="1"/>
  <c r="AC50" i="11"/>
  <c r="Y7" i="8" s="1"/>
  <c r="AC63" i="11"/>
  <c r="Y20" i="8" s="1"/>
  <c r="AC61" i="11"/>
  <c r="Y18" i="8" s="1"/>
  <c r="AC52" i="11"/>
  <c r="Y9" i="8" s="1"/>
  <c r="AC60" i="11"/>
  <c r="Y17" i="8" s="1"/>
  <c r="AC64" i="11"/>
  <c r="Y21" i="8" s="1"/>
  <c r="AC66" i="11"/>
  <c r="Y23" i="8" s="1"/>
  <c r="AC56" i="11"/>
  <c r="W69" i="11"/>
  <c r="S26" i="8" s="1"/>
  <c r="AC69" i="11"/>
  <c r="Y26" i="8" s="1"/>
  <c r="W57" i="11"/>
  <c r="S14" i="8" s="1"/>
  <c r="R52" i="11"/>
  <c r="N9" i="8" s="1"/>
  <c r="R60" i="11"/>
  <c r="N17" i="8" s="1"/>
  <c r="R59" i="11"/>
  <c r="N16" i="8" s="1"/>
  <c r="R56" i="11"/>
  <c r="R65" i="11"/>
  <c r="N22" i="8" s="1"/>
  <c r="R58" i="11"/>
  <c r="N15" i="8" s="1"/>
  <c r="R57" i="11"/>
  <c r="N14" i="8" s="1"/>
  <c r="R47" i="11"/>
  <c r="N4" i="8" s="1"/>
  <c r="H74" i="11"/>
  <c r="R74" i="11"/>
  <c r="I68" i="11"/>
  <c r="E25" i="8" s="1"/>
  <c r="W58" i="11"/>
  <c r="S15" i="8" s="1"/>
  <c r="L51" i="11"/>
  <c r="H8" i="8" s="1"/>
  <c r="AF73" i="11"/>
  <c r="AL53" i="11"/>
  <c r="AH10" i="8" s="1"/>
  <c r="AC55" i="11"/>
  <c r="Y12" i="8" s="1"/>
  <c r="AC72" i="11"/>
  <c r="I59" i="11"/>
  <c r="E16" i="8" s="1"/>
  <c r="T47" i="11"/>
  <c r="P4" i="8" s="1"/>
  <c r="O50" i="11"/>
  <c r="K7" i="8" s="1"/>
  <c r="O72" i="11"/>
  <c r="O63" i="11"/>
  <c r="K20" i="8" s="1"/>
  <c r="O64" i="11"/>
  <c r="K21" i="8" s="1"/>
  <c r="O57" i="11"/>
  <c r="K14" i="8" s="1"/>
  <c r="O48" i="11"/>
  <c r="K5" i="8" s="1"/>
  <c r="O71" i="11"/>
  <c r="K28" i="8" s="1"/>
  <c r="O47" i="11"/>
  <c r="K4" i="8" s="1"/>
  <c r="O73" i="11"/>
  <c r="O52" i="11"/>
  <c r="K9" i="8" s="1"/>
  <c r="O58" i="11"/>
  <c r="K15" i="8" s="1"/>
  <c r="O49" i="11"/>
  <c r="K6" i="8" s="1"/>
  <c r="O60" i="11"/>
  <c r="K17" i="8" s="1"/>
  <c r="O62" i="11"/>
  <c r="K19" i="8" s="1"/>
  <c r="O66" i="11"/>
  <c r="K23" i="8" s="1"/>
  <c r="F63" i="11"/>
  <c r="B20" i="8" s="1"/>
  <c r="AI63" i="11"/>
  <c r="AE20" i="8" s="1"/>
  <c r="AG63" i="11"/>
  <c r="AC20" i="8" s="1"/>
  <c r="Y49" i="11"/>
  <c r="U6" i="8" s="1"/>
  <c r="AB49" i="11"/>
  <c r="X6" i="8" s="1"/>
  <c r="M70" i="11"/>
  <c r="I27" i="8" s="1"/>
  <c r="AJ51" i="11"/>
  <c r="AF8" i="8" s="1"/>
  <c r="K41" i="11"/>
  <c r="AD59" i="11"/>
  <c r="Z16" i="8" s="1"/>
  <c r="AD53" i="11"/>
  <c r="Z10" i="8" s="1"/>
  <c r="AD56" i="11"/>
  <c r="AD51" i="11"/>
  <c r="Z8" i="8" s="1"/>
  <c r="AD60" i="11"/>
  <c r="Z17" i="8" s="1"/>
  <c r="AD70" i="11"/>
  <c r="Z27" i="8" s="1"/>
  <c r="AD74" i="11"/>
  <c r="AD65" i="11"/>
  <c r="Z22" i="8" s="1"/>
  <c r="AD64" i="11"/>
  <c r="Z21" i="8" s="1"/>
  <c r="AD48" i="11"/>
  <c r="Z5" i="8" s="1"/>
  <c r="AD50" i="11"/>
  <c r="Z7" i="8" s="1"/>
  <c r="AD52" i="11"/>
  <c r="Z9" i="8" s="1"/>
  <c r="AD46" i="11"/>
  <c r="AD55" i="11"/>
  <c r="Z12" i="8" s="1"/>
  <c r="AD73" i="11"/>
  <c r="AD54" i="11"/>
  <c r="Z11" i="8" s="1"/>
  <c r="AD71" i="11"/>
  <c r="Z28" i="8" s="1"/>
  <c r="AD49" i="11"/>
  <c r="Z6" i="8" s="1"/>
  <c r="AD61" i="11"/>
  <c r="Z18" i="8" s="1"/>
  <c r="AD68" i="11"/>
  <c r="Z25" i="8" s="1"/>
  <c r="AD69" i="11"/>
  <c r="Z26" i="8" s="1"/>
  <c r="AE67" i="11"/>
  <c r="AA24" i="8" s="1"/>
  <c r="Z67" i="11"/>
  <c r="V24" i="8" s="1"/>
  <c r="AD67" i="11"/>
  <c r="Z24" i="8" s="1"/>
  <c r="M59" i="11"/>
  <c r="I16" i="8" s="1"/>
  <c r="F59" i="11"/>
  <c r="B16" i="8" s="1"/>
  <c r="AF59" i="11"/>
  <c r="AB16" i="8" s="1"/>
  <c r="F47" i="11"/>
  <c r="B4" i="8" s="1"/>
  <c r="F49" i="11"/>
  <c r="B6" i="8" s="1"/>
  <c r="F69" i="11"/>
  <c r="B26" i="8" s="1"/>
  <c r="J69" i="11"/>
  <c r="F26" i="8" s="1"/>
  <c r="Z57" i="11"/>
  <c r="V14" i="8" s="1"/>
  <c r="M57" i="11"/>
  <c r="I14" i="8" s="1"/>
  <c r="AE57" i="11"/>
  <c r="AA14" i="8" s="1"/>
  <c r="AI49" i="11"/>
  <c r="AE6" i="8" s="1"/>
  <c r="Z61" i="11"/>
  <c r="V18" i="8" s="1"/>
  <c r="F74" i="11"/>
  <c r="B31" i="8" s="1"/>
  <c r="AH74" i="11"/>
  <c r="N70" i="11"/>
  <c r="J27" i="8" s="1"/>
  <c r="AF70" i="11"/>
  <c r="AB27" i="8" s="1"/>
  <c r="M68" i="11"/>
  <c r="I25" i="8" s="1"/>
  <c r="AA68" i="11"/>
  <c r="W25" i="8" s="1"/>
  <c r="AF68" i="11"/>
  <c r="AB25" i="8" s="1"/>
  <c r="F66" i="11"/>
  <c r="B23" i="8" s="1"/>
  <c r="AH66" i="11"/>
  <c r="AD23" i="8" s="1"/>
  <c r="Z60" i="11"/>
  <c r="V17" i="8" s="1"/>
  <c r="O54" i="11"/>
  <c r="K11" i="8" s="1"/>
  <c r="J52" i="11"/>
  <c r="F9" i="8" s="1"/>
  <c r="U65" i="11"/>
  <c r="Q22" i="8" s="1"/>
  <c r="O61" i="11"/>
  <c r="K18" i="8" s="1"/>
  <c r="R41" i="11"/>
  <c r="AC51" i="11"/>
  <c r="Y8" i="8" s="1"/>
  <c r="L55" i="11"/>
  <c r="H12" i="8" s="1"/>
  <c r="O53" i="11"/>
  <c r="K10" i="8" s="1"/>
  <c r="F55" i="11"/>
  <c r="B12" i="8" s="1"/>
  <c r="Z46" i="11"/>
  <c r="U72" i="11"/>
  <c r="AE50" i="11"/>
  <c r="AA7" i="8" s="1"/>
  <c r="H48" i="11"/>
  <c r="D5" i="8" s="1"/>
  <c r="H73" i="11"/>
  <c r="H62" i="11"/>
  <c r="D19" i="8" s="1"/>
  <c r="H64" i="11"/>
  <c r="D21" i="8" s="1"/>
  <c r="H66" i="11"/>
  <c r="D23" i="8" s="1"/>
  <c r="H51" i="11"/>
  <c r="D8" i="8" s="1"/>
  <c r="H56" i="11"/>
  <c r="H72" i="11"/>
  <c r="H50" i="11"/>
  <c r="D7" i="8" s="1"/>
  <c r="H46" i="11"/>
  <c r="H55" i="11"/>
  <c r="D12" i="8" s="1"/>
  <c r="H61" i="11"/>
  <c r="D18" i="8" s="1"/>
  <c r="H54" i="11"/>
  <c r="D11" i="8" s="1"/>
  <c r="H67" i="11"/>
  <c r="D24" i="8" s="1"/>
  <c r="H47" i="11"/>
  <c r="D4" i="8" s="1"/>
  <c r="Y55" i="11"/>
  <c r="U12" i="8" s="1"/>
  <c r="Y54" i="11"/>
  <c r="U11" i="8" s="1"/>
  <c r="Y62" i="11"/>
  <c r="U19" i="8" s="1"/>
  <c r="Y71" i="11"/>
  <c r="U28" i="8" s="1"/>
  <c r="Y61" i="11"/>
  <c r="U18" i="8" s="1"/>
  <c r="Y52" i="11"/>
  <c r="U9" i="8" s="1"/>
  <c r="Y46" i="11"/>
  <c r="Y65" i="11"/>
  <c r="U22" i="8" s="1"/>
  <c r="Y51" i="11"/>
  <c r="U8" i="8" s="1"/>
  <c r="Y56" i="11"/>
  <c r="Y66" i="11"/>
  <c r="U23" i="8" s="1"/>
  <c r="Y68" i="11"/>
  <c r="U25" i="8" s="1"/>
  <c r="Y74" i="11"/>
  <c r="Y67" i="11"/>
  <c r="U24" i="8" s="1"/>
  <c r="G68" i="11"/>
  <c r="C25" i="8" s="1"/>
  <c r="G72" i="11"/>
  <c r="G46" i="11"/>
  <c r="G53" i="11"/>
  <c r="C10" i="8" s="1"/>
  <c r="G51" i="11"/>
  <c r="C8" i="8" s="1"/>
  <c r="G56" i="11"/>
  <c r="G60" i="11"/>
  <c r="C17" i="8" s="1"/>
  <c r="G70" i="11"/>
  <c r="C27" i="8" s="1"/>
  <c r="G61" i="11"/>
  <c r="C18" i="8" s="1"/>
  <c r="G50" i="11"/>
  <c r="C7" i="8" s="1"/>
  <c r="G55" i="11"/>
  <c r="C12" i="8" s="1"/>
  <c r="G73" i="11"/>
  <c r="G54" i="11"/>
  <c r="C11" i="8" s="1"/>
  <c r="G48" i="11"/>
  <c r="C5" i="8" s="1"/>
  <c r="G65" i="11"/>
  <c r="C22" i="8" s="1"/>
  <c r="G58" i="11"/>
  <c r="C15" i="8" s="1"/>
  <c r="G52" i="11"/>
  <c r="C9" i="8" s="1"/>
  <c r="H63" i="11"/>
  <c r="D20" i="8" s="1"/>
  <c r="L63" i="11"/>
  <c r="H20" i="8" s="1"/>
  <c r="W67" i="11"/>
  <c r="S24" i="8" s="1"/>
  <c r="G49" i="11"/>
  <c r="C6" i="8" s="1"/>
  <c r="O41" i="11"/>
  <c r="V72" i="11"/>
  <c r="V56" i="11"/>
  <c r="V52" i="11"/>
  <c r="R9" i="8" s="1"/>
  <c r="V58" i="11"/>
  <c r="R15" i="8" s="1"/>
  <c r="V48" i="11"/>
  <c r="R5" i="8" s="1"/>
  <c r="V46" i="11"/>
  <c r="V62" i="11"/>
  <c r="R19" i="8" s="1"/>
  <c r="V66" i="11"/>
  <c r="R23" i="8" s="1"/>
  <c r="V53" i="11"/>
  <c r="R10" i="8" s="1"/>
  <c r="V51" i="11"/>
  <c r="R8" i="8" s="1"/>
  <c r="V60" i="11"/>
  <c r="R17" i="8" s="1"/>
  <c r="V65" i="11"/>
  <c r="R22" i="8" s="1"/>
  <c r="V50" i="11"/>
  <c r="R7" i="8" s="1"/>
  <c r="V55" i="11"/>
  <c r="R12" i="8" s="1"/>
  <c r="V73" i="11"/>
  <c r="V54" i="11"/>
  <c r="R11" i="8" s="1"/>
  <c r="AL67" i="11"/>
  <c r="AH24" i="8" s="1"/>
  <c r="W59" i="11"/>
  <c r="S16" i="8" s="1"/>
  <c r="L59" i="11"/>
  <c r="H16" i="8" s="1"/>
  <c r="V47" i="11"/>
  <c r="R4" i="8" s="1"/>
  <c r="V41" i="11"/>
  <c r="M56" i="11"/>
  <c r="M66" i="11"/>
  <c r="I23" i="8" s="1"/>
  <c r="M65" i="11"/>
  <c r="I22" i="8" s="1"/>
  <c r="M50" i="11"/>
  <c r="I7" i="8" s="1"/>
  <c r="M55" i="11"/>
  <c r="I12" i="8" s="1"/>
  <c r="M73" i="11"/>
  <c r="M54" i="11"/>
  <c r="I11" i="8" s="1"/>
  <c r="M72" i="11"/>
  <c r="M46" i="11"/>
  <c r="M71" i="11"/>
  <c r="I28" i="8" s="1"/>
  <c r="M52" i="11"/>
  <c r="I9" i="8" s="1"/>
  <c r="M58" i="11"/>
  <c r="I15" i="8" s="1"/>
  <c r="M48" i="11"/>
  <c r="I5" i="8" s="1"/>
  <c r="M62" i="11"/>
  <c r="I19" i="8" s="1"/>
  <c r="M74" i="11"/>
  <c r="G69" i="11"/>
  <c r="C26" i="8" s="1"/>
  <c r="N69" i="11"/>
  <c r="J26" i="8" s="1"/>
  <c r="R69" i="11"/>
  <c r="N26" i="8" s="1"/>
  <c r="AH57" i="11"/>
  <c r="AD14" i="8" s="1"/>
  <c r="AC57" i="11"/>
  <c r="Y14" i="8" s="1"/>
  <c r="AB47" i="11"/>
  <c r="X4" i="8" s="1"/>
  <c r="N74" i="11"/>
  <c r="K74" i="11"/>
  <c r="V70" i="11"/>
  <c r="R27" i="8" s="1"/>
  <c r="R70" i="11"/>
  <c r="N27" i="8" s="1"/>
  <c r="AG68" i="11"/>
  <c r="AC25" i="8" s="1"/>
  <c r="L68" i="11"/>
  <c r="H25" i="8" s="1"/>
  <c r="AD66" i="11"/>
  <c r="Z23" i="8" s="1"/>
  <c r="AB66" i="11"/>
  <c r="X23" i="8" s="1"/>
  <c r="AE64" i="11"/>
  <c r="AA21" i="8" s="1"/>
  <c r="L62" i="11"/>
  <c r="H19" i="8" s="1"/>
  <c r="Y60" i="11"/>
  <c r="U17" i="8" s="1"/>
  <c r="AL60" i="11"/>
  <c r="AH17" i="8" s="1"/>
  <c r="AE54" i="11"/>
  <c r="AA11" i="8" s="1"/>
  <c r="AK65" i="11"/>
  <c r="AG22" i="8" s="1"/>
  <c r="AL61" i="11"/>
  <c r="AH18" i="8" s="1"/>
  <c r="P46" i="11"/>
  <c r="P71" i="11"/>
  <c r="L28" i="8" s="1"/>
  <c r="P65" i="11"/>
  <c r="L22" i="8" s="1"/>
  <c r="P52" i="11"/>
  <c r="L9" i="8" s="1"/>
  <c r="P66" i="11"/>
  <c r="L23" i="8" s="1"/>
  <c r="P51" i="11"/>
  <c r="L8" i="8" s="1"/>
  <c r="P56" i="11"/>
  <c r="P60" i="11"/>
  <c r="L17" i="8" s="1"/>
  <c r="P68" i="11"/>
  <c r="L25" i="8" s="1"/>
  <c r="P72" i="11"/>
  <c r="P50" i="11"/>
  <c r="L7" i="8" s="1"/>
  <c r="P55" i="11"/>
  <c r="L12" i="8" s="1"/>
  <c r="P49" i="11"/>
  <c r="L6" i="8" s="1"/>
  <c r="P61" i="11"/>
  <c r="L18" i="8" s="1"/>
  <c r="P54" i="11"/>
  <c r="L11" i="8" s="1"/>
  <c r="P41" i="11"/>
  <c r="AL51" i="11"/>
  <c r="AH8" i="8" s="1"/>
  <c r="AE49" i="11"/>
  <c r="AA6" i="8" s="1"/>
  <c r="AE73" i="11"/>
  <c r="I53" i="11"/>
  <c r="E10" i="8" s="1"/>
  <c r="AG48" i="11"/>
  <c r="AC5" i="8" s="1"/>
  <c r="O55" i="11"/>
  <c r="K12" i="8" s="1"/>
  <c r="AC46" i="11"/>
  <c r="AI72" i="11"/>
  <c r="O65" i="11"/>
  <c r="K22" i="8" s="1"/>
  <c r="AE63" i="11"/>
  <c r="AA20" i="8" s="1"/>
  <c r="T63" i="11"/>
  <c r="P20" i="8" s="1"/>
  <c r="J49" i="11"/>
  <c r="F6" i="8" s="1"/>
  <c r="AF47" i="11"/>
  <c r="AB4" i="8" s="1"/>
  <c r="N56" i="11"/>
  <c r="N71" i="11"/>
  <c r="J28" i="8" s="1"/>
  <c r="N68" i="11"/>
  <c r="J25" i="8" s="1"/>
  <c r="N72" i="11"/>
  <c r="N46" i="11"/>
  <c r="N47" i="11"/>
  <c r="J4" i="8" s="1"/>
  <c r="N48" i="11"/>
  <c r="J5" i="8" s="1"/>
  <c r="N62" i="11"/>
  <c r="J19" i="8" s="1"/>
  <c r="N66" i="11"/>
  <c r="J23" i="8" s="1"/>
  <c r="N53" i="11"/>
  <c r="J10" i="8" s="1"/>
  <c r="N51" i="11"/>
  <c r="J8" i="8" s="1"/>
  <c r="N61" i="11"/>
  <c r="J18" i="8" s="1"/>
  <c r="N60" i="11"/>
  <c r="J17" i="8" s="1"/>
  <c r="N49" i="11"/>
  <c r="J6" i="8" s="1"/>
  <c r="N65" i="11"/>
  <c r="J22" i="8" s="1"/>
  <c r="N50" i="11"/>
  <c r="J7" i="8" s="1"/>
  <c r="N55" i="11"/>
  <c r="J12" i="8" s="1"/>
  <c r="N73" i="11"/>
  <c r="N54" i="11"/>
  <c r="J11" i="8" s="1"/>
  <c r="N57" i="11"/>
  <c r="J14" i="8" s="1"/>
  <c r="AI67" i="11"/>
  <c r="AE24" i="8" s="1"/>
  <c r="AF67" i="11"/>
  <c r="AB24" i="8" s="1"/>
  <c r="L67" i="11"/>
  <c r="H24" i="8" s="1"/>
  <c r="N59" i="11"/>
  <c r="J16" i="8" s="1"/>
  <c r="AL59" i="11"/>
  <c r="AH16" i="8" s="1"/>
  <c r="T59" i="11"/>
  <c r="P16" i="8" s="1"/>
  <c r="AD47" i="11"/>
  <c r="Z4" i="8" s="1"/>
  <c r="L69" i="11"/>
  <c r="H26" i="8" s="1"/>
  <c r="V69" i="11"/>
  <c r="R26" i="8" s="1"/>
  <c r="AH69" i="11"/>
  <c r="AD26" i="8" s="1"/>
  <c r="AL57" i="11"/>
  <c r="AH14" i="8" s="1"/>
  <c r="AJ61" i="11"/>
  <c r="AF18" i="8" s="1"/>
  <c r="AJ66" i="11"/>
  <c r="AF23" i="8" s="1"/>
  <c r="AJ71" i="11"/>
  <c r="AF28" i="8" s="1"/>
  <c r="AJ53" i="11"/>
  <c r="AF10" i="8" s="1"/>
  <c r="AJ62" i="11"/>
  <c r="AF19" i="8" s="1"/>
  <c r="AJ68" i="11"/>
  <c r="AF25" i="8" s="1"/>
  <c r="AJ48" i="11"/>
  <c r="AF5" i="8" s="1"/>
  <c r="AJ72" i="11"/>
  <c r="AJ65" i="11"/>
  <c r="AF22" i="8" s="1"/>
  <c r="AJ50" i="11"/>
  <c r="AF7" i="8" s="1"/>
  <c r="AJ47" i="11"/>
  <c r="AF4" i="8" s="1"/>
  <c r="AJ73" i="11"/>
  <c r="AJ54" i="11"/>
  <c r="AF11" i="8" s="1"/>
  <c r="AJ60" i="11"/>
  <c r="AF17" i="8" s="1"/>
  <c r="AJ52" i="11"/>
  <c r="AF9" i="8" s="1"/>
  <c r="AJ69" i="11"/>
  <c r="AF26" i="8" s="1"/>
  <c r="AJ58" i="11"/>
  <c r="AF15" i="8" s="1"/>
  <c r="V74" i="11"/>
  <c r="U70" i="11"/>
  <c r="Q27" i="8" s="1"/>
  <c r="AL70" i="11"/>
  <c r="AH27" i="8" s="1"/>
  <c r="O68" i="11"/>
  <c r="K25" i="8" s="1"/>
  <c r="T68" i="11"/>
  <c r="P25" i="8" s="1"/>
  <c r="U66" i="11"/>
  <c r="Q23" i="8" s="1"/>
  <c r="G66" i="11"/>
  <c r="C23" i="8" s="1"/>
  <c r="R64" i="11"/>
  <c r="N21" i="8" s="1"/>
  <c r="AK62" i="11"/>
  <c r="AG19" i="8" s="1"/>
  <c r="AK60" i="11"/>
  <c r="AG17" i="8" s="1"/>
  <c r="AD58" i="11"/>
  <c r="Z15" i="8" s="1"/>
  <c r="U56" i="11"/>
  <c r="L52" i="11"/>
  <c r="H9" i="8" s="1"/>
  <c r="H65" i="11"/>
  <c r="D22" i="8" s="1"/>
  <c r="H41" i="11"/>
  <c r="O51" i="11"/>
  <c r="K8" i="8" s="1"/>
  <c r="AA64" i="11"/>
  <c r="W21" i="8" s="1"/>
  <c r="AA70" i="11"/>
  <c r="W27" i="8" s="1"/>
  <c r="AA69" i="11"/>
  <c r="W26" i="8" s="1"/>
  <c r="AA65" i="11"/>
  <c r="W22" i="8" s="1"/>
  <c r="AA52" i="11"/>
  <c r="W9" i="8" s="1"/>
  <c r="AA47" i="11"/>
  <c r="W4" i="8" s="1"/>
  <c r="AA61" i="11"/>
  <c r="W18" i="8" s="1"/>
  <c r="AA74" i="11"/>
  <c r="Y53" i="11"/>
  <c r="U10" i="8" s="1"/>
  <c r="R61" i="11"/>
  <c r="N18" i="8" s="1"/>
  <c r="Y48" i="11"/>
  <c r="U5" i="8" s="1"/>
  <c r="AE55" i="11"/>
  <c r="AA12" i="8" s="1"/>
  <c r="R46" i="11"/>
  <c r="AD72" i="11"/>
  <c r="AK48" i="11"/>
  <c r="AG5" i="8" s="1"/>
  <c r="U67" i="11"/>
  <c r="Q24" i="8" s="1"/>
  <c r="W50" i="11"/>
  <c r="S7" i="8" s="1"/>
  <c r="W55" i="11"/>
  <c r="S12" i="8" s="1"/>
  <c r="W73" i="11"/>
  <c r="W54" i="11"/>
  <c r="S11" i="8" s="1"/>
  <c r="W48" i="11"/>
  <c r="S5" i="8" s="1"/>
  <c r="W72" i="11"/>
  <c r="W71" i="11"/>
  <c r="S28" i="8" s="1"/>
  <c r="W52" i="11"/>
  <c r="S9" i="8" s="1"/>
  <c r="W60" i="11"/>
  <c r="S17" i="8" s="1"/>
  <c r="W49" i="11"/>
  <c r="S6" i="8" s="1"/>
  <c r="W47" i="11"/>
  <c r="S4" i="8" s="1"/>
  <c r="W46" i="11"/>
  <c r="W53" i="11"/>
  <c r="S10" i="8" s="1"/>
  <c r="W51" i="11"/>
  <c r="S8" i="8" s="1"/>
  <c r="W61" i="11"/>
  <c r="S18" i="8" s="1"/>
  <c r="W65" i="11"/>
  <c r="S22" i="8" s="1"/>
  <c r="W56" i="11"/>
  <c r="W70" i="11"/>
  <c r="S27" i="8" s="1"/>
  <c r="W74" i="11"/>
  <c r="V67" i="11"/>
  <c r="R24" i="8" s="1"/>
  <c r="R49" i="11"/>
  <c r="N6" i="8" s="1"/>
  <c r="U49" i="11"/>
  <c r="Q6" i="8" s="1"/>
  <c r="AI41" i="11"/>
  <c r="AE41" i="11"/>
  <c r="F52" i="11"/>
  <c r="B9" i="8" s="1"/>
  <c r="F48" i="11"/>
  <c r="F72" i="11"/>
  <c r="B29" i="8" s="1"/>
  <c r="F46" i="11"/>
  <c r="F58" i="11"/>
  <c r="B15" i="8" s="1"/>
  <c r="F62" i="11"/>
  <c r="B19" i="8" s="1"/>
  <c r="F53" i="11"/>
  <c r="B10" i="8" s="1"/>
  <c r="F51" i="11"/>
  <c r="F60" i="11"/>
  <c r="B17" i="8" s="1"/>
  <c r="F61" i="11"/>
  <c r="B18" i="8" s="1"/>
  <c r="F65" i="11"/>
  <c r="F64" i="11"/>
  <c r="B21" i="8" s="1"/>
  <c r="I67" i="11"/>
  <c r="E24" i="8" s="1"/>
  <c r="T67" i="11"/>
  <c r="P24" i="8" s="1"/>
  <c r="AL47" i="11"/>
  <c r="AH4" i="8" s="1"/>
  <c r="H57" i="11"/>
  <c r="D14" i="8" s="1"/>
  <c r="AF46" i="11"/>
  <c r="AF64" i="11"/>
  <c r="AB21" i="8" s="1"/>
  <c r="AF66" i="11"/>
  <c r="AB23" i="8" s="1"/>
  <c r="AF72" i="11"/>
  <c r="AF50" i="11"/>
  <c r="AB7" i="8" s="1"/>
  <c r="AF55" i="11"/>
  <c r="AB12" i="8" s="1"/>
  <c r="AF61" i="11"/>
  <c r="AB18" i="8" s="1"/>
  <c r="AF54" i="11"/>
  <c r="AB11" i="8" s="1"/>
  <c r="AF62" i="11"/>
  <c r="AB19" i="8" s="1"/>
  <c r="AF48" i="11"/>
  <c r="AB5" i="8" s="1"/>
  <c r="AF60" i="11"/>
  <c r="AB17" i="8" s="1"/>
  <c r="AF53" i="11"/>
  <c r="AB10" i="8" s="1"/>
  <c r="AF71" i="11"/>
  <c r="AB28" i="8" s="1"/>
  <c r="AF49" i="11"/>
  <c r="AB6" i="8" s="1"/>
  <c r="AF65" i="11"/>
  <c r="AB22" i="8" s="1"/>
  <c r="AF52" i="11"/>
  <c r="AB9" i="8" s="1"/>
  <c r="Z74" i="11"/>
  <c r="Z58" i="11"/>
  <c r="V15" i="8" s="1"/>
  <c r="Z68" i="11"/>
  <c r="V25" i="8" s="1"/>
  <c r="Z41" i="11"/>
  <c r="Z69" i="11"/>
  <c r="V26" i="8" s="1"/>
  <c r="T69" i="11"/>
  <c r="P26" i="8" s="1"/>
  <c r="AL69" i="11"/>
  <c r="AH26" i="8" s="1"/>
  <c r="F57" i="11"/>
  <c r="B14" i="8" s="1"/>
  <c r="AB64" i="11"/>
  <c r="X21" i="8" s="1"/>
  <c r="AB48" i="11"/>
  <c r="X5" i="8" s="1"/>
  <c r="AB46" i="11"/>
  <c r="AB56" i="11"/>
  <c r="AB58" i="11"/>
  <c r="X15" i="8" s="1"/>
  <c r="AB70" i="11"/>
  <c r="X27" i="8" s="1"/>
  <c r="AB74" i="11"/>
  <c r="AB51" i="11"/>
  <c r="X8" i="8" s="1"/>
  <c r="AB59" i="11"/>
  <c r="X16" i="8" s="1"/>
  <c r="AB71" i="11"/>
  <c r="X28" i="8" s="1"/>
  <c r="AB53" i="11"/>
  <c r="X10" i="8" s="1"/>
  <c r="AB68" i="11"/>
  <c r="X25" i="8" s="1"/>
  <c r="AB72" i="11"/>
  <c r="AB65" i="11"/>
  <c r="X22" i="8" s="1"/>
  <c r="AB50" i="11"/>
  <c r="X7" i="8" s="1"/>
  <c r="AB73" i="11"/>
  <c r="AB54" i="11"/>
  <c r="X11" i="8" s="1"/>
  <c r="AB60" i="11"/>
  <c r="X17" i="8" s="1"/>
  <c r="AB67" i="11"/>
  <c r="X24" i="8" s="1"/>
  <c r="AI74" i="11"/>
  <c r="Y70" i="11"/>
  <c r="U27" i="8" s="1"/>
  <c r="L70" i="11"/>
  <c r="H27" i="8" s="1"/>
  <c r="Q68" i="11"/>
  <c r="M25" i="8" s="1"/>
  <c r="F68" i="11"/>
  <c r="B25" i="8" s="1"/>
  <c r="W66" i="11"/>
  <c r="S23" i="8" s="1"/>
  <c r="AC62" i="11"/>
  <c r="Y19" i="8" s="1"/>
  <c r="Q60" i="11"/>
  <c r="M17" i="8" s="1"/>
  <c r="Q54" i="11"/>
  <c r="M11" i="8" s="1"/>
  <c r="AB52" i="11"/>
  <c r="X9" i="8" s="1"/>
  <c r="AK61" i="11"/>
  <c r="AG18" i="8" s="1"/>
  <c r="AI50" i="11"/>
  <c r="AE7" i="8" s="1"/>
  <c r="AF51" i="11"/>
  <c r="AB8" i="8" s="1"/>
  <c r="L73" i="11"/>
  <c r="N52" i="11"/>
  <c r="J9" i="8" s="1"/>
  <c r="K51" i="11"/>
  <c r="G8" i="8" s="1"/>
  <c r="K65" i="11"/>
  <c r="G22" i="8" s="1"/>
  <c r="K56" i="11"/>
  <c r="K61" i="11"/>
  <c r="G18" i="8" s="1"/>
  <c r="K66" i="11"/>
  <c r="G23" i="8" s="1"/>
  <c r="K54" i="11"/>
  <c r="G11" i="8" s="1"/>
  <c r="K58" i="11"/>
  <c r="G15" i="8" s="1"/>
  <c r="K62" i="11"/>
  <c r="G19" i="8" s="1"/>
  <c r="K52" i="11"/>
  <c r="G9" i="8" s="1"/>
  <c r="Q48" i="11"/>
  <c r="M5" i="8" s="1"/>
  <c r="Q72" i="11"/>
  <c r="Q53" i="11"/>
  <c r="M10" i="8" s="1"/>
  <c r="Q65" i="11"/>
  <c r="M22" i="8" s="1"/>
  <c r="Q50" i="11"/>
  <c r="M7" i="8" s="1"/>
  <c r="Q73" i="11"/>
  <c r="Q57" i="11"/>
  <c r="M14" i="8" s="1"/>
  <c r="Q58" i="11"/>
  <c r="M15" i="8" s="1"/>
  <c r="Q71" i="11"/>
  <c r="M28" i="8" s="1"/>
  <c r="Q52" i="11"/>
  <c r="M9" i="8" s="1"/>
  <c r="Q46" i="11"/>
  <c r="Q61" i="11"/>
  <c r="M18" i="8" s="1"/>
  <c r="Q62" i="11"/>
  <c r="M19" i="8" s="1"/>
  <c r="Q64" i="11"/>
  <c r="M21" i="8" s="1"/>
  <c r="Q66" i="11"/>
  <c r="M23" i="8" s="1"/>
  <c r="Q59" i="11"/>
  <c r="M16" i="8" s="1"/>
  <c r="Z71" i="11"/>
  <c r="V28" i="8" s="1"/>
  <c r="Q55" i="11"/>
  <c r="M12" i="8" s="1"/>
  <c r="AK46" i="11"/>
  <c r="AC48" i="11"/>
  <c r="Y5" i="8" s="1"/>
  <c r="U68" i="11"/>
  <c r="Q25" i="8" s="1"/>
  <c r="U57" i="11"/>
  <c r="Q14" i="8" s="1"/>
  <c r="U47" i="11"/>
  <c r="Q4" i="8" s="1"/>
  <c r="I73" i="11"/>
  <c r="I51" i="11"/>
  <c r="E8" i="8" s="1"/>
  <c r="I61" i="11"/>
  <c r="E18" i="8" s="1"/>
  <c r="I56" i="11"/>
  <c r="I64" i="11"/>
  <c r="E21" i="8" s="1"/>
  <c r="I65" i="11"/>
  <c r="E22" i="8" s="1"/>
  <c r="I54" i="11"/>
  <c r="E11" i="8" s="1"/>
  <c r="I60" i="11"/>
  <c r="E17" i="8" s="1"/>
  <c r="I71" i="11"/>
  <c r="E28" i="8" s="1"/>
  <c r="I52" i="11"/>
  <c r="E9" i="8" s="1"/>
  <c r="I58" i="11"/>
  <c r="E15" i="8" s="1"/>
  <c r="H53" i="11"/>
  <c r="D10" i="8" s="1"/>
  <c r="AL62" i="11"/>
  <c r="AH19" i="8" s="1"/>
  <c r="AL66" i="11"/>
  <c r="AH23" i="8" s="1"/>
  <c r="AL65" i="11"/>
  <c r="AH22" i="8" s="1"/>
  <c r="AL64" i="11"/>
  <c r="AH21" i="8" s="1"/>
  <c r="AL50" i="11"/>
  <c r="AH7" i="8" s="1"/>
  <c r="AL46" i="11"/>
  <c r="AL55" i="11"/>
  <c r="AH12" i="8" s="1"/>
  <c r="AL73" i="11"/>
  <c r="AL54" i="11"/>
  <c r="AH11" i="8" s="1"/>
  <c r="AL48" i="11"/>
  <c r="AH5" i="8" s="1"/>
  <c r="AL56" i="11"/>
  <c r="AL71" i="11"/>
  <c r="AH28" i="8" s="1"/>
  <c r="AL72" i="11"/>
  <c r="AL58" i="11"/>
  <c r="AH15" i="8" s="1"/>
  <c r="K49" i="11"/>
  <c r="G6" i="8" s="1"/>
  <c r="U63" i="11"/>
  <c r="Q20" i="8" s="1"/>
  <c r="M63" i="11"/>
  <c r="I20" i="8" s="1"/>
  <c r="AF63" i="11"/>
  <c r="AB20" i="8" s="1"/>
  <c r="AJ63" i="11"/>
  <c r="AF20" i="8" s="1"/>
  <c r="Z49" i="11"/>
  <c r="V6" i="8" s="1"/>
  <c r="AC49" i="11"/>
  <c r="Y6" i="8" s="1"/>
  <c r="AI60" i="11"/>
  <c r="AE17" i="8" s="1"/>
  <c r="G47" i="11"/>
  <c r="C4" i="8" s="1"/>
  <c r="L41" i="11"/>
  <c r="AG61" i="11"/>
  <c r="AC18" i="8" s="1"/>
  <c r="AG62" i="11"/>
  <c r="AC19" i="8" s="1"/>
  <c r="AG60" i="11"/>
  <c r="AC17" i="8" s="1"/>
  <c r="AG69" i="11"/>
  <c r="AC26" i="8" s="1"/>
  <c r="AG47" i="11"/>
  <c r="AC4" i="8" s="1"/>
  <c r="AG73" i="11"/>
  <c r="AG51" i="11"/>
  <c r="AC8" i="8" s="1"/>
  <c r="AG56" i="11"/>
  <c r="AG58" i="11"/>
  <c r="AC15" i="8" s="1"/>
  <c r="AG70" i="11"/>
  <c r="AC27" i="8" s="1"/>
  <c r="Q67" i="11"/>
  <c r="M24" i="8" s="1"/>
  <c r="AJ67" i="11"/>
  <c r="AF24" i="8" s="1"/>
  <c r="AE59" i="11"/>
  <c r="AA16" i="8" s="1"/>
  <c r="AI59" i="11"/>
  <c r="AE16" i="8" s="1"/>
  <c r="AC59" i="11"/>
  <c r="Y16" i="8" s="1"/>
  <c r="AJ55" i="11"/>
  <c r="AF12" i="8" s="1"/>
  <c r="O69" i="11"/>
  <c r="K26" i="8" s="1"/>
  <c r="AB69" i="11"/>
  <c r="X26" i="8" s="1"/>
  <c r="H69" i="11"/>
  <c r="D26" i="8" s="1"/>
  <c r="I57" i="11"/>
  <c r="E14" i="8" s="1"/>
  <c r="V57" i="11"/>
  <c r="R14" i="8" s="1"/>
  <c r="Y58" i="11"/>
  <c r="U15" i="8" s="1"/>
  <c r="T55" i="11"/>
  <c r="P12" i="8" s="1"/>
  <c r="G74" i="11"/>
  <c r="Q74" i="11"/>
  <c r="I70" i="11"/>
  <c r="E27" i="8" s="1"/>
  <c r="AE70" i="11"/>
  <c r="AA27" i="8" s="1"/>
  <c r="W68" i="11"/>
  <c r="S25" i="8" s="1"/>
  <c r="V68" i="11"/>
  <c r="R25" i="8" s="1"/>
  <c r="I66" i="11"/>
  <c r="E23" i="8" s="1"/>
  <c r="G64" i="11"/>
  <c r="C21" i="8" s="1"/>
  <c r="K64" i="11"/>
  <c r="G21" i="8" s="1"/>
  <c r="AD62" i="11"/>
  <c r="Z19" i="8" s="1"/>
  <c r="H60" i="11"/>
  <c r="D17" i="8" s="1"/>
  <c r="H58" i="11"/>
  <c r="D15" i="8" s="1"/>
  <c r="O56" i="11"/>
  <c r="AA54" i="11"/>
  <c r="W11" i="8" s="1"/>
  <c r="AG54" i="11"/>
  <c r="AC11" i="8" s="1"/>
  <c r="AA72" i="11"/>
  <c r="Q51" i="11"/>
  <c r="M8" i="8" s="1"/>
  <c r="AH62" i="11"/>
  <c r="AD19" i="8" s="1"/>
  <c r="AH53" i="11"/>
  <c r="AD10" i="8" s="1"/>
  <c r="AH65" i="11"/>
  <c r="AD22" i="8" s="1"/>
  <c r="AH58" i="11"/>
  <c r="AD15" i="8" s="1"/>
  <c r="AH68" i="11"/>
  <c r="AD25" i="8" s="1"/>
  <c r="AH72" i="11"/>
  <c r="AH55" i="11"/>
  <c r="AD12" i="8" s="1"/>
  <c r="AH73" i="11"/>
  <c r="AH48" i="11"/>
  <c r="AD5" i="8" s="1"/>
  <c r="AH61" i="11"/>
  <c r="AD18" i="8" s="1"/>
  <c r="AH50" i="11"/>
  <c r="AD7" i="8" s="1"/>
  <c r="AH71" i="11"/>
  <c r="AD28" i="8" s="1"/>
  <c r="AH52" i="11"/>
  <c r="AD9" i="8" s="1"/>
  <c r="AH60" i="11"/>
  <c r="AD17" i="8" s="1"/>
  <c r="AH59" i="11"/>
  <c r="AD16" i="8" s="1"/>
  <c r="AC73" i="11"/>
  <c r="AA53" i="11"/>
  <c r="W10" i="8" s="1"/>
  <c r="I55" i="11"/>
  <c r="E12" i="8" s="1"/>
  <c r="F71" i="11"/>
  <c r="B28" i="8" s="1"/>
  <c r="AG55" i="11"/>
  <c r="AC12" i="8" s="1"/>
  <c r="AH46" i="11"/>
  <c r="I48" i="11"/>
  <c r="E5" i="8" s="1"/>
  <c r="L49" i="11"/>
  <c r="H6" i="8" s="1"/>
  <c r="AI58" i="11"/>
  <c r="AE15" i="8" s="1"/>
  <c r="AI56" i="11"/>
  <c r="I63" i="11"/>
  <c r="E20" i="8" s="1"/>
  <c r="T64" i="11"/>
  <c r="P21" i="8" s="1"/>
  <c r="T65" i="11"/>
  <c r="P22" i="8" s="1"/>
  <c r="T58" i="11"/>
  <c r="P15" i="8" s="1"/>
  <c r="H59" i="11"/>
  <c r="D16" i="8" s="1"/>
  <c r="I47" i="11"/>
  <c r="E4" i="8" s="1"/>
  <c r="R54" i="11"/>
  <c r="N11" i="8" s="1"/>
  <c r="AI69" i="11"/>
  <c r="AE26" i="8" s="1"/>
  <c r="AE60" i="11"/>
  <c r="AA17" i="8" s="1"/>
  <c r="AE48" i="11"/>
  <c r="AA5" i="8" s="1"/>
  <c r="AE52" i="11"/>
  <c r="AA9" i="8" s="1"/>
  <c r="AE61" i="11"/>
  <c r="AA18" i="8" s="1"/>
  <c r="AE47" i="11"/>
  <c r="AA4" i="8" s="1"/>
  <c r="AE69" i="11"/>
  <c r="AA26" i="8" s="1"/>
  <c r="AE58" i="11"/>
  <c r="AA15" i="8" s="1"/>
  <c r="AE62" i="11"/>
  <c r="AA19" i="8" s="1"/>
  <c r="AE72" i="11"/>
  <c r="AE46" i="11"/>
  <c r="AE53" i="11"/>
  <c r="AA10" i="8" s="1"/>
  <c r="AE51" i="11"/>
  <c r="AA8" i="8" s="1"/>
  <c r="AE56" i="11"/>
  <c r="AE71" i="11"/>
  <c r="AA28" i="8" s="1"/>
  <c r="AE68" i="11"/>
  <c r="AA25" i="8" s="1"/>
  <c r="L58" i="11"/>
  <c r="H15" i="8" s="1"/>
  <c r="L48" i="11"/>
  <c r="H5" i="8" s="1"/>
  <c r="L61" i="11"/>
  <c r="H18" i="8" s="1"/>
  <c r="L66" i="11"/>
  <c r="H23" i="8" s="1"/>
  <c r="L46" i="11"/>
  <c r="L47" i="11"/>
  <c r="H4" i="8" s="1"/>
  <c r="L56" i="11"/>
  <c r="L60" i="11"/>
  <c r="H17" i="8" s="1"/>
  <c r="L71" i="11"/>
  <c r="H28" i="8" s="1"/>
  <c r="L53" i="11"/>
  <c r="H10" i="8" s="1"/>
  <c r="L72" i="11"/>
  <c r="L65" i="11"/>
  <c r="H22" i="8" s="1"/>
  <c r="L64" i="11"/>
  <c r="H21" i="8" s="1"/>
  <c r="T74" i="11"/>
  <c r="AC70" i="11"/>
  <c r="Y27" i="8" s="1"/>
  <c r="H70" i="11"/>
  <c r="D27" i="8" s="1"/>
  <c r="AL68" i="11"/>
  <c r="AH25" i="8" s="1"/>
  <c r="U64" i="11"/>
  <c r="Q21" i="8" s="1"/>
  <c r="AI64" i="11"/>
  <c r="AE21" i="8" s="1"/>
  <c r="T62" i="11"/>
  <c r="P19" i="8" s="1"/>
  <c r="T60" i="11"/>
  <c r="P17" i="8" s="1"/>
  <c r="AC58" i="11"/>
  <c r="Y15" i="8" s="1"/>
  <c r="AF56" i="11"/>
  <c r="L54" i="11"/>
  <c r="H11" i="8" s="1"/>
  <c r="F73" i="11"/>
  <c r="B30" i="8" s="1"/>
  <c r="V71" i="11"/>
  <c r="R28" i="8" s="1"/>
  <c r="Y50" i="11"/>
  <c r="U7" i="8" s="1"/>
  <c r="P48" i="11"/>
  <c r="L5" i="8" s="1"/>
  <c r="Z59" i="11"/>
  <c r="V16" i="8" s="1"/>
  <c r="AC47" i="11"/>
  <c r="Y4" i="8" s="1"/>
  <c r="Q47" i="11"/>
  <c r="M4" i="8" s="1"/>
  <c r="AL49" i="11"/>
  <c r="AH6" i="8" s="1"/>
  <c r="AK50" i="11"/>
  <c r="AG7" i="8" s="1"/>
  <c r="AK55" i="11"/>
  <c r="AG12" i="8" s="1"/>
  <c r="AK73" i="11"/>
  <c r="AK54" i="11"/>
  <c r="AG11" i="8" s="1"/>
  <c r="AK72" i="11"/>
  <c r="AK71" i="11"/>
  <c r="AG28" i="8" s="1"/>
  <c r="AK52" i="11"/>
  <c r="AG9" i="8" s="1"/>
  <c r="AK68" i="11"/>
  <c r="AG25" i="8" s="1"/>
  <c r="AK69" i="11"/>
  <c r="AG26" i="8" s="1"/>
  <c r="AK56" i="11"/>
  <c r="AK58" i="11"/>
  <c r="AG15" i="8" s="1"/>
  <c r="AK53" i="11"/>
  <c r="AG10" i="8" s="1"/>
  <c r="AK51" i="11"/>
  <c r="AG8" i="8" s="1"/>
  <c r="AK70" i="11"/>
  <c r="AG27" i="8" s="1"/>
  <c r="Q69" i="11"/>
  <c r="M26" i="8" s="1"/>
  <c r="U69" i="11"/>
  <c r="Q26" i="8" s="1"/>
  <c r="AB57" i="11"/>
  <c r="X14" i="8" s="1"/>
  <c r="G57" i="11"/>
  <c r="C14" i="8" s="1"/>
  <c r="AL52" i="11"/>
  <c r="AH9" i="8" s="1"/>
  <c r="J64" i="11"/>
  <c r="F21" i="8" s="1"/>
  <c r="J70" i="11"/>
  <c r="F27" i="8" s="1"/>
  <c r="J54" i="11"/>
  <c r="F11" i="8" s="1"/>
  <c r="J62" i="11"/>
  <c r="F19" i="8" s="1"/>
  <c r="J51" i="11"/>
  <c r="F8" i="8" s="1"/>
  <c r="J56" i="11"/>
  <c r="J53" i="11"/>
  <c r="F10" i="8" s="1"/>
  <c r="J61" i="11"/>
  <c r="F18" i="8" s="1"/>
  <c r="J65" i="11"/>
  <c r="F22" i="8" s="1"/>
  <c r="J58" i="11"/>
  <c r="F15" i="8" s="1"/>
  <c r="J59" i="11"/>
  <c r="F16" i="8" s="1"/>
  <c r="AC74" i="11"/>
  <c r="AE74" i="11"/>
  <c r="J74" i="11"/>
  <c r="R68" i="11"/>
  <c r="N25" i="8" s="1"/>
  <c r="H68" i="11"/>
  <c r="D25" i="8" s="1"/>
  <c r="AI66" i="11"/>
  <c r="AE23" i="8" s="1"/>
  <c r="J66" i="11"/>
  <c r="F23" i="8" s="1"/>
  <c r="W64" i="11"/>
  <c r="S21" i="8" s="1"/>
  <c r="I62" i="11"/>
  <c r="E19" i="8" s="1"/>
  <c r="W62" i="11"/>
  <c r="S19" i="8" s="1"/>
  <c r="K60" i="11"/>
  <c r="G17" i="8" s="1"/>
  <c r="AF58" i="11"/>
  <c r="AB15" i="8" s="1"/>
  <c r="Q56" i="11"/>
  <c r="AC54" i="11"/>
  <c r="Y11" i="8" s="1"/>
  <c r="H52" i="11"/>
  <c r="D9" i="8" s="1"/>
  <c r="AE65" i="11"/>
  <c r="AA22" i="8" s="1"/>
  <c r="V61" i="11"/>
  <c r="R18" i="8" s="1"/>
  <c r="I69" i="11"/>
  <c r="E26" i="8" s="1"/>
  <c r="K46" i="11"/>
  <c r="R50" i="11"/>
  <c r="N7" i="8" s="1"/>
  <c r="AC53" i="11"/>
  <c r="Y10" i="8" s="1"/>
  <c r="G71" i="11"/>
  <c r="C28" i="8" s="1"/>
  <c r="AI55" i="11"/>
  <c r="AE12" i="8" s="1"/>
  <c r="AJ46" i="11"/>
  <c r="AF57" i="11"/>
  <c r="AB14" i="8" s="1"/>
  <c r="L50" i="11"/>
  <c r="H7" i="8" s="1"/>
  <c r="U74" i="11"/>
  <c r="S69" i="11"/>
  <c r="O26" i="8" s="1"/>
  <c r="T57" i="11"/>
  <c r="P14" i="8" s="1"/>
  <c r="S49" i="11"/>
  <c r="O6" i="8" s="1"/>
  <c r="Z70" i="11"/>
  <c r="V27" i="8" s="1"/>
  <c r="AI68" i="11"/>
  <c r="AE25" i="8" s="1"/>
  <c r="R66" i="11"/>
  <c r="N23" i="8" s="1"/>
  <c r="Z64" i="11"/>
  <c r="V21" i="8" s="1"/>
  <c r="U62" i="11"/>
  <c r="Q19" i="8" s="1"/>
  <c r="U60" i="11"/>
  <c r="Q17" i="8" s="1"/>
  <c r="AA58" i="11"/>
  <c r="W15" i="8" s="1"/>
  <c r="AA56" i="11"/>
  <c r="T54" i="11"/>
  <c r="P11" i="8" s="1"/>
  <c r="AA51" i="11"/>
  <c r="W8" i="8" s="1"/>
  <c r="K73" i="11"/>
  <c r="T73" i="11"/>
  <c r="J73" i="11"/>
  <c r="AG53" i="11"/>
  <c r="AC10" i="8" s="1"/>
  <c r="AI53" i="11"/>
  <c r="AE10" i="8" s="1"/>
  <c r="AA49" i="11"/>
  <c r="W6" i="8" s="1"/>
  <c r="J55" i="11"/>
  <c r="F12" i="8" s="1"/>
  <c r="X46" i="11"/>
  <c r="AA46" i="11"/>
  <c r="I72" i="11"/>
  <c r="J72" i="11"/>
  <c r="T50" i="11"/>
  <c r="P7" i="8" s="1"/>
  <c r="J48" i="11"/>
  <c r="F5" i="8" s="1"/>
  <c r="U48" i="11"/>
  <c r="Q5" i="8" s="1"/>
  <c r="X48" i="11"/>
  <c r="T5" i="8" s="1"/>
  <c r="AI51" i="11"/>
  <c r="AE8" i="8" s="1"/>
  <c r="Z47" i="11"/>
  <c r="V4" i="8" s="1"/>
  <c r="R73" i="11"/>
  <c r="N41" i="11"/>
  <c r="R55" i="11"/>
  <c r="N12" i="8" s="1"/>
  <c r="U46" i="11"/>
  <c r="AI46" i="11"/>
  <c r="R72" i="11"/>
  <c r="T72" i="11"/>
  <c r="Z50" i="11"/>
  <c r="V7" i="8" s="1"/>
  <c r="Z48" i="11"/>
  <c r="V5" i="8" s="1"/>
  <c r="R48" i="11"/>
  <c r="N5" i="8" s="1"/>
  <c r="S60" i="11"/>
  <c r="O17" i="8" s="1"/>
  <c r="S52" i="11"/>
  <c r="O9" i="8" s="1"/>
  <c r="U52" i="11"/>
  <c r="Q9" i="8" s="1"/>
  <c r="U61" i="11"/>
  <c r="Q18" i="8" s="1"/>
  <c r="U41" i="11"/>
  <c r="Z73" i="11"/>
  <c r="R53" i="11"/>
  <c r="N10" i="8" s="1"/>
  <c r="T53" i="11"/>
  <c r="P10" i="8" s="1"/>
  <c r="U71" i="11"/>
  <c r="Q28" i="8" s="1"/>
  <c r="AI71" i="11"/>
  <c r="AE28" i="8" s="1"/>
  <c r="T71" i="11"/>
  <c r="P28" i="8" s="1"/>
  <c r="X55" i="11"/>
  <c r="T12" i="8" s="1"/>
  <c r="Z55" i="11"/>
  <c r="V12" i="8" s="1"/>
  <c r="AG46" i="11"/>
  <c r="AG50" i="11"/>
  <c r="AC7" i="8" s="1"/>
  <c r="X50" i="11"/>
  <c r="T7" i="8" s="1"/>
  <c r="K48" i="11"/>
  <c r="G5" i="8" s="1"/>
  <c r="S64" i="11"/>
  <c r="O21" i="8" s="1"/>
  <c r="T56" i="11"/>
  <c r="Z65" i="11"/>
  <c r="V22" i="8" s="1"/>
  <c r="R51" i="11"/>
  <c r="N8" i="8" s="1"/>
  <c r="AI47" i="11"/>
  <c r="AE4" i="8" s="1"/>
  <c r="AI73" i="11"/>
  <c r="Z53" i="11"/>
  <c r="V10" i="8" s="1"/>
  <c r="S71" i="11"/>
  <c r="O28" i="8" s="1"/>
  <c r="X47" i="11"/>
  <c r="T4" i="8" s="1"/>
  <c r="J46" i="11"/>
  <c r="I46" i="11"/>
  <c r="T46" i="11"/>
  <c r="AI65" i="11"/>
  <c r="AE22" i="8" s="1"/>
  <c r="AG72" i="11"/>
  <c r="X72" i="11"/>
  <c r="I50" i="11"/>
  <c r="E7" i="8" s="1"/>
  <c r="K50" i="11"/>
  <c r="G7" i="8" s="1"/>
  <c r="S48" i="11"/>
  <c r="O5" i="8" s="1"/>
  <c r="S57" i="11"/>
  <c r="O14" i="8" s="1"/>
  <c r="T66" i="11"/>
  <c r="P23" i="8" s="1"/>
  <c r="R62" i="11"/>
  <c r="N19" i="8" s="1"/>
  <c r="AA60" i="11"/>
  <c r="W17" i="8" s="1"/>
  <c r="U58" i="11"/>
  <c r="Q15" i="8" s="1"/>
  <c r="X56" i="11"/>
  <c r="Z56" i="11"/>
  <c r="S54" i="11"/>
  <c r="O11" i="8" s="1"/>
  <c r="U54" i="11"/>
  <c r="Q11" i="8" s="1"/>
  <c r="AG52" i="11"/>
  <c r="AC9" i="8" s="1"/>
  <c r="AI52" i="11"/>
  <c r="AE9" i="8" s="1"/>
  <c r="AI61" i="11"/>
  <c r="AE18" i="8" s="1"/>
  <c r="T61" i="11"/>
  <c r="P18" i="8" s="1"/>
  <c r="X51" i="11"/>
  <c r="T8" i="8" s="1"/>
  <c r="Z51" i="11"/>
  <c r="V8" i="8" s="1"/>
  <c r="U73" i="11"/>
  <c r="K47" i="11"/>
  <c r="G4" i="8" s="1"/>
  <c r="AA71" i="11"/>
  <c r="W28" i="8" s="1"/>
  <c r="AG71" i="11"/>
  <c r="AC28" i="8" s="1"/>
  <c r="U55" i="11"/>
  <c r="Q12" i="8" s="1"/>
  <c r="K55" i="11"/>
  <c r="G12" i="8" s="1"/>
  <c r="K72" i="11"/>
  <c r="S50" i="11"/>
  <c r="O7" i="8" s="1"/>
  <c r="U50" i="11"/>
  <c r="Q7" i="8" s="1"/>
  <c r="AA48" i="11"/>
  <c r="W5" i="8" s="1"/>
  <c r="Y72" i="11"/>
  <c r="S72" i="11"/>
  <c r="AA50" i="11"/>
  <c r="W7" i="8" s="1"/>
  <c r="T48" i="11"/>
  <c r="P5" i="8" s="1"/>
  <c r="AI48" i="11"/>
  <c r="AE5" i="8" s="1"/>
  <c r="S68" i="11"/>
  <c r="O25" i="8" s="1"/>
  <c r="AI54" i="11"/>
  <c r="AE11" i="8" s="1"/>
  <c r="T52" i="11"/>
  <c r="P9" i="8" s="1"/>
  <c r="U51" i="11"/>
  <c r="Q8" i="8" s="1"/>
  <c r="U53" i="11"/>
  <c r="Q10" i="8" s="1"/>
  <c r="R71" i="11"/>
  <c r="N28" i="8" s="1"/>
  <c r="AA55" i="11"/>
  <c r="W12" i="8" s="1"/>
  <c r="D37" i="4"/>
  <c r="AA13" i="8" l="1"/>
  <c r="AE114" i="11"/>
  <c r="AH3" i="8"/>
  <c r="AL115" i="11"/>
  <c r="Q13" i="8"/>
  <c r="U114" i="11"/>
  <c r="E3" i="8"/>
  <c r="I115" i="11"/>
  <c r="H3" i="8"/>
  <c r="L115" i="11"/>
  <c r="AD3" i="8"/>
  <c r="AH115" i="11"/>
  <c r="X3" i="8"/>
  <c r="AB115" i="11"/>
  <c r="P3" i="8"/>
  <c r="T115" i="11"/>
  <c r="X13" i="8"/>
  <c r="AB114" i="11"/>
  <c r="S3" i="8"/>
  <c r="W115" i="11"/>
  <c r="F3" i="8"/>
  <c r="J115" i="11"/>
  <c r="P13" i="8"/>
  <c r="T114" i="11"/>
  <c r="AE3" i="8"/>
  <c r="AI115" i="11"/>
  <c r="W13" i="8"/>
  <c r="AA114" i="11"/>
  <c r="K13" i="8"/>
  <c r="O114" i="11"/>
  <c r="Y3" i="8"/>
  <c r="AC115" i="11"/>
  <c r="L13" i="8"/>
  <c r="P114" i="11"/>
  <c r="C13" i="8"/>
  <c r="G114" i="11"/>
  <c r="Z3" i="8"/>
  <c r="AD115" i="11"/>
  <c r="AD13" i="8"/>
  <c r="AH114" i="11"/>
  <c r="V13" i="8"/>
  <c r="Z114" i="11"/>
  <c r="Q3" i="8"/>
  <c r="U115" i="11"/>
  <c r="M13" i="8"/>
  <c r="Q114" i="11"/>
  <c r="AA3" i="8"/>
  <c r="AE115" i="11"/>
  <c r="AH13" i="8"/>
  <c r="AL114" i="11"/>
  <c r="AB3" i="8"/>
  <c r="AF115" i="11"/>
  <c r="S13" i="8"/>
  <c r="W114" i="11"/>
  <c r="J13" i="8"/>
  <c r="N114" i="11"/>
  <c r="D3" i="8"/>
  <c r="H115" i="11"/>
  <c r="T3" i="8"/>
  <c r="X115" i="11"/>
  <c r="T13" i="8"/>
  <c r="X114" i="11"/>
  <c r="AG13" i="8"/>
  <c r="AK114" i="11"/>
  <c r="I3" i="8"/>
  <c r="M115" i="11"/>
  <c r="I13" i="8"/>
  <c r="M114" i="11"/>
  <c r="R3" i="8"/>
  <c r="V115" i="11"/>
  <c r="U13" i="8"/>
  <c r="Y114" i="11"/>
  <c r="Z13" i="8"/>
  <c r="AD114" i="11"/>
  <c r="Y13" i="8"/>
  <c r="AC114" i="11"/>
  <c r="K3" i="8"/>
  <c r="O115" i="11"/>
  <c r="AF3" i="8"/>
  <c r="AJ115" i="11"/>
  <c r="O3" i="8"/>
  <c r="S115" i="11"/>
  <c r="G3" i="8"/>
  <c r="K115" i="11"/>
  <c r="F13" i="8"/>
  <c r="J114" i="11"/>
  <c r="AE13" i="8"/>
  <c r="AI114" i="11"/>
  <c r="C3" i="8"/>
  <c r="G115" i="11"/>
  <c r="N13" i="8"/>
  <c r="R114" i="11"/>
  <c r="AF13" i="8"/>
  <c r="AJ114" i="11"/>
  <c r="AC13" i="8"/>
  <c r="AG114" i="11"/>
  <c r="E13" i="8"/>
  <c r="I114" i="11"/>
  <c r="AG3" i="8"/>
  <c r="AK115" i="11"/>
  <c r="M3" i="8"/>
  <c r="Q115" i="11"/>
  <c r="D13" i="8"/>
  <c r="H114" i="11"/>
  <c r="L3" i="8"/>
  <c r="P115" i="11"/>
  <c r="R13" i="8"/>
  <c r="V114" i="11"/>
  <c r="O13" i="8"/>
  <c r="S114" i="11"/>
  <c r="AC3" i="8"/>
  <c r="AG115" i="11"/>
  <c r="W3" i="8"/>
  <c r="AA115" i="11"/>
  <c r="AB13" i="8"/>
  <c r="AF114" i="11"/>
  <c r="H13" i="8"/>
  <c r="L114" i="11"/>
  <c r="G13" i="8"/>
  <c r="K114" i="11"/>
  <c r="N3" i="8"/>
  <c r="R115" i="11"/>
  <c r="J3" i="8"/>
  <c r="N115" i="11"/>
  <c r="U3" i="8"/>
  <c r="Y115" i="11"/>
  <c r="V3" i="8"/>
  <c r="Z115" i="11"/>
  <c r="I42" i="8"/>
  <c r="M115" i="12"/>
  <c r="M116" i="12"/>
  <c r="C45" i="8"/>
  <c r="G114" i="12"/>
  <c r="Y42" i="8"/>
  <c r="AC115" i="12"/>
  <c r="AC116" i="12"/>
  <c r="Y45" i="8"/>
  <c r="AC114" i="12"/>
  <c r="AA45" i="8"/>
  <c r="AE114" i="12"/>
  <c r="AG45" i="8"/>
  <c r="AK114" i="12"/>
  <c r="L42" i="8"/>
  <c r="P115" i="12"/>
  <c r="P116" i="12"/>
  <c r="G42" i="8"/>
  <c r="K115" i="12"/>
  <c r="K116" i="12"/>
  <c r="Q45" i="8"/>
  <c r="U114" i="12"/>
  <c r="C42" i="8"/>
  <c r="G115" i="12"/>
  <c r="G116" i="12"/>
  <c r="E45" i="8"/>
  <c r="I114" i="12"/>
  <c r="K45" i="8"/>
  <c r="O114" i="12"/>
  <c r="AE45" i="8"/>
  <c r="AI114" i="12"/>
  <c r="D45" i="8"/>
  <c r="H114" i="12"/>
  <c r="AF42" i="8"/>
  <c r="AJ115" i="12"/>
  <c r="AJ116" i="12"/>
  <c r="AB42" i="8"/>
  <c r="AF115" i="12"/>
  <c r="AF116" i="12"/>
  <c r="V42" i="8"/>
  <c r="Z115" i="12"/>
  <c r="Z116" i="12"/>
  <c r="AH42" i="8"/>
  <c r="AL115" i="12"/>
  <c r="AL116" i="12"/>
  <c r="Q42" i="8"/>
  <c r="U115" i="12"/>
  <c r="U116" i="12"/>
  <c r="P42" i="8"/>
  <c r="T116" i="12"/>
  <c r="T115" i="12"/>
  <c r="F45" i="8"/>
  <c r="J114" i="12"/>
  <c r="U45" i="8"/>
  <c r="Y114" i="12"/>
  <c r="AF45" i="8"/>
  <c r="AJ114" i="12"/>
  <c r="Z45" i="8"/>
  <c r="AD114" i="12"/>
  <c r="N45" i="8"/>
  <c r="R114" i="12"/>
  <c r="AB45" i="8"/>
  <c r="AF114" i="12"/>
  <c r="AH45" i="8"/>
  <c r="AL114" i="12"/>
  <c r="O42" i="8"/>
  <c r="S115" i="12"/>
  <c r="S116" i="12"/>
  <c r="J45" i="8"/>
  <c r="N114" i="12"/>
  <c r="M45" i="8"/>
  <c r="Q114" i="12"/>
  <c r="M42" i="8"/>
  <c r="Q115" i="12"/>
  <c r="Q116" i="12"/>
  <c r="R45" i="8"/>
  <c r="V114" i="12"/>
  <c r="Z42" i="8"/>
  <c r="AD115" i="12"/>
  <c r="AD116" i="12"/>
  <c r="G45" i="8"/>
  <c r="K114" i="12"/>
  <c r="H45" i="8"/>
  <c r="L114" i="12"/>
  <c r="AC45" i="8"/>
  <c r="AG114" i="12"/>
  <c r="J42" i="8"/>
  <c r="N115" i="12"/>
  <c r="N116" i="12"/>
  <c r="X42" i="8"/>
  <c r="AB116" i="12"/>
  <c r="AB115" i="12"/>
  <c r="R42" i="8"/>
  <c r="V115" i="12"/>
  <c r="V116" i="12"/>
  <c r="U42" i="8"/>
  <c r="Y115" i="12"/>
  <c r="Y116" i="12"/>
  <c r="N42" i="8"/>
  <c r="R115" i="12"/>
  <c r="R116" i="12"/>
  <c r="V45" i="8"/>
  <c r="Z114" i="12"/>
  <c r="AD42" i="8"/>
  <c r="AH115" i="12"/>
  <c r="AH116" i="12"/>
  <c r="I45" i="8"/>
  <c r="M114" i="12"/>
  <c r="AE42" i="8"/>
  <c r="AI115" i="12"/>
  <c r="AI116" i="12"/>
  <c r="AC42" i="8"/>
  <c r="AG115" i="12"/>
  <c r="AG116" i="12"/>
  <c r="W42" i="8"/>
  <c r="AA115" i="12"/>
  <c r="AA116" i="12"/>
  <c r="K42" i="8"/>
  <c r="O115" i="12"/>
  <c r="O116" i="12"/>
  <c r="E42" i="8"/>
  <c r="I115" i="12"/>
  <c r="I116" i="12"/>
  <c r="P45" i="8"/>
  <c r="T114" i="12"/>
  <c r="S42" i="8"/>
  <c r="W115" i="12"/>
  <c r="W116" i="12"/>
  <c r="X45" i="8"/>
  <c r="AB114" i="12"/>
  <c r="AA42" i="8"/>
  <c r="AE115" i="12"/>
  <c r="AE117" i="12" s="1"/>
  <c r="AE116" i="12"/>
  <c r="L45" i="8"/>
  <c r="P114" i="12"/>
  <c r="W45" i="8"/>
  <c r="AA114" i="12"/>
  <c r="D42" i="8"/>
  <c r="H115" i="12"/>
  <c r="H116" i="12"/>
  <c r="H42" i="8"/>
  <c r="L115" i="12"/>
  <c r="L116" i="12"/>
  <c r="S45" i="8"/>
  <c r="W114" i="12"/>
  <c r="AG42" i="8"/>
  <c r="AK115" i="12"/>
  <c r="AK116" i="12"/>
  <c r="F42" i="8"/>
  <c r="J115" i="12"/>
  <c r="J116" i="12"/>
  <c r="O45" i="8"/>
  <c r="S114" i="12"/>
  <c r="AD45" i="8"/>
  <c r="AH114" i="12"/>
  <c r="T42" i="8"/>
  <c r="X115" i="12"/>
  <c r="X116" i="12"/>
  <c r="T45" i="8"/>
  <c r="X114" i="12"/>
  <c r="F116" i="12"/>
  <c r="F115" i="12"/>
  <c r="F114" i="12"/>
  <c r="B42" i="8"/>
  <c r="B45" i="8"/>
  <c r="F115" i="11"/>
  <c r="F116" i="11" s="1"/>
  <c r="F114" i="11"/>
  <c r="B3" i="8"/>
  <c r="B13" i="8"/>
  <c r="B22" i="8"/>
  <c r="B5" i="8"/>
  <c r="B8" i="8"/>
  <c r="N37" i="4"/>
  <c r="V37" i="4"/>
  <c r="AD37" i="4"/>
  <c r="AL37" i="4"/>
  <c r="U37" i="4"/>
  <c r="G37" i="4"/>
  <c r="O37" i="4"/>
  <c r="W37" i="4"/>
  <c r="AE37" i="4"/>
  <c r="AC37" i="4"/>
  <c r="H37" i="4"/>
  <c r="P37" i="4"/>
  <c r="X37" i="4"/>
  <c r="AF37" i="4"/>
  <c r="M37" i="4"/>
  <c r="AK37" i="4"/>
  <c r="I37" i="4"/>
  <c r="Q37" i="4"/>
  <c r="Y37" i="4"/>
  <c r="AG37" i="4"/>
  <c r="J37" i="4"/>
  <c r="R37" i="4"/>
  <c r="Z37" i="4"/>
  <c r="AH37" i="4"/>
  <c r="K37" i="4"/>
  <c r="S37" i="4"/>
  <c r="AA37" i="4"/>
  <c r="AI37" i="4"/>
  <c r="L37" i="4"/>
  <c r="T37" i="4"/>
  <c r="AB37" i="4"/>
  <c r="AJ37" i="4"/>
  <c r="N35" i="4"/>
  <c r="V35" i="4"/>
  <c r="AD35" i="4"/>
  <c r="AL35" i="4"/>
  <c r="AC35" i="4"/>
  <c r="G35" i="4"/>
  <c r="O35" i="4"/>
  <c r="W35" i="4"/>
  <c r="AE35" i="4"/>
  <c r="M35" i="4"/>
  <c r="H35" i="4"/>
  <c r="P35" i="4"/>
  <c r="X35" i="4"/>
  <c r="AF35" i="4"/>
  <c r="U35" i="4"/>
  <c r="AK35" i="4"/>
  <c r="I35" i="4"/>
  <c r="Q35" i="4"/>
  <c r="Y35" i="4"/>
  <c r="AG35" i="4"/>
  <c r="J35" i="4"/>
  <c r="R35" i="4"/>
  <c r="Z35" i="4"/>
  <c r="AH35" i="4"/>
  <c r="K35" i="4"/>
  <c r="S35" i="4"/>
  <c r="AA35" i="4"/>
  <c r="AI35" i="4"/>
  <c r="L35" i="4"/>
  <c r="T35" i="4"/>
  <c r="AB35" i="4"/>
  <c r="AJ35" i="4"/>
  <c r="N36" i="4"/>
  <c r="V36" i="4"/>
  <c r="AD36" i="4"/>
  <c r="AL36" i="4"/>
  <c r="M36" i="4"/>
  <c r="AC36" i="4"/>
  <c r="AK36" i="4"/>
  <c r="G36" i="4"/>
  <c r="O36" i="4"/>
  <c r="W36" i="4"/>
  <c r="AE36" i="4"/>
  <c r="H36" i="4"/>
  <c r="P36" i="4"/>
  <c r="X36" i="4"/>
  <c r="AF36" i="4"/>
  <c r="U36" i="4"/>
  <c r="I36" i="4"/>
  <c r="Q36" i="4"/>
  <c r="Y36" i="4"/>
  <c r="AG36" i="4"/>
  <c r="J36" i="4"/>
  <c r="R36" i="4"/>
  <c r="Z36" i="4"/>
  <c r="AH36" i="4"/>
  <c r="K36" i="4"/>
  <c r="S36" i="4"/>
  <c r="AA36" i="4"/>
  <c r="AI36" i="4"/>
  <c r="L36" i="4"/>
  <c r="T36" i="4"/>
  <c r="AB36" i="4"/>
  <c r="AJ36" i="4"/>
  <c r="N34" i="4"/>
  <c r="V34" i="4"/>
  <c r="AD34" i="4"/>
  <c r="AL34" i="4"/>
  <c r="G34" i="4"/>
  <c r="O34" i="4"/>
  <c r="W34" i="4"/>
  <c r="AE34" i="4"/>
  <c r="H34" i="4"/>
  <c r="P34" i="4"/>
  <c r="X34" i="4"/>
  <c r="AF34" i="4"/>
  <c r="I34" i="4"/>
  <c r="Q34" i="4"/>
  <c r="Y34" i="4"/>
  <c r="AG34" i="4"/>
  <c r="AK34" i="4"/>
  <c r="J34" i="4"/>
  <c r="R34" i="4"/>
  <c r="Z34" i="4"/>
  <c r="AH34" i="4"/>
  <c r="AC34" i="4"/>
  <c r="K34" i="4"/>
  <c r="S34" i="4"/>
  <c r="AA34" i="4"/>
  <c r="AI34" i="4"/>
  <c r="U34" i="4"/>
  <c r="L34" i="4"/>
  <c r="T34" i="4"/>
  <c r="AB34" i="4"/>
  <c r="AJ34" i="4"/>
  <c r="M34" i="4"/>
  <c r="J117" i="12" l="1"/>
  <c r="I117" i="12"/>
  <c r="V117" i="12"/>
  <c r="AI117" i="12"/>
  <c r="Y117" i="12"/>
  <c r="G117" i="12"/>
  <c r="AD117" i="12"/>
  <c r="P117" i="12"/>
  <c r="L117" i="12"/>
  <c r="N117" i="12"/>
  <c r="Z116" i="11"/>
  <c r="Z118" i="11" s="1"/>
  <c r="Z117" i="11"/>
  <c r="AG116" i="11"/>
  <c r="AG118" i="11" s="1"/>
  <c r="AG117" i="11"/>
  <c r="AJ117" i="11"/>
  <c r="AJ116" i="11"/>
  <c r="AJ118" i="11" s="1"/>
  <c r="AE116" i="11"/>
  <c r="AE118" i="11" s="1"/>
  <c r="AE117" i="11"/>
  <c r="AC116" i="11"/>
  <c r="AC118" i="11" s="1"/>
  <c r="AC117" i="11"/>
  <c r="T117" i="11"/>
  <c r="T116" i="11"/>
  <c r="T118" i="11" s="1"/>
  <c r="I116" i="11"/>
  <c r="I118" i="11" s="1"/>
  <c r="I117" i="11"/>
  <c r="O117" i="12"/>
  <c r="Y116" i="11"/>
  <c r="Y118" i="11" s="1"/>
  <c r="Y117" i="11"/>
  <c r="Q116" i="11"/>
  <c r="Q118" i="11" s="1"/>
  <c r="Q117" i="11"/>
  <c r="O116" i="11"/>
  <c r="O118" i="11" s="1"/>
  <c r="O117" i="11"/>
  <c r="V116" i="11"/>
  <c r="V118" i="11" s="1"/>
  <c r="V117" i="11"/>
  <c r="AD116" i="11"/>
  <c r="AD118" i="11" s="1"/>
  <c r="AD117" i="11"/>
  <c r="J116" i="11"/>
  <c r="J118" i="11" s="1"/>
  <c r="J117" i="11"/>
  <c r="AB116" i="11"/>
  <c r="AB118" i="11" s="1"/>
  <c r="AB117" i="11"/>
  <c r="N116" i="11"/>
  <c r="N118" i="11" s="1"/>
  <c r="N117" i="11"/>
  <c r="AK116" i="11"/>
  <c r="AK118" i="11" s="1"/>
  <c r="AK117" i="11"/>
  <c r="K116" i="11"/>
  <c r="K118" i="11" s="1"/>
  <c r="K117" i="11"/>
  <c r="X116" i="11"/>
  <c r="X118" i="11" s="1"/>
  <c r="X117" i="11"/>
  <c r="AF116" i="11"/>
  <c r="AF118" i="11" s="1"/>
  <c r="AF117" i="11"/>
  <c r="U116" i="11"/>
  <c r="U118" i="11" s="1"/>
  <c r="U117" i="11"/>
  <c r="W116" i="11"/>
  <c r="W118" i="11" s="1"/>
  <c r="W117" i="11"/>
  <c r="AH116" i="11"/>
  <c r="AH118" i="11" s="1"/>
  <c r="AH117" i="11"/>
  <c r="AL116" i="11"/>
  <c r="AL118" i="11" s="1"/>
  <c r="AL117" i="11"/>
  <c r="AK117" i="12"/>
  <c r="H117" i="12"/>
  <c r="R116" i="11"/>
  <c r="R118" i="11" s="1"/>
  <c r="R117" i="11"/>
  <c r="AA116" i="11"/>
  <c r="AA118" i="11" s="1"/>
  <c r="AA117" i="11"/>
  <c r="P116" i="11"/>
  <c r="P118" i="11" s="1"/>
  <c r="P117" i="11"/>
  <c r="G116" i="11"/>
  <c r="G118" i="11" s="1"/>
  <c r="G117" i="11"/>
  <c r="S116" i="11"/>
  <c r="S118" i="11" s="1"/>
  <c r="S117" i="11"/>
  <c r="M116" i="11"/>
  <c r="M118" i="11" s="1"/>
  <c r="M117" i="11"/>
  <c r="H116" i="11"/>
  <c r="H118" i="11" s="1"/>
  <c r="H117" i="11"/>
  <c r="AI116" i="11"/>
  <c r="AI118" i="11" s="1"/>
  <c r="AI117" i="11"/>
  <c r="L116" i="11"/>
  <c r="L118" i="11" s="1"/>
  <c r="L117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7" i="11"/>
  <c r="F118" i="11"/>
  <c r="F37" i="4"/>
  <c r="E37" i="4"/>
  <c r="E34" i="4"/>
  <c r="F35" i="4"/>
  <c r="E35" i="4"/>
  <c r="F36" i="4"/>
  <c r="E36" i="4"/>
  <c r="F34" i="4"/>
  <c r="B114" i="12" l="1"/>
  <c r="B115" i="12"/>
  <c r="E122" i="12" a="1"/>
  <c r="AL135" i="12" s="1"/>
  <c r="V29" i="8"/>
  <c r="AC30" i="8"/>
  <c r="N30" i="8"/>
  <c r="U29" i="8"/>
  <c r="AA30" i="8"/>
  <c r="Q30" i="8"/>
  <c r="J31" i="8"/>
  <c r="AD30" i="8"/>
  <c r="I30" i="8"/>
  <c r="AF30" i="8"/>
  <c r="P29" i="8"/>
  <c r="W30" i="8"/>
  <c r="L31" i="8"/>
  <c r="AB30" i="8"/>
  <c r="O31" i="8"/>
  <c r="AA29" i="8"/>
  <c r="AA31" i="8"/>
  <c r="Z31" i="8"/>
  <c r="Y30" i="8"/>
  <c r="L30" i="8"/>
  <c r="P30" i="8"/>
  <c r="N31" i="8"/>
  <c r="AG29" i="8"/>
  <c r="S31" i="8"/>
  <c r="R31" i="8"/>
  <c r="R29" i="8"/>
  <c r="Z30" i="8"/>
  <c r="T30" i="8"/>
  <c r="V30" i="8"/>
  <c r="X30" i="8"/>
  <c r="AD29" i="8"/>
  <c r="AD31" i="8"/>
  <c r="AB31" i="8"/>
  <c r="Z29" i="8"/>
  <c r="U31" i="8"/>
  <c r="J29" i="8"/>
  <c r="AG30" i="8"/>
  <c r="V31" i="8"/>
  <c r="AC29" i="8"/>
  <c r="AF29" i="8"/>
  <c r="AF31" i="8"/>
  <c r="W31" i="8"/>
  <c r="AH30" i="8"/>
  <c r="AE31" i="8"/>
  <c r="O29" i="8"/>
  <c r="AB29" i="8"/>
  <c r="G30" i="8"/>
  <c r="N29" i="8"/>
  <c r="K31" i="8"/>
  <c r="H31" i="8"/>
  <c r="K29" i="8"/>
  <c r="T31" i="8"/>
  <c r="K30" i="8"/>
  <c r="M30" i="8"/>
  <c r="O30" i="8"/>
  <c r="F29" i="8"/>
  <c r="G31" i="8"/>
  <c r="P31" i="8"/>
  <c r="W29" i="8"/>
  <c r="S29" i="8"/>
  <c r="L29" i="8"/>
  <c r="J30" i="8"/>
  <c r="S30" i="8"/>
  <c r="U30" i="8"/>
  <c r="H29" i="8"/>
  <c r="M31" i="8"/>
  <c r="Q31" i="8"/>
  <c r="G29" i="8"/>
  <c r="T29" i="8"/>
  <c r="AE30" i="8"/>
  <c r="AC31" i="8"/>
  <c r="AG31" i="8"/>
  <c r="Q29" i="8"/>
  <c r="AH29" i="8"/>
  <c r="AH31" i="8"/>
  <c r="R30" i="8"/>
  <c r="F30" i="8"/>
  <c r="H30" i="8"/>
  <c r="Y31" i="8"/>
  <c r="F31" i="8"/>
  <c r="Y29" i="8"/>
  <c r="M29" i="8"/>
  <c r="AE29" i="8"/>
  <c r="I31" i="8"/>
  <c r="I29" i="8"/>
  <c r="X31" i="8"/>
  <c r="X29" i="8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E123" i="12" l="1"/>
  <c r="AJ129" i="12"/>
  <c r="I131" i="12"/>
  <c r="P132" i="12"/>
  <c r="O133" i="12"/>
  <c r="N134" i="12"/>
  <c r="M135" i="12"/>
  <c r="E124" i="12"/>
  <c r="AF131" i="12"/>
  <c r="E133" i="12"/>
  <c r="L134" i="12"/>
  <c r="K135" i="12"/>
  <c r="G122" i="12"/>
  <c r="F123" i="12"/>
  <c r="M124" i="12"/>
  <c r="AB133" i="12"/>
  <c r="AI134" i="12"/>
  <c r="E122" i="12"/>
  <c r="AL122" i="12"/>
  <c r="AK123" i="12"/>
  <c r="AJ124" i="12"/>
  <c r="U124" i="12"/>
  <c r="X135" i="12"/>
  <c r="AJ122" i="12"/>
  <c r="AI123" i="12"/>
  <c r="AH124" i="12"/>
  <c r="AG125" i="12"/>
  <c r="AF126" i="12"/>
  <c r="R122" i="12"/>
  <c r="Y123" i="12"/>
  <c r="AF124" i="12"/>
  <c r="AE125" i="12"/>
  <c r="AD126" i="12"/>
  <c r="AC127" i="12"/>
  <c r="AB128" i="12"/>
  <c r="Q130" i="12"/>
  <c r="N124" i="12"/>
  <c r="U125" i="12"/>
  <c r="AB126" i="12"/>
  <c r="AA127" i="12"/>
  <c r="Z128" i="12"/>
  <c r="Y129" i="12"/>
  <c r="X130" i="12"/>
  <c r="U132" i="12"/>
  <c r="J126" i="12"/>
  <c r="Q127" i="12"/>
  <c r="X128" i="12"/>
  <c r="W129" i="12"/>
  <c r="V130" i="12"/>
  <c r="U131" i="12"/>
  <c r="T132" i="12"/>
  <c r="Y134" i="12"/>
  <c r="F128" i="12"/>
  <c r="M129" i="12"/>
  <c r="T130" i="12"/>
  <c r="S131" i="12"/>
  <c r="R132" i="12"/>
  <c r="Q133" i="12"/>
  <c r="P134" i="12"/>
  <c r="M132" i="12"/>
  <c r="Q134" i="12"/>
  <c r="W123" i="12"/>
  <c r="AA125" i="12"/>
  <c r="AI125" i="12"/>
  <c r="I126" i="12"/>
  <c r="Q126" i="12"/>
  <c r="Z122" i="12"/>
  <c r="V124" i="12"/>
  <c r="R126" i="12"/>
  <c r="N128" i="12"/>
  <c r="J130" i="12"/>
  <c r="F132" i="12"/>
  <c r="AJ133" i="12"/>
  <c r="AF135" i="12"/>
  <c r="AG123" i="12"/>
  <c r="AC125" i="12"/>
  <c r="Y127" i="12"/>
  <c r="U129" i="12"/>
  <c r="Q131" i="12"/>
  <c r="M133" i="12"/>
  <c r="I135" i="12"/>
  <c r="J123" i="12"/>
  <c r="F125" i="12"/>
  <c r="AJ126" i="12"/>
  <c r="AF128" i="12"/>
  <c r="AB130" i="12"/>
  <c r="X132" i="12"/>
  <c r="T134" i="12"/>
  <c r="M122" i="12"/>
  <c r="I124" i="12"/>
  <c r="E126" i="12"/>
  <c r="AI127" i="12"/>
  <c r="AE129" i="12"/>
  <c r="AA131" i="12"/>
  <c r="W133" i="12"/>
  <c r="S135" i="12"/>
  <c r="L123" i="12"/>
  <c r="H125" i="12"/>
  <c r="AL126" i="12"/>
  <c r="AH128" i="12"/>
  <c r="AD130" i="12"/>
  <c r="Z132" i="12"/>
  <c r="V134" i="12"/>
  <c r="O122" i="12"/>
  <c r="K124" i="12"/>
  <c r="G126" i="12"/>
  <c r="AK127" i="12"/>
  <c r="AG129" i="12"/>
  <c r="AC131" i="12"/>
  <c r="Y133" i="12"/>
  <c r="U135" i="12"/>
  <c r="N123" i="12"/>
  <c r="J125" i="12"/>
  <c r="F127" i="12"/>
  <c r="AJ128" i="12"/>
  <c r="AF130" i="12"/>
  <c r="AB132" i="12"/>
  <c r="X134" i="12"/>
  <c r="I134" i="12"/>
  <c r="O123" i="12"/>
  <c r="S125" i="12"/>
  <c r="W127" i="12"/>
  <c r="AE127" i="12"/>
  <c r="E128" i="12"/>
  <c r="M128" i="12"/>
  <c r="AH122" i="12"/>
  <c r="AD124" i="12"/>
  <c r="Z126" i="12"/>
  <c r="V128" i="12"/>
  <c r="R130" i="12"/>
  <c r="N132" i="12"/>
  <c r="J134" i="12"/>
  <c r="K122" i="12"/>
  <c r="G124" i="12"/>
  <c r="AK125" i="12"/>
  <c r="AG127" i="12"/>
  <c r="AC129" i="12"/>
  <c r="Y131" i="12"/>
  <c r="U133" i="12"/>
  <c r="Q135" i="12"/>
  <c r="R123" i="12"/>
  <c r="N125" i="12"/>
  <c r="J127" i="12"/>
  <c r="F129" i="12"/>
  <c r="AJ130" i="12"/>
  <c r="AF132" i="12"/>
  <c r="AB134" i="12"/>
  <c r="U122" i="12"/>
  <c r="Q124" i="12"/>
  <c r="M126" i="12"/>
  <c r="I128" i="12"/>
  <c r="E130" i="12"/>
  <c r="AI131" i="12"/>
  <c r="AE133" i="12"/>
  <c r="AA135" i="12"/>
  <c r="T123" i="12"/>
  <c r="P125" i="12"/>
  <c r="L127" i="12"/>
  <c r="H129" i="12"/>
  <c r="AL130" i="12"/>
  <c r="AH132" i="12"/>
  <c r="AD134" i="12"/>
  <c r="W122" i="12"/>
  <c r="S124" i="12"/>
  <c r="O126" i="12"/>
  <c r="K128" i="12"/>
  <c r="G130" i="12"/>
  <c r="AK131" i="12"/>
  <c r="AG133" i="12"/>
  <c r="AC135" i="12"/>
  <c r="V123" i="12"/>
  <c r="R125" i="12"/>
  <c r="N127" i="12"/>
  <c r="J129" i="12"/>
  <c r="F131" i="12"/>
  <c r="AJ132" i="12"/>
  <c r="AF134" i="12"/>
  <c r="G123" i="12"/>
  <c r="K125" i="12"/>
  <c r="O127" i="12"/>
  <c r="S129" i="12"/>
  <c r="AA129" i="12"/>
  <c r="AI129" i="12"/>
  <c r="I130" i="12"/>
  <c r="H123" i="12"/>
  <c r="AL124" i="12"/>
  <c r="AH126" i="12"/>
  <c r="AD128" i="12"/>
  <c r="Z130" i="12"/>
  <c r="V132" i="12"/>
  <c r="R134" i="12"/>
  <c r="S122" i="12"/>
  <c r="O124" i="12"/>
  <c r="K126" i="12"/>
  <c r="G128" i="12"/>
  <c r="AK129" i="12"/>
  <c r="AG131" i="12"/>
  <c r="AC133" i="12"/>
  <c r="Y135" i="12"/>
  <c r="Z123" i="12"/>
  <c r="V125" i="12"/>
  <c r="R127" i="12"/>
  <c r="N129" i="12"/>
  <c r="J131" i="12"/>
  <c r="F133" i="12"/>
  <c r="AJ134" i="12"/>
  <c r="AC122" i="12"/>
  <c r="Y124" i="12"/>
  <c r="U126" i="12"/>
  <c r="Q128" i="12"/>
  <c r="M130" i="12"/>
  <c r="I132" i="12"/>
  <c r="E134" i="12"/>
  <c r="AI135" i="12"/>
  <c r="AB123" i="12"/>
  <c r="X125" i="12"/>
  <c r="T127" i="12"/>
  <c r="P129" i="12"/>
  <c r="L131" i="12"/>
  <c r="H133" i="12"/>
  <c r="AL134" i="12"/>
  <c r="AE122" i="12"/>
  <c r="AA124" i="12"/>
  <c r="W126" i="12"/>
  <c r="S128" i="12"/>
  <c r="O130" i="12"/>
  <c r="K132" i="12"/>
  <c r="G134" i="12"/>
  <c r="AK135" i="12"/>
  <c r="AD123" i="12"/>
  <c r="Z125" i="12"/>
  <c r="V127" i="12"/>
  <c r="R129" i="12"/>
  <c r="N131" i="12"/>
  <c r="J133" i="12"/>
  <c r="F135" i="12"/>
  <c r="AG122" i="12"/>
  <c r="AK124" i="12"/>
  <c r="G127" i="12"/>
  <c r="K129" i="12"/>
  <c r="O131" i="12"/>
  <c r="W131" i="12"/>
  <c r="AE131" i="12"/>
  <c r="E132" i="12"/>
  <c r="P123" i="12"/>
  <c r="L125" i="12"/>
  <c r="H127" i="12"/>
  <c r="AL128" i="12"/>
  <c r="AH130" i="12"/>
  <c r="AD132" i="12"/>
  <c r="Z134" i="12"/>
  <c r="AA122" i="12"/>
  <c r="W124" i="12"/>
  <c r="S126" i="12"/>
  <c r="O128" i="12"/>
  <c r="K130" i="12"/>
  <c r="G132" i="12"/>
  <c r="AK133" i="12"/>
  <c r="AG135" i="12"/>
  <c r="AH123" i="12"/>
  <c r="AD125" i="12"/>
  <c r="Z127" i="12"/>
  <c r="V129" i="12"/>
  <c r="R131" i="12"/>
  <c r="N133" i="12"/>
  <c r="J135" i="12"/>
  <c r="AK122" i="12"/>
  <c r="AG124" i="12"/>
  <c r="AC126" i="12"/>
  <c r="Y128" i="12"/>
  <c r="U130" i="12"/>
  <c r="Q132" i="12"/>
  <c r="M134" i="12"/>
  <c r="F122" i="12"/>
  <c r="AJ123" i="12"/>
  <c r="AF125" i="12"/>
  <c r="AB127" i="12"/>
  <c r="X129" i="12"/>
  <c r="T131" i="12"/>
  <c r="P133" i="12"/>
  <c r="L135" i="12"/>
  <c r="E123" i="12"/>
  <c r="AI124" i="12"/>
  <c r="AE126" i="12"/>
  <c r="AA128" i="12"/>
  <c r="W130" i="12"/>
  <c r="S132" i="12"/>
  <c r="O134" i="12"/>
  <c r="H122" i="12"/>
  <c r="AL123" i="12"/>
  <c r="AH125" i="12"/>
  <c r="AD127" i="12"/>
  <c r="Z129" i="12"/>
  <c r="V131" i="12"/>
  <c r="R133" i="12"/>
  <c r="N135" i="12"/>
  <c r="AC124" i="12"/>
  <c r="AG126" i="12"/>
  <c r="AK128" i="12"/>
  <c r="G131" i="12"/>
  <c r="K133" i="12"/>
  <c r="S133" i="12"/>
  <c r="AA133" i="12"/>
  <c r="AI133" i="12"/>
  <c r="X123" i="12"/>
  <c r="T125" i="12"/>
  <c r="P127" i="12"/>
  <c r="L129" i="12"/>
  <c r="H131" i="12"/>
  <c r="AL132" i="12"/>
  <c r="AH134" i="12"/>
  <c r="AI122" i="12"/>
  <c r="AE124" i="12"/>
  <c r="AA126" i="12"/>
  <c r="W128" i="12"/>
  <c r="S130" i="12"/>
  <c r="O132" i="12"/>
  <c r="K134" i="12"/>
  <c r="L122" i="12"/>
  <c r="H124" i="12"/>
  <c r="AL125" i="12"/>
  <c r="AH127" i="12"/>
  <c r="AD129" i="12"/>
  <c r="Z131" i="12"/>
  <c r="V133" i="12"/>
  <c r="R135" i="12"/>
  <c r="K123" i="12"/>
  <c r="G125" i="12"/>
  <c r="AK126" i="12"/>
  <c r="AG128" i="12"/>
  <c r="AC130" i="12"/>
  <c r="Y132" i="12"/>
  <c r="U134" i="12"/>
  <c r="N122" i="12"/>
  <c r="J124" i="12"/>
  <c r="F126" i="12"/>
  <c r="AJ127" i="12"/>
  <c r="AF129" i="12"/>
  <c r="AB131" i="12"/>
  <c r="X133" i="12"/>
  <c r="T135" i="12"/>
  <c r="M123" i="12"/>
  <c r="I125" i="12"/>
  <c r="E127" i="12"/>
  <c r="AI128" i="12"/>
  <c r="AE130" i="12"/>
  <c r="AA132" i="12"/>
  <c r="W134" i="12"/>
  <c r="P122" i="12"/>
  <c r="L124" i="12"/>
  <c r="H126" i="12"/>
  <c r="AL127" i="12"/>
  <c r="AH129" i="12"/>
  <c r="AD131" i="12"/>
  <c r="Z133" i="12"/>
  <c r="V135" i="12"/>
  <c r="Y126" i="12"/>
  <c r="AC128" i="12"/>
  <c r="AG130" i="12"/>
  <c r="AK132" i="12"/>
  <c r="G135" i="12"/>
  <c r="O135" i="12"/>
  <c r="W135" i="12"/>
  <c r="AE135" i="12"/>
  <c r="AF123" i="12"/>
  <c r="AB125" i="12"/>
  <c r="X127" i="12"/>
  <c r="T129" i="12"/>
  <c r="P131" i="12"/>
  <c r="L133" i="12"/>
  <c r="H135" i="12"/>
  <c r="I123" i="12"/>
  <c r="E125" i="12"/>
  <c r="AI126" i="12"/>
  <c r="AE128" i="12"/>
  <c r="AA130" i="12"/>
  <c r="W132" i="12"/>
  <c r="S134" i="12"/>
  <c r="T122" i="12"/>
  <c r="P124" i="12"/>
  <c r="L126" i="12"/>
  <c r="H128" i="12"/>
  <c r="AL129" i="12"/>
  <c r="AH131" i="12"/>
  <c r="AD133" i="12"/>
  <c r="Z135" i="12"/>
  <c r="S123" i="12"/>
  <c r="O125" i="12"/>
  <c r="K127" i="12"/>
  <c r="G129" i="12"/>
  <c r="AK130" i="12"/>
  <c r="AG132" i="12"/>
  <c r="AC134" i="12"/>
  <c r="V122" i="12"/>
  <c r="R124" i="12"/>
  <c r="N126" i="12"/>
  <c r="J128" i="12"/>
  <c r="F130" i="12"/>
  <c r="AJ131" i="12"/>
  <c r="AF133" i="12"/>
  <c r="AB135" i="12"/>
  <c r="U123" i="12"/>
  <c r="Q125" i="12"/>
  <c r="M127" i="12"/>
  <c r="I129" i="12"/>
  <c r="E131" i="12"/>
  <c r="AI132" i="12"/>
  <c r="AE134" i="12"/>
  <c r="X122" i="12"/>
  <c r="T124" i="12"/>
  <c r="P126" i="12"/>
  <c r="L128" i="12"/>
  <c r="H130" i="12"/>
  <c r="AL131" i="12"/>
  <c r="AH133" i="12"/>
  <c r="AD135" i="12"/>
  <c r="U128" i="12"/>
  <c r="Y130" i="12"/>
  <c r="AC132" i="12"/>
  <c r="AG134" i="12"/>
  <c r="I122" i="12"/>
  <c r="Q122" i="12"/>
  <c r="Y122" i="12"/>
  <c r="J122" i="12"/>
  <c r="F124" i="12"/>
  <c r="AJ125" i="12"/>
  <c r="AF127" i="12"/>
  <c r="AB129" i="12"/>
  <c r="X131" i="12"/>
  <c r="T133" i="12"/>
  <c r="P135" i="12"/>
  <c r="Q123" i="12"/>
  <c r="M125" i="12"/>
  <c r="I127" i="12"/>
  <c r="E129" i="12"/>
  <c r="AI130" i="12"/>
  <c r="AE132" i="12"/>
  <c r="AA134" i="12"/>
  <c r="AB122" i="12"/>
  <c r="X124" i="12"/>
  <c r="T126" i="12"/>
  <c r="P128" i="12"/>
  <c r="L130" i="12"/>
  <c r="H132" i="12"/>
  <c r="AL133" i="12"/>
  <c r="AH135" i="12"/>
  <c r="AA123" i="12"/>
  <c r="W125" i="12"/>
  <c r="S127" i="12"/>
  <c r="O129" i="12"/>
  <c r="K131" i="12"/>
  <c r="G133" i="12"/>
  <c r="AK134" i="12"/>
  <c r="AD122" i="12"/>
  <c r="Z124" i="12"/>
  <c r="V126" i="12"/>
  <c r="R128" i="12"/>
  <c r="N130" i="12"/>
  <c r="J132" i="12"/>
  <c r="F134" i="12"/>
  <c r="AJ135" i="12"/>
  <c r="AC123" i="12"/>
  <c r="Y125" i="12"/>
  <c r="U127" i="12"/>
  <c r="Q129" i="12"/>
  <c r="M131" i="12"/>
  <c r="I133" i="12"/>
  <c r="E135" i="12"/>
  <c r="AF122" i="12"/>
  <c r="AB124" i="12"/>
  <c r="X126" i="12"/>
  <c r="T128" i="12"/>
  <c r="P130" i="12"/>
  <c r="L132" i="12"/>
  <c r="H134" i="12"/>
  <c r="A2" i="4"/>
  <c r="BA4" i="4" s="1"/>
  <c r="C114" i="4"/>
  <c r="F113" i="4"/>
  <c r="F79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G46" i="4" l="1"/>
  <c r="T46" i="4"/>
  <c r="Z46" i="4"/>
  <c r="U46" i="4"/>
  <c r="Q46" i="4"/>
  <c r="S46" i="4"/>
  <c r="X46" i="4"/>
  <c r="AF46" i="4"/>
  <c r="AJ46" i="4"/>
  <c r="Y46" i="4"/>
  <c r="N46" i="4"/>
  <c r="P46" i="4"/>
  <c r="AG46" i="4"/>
  <c r="AH46" i="4"/>
  <c r="AA46" i="4"/>
  <c r="AC46" i="4"/>
  <c r="H46" i="4"/>
  <c r="AB46" i="4"/>
  <c r="R46" i="4"/>
  <c r="J46" i="4"/>
  <c r="AI46" i="4"/>
  <c r="V46" i="4"/>
  <c r="AE46" i="4"/>
  <c r="AD46" i="4"/>
  <c r="AK46" i="4"/>
  <c r="AL46" i="4"/>
  <c r="O46" i="4"/>
  <c r="L46" i="4"/>
  <c r="K46" i="4"/>
  <c r="I46" i="4"/>
  <c r="M46" i="4"/>
  <c r="W46" i="4"/>
  <c r="AG48" i="4"/>
  <c r="AH48" i="4"/>
  <c r="AA48" i="4"/>
  <c r="V48" i="4"/>
  <c r="AC48" i="4"/>
  <c r="H48" i="4"/>
  <c r="AK48" i="4"/>
  <c r="G48" i="4"/>
  <c r="T48" i="4"/>
  <c r="Z48" i="4"/>
  <c r="K48" i="4"/>
  <c r="U48" i="4"/>
  <c r="Q48" i="4"/>
  <c r="X48" i="4"/>
  <c r="N48" i="4"/>
  <c r="AJ48" i="4"/>
  <c r="Y48" i="4"/>
  <c r="AB48" i="4"/>
  <c r="I48" i="4"/>
  <c r="M48" i="4"/>
  <c r="W48" i="4"/>
  <c r="R48" i="4"/>
  <c r="AL48" i="4"/>
  <c r="J48" i="4"/>
  <c r="AI48" i="4"/>
  <c r="AD48" i="4"/>
  <c r="AE48" i="4"/>
  <c r="P48" i="4"/>
  <c r="L48" i="4"/>
  <c r="O48" i="4"/>
  <c r="AF48" i="4"/>
  <c r="S48" i="4"/>
  <c r="AJ50" i="4"/>
  <c r="Y50" i="4"/>
  <c r="P50" i="4"/>
  <c r="V50" i="4"/>
  <c r="AG50" i="4"/>
  <c r="AH50" i="4"/>
  <c r="AA50" i="4"/>
  <c r="AC50" i="4"/>
  <c r="H50" i="4"/>
  <c r="AK50" i="4"/>
  <c r="G50" i="4"/>
  <c r="T50" i="4"/>
  <c r="Z50" i="4"/>
  <c r="U50" i="4"/>
  <c r="K50" i="4"/>
  <c r="Q50" i="4"/>
  <c r="N50" i="4"/>
  <c r="S50" i="4"/>
  <c r="AD50" i="4"/>
  <c r="AF50" i="4"/>
  <c r="O50" i="4"/>
  <c r="I50" i="4"/>
  <c r="M50" i="4"/>
  <c r="W50" i="4"/>
  <c r="X50" i="4"/>
  <c r="AB50" i="4"/>
  <c r="R50" i="4"/>
  <c r="AL50" i="4"/>
  <c r="J50" i="4"/>
  <c r="AI50" i="4"/>
  <c r="AE50" i="4"/>
  <c r="L50" i="4"/>
  <c r="Q52" i="4"/>
  <c r="X52" i="4"/>
  <c r="AF52" i="4"/>
  <c r="AJ52" i="4"/>
  <c r="Y52" i="4"/>
  <c r="V52" i="4"/>
  <c r="AB52" i="4"/>
  <c r="P52" i="4"/>
  <c r="AG52" i="4"/>
  <c r="AH52" i="4"/>
  <c r="AA52" i="4"/>
  <c r="AC52" i="4"/>
  <c r="H52" i="4"/>
  <c r="AK52" i="4"/>
  <c r="G52" i="4"/>
  <c r="L52" i="4"/>
  <c r="AE52" i="4"/>
  <c r="K52" i="4"/>
  <c r="T52" i="4"/>
  <c r="S52" i="4"/>
  <c r="O52" i="4"/>
  <c r="U52" i="4"/>
  <c r="I52" i="4"/>
  <c r="M52" i="4"/>
  <c r="AL52" i="4"/>
  <c r="Z52" i="4"/>
  <c r="N52" i="4"/>
  <c r="AD52" i="4"/>
  <c r="W52" i="4"/>
  <c r="R52" i="4"/>
  <c r="J52" i="4"/>
  <c r="AI52" i="4"/>
  <c r="N54" i="4"/>
  <c r="G54" i="4"/>
  <c r="T54" i="4"/>
  <c r="Z54" i="4"/>
  <c r="U54" i="4"/>
  <c r="Q54" i="4"/>
  <c r="S54" i="4"/>
  <c r="X54" i="4"/>
  <c r="V54" i="4"/>
  <c r="AF54" i="4"/>
  <c r="AJ54" i="4"/>
  <c r="Y54" i="4"/>
  <c r="P54" i="4"/>
  <c r="AG54" i="4"/>
  <c r="AH54" i="4"/>
  <c r="AA54" i="4"/>
  <c r="AC54" i="4"/>
  <c r="K54" i="4"/>
  <c r="L54" i="4"/>
  <c r="R54" i="4"/>
  <c r="J54" i="4"/>
  <c r="AI54" i="4"/>
  <c r="H54" i="4"/>
  <c r="AE54" i="4"/>
  <c r="O54" i="4"/>
  <c r="AK54" i="4"/>
  <c r="AL54" i="4"/>
  <c r="AD54" i="4"/>
  <c r="I54" i="4"/>
  <c r="M54" i="4"/>
  <c r="AB54" i="4"/>
  <c r="W54" i="4"/>
  <c r="AG56" i="4"/>
  <c r="AC77" i="8" s="1"/>
  <c r="AH56" i="4"/>
  <c r="AA56" i="4"/>
  <c r="W77" i="8" s="1"/>
  <c r="H56" i="4"/>
  <c r="D77" i="8" s="1"/>
  <c r="AK56" i="4"/>
  <c r="AG77" i="8" s="1"/>
  <c r="N56" i="4"/>
  <c r="J77" i="8" s="1"/>
  <c r="K56" i="4"/>
  <c r="G77" i="8" s="1"/>
  <c r="G56" i="4"/>
  <c r="C77" i="8" s="1"/>
  <c r="T56" i="4"/>
  <c r="P77" i="8" s="1"/>
  <c r="Z56" i="4"/>
  <c r="Q56" i="4"/>
  <c r="M77" i="8" s="1"/>
  <c r="V56" i="4"/>
  <c r="R77" i="8" s="1"/>
  <c r="AC56" i="4"/>
  <c r="Y77" i="8" s="1"/>
  <c r="X56" i="4"/>
  <c r="T77" i="8" s="1"/>
  <c r="AJ56" i="4"/>
  <c r="AF77" i="8" s="1"/>
  <c r="Y56" i="4"/>
  <c r="U77" i="8" s="1"/>
  <c r="AB56" i="4"/>
  <c r="X77" i="8" s="1"/>
  <c r="I56" i="4"/>
  <c r="M56" i="4"/>
  <c r="I77" i="8" s="1"/>
  <c r="AF56" i="4"/>
  <c r="AB77" i="8" s="1"/>
  <c r="W56" i="4"/>
  <c r="S77" i="8" s="1"/>
  <c r="L56" i="4"/>
  <c r="H77" i="8" s="1"/>
  <c r="AD56" i="4"/>
  <c r="Z77" i="8" s="1"/>
  <c r="R56" i="4"/>
  <c r="N77" i="8" s="1"/>
  <c r="J56" i="4"/>
  <c r="F77" i="8" s="1"/>
  <c r="AI56" i="4"/>
  <c r="AE56" i="4"/>
  <c r="AA77" i="8" s="1"/>
  <c r="S56" i="4"/>
  <c r="O77" i="8" s="1"/>
  <c r="P56" i="4"/>
  <c r="L77" i="8" s="1"/>
  <c r="U56" i="4"/>
  <c r="Q77" i="8" s="1"/>
  <c r="AL56" i="4"/>
  <c r="AH77" i="8" s="1"/>
  <c r="O56" i="4"/>
  <c r="K77" i="8" s="1"/>
  <c r="AJ58" i="4"/>
  <c r="AJ115" i="4" s="1"/>
  <c r="Y58" i="4"/>
  <c r="Y115" i="4" s="1"/>
  <c r="P58" i="4"/>
  <c r="P115" i="4" s="1"/>
  <c r="U58" i="4"/>
  <c r="U115" i="4" s="1"/>
  <c r="AG58" i="4"/>
  <c r="AG115" i="4" s="1"/>
  <c r="AH58" i="4"/>
  <c r="AH115" i="4" s="1"/>
  <c r="AA58" i="4"/>
  <c r="AA115" i="4" s="1"/>
  <c r="H58" i="4"/>
  <c r="H115" i="4" s="1"/>
  <c r="AK58" i="4"/>
  <c r="AK115" i="4" s="1"/>
  <c r="N58" i="4"/>
  <c r="N115" i="4" s="1"/>
  <c r="G58" i="4"/>
  <c r="G115" i="4" s="1"/>
  <c r="T58" i="4"/>
  <c r="T115" i="4" s="1"/>
  <c r="K58" i="4"/>
  <c r="K115" i="4" s="1"/>
  <c r="Z58" i="4"/>
  <c r="Z115" i="4" s="1"/>
  <c r="AC58" i="4"/>
  <c r="AC115" i="4" s="1"/>
  <c r="Q58" i="4"/>
  <c r="Q115" i="4" s="1"/>
  <c r="V58" i="4"/>
  <c r="V115" i="4" s="1"/>
  <c r="S58" i="4"/>
  <c r="S115" i="4" s="1"/>
  <c r="AL58" i="4"/>
  <c r="AL115" i="4" s="1"/>
  <c r="O58" i="4"/>
  <c r="O115" i="4" s="1"/>
  <c r="AF58" i="4"/>
  <c r="AF115" i="4" s="1"/>
  <c r="AB58" i="4"/>
  <c r="AB115" i="4" s="1"/>
  <c r="I58" i="4"/>
  <c r="I115" i="4" s="1"/>
  <c r="L58" i="4"/>
  <c r="L115" i="4" s="1"/>
  <c r="W58" i="4"/>
  <c r="W115" i="4" s="1"/>
  <c r="X58" i="4"/>
  <c r="X115" i="4" s="1"/>
  <c r="AD58" i="4"/>
  <c r="AD115" i="4" s="1"/>
  <c r="R58" i="4"/>
  <c r="R115" i="4" s="1"/>
  <c r="J58" i="4"/>
  <c r="J115" i="4" s="1"/>
  <c r="AI58" i="4"/>
  <c r="AI115" i="4" s="1"/>
  <c r="M58" i="4"/>
  <c r="M115" i="4" s="1"/>
  <c r="AE58" i="4"/>
  <c r="AE115" i="4" s="1"/>
  <c r="Q60" i="4"/>
  <c r="M81" i="8" s="1"/>
  <c r="V60" i="4"/>
  <c r="X60" i="4"/>
  <c r="T81" i="8" s="1"/>
  <c r="AJ60" i="4"/>
  <c r="AF81" i="8" s="1"/>
  <c r="Y60" i="4"/>
  <c r="U81" i="8" s="1"/>
  <c r="AC60" i="4"/>
  <c r="Y81" i="8" s="1"/>
  <c r="AB60" i="4"/>
  <c r="X81" i="8" s="1"/>
  <c r="P60" i="4"/>
  <c r="L81" i="8" s="1"/>
  <c r="U60" i="4"/>
  <c r="AG60" i="4"/>
  <c r="AC81" i="8" s="1"/>
  <c r="AH60" i="4"/>
  <c r="AD81" i="8" s="1"/>
  <c r="AA60" i="4"/>
  <c r="W81" i="8" s="1"/>
  <c r="H60" i="4"/>
  <c r="D81" i="8" s="1"/>
  <c r="AK60" i="4"/>
  <c r="AG81" i="8" s="1"/>
  <c r="N60" i="4"/>
  <c r="J81" i="8" s="1"/>
  <c r="G60" i="4"/>
  <c r="C81" i="8" s="1"/>
  <c r="S60" i="4"/>
  <c r="O81" i="8" s="1"/>
  <c r="M60" i="4"/>
  <c r="I81" i="8" s="1"/>
  <c r="AE60" i="4"/>
  <c r="AA81" i="8" s="1"/>
  <c r="AL60" i="4"/>
  <c r="AH81" i="8" s="1"/>
  <c r="O60" i="4"/>
  <c r="K81" i="8" s="1"/>
  <c r="T60" i="4"/>
  <c r="P81" i="8" s="1"/>
  <c r="AF60" i="4"/>
  <c r="AB81" i="8" s="1"/>
  <c r="L60" i="4"/>
  <c r="H81" i="8" s="1"/>
  <c r="I60" i="4"/>
  <c r="E81" i="8" s="1"/>
  <c r="W60" i="4"/>
  <c r="S81" i="8" s="1"/>
  <c r="Z60" i="4"/>
  <c r="V81" i="8" s="1"/>
  <c r="AD60" i="4"/>
  <c r="Z81" i="8" s="1"/>
  <c r="R60" i="4"/>
  <c r="N81" i="8" s="1"/>
  <c r="J60" i="4"/>
  <c r="F81" i="8" s="1"/>
  <c r="K60" i="4"/>
  <c r="G81" i="8" s="1"/>
  <c r="AI60" i="4"/>
  <c r="AE81" i="8" s="1"/>
  <c r="N62" i="4"/>
  <c r="J83" i="8" s="1"/>
  <c r="G62" i="4"/>
  <c r="C83" i="8" s="1"/>
  <c r="T62" i="4"/>
  <c r="P83" i="8" s="1"/>
  <c r="Z62" i="4"/>
  <c r="V83" i="8" s="1"/>
  <c r="Q62" i="4"/>
  <c r="M83" i="8" s="1"/>
  <c r="S62" i="4"/>
  <c r="O83" i="8" s="1"/>
  <c r="AJ62" i="4"/>
  <c r="AF83" i="8" s="1"/>
  <c r="X62" i="4"/>
  <c r="T83" i="8" s="1"/>
  <c r="Y62" i="4"/>
  <c r="U83" i="8" s="1"/>
  <c r="P62" i="4"/>
  <c r="L83" i="8" s="1"/>
  <c r="AG62" i="4"/>
  <c r="AC83" i="8" s="1"/>
  <c r="AH62" i="4"/>
  <c r="AD83" i="8" s="1"/>
  <c r="AK62" i="4"/>
  <c r="AG83" i="8" s="1"/>
  <c r="AA62" i="4"/>
  <c r="W83" i="8" s="1"/>
  <c r="V62" i="4"/>
  <c r="R83" i="8" s="1"/>
  <c r="U62" i="4"/>
  <c r="Q83" i="8" s="1"/>
  <c r="AC62" i="4"/>
  <c r="Y83" i="8" s="1"/>
  <c r="AD62" i="4"/>
  <c r="Z83" i="8" s="1"/>
  <c r="R62" i="4"/>
  <c r="N83" i="8" s="1"/>
  <c r="M62" i="4"/>
  <c r="I83" i="8" s="1"/>
  <c r="J62" i="4"/>
  <c r="F83" i="8" s="1"/>
  <c r="AI62" i="4"/>
  <c r="AE83" i="8" s="1"/>
  <c r="AE62" i="4"/>
  <c r="AA83" i="8" s="1"/>
  <c r="H62" i="4"/>
  <c r="D83" i="8" s="1"/>
  <c r="AL62" i="4"/>
  <c r="AH83" i="8" s="1"/>
  <c r="AF62" i="4"/>
  <c r="O62" i="4"/>
  <c r="K83" i="8" s="1"/>
  <c r="K62" i="4"/>
  <c r="G83" i="8" s="1"/>
  <c r="L62" i="4"/>
  <c r="H83" i="8" s="1"/>
  <c r="AB62" i="4"/>
  <c r="X83" i="8" s="1"/>
  <c r="I62" i="4"/>
  <c r="E83" i="8" s="1"/>
  <c r="W62" i="4"/>
  <c r="S83" i="8" s="1"/>
  <c r="AH64" i="4"/>
  <c r="AD85" i="8" s="1"/>
  <c r="AK64" i="4"/>
  <c r="AG85" i="8" s="1"/>
  <c r="AA64" i="4"/>
  <c r="W85" i="8" s="1"/>
  <c r="H64" i="4"/>
  <c r="D85" i="8" s="1"/>
  <c r="K64" i="4"/>
  <c r="G85" i="8" s="1"/>
  <c r="N64" i="4"/>
  <c r="J85" i="8" s="1"/>
  <c r="G64" i="4"/>
  <c r="C85" i="8" s="1"/>
  <c r="Z64" i="4"/>
  <c r="V85" i="8" s="1"/>
  <c r="V64" i="4"/>
  <c r="R85" i="8" s="1"/>
  <c r="U64" i="4"/>
  <c r="Q85" i="8" s="1"/>
  <c r="Q64" i="4"/>
  <c r="M85" i="8" s="1"/>
  <c r="L64" i="4"/>
  <c r="H85" i="8" s="1"/>
  <c r="AJ64" i="4"/>
  <c r="AF85" i="8" s="1"/>
  <c r="T64" i="4"/>
  <c r="P85" i="8" s="1"/>
  <c r="X64" i="4"/>
  <c r="T85" i="8" s="1"/>
  <c r="Y64" i="4"/>
  <c r="U85" i="8" s="1"/>
  <c r="I64" i="4"/>
  <c r="E85" i="8" s="1"/>
  <c r="W64" i="4"/>
  <c r="S85" i="8" s="1"/>
  <c r="AC64" i="4"/>
  <c r="Y85" i="8" s="1"/>
  <c r="M64" i="4"/>
  <c r="I85" i="8" s="1"/>
  <c r="S64" i="4"/>
  <c r="O85" i="8" s="1"/>
  <c r="R64" i="4"/>
  <c r="N85" i="8" s="1"/>
  <c r="J64" i="4"/>
  <c r="F85" i="8" s="1"/>
  <c r="AI64" i="4"/>
  <c r="AE85" i="8" s="1"/>
  <c r="AL64" i="4"/>
  <c r="AE64" i="4"/>
  <c r="AA85" i="8" s="1"/>
  <c r="AF64" i="4"/>
  <c r="AB85" i="8" s="1"/>
  <c r="O64" i="4"/>
  <c r="K85" i="8" s="1"/>
  <c r="AG64" i="4"/>
  <c r="AC85" i="8" s="1"/>
  <c r="P64" i="4"/>
  <c r="L85" i="8" s="1"/>
  <c r="AD64" i="4"/>
  <c r="Z85" i="8" s="1"/>
  <c r="AB64" i="4"/>
  <c r="X85" i="8" s="1"/>
  <c r="Y66" i="4"/>
  <c r="U87" i="8" s="1"/>
  <c r="T66" i="4"/>
  <c r="P87" i="8" s="1"/>
  <c r="P66" i="4"/>
  <c r="L87" i="8" s="1"/>
  <c r="Z66" i="4"/>
  <c r="V87" i="8" s="1"/>
  <c r="AG66" i="4"/>
  <c r="AC87" i="8" s="1"/>
  <c r="AA66" i="4"/>
  <c r="W87" i="8" s="1"/>
  <c r="H66" i="4"/>
  <c r="D87" i="8" s="1"/>
  <c r="AC66" i="4"/>
  <c r="Y87" i="8" s="1"/>
  <c r="N66" i="4"/>
  <c r="J87" i="8" s="1"/>
  <c r="AJ66" i="4"/>
  <c r="AF87" i="8" s="1"/>
  <c r="K66" i="4"/>
  <c r="G87" i="8" s="1"/>
  <c r="G66" i="4"/>
  <c r="C87" i="8" s="1"/>
  <c r="V66" i="4"/>
  <c r="R87" i="8" s="1"/>
  <c r="U66" i="4"/>
  <c r="Q87" i="8" s="1"/>
  <c r="Q66" i="4"/>
  <c r="M87" i="8" s="1"/>
  <c r="AH66" i="4"/>
  <c r="AD87" i="8" s="1"/>
  <c r="L66" i="4"/>
  <c r="H87" i="8" s="1"/>
  <c r="S66" i="4"/>
  <c r="O87" i="8" s="1"/>
  <c r="O66" i="4"/>
  <c r="K87" i="8" s="1"/>
  <c r="R66" i="4"/>
  <c r="N87" i="8" s="1"/>
  <c r="I66" i="4"/>
  <c r="E87" i="8" s="1"/>
  <c r="AL66" i="4"/>
  <c r="AH87" i="8" s="1"/>
  <c r="W66" i="4"/>
  <c r="S87" i="8" s="1"/>
  <c r="AD66" i="4"/>
  <c r="Z87" i="8" s="1"/>
  <c r="M66" i="4"/>
  <c r="J66" i="4"/>
  <c r="AI66" i="4"/>
  <c r="AE87" i="8" s="1"/>
  <c r="AK66" i="4"/>
  <c r="AG87" i="8" s="1"/>
  <c r="X66" i="4"/>
  <c r="T87" i="8" s="1"/>
  <c r="AF66" i="4"/>
  <c r="AB87" i="8" s="1"/>
  <c r="AB66" i="4"/>
  <c r="X87" i="8" s="1"/>
  <c r="AE66" i="4"/>
  <c r="AA87" i="8" s="1"/>
  <c r="Q68" i="4"/>
  <c r="M89" i="8" s="1"/>
  <c r="AH68" i="4"/>
  <c r="AD89" i="8" s="1"/>
  <c r="L68" i="4"/>
  <c r="H89" i="8" s="1"/>
  <c r="AK68" i="4"/>
  <c r="AG89" i="8" s="1"/>
  <c r="X68" i="4"/>
  <c r="T89" i="8" s="1"/>
  <c r="Y68" i="4"/>
  <c r="U89" i="8" s="1"/>
  <c r="T68" i="4"/>
  <c r="P89" i="8" s="1"/>
  <c r="Z68" i="4"/>
  <c r="V89" i="8" s="1"/>
  <c r="H68" i="4"/>
  <c r="D89" i="8" s="1"/>
  <c r="P68" i="4"/>
  <c r="L89" i="8" s="1"/>
  <c r="AG68" i="4"/>
  <c r="AC89" i="8" s="1"/>
  <c r="AA68" i="4"/>
  <c r="W89" i="8" s="1"/>
  <c r="G68" i="4"/>
  <c r="C89" i="8" s="1"/>
  <c r="AC68" i="4"/>
  <c r="Y89" i="8" s="1"/>
  <c r="N68" i="4"/>
  <c r="J89" i="8" s="1"/>
  <c r="AJ68" i="4"/>
  <c r="AF89" i="8" s="1"/>
  <c r="AE68" i="4"/>
  <c r="AA89" i="8" s="1"/>
  <c r="V68" i="4"/>
  <c r="R68" i="4"/>
  <c r="N89" i="8" s="1"/>
  <c r="O68" i="4"/>
  <c r="K89" i="8" s="1"/>
  <c r="J68" i="4"/>
  <c r="F89" i="8" s="1"/>
  <c r="I68" i="4"/>
  <c r="E89" i="8" s="1"/>
  <c r="U68" i="4"/>
  <c r="Q89" i="8" s="1"/>
  <c r="AL68" i="4"/>
  <c r="AH89" i="8" s="1"/>
  <c r="W68" i="4"/>
  <c r="S89" i="8" s="1"/>
  <c r="S68" i="4"/>
  <c r="O89" i="8" s="1"/>
  <c r="AD68" i="4"/>
  <c r="Z89" i="8" s="1"/>
  <c r="M68" i="4"/>
  <c r="I89" i="8" s="1"/>
  <c r="K68" i="4"/>
  <c r="G89" i="8" s="1"/>
  <c r="AF68" i="4"/>
  <c r="AB89" i="8" s="1"/>
  <c r="AB68" i="4"/>
  <c r="X89" i="8" s="1"/>
  <c r="AI68" i="4"/>
  <c r="AE89" i="8" s="1"/>
  <c r="AJ70" i="4"/>
  <c r="AF91" i="8" s="1"/>
  <c r="AH70" i="4"/>
  <c r="AD91" i="8" s="1"/>
  <c r="V70" i="4"/>
  <c r="R91" i="8" s="1"/>
  <c r="U70" i="4"/>
  <c r="Q91" i="8" s="1"/>
  <c r="Q70" i="4"/>
  <c r="M91" i="8" s="1"/>
  <c r="L70" i="4"/>
  <c r="H91" i="8" s="1"/>
  <c r="S70" i="4"/>
  <c r="O91" i="8" s="1"/>
  <c r="Z70" i="4"/>
  <c r="V91" i="8" s="1"/>
  <c r="AK70" i="4"/>
  <c r="AG91" i="8" s="1"/>
  <c r="X70" i="4"/>
  <c r="T91" i="8" s="1"/>
  <c r="Y70" i="4"/>
  <c r="U91" i="8" s="1"/>
  <c r="T70" i="4"/>
  <c r="P91" i="8" s="1"/>
  <c r="K70" i="4"/>
  <c r="G91" i="8" s="1"/>
  <c r="H70" i="4"/>
  <c r="D91" i="8" s="1"/>
  <c r="P70" i="4"/>
  <c r="L91" i="8" s="1"/>
  <c r="AG70" i="4"/>
  <c r="AC91" i="8" s="1"/>
  <c r="AA70" i="4"/>
  <c r="G70" i="4"/>
  <c r="C91" i="8" s="1"/>
  <c r="AF70" i="4"/>
  <c r="AB91" i="8" s="1"/>
  <c r="M70" i="4"/>
  <c r="I91" i="8" s="1"/>
  <c r="AC70" i="4"/>
  <c r="Y91" i="8" s="1"/>
  <c r="AB70" i="4"/>
  <c r="X91" i="8" s="1"/>
  <c r="AI70" i="4"/>
  <c r="AE91" i="8" s="1"/>
  <c r="AE70" i="4"/>
  <c r="AA91" i="8" s="1"/>
  <c r="R70" i="4"/>
  <c r="N91" i="8" s="1"/>
  <c r="J70" i="4"/>
  <c r="F91" i="8" s="1"/>
  <c r="N70" i="4"/>
  <c r="J91" i="8" s="1"/>
  <c r="O70" i="4"/>
  <c r="K91" i="8" s="1"/>
  <c r="I70" i="4"/>
  <c r="E91" i="8" s="1"/>
  <c r="AD70" i="4"/>
  <c r="Z91" i="8" s="1"/>
  <c r="AL70" i="4"/>
  <c r="AH91" i="8" s="1"/>
  <c r="W70" i="4"/>
  <c r="S91" i="8" s="1"/>
  <c r="AG72" i="4"/>
  <c r="AC93" i="8" s="1"/>
  <c r="AA72" i="4"/>
  <c r="W93" i="8" s="1"/>
  <c r="K72" i="4"/>
  <c r="G93" i="8" s="1"/>
  <c r="G72" i="4"/>
  <c r="C93" i="8" s="1"/>
  <c r="AC72" i="4"/>
  <c r="Y93" i="8" s="1"/>
  <c r="N72" i="4"/>
  <c r="J93" i="8" s="1"/>
  <c r="AJ72" i="4"/>
  <c r="AF93" i="8" s="1"/>
  <c r="V72" i="4"/>
  <c r="R93" i="8" s="1"/>
  <c r="U72" i="4"/>
  <c r="Q93" i="8" s="1"/>
  <c r="Q72" i="4"/>
  <c r="M93" i="8" s="1"/>
  <c r="Z72" i="4"/>
  <c r="V93" i="8" s="1"/>
  <c r="AK72" i="4"/>
  <c r="AG93" i="8" s="1"/>
  <c r="X72" i="4"/>
  <c r="T93" i="8" s="1"/>
  <c r="Y72" i="4"/>
  <c r="U93" i="8" s="1"/>
  <c r="T72" i="4"/>
  <c r="P93" i="8" s="1"/>
  <c r="P72" i="4"/>
  <c r="L93" i="8" s="1"/>
  <c r="I72" i="4"/>
  <c r="E93" i="8" s="1"/>
  <c r="AF72" i="4"/>
  <c r="AB93" i="8" s="1"/>
  <c r="L72" i="4"/>
  <c r="H93" i="8" s="1"/>
  <c r="S72" i="4"/>
  <c r="O93" i="8" s="1"/>
  <c r="AD72" i="4"/>
  <c r="Z93" i="8" s="1"/>
  <c r="AL72" i="4"/>
  <c r="AH93" i="8" s="1"/>
  <c r="W72" i="4"/>
  <c r="S93" i="8" s="1"/>
  <c r="M72" i="4"/>
  <c r="I93" i="8" s="1"/>
  <c r="AH72" i="4"/>
  <c r="AB72" i="4"/>
  <c r="X93" i="8" s="1"/>
  <c r="AI72" i="4"/>
  <c r="AE93" i="8" s="1"/>
  <c r="H72" i="4"/>
  <c r="D93" i="8" s="1"/>
  <c r="R72" i="4"/>
  <c r="N93" i="8" s="1"/>
  <c r="AE72" i="4"/>
  <c r="AA93" i="8" s="1"/>
  <c r="J72" i="4"/>
  <c r="F93" i="8" s="1"/>
  <c r="O72" i="4"/>
  <c r="K93" i="8" s="1"/>
  <c r="Y74" i="4"/>
  <c r="T74" i="4"/>
  <c r="P95" i="8" s="1"/>
  <c r="H74" i="4"/>
  <c r="D95" i="8" s="1"/>
  <c r="P74" i="4"/>
  <c r="L95" i="8" s="1"/>
  <c r="AG74" i="4"/>
  <c r="AC95" i="8" s="1"/>
  <c r="AH74" i="4"/>
  <c r="AD95" i="8" s="1"/>
  <c r="AA74" i="4"/>
  <c r="W95" i="8" s="1"/>
  <c r="G74" i="4"/>
  <c r="C95" i="8" s="1"/>
  <c r="K74" i="4"/>
  <c r="G95" i="8" s="1"/>
  <c r="AC74" i="4"/>
  <c r="N74" i="4"/>
  <c r="J95" i="8" s="1"/>
  <c r="AJ74" i="4"/>
  <c r="AF95" i="8" s="1"/>
  <c r="Z74" i="4"/>
  <c r="V95" i="8" s="1"/>
  <c r="V74" i="4"/>
  <c r="R95" i="8" s="1"/>
  <c r="U74" i="4"/>
  <c r="Q95" i="8" s="1"/>
  <c r="Q74" i="4"/>
  <c r="M95" i="8" s="1"/>
  <c r="L74" i="4"/>
  <c r="S74" i="4"/>
  <c r="O95" i="8" s="1"/>
  <c r="O74" i="4"/>
  <c r="K95" i="8" s="1"/>
  <c r="AF74" i="4"/>
  <c r="AB95" i="8" s="1"/>
  <c r="AD74" i="4"/>
  <c r="Z95" i="8" s="1"/>
  <c r="I74" i="4"/>
  <c r="E95" i="8" s="1"/>
  <c r="AL74" i="4"/>
  <c r="AH95" i="8" s="1"/>
  <c r="W74" i="4"/>
  <c r="S95" i="8" s="1"/>
  <c r="M74" i="4"/>
  <c r="I95" i="8" s="1"/>
  <c r="AB74" i="4"/>
  <c r="X95" i="8" s="1"/>
  <c r="R74" i="4"/>
  <c r="N95" i="8" s="1"/>
  <c r="J74" i="4"/>
  <c r="F95" i="8" s="1"/>
  <c r="AI74" i="4"/>
  <c r="AE95" i="8" s="1"/>
  <c r="AE74" i="4"/>
  <c r="AA95" i="8" s="1"/>
  <c r="AK74" i="4"/>
  <c r="AG95" i="8" s="1"/>
  <c r="X74" i="4"/>
  <c r="T95" i="8" s="1"/>
  <c r="H47" i="4"/>
  <c r="D68" i="8" s="1"/>
  <c r="AK47" i="4"/>
  <c r="AG68" i="8" s="1"/>
  <c r="T47" i="4"/>
  <c r="P68" i="8" s="1"/>
  <c r="Z47" i="4"/>
  <c r="V68" i="8" s="1"/>
  <c r="U47" i="4"/>
  <c r="Q68" i="8" s="1"/>
  <c r="Q47" i="4"/>
  <c r="M68" i="8" s="1"/>
  <c r="N47" i="4"/>
  <c r="J68" i="8" s="1"/>
  <c r="X47" i="4"/>
  <c r="T68" i="8" s="1"/>
  <c r="AF47" i="4"/>
  <c r="AB68" i="8" s="1"/>
  <c r="AJ47" i="4"/>
  <c r="AF68" i="8" s="1"/>
  <c r="Y47" i="4"/>
  <c r="U68" i="8" s="1"/>
  <c r="P47" i="4"/>
  <c r="L68" i="8" s="1"/>
  <c r="V47" i="4"/>
  <c r="R68" i="8" s="1"/>
  <c r="L47" i="4"/>
  <c r="H68" i="8" s="1"/>
  <c r="AH47" i="4"/>
  <c r="AD68" i="8" s="1"/>
  <c r="AA47" i="4"/>
  <c r="W68" i="8" s="1"/>
  <c r="W47" i="4"/>
  <c r="S68" i="8" s="1"/>
  <c r="AB47" i="4"/>
  <c r="X68" i="8" s="1"/>
  <c r="R47" i="4"/>
  <c r="N68" i="8" s="1"/>
  <c r="J47" i="4"/>
  <c r="F68" i="8" s="1"/>
  <c r="AI47" i="4"/>
  <c r="AE68" i="8" s="1"/>
  <c r="AE47" i="4"/>
  <c r="AA68" i="8" s="1"/>
  <c r="K47" i="4"/>
  <c r="G68" i="8" s="1"/>
  <c r="AG47" i="4"/>
  <c r="AC68" i="8" s="1"/>
  <c r="O47" i="4"/>
  <c r="K68" i="8" s="1"/>
  <c r="S47" i="4"/>
  <c r="O68" i="8" s="1"/>
  <c r="AL47" i="4"/>
  <c r="AH68" i="8" s="1"/>
  <c r="AC47" i="4"/>
  <c r="Y68" i="8" s="1"/>
  <c r="G47" i="4"/>
  <c r="C68" i="8" s="1"/>
  <c r="AD47" i="4"/>
  <c r="Z68" i="8" s="1"/>
  <c r="I47" i="4"/>
  <c r="E68" i="8" s="1"/>
  <c r="M47" i="4"/>
  <c r="I68" i="8" s="1"/>
  <c r="P49" i="4"/>
  <c r="P116" i="4" s="1"/>
  <c r="L49" i="4"/>
  <c r="AG49" i="4"/>
  <c r="AG116" i="4" s="1"/>
  <c r="AH49" i="4"/>
  <c r="AA49" i="4"/>
  <c r="AC49" i="4"/>
  <c r="H49" i="4"/>
  <c r="H116" i="4" s="1"/>
  <c r="AK49" i="4"/>
  <c r="AK116" i="4" s="1"/>
  <c r="T49" i="4"/>
  <c r="T116" i="4" s="1"/>
  <c r="Z49" i="4"/>
  <c r="Z116" i="4" s="1"/>
  <c r="U49" i="4"/>
  <c r="N49" i="4"/>
  <c r="N116" i="4" s="1"/>
  <c r="Q49" i="4"/>
  <c r="K49" i="4"/>
  <c r="X49" i="4"/>
  <c r="X116" i="4" s="1"/>
  <c r="AF49" i="4"/>
  <c r="AF116" i="4" s="1"/>
  <c r="V49" i="4"/>
  <c r="V116" i="4" s="1"/>
  <c r="G49" i="4"/>
  <c r="G116" i="4" s="1"/>
  <c r="S49" i="4"/>
  <c r="S116" i="4" s="1"/>
  <c r="AD49" i="4"/>
  <c r="AD116" i="4" s="1"/>
  <c r="I49" i="4"/>
  <c r="M49" i="4"/>
  <c r="AJ49" i="4"/>
  <c r="AJ116" i="4" s="1"/>
  <c r="W49" i="4"/>
  <c r="W116" i="4" s="1"/>
  <c r="AB49" i="4"/>
  <c r="AB116" i="4" s="1"/>
  <c r="R49" i="4"/>
  <c r="R116" i="4" s="1"/>
  <c r="J49" i="4"/>
  <c r="J116" i="4" s="1"/>
  <c r="AI49" i="4"/>
  <c r="AE49" i="4"/>
  <c r="Y49" i="4"/>
  <c r="Y116" i="4" s="1"/>
  <c r="AL49" i="4"/>
  <c r="AL116" i="4" s="1"/>
  <c r="O49" i="4"/>
  <c r="O116" i="4" s="1"/>
  <c r="K51" i="4"/>
  <c r="X51" i="4"/>
  <c r="V51" i="4"/>
  <c r="AF51" i="4"/>
  <c r="AJ51" i="4"/>
  <c r="Y51" i="4"/>
  <c r="P51" i="4"/>
  <c r="L51" i="4"/>
  <c r="AG51" i="4"/>
  <c r="AH51" i="4"/>
  <c r="AA51" i="4"/>
  <c r="AC51" i="4"/>
  <c r="H51" i="4"/>
  <c r="AK51" i="4"/>
  <c r="N51" i="4"/>
  <c r="T51" i="4"/>
  <c r="Z51" i="4"/>
  <c r="U51" i="4"/>
  <c r="AD51" i="4"/>
  <c r="AL51" i="4"/>
  <c r="Q51" i="4"/>
  <c r="G51" i="4"/>
  <c r="S51" i="4"/>
  <c r="O51" i="4"/>
  <c r="I51" i="4"/>
  <c r="M51" i="4"/>
  <c r="W51" i="4"/>
  <c r="AB51" i="4"/>
  <c r="R51" i="4"/>
  <c r="J51" i="4"/>
  <c r="AI51" i="4"/>
  <c r="AE51" i="4"/>
  <c r="T53" i="4"/>
  <c r="P74" i="8" s="1"/>
  <c r="Z53" i="4"/>
  <c r="V74" i="8" s="1"/>
  <c r="U53" i="4"/>
  <c r="Q74" i="8" s="1"/>
  <c r="Q53" i="4"/>
  <c r="M74" i="8" s="1"/>
  <c r="V53" i="4"/>
  <c r="R74" i="8" s="1"/>
  <c r="X53" i="4"/>
  <c r="T74" i="8" s="1"/>
  <c r="AF53" i="4"/>
  <c r="AB74" i="8" s="1"/>
  <c r="AJ53" i="4"/>
  <c r="AF74" i="8" s="1"/>
  <c r="Y53" i="4"/>
  <c r="U74" i="8" s="1"/>
  <c r="P53" i="4"/>
  <c r="L74" i="8" s="1"/>
  <c r="L53" i="4"/>
  <c r="H74" i="8" s="1"/>
  <c r="AG53" i="4"/>
  <c r="AC74" i="8" s="1"/>
  <c r="AH53" i="4"/>
  <c r="AD74" i="8" s="1"/>
  <c r="AA53" i="4"/>
  <c r="W74" i="8" s="1"/>
  <c r="AC53" i="4"/>
  <c r="Y74" i="8" s="1"/>
  <c r="H53" i="4"/>
  <c r="D74" i="8" s="1"/>
  <c r="AK53" i="4"/>
  <c r="AG74" i="8" s="1"/>
  <c r="N53" i="4"/>
  <c r="J74" i="8" s="1"/>
  <c r="R53" i="4"/>
  <c r="N74" i="8" s="1"/>
  <c r="J53" i="4"/>
  <c r="F74" i="8" s="1"/>
  <c r="AI53" i="4"/>
  <c r="AE74" i="8" s="1"/>
  <c r="AD53" i="4"/>
  <c r="Z74" i="8" s="1"/>
  <c r="AL53" i="4"/>
  <c r="AH74" i="8" s="1"/>
  <c r="AE53" i="4"/>
  <c r="AA74" i="8" s="1"/>
  <c r="G53" i="4"/>
  <c r="C74" i="8" s="1"/>
  <c r="S53" i="4"/>
  <c r="O74" i="8" s="1"/>
  <c r="O53" i="4"/>
  <c r="K74" i="8" s="1"/>
  <c r="I53" i="4"/>
  <c r="E74" i="8" s="1"/>
  <c r="K53" i="4"/>
  <c r="G74" i="8" s="1"/>
  <c r="M53" i="4"/>
  <c r="I74" i="8" s="1"/>
  <c r="AB53" i="4"/>
  <c r="X74" i="8" s="1"/>
  <c r="W53" i="4"/>
  <c r="S74" i="8" s="1"/>
  <c r="H55" i="4"/>
  <c r="D76" i="8" s="1"/>
  <c r="AK55" i="4"/>
  <c r="AG76" i="8" s="1"/>
  <c r="T55" i="4"/>
  <c r="P76" i="8" s="1"/>
  <c r="Z55" i="4"/>
  <c r="V76" i="8" s="1"/>
  <c r="V55" i="4"/>
  <c r="R76" i="8" s="1"/>
  <c r="U55" i="4"/>
  <c r="Q76" i="8" s="1"/>
  <c r="K55" i="4"/>
  <c r="G76" i="8" s="1"/>
  <c r="Q55" i="4"/>
  <c r="M76" i="8" s="1"/>
  <c r="X55" i="4"/>
  <c r="T76" i="8" s="1"/>
  <c r="AF55" i="4"/>
  <c r="AB76" i="8" s="1"/>
  <c r="AJ55" i="4"/>
  <c r="AF76" i="8" s="1"/>
  <c r="Y55" i="4"/>
  <c r="U76" i="8" s="1"/>
  <c r="P55" i="4"/>
  <c r="L76" i="8" s="1"/>
  <c r="L55" i="4"/>
  <c r="H76" i="8" s="1"/>
  <c r="AC55" i="4"/>
  <c r="Y76" i="8" s="1"/>
  <c r="AB55" i="4"/>
  <c r="X76" i="8" s="1"/>
  <c r="W55" i="4"/>
  <c r="S76" i="8" s="1"/>
  <c r="AH55" i="4"/>
  <c r="AD76" i="8" s="1"/>
  <c r="AA55" i="4"/>
  <c r="W76" i="8" s="1"/>
  <c r="AD55" i="4"/>
  <c r="Z76" i="8" s="1"/>
  <c r="R55" i="4"/>
  <c r="N76" i="8" s="1"/>
  <c r="AL55" i="4"/>
  <c r="AH76" i="8" s="1"/>
  <c r="J55" i="4"/>
  <c r="F76" i="8" s="1"/>
  <c r="AI55" i="4"/>
  <c r="AE76" i="8" s="1"/>
  <c r="N55" i="4"/>
  <c r="J76" i="8" s="1"/>
  <c r="G55" i="4"/>
  <c r="C76" i="8" s="1"/>
  <c r="AE55" i="4"/>
  <c r="AA76" i="8" s="1"/>
  <c r="S55" i="4"/>
  <c r="O76" i="8" s="1"/>
  <c r="O55" i="4"/>
  <c r="K76" i="8" s="1"/>
  <c r="AG55" i="4"/>
  <c r="AC76" i="8" s="1"/>
  <c r="I55" i="4"/>
  <c r="E76" i="8" s="1"/>
  <c r="M55" i="4"/>
  <c r="I76" i="8" s="1"/>
  <c r="P57" i="4"/>
  <c r="L78" i="8" s="1"/>
  <c r="U57" i="4"/>
  <c r="Q78" i="8" s="1"/>
  <c r="AC57" i="4"/>
  <c r="Y78" i="8" s="1"/>
  <c r="L57" i="4"/>
  <c r="H78" i="8" s="1"/>
  <c r="AG57" i="4"/>
  <c r="AC78" i="8" s="1"/>
  <c r="AH57" i="4"/>
  <c r="AD78" i="8" s="1"/>
  <c r="AA57" i="4"/>
  <c r="W78" i="8" s="1"/>
  <c r="H57" i="4"/>
  <c r="D78" i="8" s="1"/>
  <c r="AK57" i="4"/>
  <c r="AG78" i="8" s="1"/>
  <c r="N57" i="4"/>
  <c r="J78" i="8" s="1"/>
  <c r="T57" i="4"/>
  <c r="P78" i="8" s="1"/>
  <c r="Z57" i="4"/>
  <c r="V78" i="8" s="1"/>
  <c r="Q57" i="4"/>
  <c r="M78" i="8" s="1"/>
  <c r="K57" i="4"/>
  <c r="G78" i="8" s="1"/>
  <c r="V57" i="4"/>
  <c r="R78" i="8" s="1"/>
  <c r="X57" i="4"/>
  <c r="T78" i="8" s="1"/>
  <c r="AF57" i="4"/>
  <c r="AB78" i="8" s="1"/>
  <c r="AB57" i="4"/>
  <c r="X78" i="8" s="1"/>
  <c r="I57" i="4"/>
  <c r="E78" i="8" s="1"/>
  <c r="W57" i="4"/>
  <c r="S78" i="8" s="1"/>
  <c r="AJ57" i="4"/>
  <c r="AF78" i="8" s="1"/>
  <c r="G57" i="4"/>
  <c r="C78" i="8" s="1"/>
  <c r="AD57" i="4"/>
  <c r="Z78" i="8" s="1"/>
  <c r="R57" i="4"/>
  <c r="N78" i="8" s="1"/>
  <c r="J57" i="4"/>
  <c r="AI57" i="4"/>
  <c r="AE78" i="8" s="1"/>
  <c r="M57" i="4"/>
  <c r="I78" i="8" s="1"/>
  <c r="AE57" i="4"/>
  <c r="AA78" i="8" s="1"/>
  <c r="S57" i="4"/>
  <c r="O78" i="8" s="1"/>
  <c r="Y57" i="4"/>
  <c r="U78" i="8" s="1"/>
  <c r="AL57" i="4"/>
  <c r="AH78" i="8" s="1"/>
  <c r="O57" i="4"/>
  <c r="K78" i="8" s="1"/>
  <c r="X59" i="4"/>
  <c r="T80" i="8" s="1"/>
  <c r="AF59" i="4"/>
  <c r="AB80" i="8" s="1"/>
  <c r="AJ59" i="4"/>
  <c r="AF80" i="8" s="1"/>
  <c r="Y59" i="4"/>
  <c r="U80" i="8" s="1"/>
  <c r="AC59" i="4"/>
  <c r="Y80" i="8" s="1"/>
  <c r="P59" i="4"/>
  <c r="L80" i="8" s="1"/>
  <c r="U59" i="4"/>
  <c r="Q80" i="8" s="1"/>
  <c r="L59" i="4"/>
  <c r="H80" i="8" s="1"/>
  <c r="AD59" i="4"/>
  <c r="Z80" i="8" s="1"/>
  <c r="AG59" i="4"/>
  <c r="AC80" i="8" s="1"/>
  <c r="AH59" i="4"/>
  <c r="AD80" i="8" s="1"/>
  <c r="AA59" i="4"/>
  <c r="W80" i="8" s="1"/>
  <c r="H59" i="4"/>
  <c r="D80" i="8" s="1"/>
  <c r="AK59" i="4"/>
  <c r="AG80" i="8" s="1"/>
  <c r="N59" i="4"/>
  <c r="J80" i="8" s="1"/>
  <c r="T59" i="4"/>
  <c r="P80" i="8" s="1"/>
  <c r="Z59" i="4"/>
  <c r="V80" i="8" s="1"/>
  <c r="AL59" i="4"/>
  <c r="AH80" i="8" s="1"/>
  <c r="O59" i="4"/>
  <c r="K80" i="8" s="1"/>
  <c r="Q59" i="4"/>
  <c r="M80" i="8" s="1"/>
  <c r="V59" i="4"/>
  <c r="R80" i="8" s="1"/>
  <c r="AB59" i="4"/>
  <c r="X80" i="8" s="1"/>
  <c r="I59" i="4"/>
  <c r="E80" i="8" s="1"/>
  <c r="W59" i="4"/>
  <c r="S80" i="8" s="1"/>
  <c r="G59" i="4"/>
  <c r="C80" i="8" s="1"/>
  <c r="R59" i="4"/>
  <c r="N80" i="8" s="1"/>
  <c r="J59" i="4"/>
  <c r="F80" i="8" s="1"/>
  <c r="AI59" i="4"/>
  <c r="AE80" i="8" s="1"/>
  <c r="S59" i="4"/>
  <c r="O80" i="8" s="1"/>
  <c r="M59" i="4"/>
  <c r="I80" i="8" s="1"/>
  <c r="AE59" i="4"/>
  <c r="AA80" i="8" s="1"/>
  <c r="K59" i="4"/>
  <c r="G80" i="8" s="1"/>
  <c r="Z61" i="4"/>
  <c r="V82" i="8" s="1"/>
  <c r="Q61" i="4"/>
  <c r="M82" i="8" s="1"/>
  <c r="AC61" i="4"/>
  <c r="Y82" i="8" s="1"/>
  <c r="T61" i="4"/>
  <c r="P82" i="8" s="1"/>
  <c r="AK61" i="4"/>
  <c r="AG82" i="8" s="1"/>
  <c r="X61" i="4"/>
  <c r="T82" i="8" s="1"/>
  <c r="AF61" i="4"/>
  <c r="AB82" i="8" s="1"/>
  <c r="Y61" i="4"/>
  <c r="U82" i="8" s="1"/>
  <c r="P61" i="4"/>
  <c r="L82" i="8" s="1"/>
  <c r="V61" i="4"/>
  <c r="R82" i="8" s="1"/>
  <c r="U61" i="4"/>
  <c r="Q82" i="8" s="1"/>
  <c r="AG61" i="4"/>
  <c r="AC82" i="8" s="1"/>
  <c r="AH61" i="4"/>
  <c r="AD82" i="8" s="1"/>
  <c r="AA61" i="4"/>
  <c r="W82" i="8" s="1"/>
  <c r="H61" i="4"/>
  <c r="D82" i="8" s="1"/>
  <c r="N61" i="4"/>
  <c r="J82" i="8" s="1"/>
  <c r="R61" i="4"/>
  <c r="N82" i="8" s="1"/>
  <c r="J61" i="4"/>
  <c r="F82" i="8" s="1"/>
  <c r="AI61" i="4"/>
  <c r="AE82" i="8" s="1"/>
  <c r="S61" i="4"/>
  <c r="O82" i="8" s="1"/>
  <c r="M61" i="4"/>
  <c r="I82" i="8" s="1"/>
  <c r="AE61" i="4"/>
  <c r="AA82" i="8" s="1"/>
  <c r="L61" i="4"/>
  <c r="H82" i="8" s="1"/>
  <c r="AD61" i="4"/>
  <c r="Z82" i="8" s="1"/>
  <c r="O61" i="4"/>
  <c r="K82" i="8" s="1"/>
  <c r="AB61" i="4"/>
  <c r="X82" i="8" s="1"/>
  <c r="K61" i="4"/>
  <c r="G82" i="8" s="1"/>
  <c r="AJ61" i="4"/>
  <c r="AF82" i="8" s="1"/>
  <c r="I61" i="4"/>
  <c r="E82" i="8" s="1"/>
  <c r="G61" i="4"/>
  <c r="C82" i="8" s="1"/>
  <c r="AL61" i="4"/>
  <c r="AH82" i="8" s="1"/>
  <c r="W61" i="4"/>
  <c r="S82" i="8" s="1"/>
  <c r="AJ63" i="4"/>
  <c r="AF84" i="8" s="1"/>
  <c r="H63" i="4"/>
  <c r="D84" i="8" s="1"/>
  <c r="AG63" i="4"/>
  <c r="AC84" i="8" s="1"/>
  <c r="Z63" i="4"/>
  <c r="V84" i="8" s="1"/>
  <c r="AC63" i="4"/>
  <c r="Y84" i="8" s="1"/>
  <c r="AD63" i="4"/>
  <c r="Z84" i="8" s="1"/>
  <c r="T63" i="4"/>
  <c r="P84" i="8" s="1"/>
  <c r="Q63" i="4"/>
  <c r="M84" i="8" s="1"/>
  <c r="AK63" i="4"/>
  <c r="AG84" i="8" s="1"/>
  <c r="X63" i="4"/>
  <c r="T84" i="8" s="1"/>
  <c r="AF63" i="4"/>
  <c r="AB84" i="8" s="1"/>
  <c r="Y63" i="4"/>
  <c r="U84" i="8" s="1"/>
  <c r="V63" i="4"/>
  <c r="R84" i="8" s="1"/>
  <c r="U63" i="4"/>
  <c r="Q84" i="8" s="1"/>
  <c r="P63" i="4"/>
  <c r="L84" i="8" s="1"/>
  <c r="W63" i="4"/>
  <c r="S84" i="8" s="1"/>
  <c r="AH63" i="4"/>
  <c r="AD84" i="8" s="1"/>
  <c r="AA63" i="4"/>
  <c r="W84" i="8" s="1"/>
  <c r="S63" i="4"/>
  <c r="O84" i="8" s="1"/>
  <c r="R63" i="4"/>
  <c r="N84" i="8" s="1"/>
  <c r="M63" i="4"/>
  <c r="I84" i="8" s="1"/>
  <c r="J63" i="4"/>
  <c r="F84" i="8" s="1"/>
  <c r="AI63" i="4"/>
  <c r="AE84" i="8" s="1"/>
  <c r="K63" i="4"/>
  <c r="G84" i="8" s="1"/>
  <c r="AE63" i="4"/>
  <c r="AA84" i="8" s="1"/>
  <c r="L63" i="4"/>
  <c r="H84" i="8" s="1"/>
  <c r="AB63" i="4"/>
  <c r="X84" i="8" s="1"/>
  <c r="O63" i="4"/>
  <c r="K84" i="8" s="1"/>
  <c r="N63" i="4"/>
  <c r="J84" i="8" s="1"/>
  <c r="G63" i="4"/>
  <c r="C84" i="8" s="1"/>
  <c r="I63" i="4"/>
  <c r="E84" i="8" s="1"/>
  <c r="AL63" i="4"/>
  <c r="AH84" i="8" s="1"/>
  <c r="AG65" i="4"/>
  <c r="P65" i="4"/>
  <c r="AC65" i="4"/>
  <c r="AH65" i="4"/>
  <c r="AK65" i="4"/>
  <c r="AA65" i="4"/>
  <c r="H65" i="4"/>
  <c r="N65" i="4"/>
  <c r="AD65" i="4"/>
  <c r="T65" i="4"/>
  <c r="Z65" i="4"/>
  <c r="K65" i="4"/>
  <c r="V65" i="4"/>
  <c r="U65" i="4"/>
  <c r="Q65" i="4"/>
  <c r="AJ65" i="4"/>
  <c r="X65" i="4"/>
  <c r="AF65" i="4"/>
  <c r="Y65" i="4"/>
  <c r="AB65" i="4"/>
  <c r="I65" i="4"/>
  <c r="W65" i="4"/>
  <c r="M65" i="4"/>
  <c r="G65" i="4"/>
  <c r="S65" i="4"/>
  <c r="R65" i="4"/>
  <c r="J65" i="4"/>
  <c r="AI65" i="4"/>
  <c r="L65" i="4"/>
  <c r="AL65" i="4"/>
  <c r="AE65" i="4"/>
  <c r="O65" i="4"/>
  <c r="AK67" i="4"/>
  <c r="AG88" i="8" s="1"/>
  <c r="X67" i="4"/>
  <c r="T88" i="8" s="1"/>
  <c r="AF67" i="4"/>
  <c r="AB88" i="8" s="1"/>
  <c r="Y67" i="4"/>
  <c r="U88" i="8" s="1"/>
  <c r="T67" i="4"/>
  <c r="P88" i="8" s="1"/>
  <c r="H67" i="4"/>
  <c r="D88" i="8" s="1"/>
  <c r="P67" i="4"/>
  <c r="L88" i="8" s="1"/>
  <c r="AH67" i="4"/>
  <c r="AD88" i="8" s="1"/>
  <c r="AG67" i="4"/>
  <c r="AC88" i="8" s="1"/>
  <c r="AA67" i="4"/>
  <c r="W88" i="8" s="1"/>
  <c r="AC67" i="4"/>
  <c r="Y88" i="8" s="1"/>
  <c r="N67" i="4"/>
  <c r="J88" i="8" s="1"/>
  <c r="AJ67" i="4"/>
  <c r="AF88" i="8" s="1"/>
  <c r="Z67" i="4"/>
  <c r="V88" i="8" s="1"/>
  <c r="V67" i="4"/>
  <c r="R88" i="8" s="1"/>
  <c r="U67" i="4"/>
  <c r="Q88" i="8" s="1"/>
  <c r="AB67" i="4"/>
  <c r="X88" i="8" s="1"/>
  <c r="G67" i="4"/>
  <c r="C88" i="8" s="1"/>
  <c r="O67" i="4"/>
  <c r="K88" i="8" s="1"/>
  <c r="Q67" i="4"/>
  <c r="M88" i="8" s="1"/>
  <c r="I67" i="4"/>
  <c r="E88" i="8" s="1"/>
  <c r="AL67" i="4"/>
  <c r="AH88" i="8" s="1"/>
  <c r="W67" i="4"/>
  <c r="S88" i="8" s="1"/>
  <c r="S67" i="4"/>
  <c r="O88" i="8" s="1"/>
  <c r="AD67" i="4"/>
  <c r="Z88" i="8" s="1"/>
  <c r="R67" i="4"/>
  <c r="N88" i="8" s="1"/>
  <c r="M67" i="4"/>
  <c r="I88" i="8" s="1"/>
  <c r="L67" i="4"/>
  <c r="H88" i="8" s="1"/>
  <c r="J67" i="4"/>
  <c r="F88" i="8" s="1"/>
  <c r="AI67" i="4"/>
  <c r="AE88" i="8" s="1"/>
  <c r="K67" i="4"/>
  <c r="G88" i="8" s="1"/>
  <c r="AE67" i="4"/>
  <c r="AA88" i="8" s="1"/>
  <c r="V69" i="4"/>
  <c r="R90" i="8" s="1"/>
  <c r="U69" i="4"/>
  <c r="Q90" i="8" s="1"/>
  <c r="Q69" i="4"/>
  <c r="M90" i="8" s="1"/>
  <c r="AK69" i="4"/>
  <c r="AG90" i="8" s="1"/>
  <c r="X69" i="4"/>
  <c r="T90" i="8" s="1"/>
  <c r="AF69" i="4"/>
  <c r="AB90" i="8" s="1"/>
  <c r="Y69" i="4"/>
  <c r="U90" i="8" s="1"/>
  <c r="T69" i="4"/>
  <c r="P90" i="8" s="1"/>
  <c r="AH69" i="4"/>
  <c r="AD90" i="8" s="1"/>
  <c r="H69" i="4"/>
  <c r="D90" i="8" s="1"/>
  <c r="P69" i="4"/>
  <c r="L90" i="8" s="1"/>
  <c r="AG69" i="4"/>
  <c r="AC90" i="8" s="1"/>
  <c r="AA69" i="4"/>
  <c r="W90" i="8" s="1"/>
  <c r="Z69" i="4"/>
  <c r="V90" i="8" s="1"/>
  <c r="AC69" i="4"/>
  <c r="Y90" i="8" s="1"/>
  <c r="N69" i="4"/>
  <c r="J90" i="8" s="1"/>
  <c r="AD69" i="4"/>
  <c r="Z90" i="8" s="1"/>
  <c r="AB69" i="4"/>
  <c r="X90" i="8" s="1"/>
  <c r="AI69" i="4"/>
  <c r="AE90" i="8" s="1"/>
  <c r="G69" i="4"/>
  <c r="C90" i="8" s="1"/>
  <c r="AE69" i="4"/>
  <c r="AA90" i="8" s="1"/>
  <c r="K69" i="4"/>
  <c r="G90" i="8" s="1"/>
  <c r="O69" i="4"/>
  <c r="K90" i="8" s="1"/>
  <c r="AJ69" i="4"/>
  <c r="AF90" i="8" s="1"/>
  <c r="I69" i="4"/>
  <c r="E90" i="8" s="1"/>
  <c r="R69" i="4"/>
  <c r="N90" i="8" s="1"/>
  <c r="AL69" i="4"/>
  <c r="AH90" i="8" s="1"/>
  <c r="W69" i="4"/>
  <c r="S90" i="8" s="1"/>
  <c r="L69" i="4"/>
  <c r="H90" i="8" s="1"/>
  <c r="S69" i="4"/>
  <c r="O90" i="8" s="1"/>
  <c r="M69" i="4"/>
  <c r="I90" i="8" s="1"/>
  <c r="J69" i="4"/>
  <c r="F90" i="8" s="1"/>
  <c r="AC71" i="4"/>
  <c r="Y92" i="8" s="1"/>
  <c r="N71" i="4"/>
  <c r="J92" i="8" s="1"/>
  <c r="K71" i="4"/>
  <c r="G92" i="8" s="1"/>
  <c r="AJ71" i="4"/>
  <c r="AF92" i="8" s="1"/>
  <c r="V71" i="4"/>
  <c r="R92" i="8" s="1"/>
  <c r="U71" i="4"/>
  <c r="Q92" i="8" s="1"/>
  <c r="Q71" i="4"/>
  <c r="M92" i="8" s="1"/>
  <c r="AH71" i="4"/>
  <c r="AD92" i="8" s="1"/>
  <c r="AK71" i="4"/>
  <c r="AG92" i="8" s="1"/>
  <c r="X71" i="4"/>
  <c r="T92" i="8" s="1"/>
  <c r="AF71" i="4"/>
  <c r="AB92" i="8" s="1"/>
  <c r="Y71" i="4"/>
  <c r="U92" i="8" s="1"/>
  <c r="T71" i="4"/>
  <c r="P92" i="8" s="1"/>
  <c r="H71" i="4"/>
  <c r="D92" i="8" s="1"/>
  <c r="P71" i="4"/>
  <c r="L92" i="8" s="1"/>
  <c r="AG71" i="4"/>
  <c r="AC92" i="8" s="1"/>
  <c r="L71" i="4"/>
  <c r="H92" i="8" s="1"/>
  <c r="S71" i="4"/>
  <c r="O92" i="8" s="1"/>
  <c r="AD71" i="4"/>
  <c r="Z92" i="8" s="1"/>
  <c r="AL71" i="4"/>
  <c r="AH92" i="8" s="1"/>
  <c r="W71" i="4"/>
  <c r="S92" i="8" s="1"/>
  <c r="J71" i="4"/>
  <c r="F92" i="8" s="1"/>
  <c r="M71" i="4"/>
  <c r="I92" i="8" s="1"/>
  <c r="G71" i="4"/>
  <c r="C92" i="8" s="1"/>
  <c r="AB71" i="4"/>
  <c r="X92" i="8" s="1"/>
  <c r="AI71" i="4"/>
  <c r="AE92" i="8" s="1"/>
  <c r="AA71" i="4"/>
  <c r="W92" i="8" s="1"/>
  <c r="AE71" i="4"/>
  <c r="AA92" i="8" s="1"/>
  <c r="O71" i="4"/>
  <c r="K92" i="8" s="1"/>
  <c r="Z71" i="4"/>
  <c r="V92" i="8" s="1"/>
  <c r="R71" i="4"/>
  <c r="N92" i="8" s="1"/>
  <c r="I71" i="4"/>
  <c r="E92" i="8" s="1"/>
  <c r="H73" i="4"/>
  <c r="D94" i="8" s="1"/>
  <c r="P73" i="4"/>
  <c r="L94" i="8" s="1"/>
  <c r="Z73" i="4"/>
  <c r="V94" i="8" s="1"/>
  <c r="AG73" i="4"/>
  <c r="AC94" i="8" s="1"/>
  <c r="AA73" i="4"/>
  <c r="W94" i="8" s="1"/>
  <c r="AC73" i="4"/>
  <c r="Y94" i="8" s="1"/>
  <c r="N73" i="4"/>
  <c r="J94" i="8" s="1"/>
  <c r="AD73" i="4"/>
  <c r="Z94" i="8" s="1"/>
  <c r="AJ73" i="4"/>
  <c r="AF94" i="8" s="1"/>
  <c r="K73" i="4"/>
  <c r="G94" i="8" s="1"/>
  <c r="V73" i="4"/>
  <c r="R94" i="8" s="1"/>
  <c r="U73" i="4"/>
  <c r="Q94" i="8" s="1"/>
  <c r="Q73" i="4"/>
  <c r="M94" i="8" s="1"/>
  <c r="AH73" i="4"/>
  <c r="AD94" i="8" s="1"/>
  <c r="AK73" i="4"/>
  <c r="AG94" i="8" s="1"/>
  <c r="X73" i="4"/>
  <c r="T94" i="8" s="1"/>
  <c r="AF73" i="4"/>
  <c r="AB94" i="8" s="1"/>
  <c r="R73" i="4"/>
  <c r="N94" i="8" s="1"/>
  <c r="Y73" i="4"/>
  <c r="U94" i="8" s="1"/>
  <c r="I73" i="4"/>
  <c r="E94" i="8" s="1"/>
  <c r="J73" i="4"/>
  <c r="F94" i="8" s="1"/>
  <c r="L73" i="4"/>
  <c r="H94" i="8" s="1"/>
  <c r="S73" i="4"/>
  <c r="O94" i="8" s="1"/>
  <c r="AL73" i="4"/>
  <c r="AH94" i="8" s="1"/>
  <c r="W73" i="4"/>
  <c r="S94" i="8" s="1"/>
  <c r="G73" i="4"/>
  <c r="C94" i="8" s="1"/>
  <c r="M73" i="4"/>
  <c r="I94" i="8" s="1"/>
  <c r="T73" i="4"/>
  <c r="P94" i="8" s="1"/>
  <c r="AB73" i="4"/>
  <c r="X94" i="8" s="1"/>
  <c r="AI73" i="4"/>
  <c r="AE94" i="8" s="1"/>
  <c r="AE73" i="4"/>
  <c r="AA94" i="8" s="1"/>
  <c r="O73" i="4"/>
  <c r="K94" i="8" s="1"/>
  <c r="BA3" i="4"/>
  <c r="E108" i="4"/>
  <c r="A95" i="8"/>
  <c r="E85" i="4"/>
  <c r="A72" i="8"/>
  <c r="E93" i="4"/>
  <c r="A80" i="8"/>
  <c r="E101" i="4"/>
  <c r="A88" i="8"/>
  <c r="E109" i="4"/>
  <c r="A96" i="8"/>
  <c r="E92" i="4"/>
  <c r="A79" i="8"/>
  <c r="E79" i="4"/>
  <c r="E86" i="4"/>
  <c r="A73" i="8"/>
  <c r="E94" i="4"/>
  <c r="A81" i="8"/>
  <c r="E102" i="4"/>
  <c r="A89" i="8"/>
  <c r="E87" i="4"/>
  <c r="A74" i="8"/>
  <c r="E95" i="4"/>
  <c r="A82" i="8"/>
  <c r="E103" i="4"/>
  <c r="A90" i="8"/>
  <c r="E80" i="4"/>
  <c r="A67" i="8"/>
  <c r="E88" i="4"/>
  <c r="A75" i="8"/>
  <c r="E96" i="4"/>
  <c r="A83" i="8"/>
  <c r="E104" i="4"/>
  <c r="A91" i="8"/>
  <c r="E84" i="4"/>
  <c r="A71" i="8"/>
  <c r="E81" i="4"/>
  <c r="A68" i="8"/>
  <c r="E89" i="4"/>
  <c r="A76" i="8"/>
  <c r="E97" i="4"/>
  <c r="A84" i="8"/>
  <c r="E105" i="4"/>
  <c r="A92" i="8"/>
  <c r="E100" i="4"/>
  <c r="A87" i="8"/>
  <c r="E82" i="4"/>
  <c r="A69" i="8"/>
  <c r="E90" i="4"/>
  <c r="A77" i="8"/>
  <c r="E98" i="4"/>
  <c r="A85" i="8"/>
  <c r="E106" i="4"/>
  <c r="A93" i="8"/>
  <c r="E83" i="4"/>
  <c r="A70" i="8"/>
  <c r="E91" i="4"/>
  <c r="A78" i="8"/>
  <c r="E99" i="4"/>
  <c r="A86" i="8"/>
  <c r="E107" i="4"/>
  <c r="A94" i="8"/>
  <c r="A114" i="4"/>
  <c r="A115" i="4" s="1"/>
  <c r="A83" i="4"/>
  <c r="F49" i="4"/>
  <c r="A87" i="4"/>
  <c r="F53" i="4"/>
  <c r="B74" i="8" s="1"/>
  <c r="A80" i="4"/>
  <c r="F46" i="4"/>
  <c r="A84" i="4"/>
  <c r="F50" i="4"/>
  <c r="A88" i="4"/>
  <c r="F54" i="4"/>
  <c r="A90" i="4"/>
  <c r="AE77" i="8"/>
  <c r="AD77" i="8"/>
  <c r="V77" i="8"/>
  <c r="E77" i="8"/>
  <c r="F56" i="4"/>
  <c r="A94" i="4"/>
  <c r="R81" i="8"/>
  <c r="F60" i="4"/>
  <c r="B81" i="8" s="1"/>
  <c r="Q81" i="8"/>
  <c r="A82" i="4"/>
  <c r="F48" i="4"/>
  <c r="A86" i="4"/>
  <c r="G73" i="8"/>
  <c r="AD73" i="8"/>
  <c r="V73" i="8"/>
  <c r="T73" i="8"/>
  <c r="F52" i="4"/>
  <c r="A92" i="4"/>
  <c r="J79" i="8"/>
  <c r="F58" i="4"/>
  <c r="O79" i="8"/>
  <c r="U79" i="8"/>
  <c r="T79" i="8"/>
  <c r="A91" i="4"/>
  <c r="F78" i="8"/>
  <c r="F57" i="4"/>
  <c r="B78" i="8" s="1"/>
  <c r="F47" i="4"/>
  <c r="B68" i="8" s="1"/>
  <c r="A96" i="4"/>
  <c r="AB83" i="8"/>
  <c r="F62" i="4"/>
  <c r="B83" i="8" s="1"/>
  <c r="A98" i="4"/>
  <c r="F64" i="4"/>
  <c r="B85" i="8" s="1"/>
  <c r="AH85" i="8"/>
  <c r="A100" i="4"/>
  <c r="I87" i="8"/>
  <c r="F87" i="8"/>
  <c r="F66" i="4"/>
  <c r="B87" i="8" s="1"/>
  <c r="A102" i="4"/>
  <c r="F68" i="4"/>
  <c r="B89" i="8" s="1"/>
  <c r="R89" i="8"/>
  <c r="A104" i="4"/>
  <c r="W91" i="8"/>
  <c r="F70" i="4"/>
  <c r="B91" i="8" s="1"/>
  <c r="A106" i="4"/>
  <c r="F72" i="4"/>
  <c r="B93" i="8" s="1"/>
  <c r="AD93" i="8"/>
  <c r="A108" i="4"/>
  <c r="Y95" i="8"/>
  <c r="H95" i="8"/>
  <c r="U95" i="8"/>
  <c r="F74" i="4"/>
  <c r="B95" i="8" s="1"/>
  <c r="F59" i="4"/>
  <c r="B80" i="8" s="1"/>
  <c r="F51" i="4"/>
  <c r="A81" i="4"/>
  <c r="A85" i="4"/>
  <c r="A89" i="4"/>
  <c r="A93" i="4"/>
  <c r="A95" i="4"/>
  <c r="F61" i="4"/>
  <c r="B82" i="8" s="1"/>
  <c r="A97" i="4"/>
  <c r="F63" i="4"/>
  <c r="B84" i="8" s="1"/>
  <c r="A99" i="4"/>
  <c r="F65" i="4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AA116" i="4" l="1"/>
  <c r="M116" i="4"/>
  <c r="M118" i="4" s="1"/>
  <c r="K116" i="4"/>
  <c r="K118" i="4" s="1"/>
  <c r="AE116" i="4"/>
  <c r="AC116" i="4"/>
  <c r="AC118" i="4" s="1"/>
  <c r="Q116" i="4"/>
  <c r="Q118" i="4" s="1"/>
  <c r="L116" i="4"/>
  <c r="L118" i="4" s="1"/>
  <c r="I116" i="4"/>
  <c r="I118" i="4" s="1"/>
  <c r="AI116" i="4"/>
  <c r="AI118" i="4" s="1"/>
  <c r="AH116" i="4"/>
  <c r="AH118" i="4" s="1"/>
  <c r="U116" i="4"/>
  <c r="U118" i="4" s="1"/>
  <c r="O118" i="4"/>
  <c r="W118" i="4"/>
  <c r="AF118" i="4"/>
  <c r="AK118" i="4"/>
  <c r="AI114" i="4"/>
  <c r="M114" i="4"/>
  <c r="L114" i="4"/>
  <c r="P114" i="4"/>
  <c r="P119" i="4" s="1"/>
  <c r="AL118" i="4"/>
  <c r="AJ118" i="4"/>
  <c r="X118" i="4"/>
  <c r="H118" i="4"/>
  <c r="J114" i="4"/>
  <c r="J119" i="4" s="1"/>
  <c r="I114" i="4"/>
  <c r="G114" i="4"/>
  <c r="G119" i="4" s="1"/>
  <c r="AB114" i="4"/>
  <c r="AB119" i="4" s="1"/>
  <c r="Y118" i="4"/>
  <c r="R114" i="4"/>
  <c r="R119" i="4" s="1"/>
  <c r="U114" i="4"/>
  <c r="AK114" i="4"/>
  <c r="AK119" i="4" s="1"/>
  <c r="V114" i="4"/>
  <c r="V119" i="4" s="1"/>
  <c r="AE118" i="4"/>
  <c r="AA118" i="4"/>
  <c r="W114" i="4"/>
  <c r="W119" i="4" s="1"/>
  <c r="O114" i="4"/>
  <c r="O119" i="4" s="1"/>
  <c r="H114" i="4"/>
  <c r="H119" i="4" s="1"/>
  <c r="Y114" i="4"/>
  <c r="Y119" i="4" s="1"/>
  <c r="AD118" i="4"/>
  <c r="N118" i="4"/>
  <c r="AD114" i="4"/>
  <c r="AD119" i="4" s="1"/>
  <c r="S114" i="4"/>
  <c r="S119" i="4" s="1"/>
  <c r="AC114" i="4"/>
  <c r="AJ114" i="4"/>
  <c r="AJ119" i="4" s="1"/>
  <c r="J118" i="4"/>
  <c r="S118" i="4"/>
  <c r="AG118" i="4"/>
  <c r="N114" i="4"/>
  <c r="N119" i="4" s="1"/>
  <c r="T114" i="4"/>
  <c r="T119" i="4" s="1"/>
  <c r="AA114" i="4"/>
  <c r="AA119" i="4" s="1"/>
  <c r="AF114" i="4"/>
  <c r="AF119" i="4" s="1"/>
  <c r="R118" i="4"/>
  <c r="G118" i="4"/>
  <c r="Z118" i="4"/>
  <c r="Z114" i="4"/>
  <c r="Z119" i="4" s="1"/>
  <c r="K114" i="4"/>
  <c r="AH114" i="4"/>
  <c r="AH119" i="4" s="1"/>
  <c r="X114" i="4"/>
  <c r="X119" i="4" s="1"/>
  <c r="AB118" i="4"/>
  <c r="V118" i="4"/>
  <c r="T118" i="4"/>
  <c r="P118" i="4"/>
  <c r="AL114" i="4"/>
  <c r="AL119" i="4" s="1"/>
  <c r="AE114" i="4"/>
  <c r="AE119" i="4" s="1"/>
  <c r="AG114" i="4"/>
  <c r="AG119" i="4" s="1"/>
  <c r="Q114" i="4"/>
  <c r="K70" i="8"/>
  <c r="S70" i="8"/>
  <c r="AB70" i="8"/>
  <c r="AG70" i="8"/>
  <c r="AA79" i="8"/>
  <c r="H79" i="8"/>
  <c r="M79" i="8"/>
  <c r="D79" i="8"/>
  <c r="AE73" i="8"/>
  <c r="I73" i="8"/>
  <c r="H73" i="8"/>
  <c r="L73" i="8"/>
  <c r="AH70" i="8"/>
  <c r="AF70" i="8"/>
  <c r="T70" i="8"/>
  <c r="D70" i="8"/>
  <c r="I79" i="8"/>
  <c r="E79" i="8"/>
  <c r="Y79" i="8"/>
  <c r="W79" i="8"/>
  <c r="F73" i="8"/>
  <c r="E73" i="8"/>
  <c r="C73" i="8"/>
  <c r="X73" i="8"/>
  <c r="U70" i="8"/>
  <c r="I70" i="8"/>
  <c r="G70" i="8"/>
  <c r="Y70" i="8"/>
  <c r="AE79" i="8"/>
  <c r="X79" i="8"/>
  <c r="V79" i="8"/>
  <c r="AD79" i="8"/>
  <c r="N73" i="8"/>
  <c r="Q73" i="8"/>
  <c r="AG73" i="8"/>
  <c r="R73" i="8"/>
  <c r="AA70" i="8"/>
  <c r="E70" i="8"/>
  <c r="M70" i="8"/>
  <c r="W70" i="8"/>
  <c r="F79" i="8"/>
  <c r="AB79" i="8"/>
  <c r="G79" i="8"/>
  <c r="AC79" i="8"/>
  <c r="S73" i="8"/>
  <c r="K73" i="8"/>
  <c r="D73" i="8"/>
  <c r="U73" i="8"/>
  <c r="AE70" i="8"/>
  <c r="Z70" i="8"/>
  <c r="J70" i="8"/>
  <c r="AD70" i="8"/>
  <c r="N79" i="8"/>
  <c r="K79" i="8"/>
  <c r="P79" i="8"/>
  <c r="Q79" i="8"/>
  <c r="Z73" i="8"/>
  <c r="O73" i="8"/>
  <c r="Y73" i="8"/>
  <c r="AF73" i="8"/>
  <c r="F70" i="8"/>
  <c r="O70" i="8"/>
  <c r="Q70" i="8"/>
  <c r="AC70" i="8"/>
  <c r="Z79" i="8"/>
  <c r="AH79" i="8"/>
  <c r="C79" i="8"/>
  <c r="L79" i="8"/>
  <c r="J73" i="8"/>
  <c r="P73" i="8"/>
  <c r="W73" i="8"/>
  <c r="AB73" i="8"/>
  <c r="N70" i="8"/>
  <c r="C70" i="8"/>
  <c r="V70" i="8"/>
  <c r="H70" i="8"/>
  <c r="X70" i="8"/>
  <c r="R70" i="8"/>
  <c r="P70" i="8"/>
  <c r="L70" i="8"/>
  <c r="S79" i="8"/>
  <c r="R79" i="8"/>
  <c r="AG79" i="8"/>
  <c r="AF79" i="8"/>
  <c r="AH73" i="8"/>
  <c r="AA73" i="8"/>
  <c r="AC73" i="8"/>
  <c r="M73" i="8"/>
  <c r="B70" i="8"/>
  <c r="F116" i="4"/>
  <c r="B79" i="8"/>
  <c r="F115" i="4"/>
  <c r="B73" i="8"/>
  <c r="F114" i="4"/>
  <c r="I41" i="4"/>
  <c r="AL41" i="4"/>
  <c r="H86" i="8"/>
  <c r="AF86" i="8"/>
  <c r="C86" i="8"/>
  <c r="V86" i="8"/>
  <c r="I75" i="8"/>
  <c r="AG75" i="8"/>
  <c r="P75" i="8"/>
  <c r="AA75" i="8"/>
  <c r="F71" i="8"/>
  <c r="AD71" i="8"/>
  <c r="W71" i="8"/>
  <c r="K71" i="8"/>
  <c r="R86" i="8"/>
  <c r="K86" i="8"/>
  <c r="M86" i="8"/>
  <c r="AD86" i="8"/>
  <c r="U75" i="8"/>
  <c r="D75" i="8"/>
  <c r="AB75" i="8"/>
  <c r="J75" i="8"/>
  <c r="P71" i="8"/>
  <c r="I71" i="8"/>
  <c r="AG71" i="8"/>
  <c r="S71" i="8"/>
  <c r="AB86" i="8"/>
  <c r="U86" i="8"/>
  <c r="Y86" i="8"/>
  <c r="G86" i="8"/>
  <c r="AE75" i="8"/>
  <c r="N75" i="8"/>
  <c r="G75" i="8"/>
  <c r="R75" i="8"/>
  <c r="D71" i="8"/>
  <c r="AB71" i="8"/>
  <c r="U71" i="8"/>
  <c r="AA71" i="8"/>
  <c r="I86" i="8"/>
  <c r="AG86" i="8"/>
  <c r="D86" i="8"/>
  <c r="O86" i="8"/>
  <c r="L75" i="8"/>
  <c r="X75" i="8"/>
  <c r="Q75" i="8"/>
  <c r="Z75" i="8"/>
  <c r="N71" i="8"/>
  <c r="G71" i="8"/>
  <c r="AE71" i="8"/>
  <c r="J71" i="8"/>
  <c r="S86" i="8"/>
  <c r="P86" i="8"/>
  <c r="W86" i="8"/>
  <c r="V75" i="8"/>
  <c r="E75" i="8"/>
  <c r="AC75" i="8"/>
  <c r="AH75" i="8"/>
  <c r="X71" i="8"/>
  <c r="Q71" i="8"/>
  <c r="L71" i="8"/>
  <c r="R71" i="8"/>
  <c r="E86" i="8"/>
  <c r="AC86" i="8"/>
  <c r="L86" i="8"/>
  <c r="Z86" i="8"/>
  <c r="AE86" i="8"/>
  <c r="AF75" i="8"/>
  <c r="O75" i="8"/>
  <c r="H75" i="8"/>
  <c r="C75" i="8"/>
  <c r="E71" i="8"/>
  <c r="AC71" i="8"/>
  <c r="V71" i="8"/>
  <c r="Z71" i="8"/>
  <c r="Q86" i="8"/>
  <c r="J86" i="8"/>
  <c r="X86" i="8"/>
  <c r="F86" i="8"/>
  <c r="M75" i="8"/>
  <c r="Y75" i="8"/>
  <c r="T75" i="8"/>
  <c r="K75" i="8"/>
  <c r="O71" i="8"/>
  <c r="H71" i="8"/>
  <c r="AF71" i="8"/>
  <c r="AH71" i="8"/>
  <c r="AA86" i="8"/>
  <c r="T86" i="8"/>
  <c r="AH86" i="8"/>
  <c r="N86" i="8"/>
  <c r="W75" i="8"/>
  <c r="F75" i="8"/>
  <c r="AD75" i="8"/>
  <c r="S75" i="8"/>
  <c r="Y71" i="8"/>
  <c r="T71" i="8"/>
  <c r="M71" i="8"/>
  <c r="C71" i="8"/>
  <c r="B71" i="8"/>
  <c r="B86" i="8"/>
  <c r="B75" i="8"/>
  <c r="Q69" i="8"/>
  <c r="J69" i="8"/>
  <c r="X69" i="8"/>
  <c r="F69" i="8"/>
  <c r="U67" i="8"/>
  <c r="D67" i="8"/>
  <c r="AB67" i="8"/>
  <c r="S67" i="8"/>
  <c r="AA69" i="8"/>
  <c r="T69" i="8"/>
  <c r="AH69" i="8"/>
  <c r="N69" i="8"/>
  <c r="G67" i="8"/>
  <c r="AE67" i="8"/>
  <c r="N67" i="8"/>
  <c r="AA67" i="8"/>
  <c r="H69" i="8"/>
  <c r="AF69" i="8"/>
  <c r="C69" i="8"/>
  <c r="V69" i="8"/>
  <c r="Q67" i="8"/>
  <c r="L67" i="8"/>
  <c r="X67" i="8"/>
  <c r="J67" i="8"/>
  <c r="R69" i="8"/>
  <c r="K69" i="8"/>
  <c r="M69" i="8"/>
  <c r="AD69" i="8"/>
  <c r="AC67" i="8"/>
  <c r="V67" i="8"/>
  <c r="E67" i="8"/>
  <c r="R67" i="8"/>
  <c r="AB69" i="8"/>
  <c r="U69" i="8"/>
  <c r="Y69" i="8"/>
  <c r="G69" i="8"/>
  <c r="H67" i="8"/>
  <c r="AF67" i="8"/>
  <c r="O67" i="8"/>
  <c r="Z67" i="8"/>
  <c r="I69" i="8"/>
  <c r="AG69" i="8"/>
  <c r="D69" i="8"/>
  <c r="O69" i="8"/>
  <c r="T67" i="8"/>
  <c r="M67" i="8"/>
  <c r="Y67" i="8"/>
  <c r="AH67" i="8"/>
  <c r="S69" i="8"/>
  <c r="P69" i="8"/>
  <c r="W69" i="8"/>
  <c r="AD67" i="8"/>
  <c r="W67" i="8"/>
  <c r="F67" i="8"/>
  <c r="C67" i="8"/>
  <c r="E69" i="8"/>
  <c r="AC69" i="8"/>
  <c r="L69" i="8"/>
  <c r="Z69" i="8"/>
  <c r="AE69" i="8"/>
  <c r="I67" i="8"/>
  <c r="AG67" i="8"/>
  <c r="P67" i="8"/>
  <c r="K67" i="8"/>
  <c r="B69" i="8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B67" i="8"/>
  <c r="B77" i="8"/>
  <c r="O41" i="4"/>
  <c r="Q119" i="4" l="1"/>
  <c r="K119" i="4"/>
  <c r="M119" i="4"/>
  <c r="L119" i="4"/>
  <c r="AC119" i="4"/>
  <c r="AI119" i="4"/>
  <c r="P117" i="4"/>
  <c r="U119" i="4"/>
  <c r="I119" i="4"/>
  <c r="G117" i="4"/>
  <c r="U117" i="4"/>
  <c r="R117" i="4"/>
  <c r="S117" i="4"/>
  <c r="W117" i="4"/>
  <c r="H117" i="4"/>
  <c r="T117" i="4"/>
  <c r="J117" i="4"/>
  <c r="I117" i="4"/>
  <c r="X117" i="4"/>
  <c r="AG117" i="4"/>
  <c r="V117" i="4"/>
  <c r="AI117" i="4"/>
  <c r="M117" i="4"/>
  <c r="AA117" i="4"/>
  <c r="O117" i="4"/>
  <c r="L117" i="4"/>
  <c r="AH117" i="4"/>
  <c r="AC117" i="4"/>
  <c r="AJ117" i="4"/>
  <c r="AK117" i="4"/>
  <c r="AB117" i="4"/>
  <c r="Z117" i="4"/>
  <c r="N117" i="4"/>
  <c r="AE117" i="4"/>
  <c r="K117" i="4"/>
  <c r="AL117" i="4"/>
  <c r="AF117" i="4"/>
  <c r="AD117" i="4"/>
  <c r="Q117" i="4"/>
  <c r="Y117" i="4"/>
  <c r="F119" i="4"/>
  <c r="P41" i="4"/>
  <c r="AH41" i="4"/>
  <c r="AD41" i="4"/>
  <c r="K41" i="4"/>
  <c r="AJ41" i="4"/>
  <c r="N41" i="4"/>
  <c r="AC41" i="4"/>
  <c r="AA41" i="4"/>
  <c r="AG41" i="4"/>
  <c r="V41" i="4"/>
  <c r="T41" i="4"/>
  <c r="R41" i="4"/>
  <c r="Y41" i="4"/>
  <c r="G41" i="4"/>
  <c r="U41" i="4"/>
  <c r="AB41" i="4"/>
  <c r="Z41" i="4"/>
  <c r="AE41" i="4"/>
  <c r="L41" i="4"/>
  <c r="S41" i="4"/>
  <c r="Q41" i="4"/>
  <c r="AF41" i="4"/>
  <c r="M41" i="4"/>
  <c r="J41" i="4"/>
  <c r="H41" i="4"/>
  <c r="X41" i="4"/>
  <c r="AK41" i="4"/>
  <c r="AI41" i="4"/>
  <c r="W41" i="4"/>
  <c r="F41" i="4"/>
  <c r="E41" i="4"/>
  <c r="C78" i="4" s="1"/>
  <c r="G80" i="4" l="1"/>
  <c r="O80" i="4"/>
  <c r="W80" i="4"/>
  <c r="AE80" i="4"/>
  <c r="G81" i="4"/>
  <c r="O81" i="4"/>
  <c r="W81" i="4"/>
  <c r="AE81" i="4"/>
  <c r="G82" i="4"/>
  <c r="O82" i="4"/>
  <c r="W82" i="4"/>
  <c r="AE82" i="4"/>
  <c r="G83" i="4"/>
  <c r="O83" i="4"/>
  <c r="W83" i="4"/>
  <c r="AE83" i="4"/>
  <c r="G84" i="4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H80" i="4"/>
  <c r="P80" i="4"/>
  <c r="X80" i="4"/>
  <c r="AF80" i="4"/>
  <c r="H81" i="4"/>
  <c r="P81" i="4"/>
  <c r="X81" i="4"/>
  <c r="AF81" i="4"/>
  <c r="H82" i="4"/>
  <c r="P82" i="4"/>
  <c r="X82" i="4"/>
  <c r="AF82" i="4"/>
  <c r="H83" i="4"/>
  <c r="P83" i="4"/>
  <c r="X83" i="4"/>
  <c r="AF83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X94" i="4"/>
  <c r="AF94" i="4"/>
  <c r="H95" i="4"/>
  <c r="P95" i="4"/>
  <c r="X95" i="4"/>
  <c r="AF95" i="4"/>
  <c r="H96" i="4"/>
  <c r="P96" i="4"/>
  <c r="X96" i="4"/>
  <c r="AF96" i="4"/>
  <c r="H97" i="4"/>
  <c r="P97" i="4"/>
  <c r="X97" i="4"/>
  <c r="AF97" i="4"/>
  <c r="H98" i="4"/>
  <c r="P98" i="4"/>
  <c r="X98" i="4"/>
  <c r="AF98" i="4"/>
  <c r="H99" i="4"/>
  <c r="P99" i="4"/>
  <c r="X99" i="4"/>
  <c r="AF99" i="4"/>
  <c r="H100" i="4"/>
  <c r="P100" i="4"/>
  <c r="X100" i="4"/>
  <c r="AF100" i="4"/>
  <c r="H101" i="4"/>
  <c r="I80" i="4"/>
  <c r="Q80" i="4"/>
  <c r="Y80" i="4"/>
  <c r="AG80" i="4"/>
  <c r="I81" i="4"/>
  <c r="Q81" i="4"/>
  <c r="Y81" i="4"/>
  <c r="AG81" i="4"/>
  <c r="I82" i="4"/>
  <c r="Q82" i="4"/>
  <c r="Y82" i="4"/>
  <c r="AG82" i="4"/>
  <c r="I83" i="4"/>
  <c r="Q83" i="4"/>
  <c r="Y83" i="4"/>
  <c r="AG83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J80" i="4"/>
  <c r="R80" i="4"/>
  <c r="Z80" i="4"/>
  <c r="AH80" i="4"/>
  <c r="J81" i="4"/>
  <c r="R81" i="4"/>
  <c r="Z81" i="4"/>
  <c r="AH81" i="4"/>
  <c r="J82" i="4"/>
  <c r="R82" i="4"/>
  <c r="Z82" i="4"/>
  <c r="AH82" i="4"/>
  <c r="J83" i="4"/>
  <c r="R83" i="4"/>
  <c r="Z83" i="4"/>
  <c r="AH83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Z94" i="4"/>
  <c r="AH94" i="4"/>
  <c r="J95" i="4"/>
  <c r="R95" i="4"/>
  <c r="Z95" i="4"/>
  <c r="AH95" i="4"/>
  <c r="J96" i="4"/>
  <c r="R96" i="4"/>
  <c r="Z96" i="4"/>
  <c r="AH96" i="4"/>
  <c r="J97" i="4"/>
  <c r="R97" i="4"/>
  <c r="Z97" i="4"/>
  <c r="AH97" i="4"/>
  <c r="J98" i="4"/>
  <c r="R98" i="4"/>
  <c r="Z98" i="4"/>
  <c r="AH98" i="4"/>
  <c r="K80" i="4"/>
  <c r="S80" i="4"/>
  <c r="AA80" i="4"/>
  <c r="AI80" i="4"/>
  <c r="K81" i="4"/>
  <c r="S81" i="4"/>
  <c r="AA81" i="4"/>
  <c r="AI81" i="4"/>
  <c r="K82" i="4"/>
  <c r="S82" i="4"/>
  <c r="AA82" i="4"/>
  <c r="AI82" i="4"/>
  <c r="K83" i="4"/>
  <c r="S83" i="4"/>
  <c r="AA83" i="4"/>
  <c r="AI83" i="4"/>
  <c r="K84" i="4"/>
  <c r="S84" i="4"/>
  <c r="AA84" i="4"/>
  <c r="AI84" i="4"/>
  <c r="K85" i="4"/>
  <c r="S85" i="4"/>
  <c r="AA85" i="4"/>
  <c r="AI85" i="4"/>
  <c r="K86" i="4"/>
  <c r="S86" i="4"/>
  <c r="AA86" i="4"/>
  <c r="AI86" i="4"/>
  <c r="K87" i="4"/>
  <c r="S87" i="4"/>
  <c r="AA87" i="4"/>
  <c r="AI87" i="4"/>
  <c r="K88" i="4"/>
  <c r="S88" i="4"/>
  <c r="AA88" i="4"/>
  <c r="AI88" i="4"/>
  <c r="K89" i="4"/>
  <c r="S89" i="4"/>
  <c r="AA89" i="4"/>
  <c r="AI89" i="4"/>
  <c r="K90" i="4"/>
  <c r="S90" i="4"/>
  <c r="AA90" i="4"/>
  <c r="AI90" i="4"/>
  <c r="K91" i="4"/>
  <c r="S91" i="4"/>
  <c r="AA91" i="4"/>
  <c r="AI91" i="4"/>
  <c r="K92" i="4"/>
  <c r="S92" i="4"/>
  <c r="AA92" i="4"/>
  <c r="AI92" i="4"/>
  <c r="K93" i="4"/>
  <c r="S93" i="4"/>
  <c r="AA93" i="4"/>
  <c r="AI93" i="4"/>
  <c r="K94" i="4"/>
  <c r="S94" i="4"/>
  <c r="AA94" i="4"/>
  <c r="AI94" i="4"/>
  <c r="K95" i="4"/>
  <c r="S95" i="4"/>
  <c r="AA95" i="4"/>
  <c r="AI95" i="4"/>
  <c r="K96" i="4"/>
  <c r="S96" i="4"/>
  <c r="AA96" i="4"/>
  <c r="AI96" i="4"/>
  <c r="K97" i="4"/>
  <c r="S97" i="4"/>
  <c r="AA97" i="4"/>
  <c r="AI97" i="4"/>
  <c r="K98" i="4"/>
  <c r="S98" i="4"/>
  <c r="AA98" i="4"/>
  <c r="AI98" i="4"/>
  <c r="K99" i="4"/>
  <c r="S99" i="4"/>
  <c r="AA99" i="4"/>
  <c r="AI99" i="4"/>
  <c r="K100" i="4"/>
  <c r="S100" i="4"/>
  <c r="AA100" i="4"/>
  <c r="L80" i="4"/>
  <c r="T80" i="4"/>
  <c r="AB80" i="4"/>
  <c r="AJ80" i="4"/>
  <c r="L81" i="4"/>
  <c r="T81" i="4"/>
  <c r="AB81" i="4"/>
  <c r="AJ81" i="4"/>
  <c r="L82" i="4"/>
  <c r="T82" i="4"/>
  <c r="AB82" i="4"/>
  <c r="AJ82" i="4"/>
  <c r="L83" i="4"/>
  <c r="T83" i="4"/>
  <c r="AB83" i="4"/>
  <c r="AJ83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T100" i="4"/>
  <c r="AB100" i="4"/>
  <c r="AJ100" i="4"/>
  <c r="L101" i="4"/>
  <c r="M80" i="4"/>
  <c r="M81" i="4"/>
  <c r="M82" i="4"/>
  <c r="M83" i="4"/>
  <c r="M84" i="4"/>
  <c r="M85" i="4"/>
  <c r="M86" i="4"/>
  <c r="M87" i="4"/>
  <c r="M88" i="4"/>
  <c r="M89" i="4"/>
  <c r="M90" i="4"/>
  <c r="M91" i="4"/>
  <c r="AL91" i="4"/>
  <c r="AC92" i="4"/>
  <c r="Q93" i="4"/>
  <c r="AL93" i="4"/>
  <c r="AC94" i="4"/>
  <c r="Q95" i="4"/>
  <c r="AL95" i="4"/>
  <c r="AC96" i="4"/>
  <c r="Q97" i="4"/>
  <c r="AL97" i="4"/>
  <c r="AC98" i="4"/>
  <c r="J99" i="4"/>
  <c r="W99" i="4"/>
  <c r="AK99" i="4"/>
  <c r="Q100" i="4"/>
  <c r="AD100" i="4"/>
  <c r="I101" i="4"/>
  <c r="R101" i="4"/>
  <c r="Z101" i="4"/>
  <c r="AH101" i="4"/>
  <c r="J102" i="4"/>
  <c r="R102" i="4"/>
  <c r="Z102" i="4"/>
  <c r="AH102" i="4"/>
  <c r="J103" i="4"/>
  <c r="R103" i="4"/>
  <c r="Z103" i="4"/>
  <c r="AH103" i="4"/>
  <c r="J104" i="4"/>
  <c r="R104" i="4"/>
  <c r="Z104" i="4"/>
  <c r="AH104" i="4"/>
  <c r="J105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AL89" i="4"/>
  <c r="N80" i="4"/>
  <c r="N81" i="4"/>
  <c r="N82" i="4"/>
  <c r="N83" i="4"/>
  <c r="N84" i="4"/>
  <c r="N85" i="4"/>
  <c r="N86" i="4"/>
  <c r="N87" i="4"/>
  <c r="N88" i="4"/>
  <c r="N89" i="4"/>
  <c r="N90" i="4"/>
  <c r="N91" i="4"/>
  <c r="I92" i="4"/>
  <c r="AD92" i="4"/>
  <c r="U93" i="4"/>
  <c r="I94" i="4"/>
  <c r="AD94" i="4"/>
  <c r="U95" i="4"/>
  <c r="I96" i="4"/>
  <c r="AD96" i="4"/>
  <c r="U97" i="4"/>
  <c r="I98" i="4"/>
  <c r="AD98" i="4"/>
  <c r="M99" i="4"/>
  <c r="Y99" i="4"/>
  <c r="AL99" i="4"/>
  <c r="R100" i="4"/>
  <c r="AE100" i="4"/>
  <c r="J101" i="4"/>
  <c r="S101" i="4"/>
  <c r="AA101" i="4"/>
  <c r="AI101" i="4"/>
  <c r="K102" i="4"/>
  <c r="S102" i="4"/>
  <c r="AA102" i="4"/>
  <c r="AI102" i="4"/>
  <c r="K103" i="4"/>
  <c r="S103" i="4"/>
  <c r="AA103" i="4"/>
  <c r="AI103" i="4"/>
  <c r="K104" i="4"/>
  <c r="S104" i="4"/>
  <c r="AA104" i="4"/>
  <c r="AI104" i="4"/>
  <c r="K105" i="4"/>
  <c r="S105" i="4"/>
  <c r="AA105" i="4"/>
  <c r="AI105" i="4"/>
  <c r="K106" i="4"/>
  <c r="S106" i="4"/>
  <c r="AA106" i="4"/>
  <c r="AI106" i="4"/>
  <c r="K107" i="4"/>
  <c r="S107" i="4"/>
  <c r="AA107" i="4"/>
  <c r="AI107" i="4"/>
  <c r="K108" i="4"/>
  <c r="S108" i="4"/>
  <c r="AA108" i="4"/>
  <c r="AI108" i="4"/>
  <c r="AK95" i="4"/>
  <c r="U80" i="4"/>
  <c r="U81" i="4"/>
  <c r="U82" i="4"/>
  <c r="U83" i="4"/>
  <c r="U84" i="4"/>
  <c r="U85" i="4"/>
  <c r="U86" i="4"/>
  <c r="U87" i="4"/>
  <c r="U88" i="4"/>
  <c r="U89" i="4"/>
  <c r="U90" i="4"/>
  <c r="U91" i="4"/>
  <c r="M92" i="4"/>
  <c r="AG92" i="4"/>
  <c r="V93" i="4"/>
  <c r="M94" i="4"/>
  <c r="AG94" i="4"/>
  <c r="V95" i="4"/>
  <c r="M96" i="4"/>
  <c r="AG96" i="4"/>
  <c r="V97" i="4"/>
  <c r="M98" i="4"/>
  <c r="AE98" i="4"/>
  <c r="N99" i="4"/>
  <c r="Z99" i="4"/>
  <c r="G100" i="4"/>
  <c r="U100" i="4"/>
  <c r="AG100" i="4"/>
  <c r="K101" i="4"/>
  <c r="T101" i="4"/>
  <c r="AB101" i="4"/>
  <c r="AJ101" i="4"/>
  <c r="L102" i="4"/>
  <c r="T102" i="4"/>
  <c r="AB102" i="4"/>
  <c r="AJ102" i="4"/>
  <c r="L103" i="4"/>
  <c r="T103" i="4"/>
  <c r="AB103" i="4"/>
  <c r="AJ103" i="4"/>
  <c r="L104" i="4"/>
  <c r="T104" i="4"/>
  <c r="AB104" i="4"/>
  <c r="AJ104" i="4"/>
  <c r="L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V80" i="4"/>
  <c r="V81" i="4"/>
  <c r="V82" i="4"/>
  <c r="V83" i="4"/>
  <c r="V84" i="4"/>
  <c r="V85" i="4"/>
  <c r="V86" i="4"/>
  <c r="V87" i="4"/>
  <c r="V88" i="4"/>
  <c r="V89" i="4"/>
  <c r="V90" i="4"/>
  <c r="V91" i="4"/>
  <c r="N92" i="4"/>
  <c r="AK92" i="4"/>
  <c r="Y93" i="4"/>
  <c r="N94" i="4"/>
  <c r="AK94" i="4"/>
  <c r="Y95" i="4"/>
  <c r="N96" i="4"/>
  <c r="AK96" i="4"/>
  <c r="Y97" i="4"/>
  <c r="N98" i="4"/>
  <c r="AG98" i="4"/>
  <c r="O99" i="4"/>
  <c r="AC99" i="4"/>
  <c r="I100" i="4"/>
  <c r="V100" i="4"/>
  <c r="AH100" i="4"/>
  <c r="M101" i="4"/>
  <c r="U101" i="4"/>
  <c r="AC101" i="4"/>
  <c r="AK101" i="4"/>
  <c r="M102" i="4"/>
  <c r="U102" i="4"/>
  <c r="AC102" i="4"/>
  <c r="AK102" i="4"/>
  <c r="M103" i="4"/>
  <c r="U103" i="4"/>
  <c r="AC103" i="4"/>
  <c r="AK103" i="4"/>
  <c r="M104" i="4"/>
  <c r="U104" i="4"/>
  <c r="AC104" i="4"/>
  <c r="AK104" i="4"/>
  <c r="M105" i="4"/>
  <c r="U105" i="4"/>
  <c r="AC105" i="4"/>
  <c r="AK105" i="4"/>
  <c r="M106" i="4"/>
  <c r="U106" i="4"/>
  <c r="AC106" i="4"/>
  <c r="AK106" i="4"/>
  <c r="M107" i="4"/>
  <c r="U107" i="4"/>
  <c r="AC107" i="4"/>
  <c r="AK107" i="4"/>
  <c r="M108" i="4"/>
  <c r="U108" i="4"/>
  <c r="AC108" i="4"/>
  <c r="AK108" i="4"/>
  <c r="Y98" i="4"/>
  <c r="I103" i="4"/>
  <c r="AG104" i="4"/>
  <c r="Q106" i="4"/>
  <c r="Q107" i="4"/>
  <c r="Q108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Q92" i="4"/>
  <c r="AL92" i="4"/>
  <c r="AC93" i="4"/>
  <c r="Q94" i="4"/>
  <c r="AL94" i="4"/>
  <c r="AC95" i="4"/>
  <c r="Q96" i="4"/>
  <c r="AL96" i="4"/>
  <c r="AC97" i="4"/>
  <c r="Q98" i="4"/>
  <c r="AK98" i="4"/>
  <c r="Q99" i="4"/>
  <c r="AD99" i="4"/>
  <c r="J100" i="4"/>
  <c r="W100" i="4"/>
  <c r="AI100" i="4"/>
  <c r="N101" i="4"/>
  <c r="V101" i="4"/>
  <c r="AD101" i="4"/>
  <c r="AL101" i="4"/>
  <c r="N102" i="4"/>
  <c r="V102" i="4"/>
  <c r="AD102" i="4"/>
  <c r="AL102" i="4"/>
  <c r="N103" i="4"/>
  <c r="V103" i="4"/>
  <c r="AD103" i="4"/>
  <c r="AL103" i="4"/>
  <c r="N104" i="4"/>
  <c r="V104" i="4"/>
  <c r="AD104" i="4"/>
  <c r="AL104" i="4"/>
  <c r="N105" i="4"/>
  <c r="V105" i="4"/>
  <c r="AD105" i="4"/>
  <c r="AL105" i="4"/>
  <c r="N106" i="4"/>
  <c r="V106" i="4"/>
  <c r="AD106" i="4"/>
  <c r="AL106" i="4"/>
  <c r="N107" i="4"/>
  <c r="V107" i="4"/>
  <c r="AD107" i="4"/>
  <c r="AL107" i="4"/>
  <c r="N108" i="4"/>
  <c r="V108" i="4"/>
  <c r="AD108" i="4"/>
  <c r="AL108" i="4"/>
  <c r="AL80" i="4"/>
  <c r="AL82" i="4"/>
  <c r="AL84" i="4"/>
  <c r="AL86" i="4"/>
  <c r="AL87" i="4"/>
  <c r="AL90" i="4"/>
  <c r="Y92" i="4"/>
  <c r="AK93" i="4"/>
  <c r="Y94" i="4"/>
  <c r="N97" i="4"/>
  <c r="I99" i="4"/>
  <c r="AH99" i="4"/>
  <c r="G101" i="4"/>
  <c r="Q102" i="4"/>
  <c r="Q103" i="4"/>
  <c r="I104" i="4"/>
  <c r="Q105" i="4"/>
  <c r="Y106" i="4"/>
  <c r="Y107" i="4"/>
  <c r="Y108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U92" i="4"/>
  <c r="I93" i="4"/>
  <c r="AD93" i="4"/>
  <c r="U94" i="4"/>
  <c r="I95" i="4"/>
  <c r="AD95" i="4"/>
  <c r="U96" i="4"/>
  <c r="I97" i="4"/>
  <c r="AD97" i="4"/>
  <c r="U98" i="4"/>
  <c r="AL98" i="4"/>
  <c r="R99" i="4"/>
  <c r="AE99" i="4"/>
  <c r="M100" i="4"/>
  <c r="Y100" i="4"/>
  <c r="AK100" i="4"/>
  <c r="O101" i="4"/>
  <c r="W101" i="4"/>
  <c r="AE101" i="4"/>
  <c r="G102" i="4"/>
  <c r="O102" i="4"/>
  <c r="W102" i="4"/>
  <c r="AE102" i="4"/>
  <c r="G103" i="4"/>
  <c r="O103" i="4"/>
  <c r="W103" i="4"/>
  <c r="AE103" i="4"/>
  <c r="G104" i="4"/>
  <c r="O104" i="4"/>
  <c r="W104" i="4"/>
  <c r="AE104" i="4"/>
  <c r="G105" i="4"/>
  <c r="O105" i="4"/>
  <c r="W105" i="4"/>
  <c r="AE105" i="4"/>
  <c r="G106" i="4"/>
  <c r="O106" i="4"/>
  <c r="W106" i="4"/>
  <c r="AE106" i="4"/>
  <c r="G107" i="4"/>
  <c r="O107" i="4"/>
  <c r="W107" i="4"/>
  <c r="AE107" i="4"/>
  <c r="G108" i="4"/>
  <c r="O108" i="4"/>
  <c r="W108" i="4"/>
  <c r="AE108" i="4"/>
  <c r="AL81" i="4"/>
  <c r="AL83" i="4"/>
  <c r="AL85" i="4"/>
  <c r="AL88" i="4"/>
  <c r="AK91" i="4"/>
  <c r="N93" i="4"/>
  <c r="N95" i="4"/>
  <c r="AK97" i="4"/>
  <c r="V99" i="4"/>
  <c r="O100" i="4"/>
  <c r="Q101" i="4"/>
  <c r="AG101" i="4"/>
  <c r="Y102" i="4"/>
  <c r="AG103" i="4"/>
  <c r="Y104" i="4"/>
  <c r="Y105" i="4"/>
  <c r="I106" i="4"/>
  <c r="I107" i="4"/>
  <c r="AG107" i="4"/>
  <c r="AG108" i="4"/>
  <c r="AK80" i="4"/>
  <c r="AK81" i="4"/>
  <c r="AK82" i="4"/>
  <c r="AK83" i="4"/>
  <c r="AK84" i="4"/>
  <c r="AK85" i="4"/>
  <c r="AK86" i="4"/>
  <c r="AK87" i="4"/>
  <c r="AK88" i="4"/>
  <c r="AK89" i="4"/>
  <c r="AK90" i="4"/>
  <c r="AG91" i="4"/>
  <c r="V92" i="4"/>
  <c r="M93" i="4"/>
  <c r="AG93" i="4"/>
  <c r="V94" i="4"/>
  <c r="M95" i="4"/>
  <c r="AG95" i="4"/>
  <c r="V96" i="4"/>
  <c r="M97" i="4"/>
  <c r="AG97" i="4"/>
  <c r="V98" i="4"/>
  <c r="G99" i="4"/>
  <c r="U99" i="4"/>
  <c r="AG99" i="4"/>
  <c r="N100" i="4"/>
  <c r="Z100" i="4"/>
  <c r="AL100" i="4"/>
  <c r="P101" i="4"/>
  <c r="X101" i="4"/>
  <c r="AF101" i="4"/>
  <c r="H102" i="4"/>
  <c r="P102" i="4"/>
  <c r="X102" i="4"/>
  <c r="AF102" i="4"/>
  <c r="H103" i="4"/>
  <c r="P103" i="4"/>
  <c r="X103" i="4"/>
  <c r="AF103" i="4"/>
  <c r="H104" i="4"/>
  <c r="P104" i="4"/>
  <c r="X104" i="4"/>
  <c r="AF104" i="4"/>
  <c r="H105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Y96" i="4"/>
  <c r="AC100" i="4"/>
  <c r="Y101" i="4"/>
  <c r="I102" i="4"/>
  <c r="AG102" i="4"/>
  <c r="Y103" i="4"/>
  <c r="Q104" i="4"/>
  <c r="I105" i="4"/>
  <c r="AG105" i="4"/>
  <c r="AG106" i="4"/>
  <c r="I108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B114" i="4" l="1"/>
  <c r="F117" i="4"/>
  <c r="F118" i="4"/>
  <c r="B115" i="4"/>
  <c r="E122" i="4" l="1" a="1"/>
  <c r="V135" i="4" s="1"/>
  <c r="E129" i="4" l="1"/>
  <c r="T126" i="4"/>
  <c r="AE129" i="4"/>
  <c r="S124" i="4"/>
  <c r="Y133" i="4"/>
  <c r="I122" i="4"/>
  <c r="P135" i="4"/>
  <c r="I131" i="4"/>
  <c r="AC123" i="4"/>
  <c r="F127" i="4"/>
  <c r="Z126" i="4"/>
  <c r="O126" i="4"/>
  <c r="AG131" i="4"/>
  <c r="AE122" i="4"/>
  <c r="Q122" i="4"/>
  <c r="AD127" i="4"/>
  <c r="AJ127" i="4"/>
  <c r="X126" i="4"/>
  <c r="AL135" i="4"/>
  <c r="AK134" i="4"/>
  <c r="G133" i="4"/>
  <c r="AF124" i="4"/>
  <c r="U128" i="4"/>
  <c r="U132" i="4"/>
  <c r="E132" i="4"/>
  <c r="AL133" i="4"/>
  <c r="E131" i="4"/>
  <c r="I130" i="4"/>
  <c r="Z124" i="4"/>
  <c r="AF126" i="4"/>
  <c r="S135" i="4"/>
  <c r="AJ128" i="4"/>
  <c r="Z122" i="4"/>
  <c r="AL126" i="4"/>
  <c r="V128" i="4"/>
  <c r="R123" i="4"/>
  <c r="AE133" i="4"/>
  <c r="AK131" i="4"/>
  <c r="G127" i="4"/>
  <c r="AC133" i="4"/>
  <c r="Q128" i="4"/>
  <c r="AA124" i="4"/>
  <c r="AA127" i="4"/>
  <c r="K129" i="4"/>
  <c r="AA122" i="4"/>
  <c r="M134" i="4"/>
  <c r="N135" i="4"/>
  <c r="O131" i="4"/>
  <c r="K134" i="4"/>
  <c r="T135" i="4"/>
  <c r="AB135" i="4"/>
  <c r="P124" i="4"/>
  <c r="T134" i="4"/>
  <c r="E130" i="4"/>
  <c r="R129" i="4"/>
  <c r="N122" i="4"/>
  <c r="P128" i="4"/>
  <c r="Q127" i="4"/>
  <c r="M135" i="4"/>
  <c r="W133" i="4"/>
  <c r="Q135" i="4"/>
  <c r="AC125" i="4"/>
  <c r="N131" i="4"/>
  <c r="AH130" i="4"/>
  <c r="Q132" i="4"/>
  <c r="O132" i="4"/>
  <c r="AA129" i="4"/>
  <c r="E128" i="4"/>
  <c r="R128" i="4"/>
  <c r="I123" i="4"/>
  <c r="Z135" i="4"/>
  <c r="P131" i="4"/>
  <c r="F128" i="4"/>
  <c r="AJ129" i="4"/>
  <c r="AF123" i="4"/>
  <c r="AL131" i="4"/>
  <c r="AC132" i="4"/>
  <c r="J132" i="4"/>
  <c r="P134" i="4"/>
  <c r="AD130" i="4"/>
  <c r="X134" i="4"/>
  <c r="J130" i="4"/>
  <c r="V134" i="4"/>
  <c r="R130" i="4"/>
  <c r="F129" i="4"/>
  <c r="T123" i="4"/>
  <c r="AG133" i="4"/>
  <c r="AL124" i="4"/>
  <c r="Y135" i="4"/>
  <c r="E134" i="4"/>
  <c r="S128" i="4"/>
  <c r="K135" i="4"/>
  <c r="S129" i="4"/>
  <c r="K130" i="4"/>
  <c r="AF125" i="4"/>
  <c r="E122" i="4"/>
  <c r="Y126" i="4"/>
  <c r="AL125" i="4"/>
  <c r="M123" i="4"/>
  <c r="AB125" i="4"/>
  <c r="H132" i="4"/>
  <c r="Y131" i="4"/>
  <c r="AL134" i="4"/>
  <c r="AG124" i="4"/>
  <c r="S134" i="4"/>
  <c r="AH131" i="4"/>
  <c r="T132" i="4"/>
  <c r="AI131" i="4"/>
  <c r="U126" i="4"/>
  <c r="Y122" i="4"/>
  <c r="X135" i="4"/>
  <c r="X127" i="4"/>
  <c r="I129" i="4"/>
  <c r="K127" i="4"/>
  <c r="G129" i="4"/>
  <c r="W132" i="4"/>
  <c r="M128" i="4"/>
  <c r="P132" i="4"/>
  <c r="T133" i="4"/>
  <c r="G135" i="4"/>
  <c r="N124" i="4"/>
  <c r="P126" i="4"/>
  <c r="S125" i="4"/>
  <c r="Z132" i="4"/>
  <c r="AE125" i="4"/>
  <c r="AJ133" i="4"/>
  <c r="O135" i="4"/>
  <c r="J134" i="4"/>
  <c r="AJ130" i="4"/>
  <c r="P125" i="4"/>
  <c r="AC135" i="4"/>
  <c r="Z130" i="4"/>
  <c r="V125" i="4"/>
  <c r="AI135" i="4"/>
  <c r="O130" i="4"/>
  <c r="N134" i="4"/>
  <c r="U124" i="4"/>
  <c r="G132" i="4"/>
  <c r="P133" i="4"/>
  <c r="R132" i="4"/>
  <c r="AC128" i="4"/>
  <c r="V133" i="4"/>
  <c r="AI128" i="4"/>
  <c r="Y134" i="4"/>
  <c r="Q125" i="4"/>
  <c r="J125" i="4"/>
  <c r="AF134" i="4"/>
  <c r="H122" i="4"/>
  <c r="S127" i="4"/>
  <c r="AA123" i="4"/>
  <c r="X122" i="4"/>
  <c r="U123" i="4"/>
  <c r="AI134" i="4"/>
  <c r="M129" i="4"/>
  <c r="T129" i="4"/>
  <c r="AH133" i="4"/>
  <c r="N128" i="4"/>
  <c r="O122" i="4"/>
  <c r="V130" i="4"/>
  <c r="Q131" i="4"/>
  <c r="W135" i="4"/>
  <c r="K122" i="4"/>
  <c r="AF132" i="4"/>
  <c r="AL130" i="4"/>
  <c r="R125" i="4"/>
  <c r="V132" i="4"/>
  <c r="R127" i="4"/>
  <c r="AB123" i="4"/>
  <c r="AK135" i="4"/>
  <c r="I134" i="4"/>
  <c r="AC124" i="4"/>
  <c r="AH123" i="4"/>
  <c r="L135" i="4"/>
  <c r="S133" i="4"/>
  <c r="X123" i="4"/>
  <c r="R135" i="4"/>
  <c r="P122" i="4"/>
  <c r="X124" i="4"/>
  <c r="N130" i="4"/>
  <c r="AJ124" i="4"/>
  <c r="K126" i="4"/>
  <c r="AE124" i="4"/>
  <c r="J128" i="4"/>
  <c r="AA131" i="4"/>
  <c r="F134" i="4"/>
  <c r="AF131" i="4"/>
  <c r="AI129" i="4"/>
  <c r="V126" i="4"/>
  <c r="N126" i="4"/>
  <c r="H135" i="4"/>
  <c r="J126" i="4"/>
  <c r="Q123" i="4"/>
  <c r="AI126" i="4"/>
  <c r="R122" i="4"/>
  <c r="Q129" i="4"/>
  <c r="AE134" i="4"/>
  <c r="S123" i="4"/>
  <c r="W123" i="4"/>
  <c r="T130" i="4"/>
  <c r="AB133" i="4"/>
  <c r="U125" i="4"/>
  <c r="AI123" i="4"/>
  <c r="AJ126" i="4"/>
  <c r="AK127" i="4"/>
  <c r="G122" i="4"/>
  <c r="J123" i="4"/>
  <c r="AE135" i="4"/>
  <c r="AG127" i="4"/>
  <c r="U122" i="4"/>
  <c r="AH132" i="4"/>
  <c r="N127" i="4"/>
  <c r="R134" i="4"/>
  <c r="F133" i="4"/>
  <c r="T127" i="4"/>
  <c r="AD123" i="4"/>
  <c r="R126" i="4"/>
  <c r="AG126" i="4"/>
  <c r="R131" i="4"/>
  <c r="AE126" i="4"/>
  <c r="O123" i="4"/>
  <c r="H131" i="4"/>
  <c r="AK126" i="4"/>
  <c r="L124" i="4"/>
  <c r="AJ125" i="4"/>
  <c r="W131" i="4"/>
  <c r="Z128" i="4"/>
  <c r="O127" i="4"/>
  <c r="AC122" i="4"/>
  <c r="AL128" i="4"/>
  <c r="E135" i="4"/>
  <c r="L132" i="4"/>
  <c r="AC134" i="4"/>
  <c r="E133" i="4"/>
  <c r="AG132" i="4"/>
  <c r="AF127" i="4"/>
  <c r="AF122" i="4"/>
  <c r="X131" i="4"/>
  <c r="AJ131" i="4"/>
  <c r="AJ122" i="4"/>
  <c r="AH135" i="4"/>
  <c r="M125" i="4"/>
  <c r="AB126" i="4"/>
  <c r="AH124" i="4"/>
  <c r="AB130" i="4"/>
  <c r="AC131" i="4"/>
  <c r="Y129" i="4"/>
  <c r="M122" i="4"/>
  <c r="K125" i="4"/>
  <c r="AC129" i="4"/>
  <c r="Q124" i="4"/>
  <c r="AD134" i="4"/>
  <c r="AJ132" i="4"/>
  <c r="O124" i="4"/>
  <c r="AJ134" i="4"/>
  <c r="P129" i="4"/>
  <c r="Z125" i="4"/>
  <c r="I124" i="4"/>
  <c r="G131" i="4"/>
  <c r="N133" i="4"/>
  <c r="O134" i="4"/>
  <c r="U129" i="4"/>
  <c r="AL132" i="4"/>
  <c r="U134" i="4"/>
  <c r="AH129" i="4"/>
  <c r="J135" i="4"/>
  <c r="AH134" i="4"/>
  <c r="L122" i="4"/>
  <c r="K123" i="4"/>
  <c r="J124" i="4"/>
  <c r="I125" i="4"/>
  <c r="H126" i="4"/>
  <c r="AD132" i="4"/>
  <c r="AK133" i="4"/>
  <c r="F122" i="4"/>
  <c r="E123" i="4"/>
  <c r="AL123" i="4"/>
  <c r="O133" i="4"/>
  <c r="V124" i="4"/>
  <c r="AK124" i="4"/>
  <c r="AG130" i="4"/>
  <c r="AD133" i="4"/>
  <c r="T128" i="4"/>
  <c r="AE128" i="4"/>
  <c r="AJ135" i="4"/>
  <c r="I127" i="4"/>
  <c r="Y130" i="4"/>
  <c r="L130" i="4"/>
  <c r="P130" i="4"/>
  <c r="W125" i="4"/>
  <c r="K133" i="4"/>
  <c r="R124" i="4"/>
  <c r="AB122" i="4"/>
  <c r="AG134" i="4"/>
  <c r="AA134" i="4"/>
  <c r="T124" i="4"/>
  <c r="AA130" i="4"/>
  <c r="AB129" i="4"/>
  <c r="K131" i="4"/>
  <c r="S131" i="4"/>
  <c r="AA133" i="4"/>
  <c r="AI127" i="4"/>
  <c r="G126" i="4"/>
  <c r="AB132" i="4"/>
  <c r="F123" i="4"/>
  <c r="Y127" i="4"/>
  <c r="L123" i="4"/>
  <c r="G123" i="4"/>
  <c r="N132" i="4"/>
  <c r="U133" i="4"/>
  <c r="AB134" i="4"/>
  <c r="AA135" i="4"/>
  <c r="W122" i="4"/>
  <c r="V123" i="4"/>
  <c r="K124" i="4"/>
  <c r="S122" i="4"/>
  <c r="Z123" i="4"/>
  <c r="Y124" i="4"/>
  <c r="X125" i="4"/>
  <c r="W126" i="4"/>
  <c r="V127" i="4"/>
  <c r="AB128" i="4"/>
  <c r="AG122" i="4"/>
  <c r="AK128" i="4"/>
  <c r="Z134" i="4"/>
  <c r="AG135" i="4"/>
  <c r="AK122" i="4"/>
  <c r="AJ123" i="4"/>
  <c r="AI124" i="4"/>
  <c r="AH125" i="4"/>
  <c r="AD126" i="4"/>
  <c r="F132" i="4"/>
  <c r="H123" i="4"/>
  <c r="AK132" i="4"/>
  <c r="AI122" i="4"/>
  <c r="H124" i="4"/>
  <c r="G125" i="4"/>
  <c r="F126" i="4"/>
  <c r="E127" i="4"/>
  <c r="AL127" i="4"/>
  <c r="AF129" i="4"/>
  <c r="M132" i="4"/>
  <c r="V122" i="4"/>
  <c r="E125" i="4"/>
  <c r="I133" i="4"/>
  <c r="U127" i="4"/>
  <c r="O129" i="4"/>
  <c r="Q134" i="4"/>
  <c r="AK130" i="4"/>
  <c r="AI130" i="4"/>
  <c r="Y125" i="4"/>
  <c r="AK123" i="4"/>
  <c r="AG123" i="4"/>
  <c r="H125" i="4"/>
  <c r="U135" i="4"/>
  <c r="W129" i="4"/>
  <c r="AA125" i="4"/>
  <c r="AF128" i="4"/>
  <c r="AF130" i="4"/>
  <c r="AH122" i="4"/>
  <c r="G124" i="4"/>
  <c r="N125" i="4"/>
  <c r="M126" i="4"/>
  <c r="L127" i="4"/>
  <c r="K128" i="4"/>
  <c r="J129" i="4"/>
  <c r="AH126" i="4"/>
  <c r="G128" i="4"/>
  <c r="N129" i="4"/>
  <c r="M130" i="4"/>
  <c r="L131" i="4"/>
  <c r="K132" i="4"/>
  <c r="J133" i="4"/>
  <c r="AF135" i="4"/>
  <c r="E124" i="4"/>
  <c r="L125" i="4"/>
  <c r="S126" i="4"/>
  <c r="Z127" i="4"/>
  <c r="Y128" i="4"/>
  <c r="X129" i="4"/>
  <c r="W130" i="4"/>
  <c r="V131" i="4"/>
  <c r="Q133" i="4"/>
  <c r="E126" i="4"/>
  <c r="I126" i="4"/>
  <c r="P127" i="4"/>
  <c r="W128" i="4"/>
  <c r="AD129" i="4"/>
  <c r="AC130" i="4"/>
  <c r="AB131" i="4"/>
  <c r="AA132" i="4"/>
  <c r="Z133" i="4"/>
  <c r="P123" i="4"/>
  <c r="W124" i="4"/>
  <c r="AD125" i="4"/>
  <c r="AC126" i="4"/>
  <c r="AB127" i="4"/>
  <c r="AA128" i="4"/>
  <c r="Z129" i="4"/>
  <c r="AC127" i="4"/>
  <c r="F125" i="4"/>
  <c r="AI125" i="4"/>
  <c r="T125" i="4"/>
  <c r="AA126" i="4"/>
  <c r="AH127" i="4"/>
  <c r="AG128" i="4"/>
  <c r="AE130" i="4"/>
  <c r="AD131" i="4"/>
  <c r="H128" i="4"/>
  <c r="AE132" i="4"/>
  <c r="AL129" i="4"/>
  <c r="H130" i="4"/>
  <c r="M127" i="4"/>
  <c r="L133" i="4"/>
  <c r="O125" i="4"/>
  <c r="AD135" i="4"/>
  <c r="M131" i="4"/>
  <c r="AF133" i="4"/>
  <c r="X128" i="4"/>
  <c r="J122" i="4"/>
  <c r="L134" i="4"/>
  <c r="AE127" i="4"/>
  <c r="L128" i="4"/>
  <c r="Y123" i="4"/>
  <c r="F130" i="4"/>
  <c r="AG125" i="4"/>
  <c r="Q130" i="4"/>
  <c r="L126" i="4"/>
  <c r="AB124" i="4"/>
  <c r="H134" i="4"/>
  <c r="AE131" i="4"/>
  <c r="AD122" i="4"/>
  <c r="F124" i="4"/>
  <c r="AE123" i="4"/>
  <c r="T122" i="4"/>
  <c r="AI132" i="4"/>
  <c r="U131" i="4"/>
  <c r="M133" i="4"/>
  <c r="AH128" i="4"/>
  <c r="N123" i="4"/>
  <c r="AL122" i="4"/>
  <c r="AI133" i="4"/>
  <c r="X132" i="4"/>
  <c r="W127" i="4"/>
  <c r="AD124" i="4"/>
  <c r="AK125" i="4"/>
  <c r="J127" i="4"/>
  <c r="I128" i="4"/>
  <c r="H129" i="4"/>
  <c r="G130" i="4"/>
  <c r="F131" i="4"/>
  <c r="AD128" i="4"/>
  <c r="AK129" i="4"/>
  <c r="J131" i="4"/>
  <c r="I132" i="4"/>
  <c r="H133" i="4"/>
  <c r="G134" i="4"/>
  <c r="F135" i="4"/>
  <c r="I135" i="4"/>
  <c r="M124" i="4"/>
  <c r="H127" i="4"/>
  <c r="O128" i="4"/>
  <c r="V129" i="4"/>
  <c r="U130" i="4"/>
  <c r="T131" i="4"/>
  <c r="S132" i="4"/>
  <c r="R133" i="4"/>
  <c r="X130" i="4"/>
  <c r="AG129" i="4"/>
  <c r="Q126" i="4"/>
  <c r="L129" i="4"/>
  <c r="S130" i="4"/>
  <c r="Z131" i="4"/>
  <c r="Y132" i="4"/>
  <c r="X133" i="4"/>
  <c r="W134" i="4"/>
  <c r="E122" i="11" a="1"/>
  <c r="AD127" i="11" s="1"/>
  <c r="B115" i="11"/>
  <c r="B114" i="11"/>
  <c r="F129" i="11" l="1"/>
  <c r="AA123" i="11"/>
  <c r="U128" i="11"/>
  <c r="H131" i="11"/>
  <c r="H124" i="11"/>
  <c r="AC130" i="11"/>
  <c r="AH129" i="11"/>
  <c r="G135" i="11"/>
  <c r="H135" i="11"/>
  <c r="AC134" i="11"/>
  <c r="Q125" i="11"/>
  <c r="G133" i="11"/>
  <c r="M131" i="11"/>
  <c r="Y123" i="11"/>
  <c r="X128" i="11"/>
  <c r="AC127" i="11"/>
  <c r="R126" i="11"/>
  <c r="Y131" i="11"/>
  <c r="F127" i="11"/>
  <c r="Y130" i="11"/>
  <c r="G131" i="11"/>
  <c r="AH134" i="11"/>
  <c r="AL125" i="11"/>
  <c r="Y132" i="11"/>
  <c r="E127" i="11"/>
  <c r="AD131" i="11"/>
  <c r="O135" i="11"/>
  <c r="E125" i="11"/>
  <c r="AL129" i="11"/>
  <c r="V122" i="11"/>
  <c r="I129" i="11"/>
  <c r="AH133" i="11"/>
  <c r="AD122" i="11"/>
  <c r="AF122" i="11"/>
  <c r="E124" i="11"/>
  <c r="U125" i="11"/>
  <c r="P132" i="11"/>
  <c r="AL122" i="11"/>
  <c r="Y129" i="11"/>
  <c r="M132" i="11"/>
  <c r="N128" i="11"/>
  <c r="I135" i="11"/>
  <c r="AE129" i="11"/>
  <c r="K124" i="11"/>
  <c r="L132" i="11"/>
  <c r="Q135" i="11"/>
  <c r="W122" i="11"/>
  <c r="K125" i="11"/>
  <c r="V125" i="11"/>
  <c r="AA124" i="11"/>
  <c r="G127" i="11"/>
  <c r="AD125" i="11"/>
  <c r="AI124" i="11"/>
  <c r="Q122" i="11"/>
  <c r="AF129" i="11"/>
  <c r="AJ131" i="11"/>
  <c r="AI134" i="11"/>
  <c r="AC125" i="11"/>
  <c r="R130" i="11"/>
  <c r="M130" i="11"/>
  <c r="K133" i="11"/>
  <c r="AI122" i="11"/>
  <c r="AD129" i="11"/>
  <c r="U134" i="11"/>
  <c r="AI128" i="11"/>
  <c r="V135" i="11"/>
  <c r="W135" i="11"/>
  <c r="AI126" i="11"/>
  <c r="AD133" i="11"/>
  <c r="R124" i="11"/>
  <c r="E131" i="11"/>
  <c r="I127" i="11"/>
  <c r="Z124" i="11"/>
  <c r="AB124" i="11"/>
  <c r="U124" i="11"/>
  <c r="Q127" i="11"/>
  <c r="L134" i="11"/>
  <c r="AD126" i="11"/>
  <c r="U131" i="11"/>
  <c r="Q134" i="11"/>
  <c r="F132" i="11"/>
  <c r="J123" i="11"/>
  <c r="AA131" i="11"/>
  <c r="G126" i="11"/>
  <c r="W127" i="11"/>
  <c r="N125" i="11"/>
  <c r="O126" i="11"/>
  <c r="AI129" i="11"/>
  <c r="N129" i="11"/>
  <c r="S128" i="11"/>
  <c r="AE131" i="11"/>
  <c r="V129" i="11"/>
  <c r="AA128" i="11"/>
  <c r="S130" i="11"/>
  <c r="S134" i="11"/>
  <c r="AC123" i="11"/>
  <c r="AF126" i="11"/>
  <c r="U135" i="11"/>
  <c r="R134" i="11"/>
  <c r="AG134" i="11"/>
  <c r="AF127" i="11"/>
  <c r="AE124" i="11"/>
  <c r="J124" i="11"/>
  <c r="E129" i="11"/>
  <c r="AE128" i="11"/>
  <c r="J128" i="11"/>
  <c r="AB122" i="11"/>
  <c r="X126" i="11"/>
  <c r="R122" i="11"/>
  <c r="I131" i="11"/>
  <c r="E122" i="11"/>
  <c r="Z128" i="11"/>
  <c r="M135" i="11"/>
  <c r="W123" i="11"/>
  <c r="AJ133" i="11"/>
  <c r="AF128" i="11"/>
  <c r="W133" i="11"/>
  <c r="AC131" i="11"/>
  <c r="E128" i="11"/>
  <c r="AB134" i="11"/>
  <c r="G130" i="11"/>
  <c r="H123" i="11"/>
  <c r="AC122" i="11"/>
  <c r="K132" i="11"/>
  <c r="P123" i="11"/>
  <c r="AK122" i="11"/>
  <c r="S132" i="11"/>
  <c r="AH135" i="11"/>
  <c r="Y126" i="11"/>
  <c r="T124" i="11"/>
  <c r="AA127" i="11"/>
  <c r="X132" i="11"/>
  <c r="R129" i="11"/>
  <c r="AC132" i="11"/>
  <c r="F126" i="11"/>
  <c r="AB129" i="11"/>
  <c r="AA133" i="11"/>
  <c r="Z131" i="11"/>
  <c r="AE130" i="11"/>
  <c r="AF123" i="11"/>
  <c r="Z135" i="11"/>
  <c r="AI132" i="11"/>
  <c r="N130" i="11"/>
  <c r="F128" i="11"/>
  <c r="X131" i="11"/>
  <c r="T133" i="11"/>
  <c r="AI133" i="11"/>
  <c r="W128" i="11"/>
  <c r="V133" i="11"/>
  <c r="AJ127" i="11"/>
  <c r="W134" i="11"/>
  <c r="L130" i="11"/>
  <c r="AB125" i="11"/>
  <c r="W132" i="11"/>
  <c r="S123" i="11"/>
  <c r="F130" i="11"/>
  <c r="X122" i="11"/>
  <c r="T126" i="11"/>
  <c r="J132" i="11"/>
  <c r="H134" i="11"/>
  <c r="N124" i="11"/>
  <c r="E133" i="11"/>
  <c r="AE125" i="11"/>
  <c r="V130" i="11"/>
  <c r="AJ124" i="11"/>
  <c r="AI125" i="11"/>
  <c r="AF135" i="11"/>
  <c r="AB130" i="11"/>
  <c r="L123" i="11"/>
  <c r="Y133" i="11"/>
  <c r="AH122" i="11"/>
  <c r="Q124" i="11"/>
  <c r="V123" i="11"/>
  <c r="AH126" i="11"/>
  <c r="U126" i="11"/>
  <c r="Z125" i="11"/>
  <c r="H127" i="11"/>
  <c r="AC126" i="11"/>
  <c r="Z129" i="11"/>
  <c r="X123" i="11"/>
  <c r="P122" i="11"/>
  <c r="K127" i="11"/>
  <c r="AJ129" i="11"/>
  <c r="I126" i="11"/>
  <c r="I128" i="11"/>
  <c r="Z134" i="11"/>
  <c r="F123" i="11"/>
  <c r="F134" i="11"/>
  <c r="P127" i="11"/>
  <c r="O132" i="11"/>
  <c r="G125" i="11"/>
  <c r="X133" i="11"/>
  <c r="L124" i="11"/>
  <c r="AC128" i="11"/>
  <c r="P131" i="11"/>
  <c r="T122" i="11"/>
  <c r="G129" i="11"/>
  <c r="AB135" i="11"/>
  <c r="P126" i="11"/>
  <c r="W125" i="11"/>
  <c r="U127" i="11"/>
  <c r="Q130" i="11"/>
  <c r="AF131" i="11"/>
  <c r="AF124" i="11"/>
  <c r="W129" i="11"/>
  <c r="G122" i="11"/>
  <c r="X130" i="11"/>
  <c r="Q126" i="11"/>
  <c r="Y127" i="11"/>
  <c r="M122" i="11"/>
  <c r="AD130" i="11"/>
  <c r="J125" i="11"/>
  <c r="J134" i="11"/>
  <c r="AA135" i="11"/>
  <c r="F131" i="11"/>
  <c r="O124" i="11"/>
  <c r="AB123" i="11"/>
  <c r="J133" i="11"/>
  <c r="W124" i="11"/>
  <c r="AJ123" i="11"/>
  <c r="K123" i="11"/>
  <c r="X127" i="11"/>
  <c r="AL135" i="11"/>
  <c r="N134" i="11"/>
  <c r="H125" i="11"/>
  <c r="N127" i="11"/>
  <c r="U130" i="11"/>
  <c r="Q123" i="11"/>
  <c r="J122" i="11"/>
  <c r="L129" i="11"/>
  <c r="AK126" i="11"/>
  <c r="AL127" i="11"/>
  <c r="L126" i="11"/>
  <c r="U123" i="11"/>
  <c r="S127" i="11"/>
  <c r="Y134" i="11"/>
  <c r="AB133" i="11"/>
  <c r="O133" i="11"/>
  <c r="AK123" i="11"/>
  <c r="T132" i="11"/>
  <c r="V124" i="11"/>
  <c r="U129" i="11"/>
  <c r="I124" i="11"/>
  <c r="Z132" i="11"/>
  <c r="X134" i="11"/>
  <c r="G124" i="11"/>
  <c r="P125" i="11"/>
  <c r="X124" i="11"/>
  <c r="G128" i="11"/>
  <c r="T127" i="11"/>
  <c r="AL133" i="11"/>
  <c r="O128" i="11"/>
  <c r="AB127" i="11"/>
  <c r="AC124" i="11"/>
  <c r="L122" i="11"/>
  <c r="T135" i="11"/>
  <c r="AG130" i="11"/>
  <c r="L133" i="11"/>
  <c r="AK130" i="11"/>
  <c r="H130" i="11"/>
  <c r="Q129" i="11"/>
  <c r="AB126" i="11"/>
  <c r="AK128" i="11"/>
  <c r="M123" i="11"/>
  <c r="H128" i="11"/>
  <c r="AL131" i="11"/>
  <c r="AE123" i="11"/>
  <c r="K135" i="11"/>
  <c r="P134" i="11"/>
  <c r="M133" i="11"/>
  <c r="E126" i="11"/>
  <c r="V134" i="11"/>
  <c r="P128" i="11"/>
  <c r="H129" i="11"/>
  <c r="T128" i="11"/>
  <c r="Y135" i="11"/>
  <c r="L131" i="11"/>
  <c r="AG122" i="11"/>
  <c r="AG135" i="11"/>
  <c r="T131" i="11"/>
  <c r="F125" i="11"/>
  <c r="I122" i="11"/>
  <c r="AJ125" i="11"/>
  <c r="AG126" i="11"/>
  <c r="T125" i="11"/>
  <c r="AA126" i="11"/>
  <c r="AH127" i="11"/>
  <c r="AG128" i="11"/>
  <c r="AB131" i="11"/>
  <c r="AA132" i="11"/>
  <c r="Z133" i="11"/>
  <c r="AK132" i="11"/>
  <c r="T129" i="11"/>
  <c r="AA130" i="11"/>
  <c r="AH131" i="11"/>
  <c r="AG132" i="11"/>
  <c r="AF133" i="11"/>
  <c r="AE134" i="11"/>
  <c r="AD135" i="11"/>
  <c r="K131" i="11"/>
  <c r="Y125" i="11"/>
  <c r="P130" i="11"/>
  <c r="M124" i="11"/>
  <c r="X135" i="11"/>
  <c r="AJ122" i="11"/>
  <c r="AI123" i="11"/>
  <c r="AH124" i="11"/>
  <c r="AG125" i="11"/>
  <c r="AB128" i="11"/>
  <c r="AA125" i="11"/>
  <c r="J130" i="11"/>
  <c r="Q131" i="11"/>
  <c r="T134" i="11"/>
  <c r="S135" i="11"/>
  <c r="O122" i="11"/>
  <c r="N123" i="11"/>
  <c r="AK134" i="11"/>
  <c r="M128" i="11"/>
  <c r="K122" i="11"/>
  <c r="R123" i="11"/>
  <c r="M126" i="11"/>
  <c r="L127" i="11"/>
  <c r="K128" i="11"/>
  <c r="J129" i="11"/>
  <c r="G123" i="11"/>
  <c r="AL124" i="11"/>
  <c r="K126" i="11"/>
  <c r="R127" i="11"/>
  <c r="Q128" i="11"/>
  <c r="P129" i="11"/>
  <c r="O130" i="11"/>
  <c r="N131" i="11"/>
  <c r="AK124" i="11"/>
  <c r="L125" i="11"/>
  <c r="S126" i="11"/>
  <c r="Z127" i="11"/>
  <c r="Y128" i="11"/>
  <c r="X129" i="11"/>
  <c r="W130" i="11"/>
  <c r="V131" i="11"/>
  <c r="R133" i="11"/>
  <c r="AJ128" i="11"/>
  <c r="I134" i="11"/>
  <c r="AD124" i="11"/>
  <c r="AK125" i="11"/>
  <c r="J127" i="11"/>
  <c r="E130" i="11"/>
  <c r="AL130" i="11"/>
  <c r="AK131" i="11"/>
  <c r="AJ132" i="11"/>
  <c r="O127" i="11"/>
  <c r="AD128" i="11"/>
  <c r="AK129" i="11"/>
  <c r="J131" i="11"/>
  <c r="I132" i="11"/>
  <c r="H133" i="11"/>
  <c r="G134" i="11"/>
  <c r="F135" i="11"/>
  <c r="K129" i="11"/>
  <c r="AL128" i="11"/>
  <c r="K130" i="11"/>
  <c r="R131" i="11"/>
  <c r="Q132" i="11"/>
  <c r="P133" i="11"/>
  <c r="O134" i="11"/>
  <c r="N135" i="11"/>
  <c r="AL126" i="11"/>
  <c r="AK127" i="11"/>
  <c r="AF130" i="11"/>
  <c r="O123" i="11"/>
  <c r="Z126" i="11"/>
  <c r="AG127" i="11"/>
  <c r="AJ130" i="11"/>
  <c r="AI131" i="11"/>
  <c r="AH132" i="11"/>
  <c r="AG133" i="11"/>
  <c r="AF134" i="11"/>
  <c r="S129" i="11"/>
  <c r="Z130" i="11"/>
  <c r="AG131" i="11"/>
  <c r="F133" i="11"/>
  <c r="E134" i="11"/>
  <c r="AL134" i="11"/>
  <c r="AK135" i="11"/>
  <c r="P135" i="11"/>
  <c r="O131" i="11"/>
  <c r="AH130" i="11"/>
  <c r="G132" i="11"/>
  <c r="N133" i="11"/>
  <c r="M134" i="11"/>
  <c r="L135" i="11"/>
  <c r="H122" i="11"/>
  <c r="F124" i="11"/>
  <c r="Y122" i="11"/>
  <c r="AA134" i="11"/>
  <c r="S133" i="11"/>
  <c r="AL132" i="11"/>
  <c r="K134" i="11"/>
  <c r="R135" i="11"/>
  <c r="N122" i="11"/>
  <c r="I125" i="11"/>
  <c r="H126" i="11"/>
  <c r="R128" i="11"/>
  <c r="AE135" i="11"/>
  <c r="I123" i="11"/>
  <c r="P124" i="11"/>
  <c r="O125" i="11"/>
  <c r="N126" i="11"/>
  <c r="M127" i="11"/>
  <c r="L128" i="11"/>
  <c r="H132" i="11"/>
  <c r="V126" i="11"/>
  <c r="E135" i="11"/>
  <c r="U132" i="11"/>
  <c r="J126" i="11"/>
  <c r="M129" i="11"/>
  <c r="T130" i="11"/>
  <c r="S131" i="11"/>
  <c r="R132" i="11"/>
  <c r="Q133" i="11"/>
  <c r="I133" i="11"/>
  <c r="Z122" i="11"/>
  <c r="AG123" i="11"/>
  <c r="AJ126" i="11"/>
  <c r="AI127" i="11"/>
  <c r="AH128" i="11"/>
  <c r="AG129" i="11"/>
  <c r="AB132" i="11"/>
  <c r="S125" i="11"/>
  <c r="V128" i="11"/>
  <c r="AC129" i="11"/>
  <c r="AF132" i="11"/>
  <c r="AE133" i="11"/>
  <c r="AD134" i="11"/>
  <c r="AC135" i="11"/>
  <c r="M125" i="11"/>
  <c r="AA129" i="11"/>
  <c r="V132" i="11"/>
  <c r="AC133" i="11"/>
  <c r="AJ134" i="11"/>
  <c r="AI135" i="11"/>
  <c r="AE122" i="11"/>
  <c r="AD123" i="11"/>
  <c r="AE132" i="11"/>
  <c r="W131" i="11"/>
  <c r="AD132" i="11"/>
  <c r="AK133" i="11"/>
  <c r="J135" i="11"/>
  <c r="F122" i="11"/>
  <c r="E123" i="11"/>
  <c r="AL123" i="11"/>
  <c r="AH125" i="11"/>
  <c r="AI130" i="11"/>
  <c r="AE127" i="11"/>
  <c r="N132" i="11"/>
  <c r="U133" i="11"/>
  <c r="U122" i="11"/>
  <c r="T123" i="11"/>
  <c r="S124" i="11"/>
  <c r="R125" i="11"/>
  <c r="O129" i="11"/>
  <c r="I130" i="11"/>
  <c r="S122" i="11"/>
  <c r="Z123" i="11"/>
  <c r="Y124" i="11"/>
  <c r="X125" i="11"/>
  <c r="W126" i="11"/>
  <c r="V127" i="11"/>
  <c r="AJ135" i="11"/>
  <c r="E132" i="11"/>
  <c r="AA122" i="11"/>
  <c r="AH123" i="11"/>
  <c r="AG124" i="11"/>
  <c r="AF125" i="11"/>
  <c r="AE12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<sst xmlns="http://schemas.openxmlformats.org/spreadsheetml/2006/main" count="1729" uniqueCount="687">
  <si>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</si>
  <si>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</si>
  <si>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</si>
  <si>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</si>
  <si>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</si>
  <si>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</si>
  <si>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</si>
  <si>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</si>
  <si>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</si>
  <si>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</si>
  <si>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</si>
  <si>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</si>
  <si>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</si>
  <si>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</si>
  <si>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</si>
  <si>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</si>
  <si>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</si>
  <si>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 xml:space="preserve">Раствор + газовая: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</si>
  <si>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</si>
  <si>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</si>
  <si>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</si>
  <si>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</si>
  <si>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</si>
  <si>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</si>
  <si>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</si>
  <si>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</si>
  <si>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</si>
  <si>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</si>
  <si>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</si>
  <si>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</si>
  <si>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</si>
  <si>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</si>
  <si>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</si>
  <si>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</si>
  <si>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</si>
  <si>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</si>
  <si>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</si>
  <si>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>Темп1 Графики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</si>
  <si>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</si>
  <si>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DOSBox SVN_MB6, CPU speed: 3000 cycles, Frameskip 0, Program: CHE</t>
  </si>
  <si>
    <t>X</t>
  </si>
  <si>
    <t>Pressure, at</t>
  </si>
  <si>
    <t>*Se[m]</t>
  </si>
  <si>
    <t>*Ga[l]</t>
  </si>
  <si>
    <t>p(Ar)</t>
  </si>
  <si>
    <t>B(Ga)</t>
  </si>
  <si>
    <t>p(Se)</t>
  </si>
  <si>
    <t>Vapor</t>
  </si>
  <si>
    <t>Solution #1</t>
  </si>
  <si>
    <t>273.1</t>
  </si>
  <si>
    <t>1</t>
  </si>
  <si>
    <t>0.0000e+00</t>
  </si>
  <si>
    <t>2.0000e-01</t>
  </si>
  <si>
    <t>-1.862e+01</t>
  </si>
  <si>
    <t>-1.863e+01</t>
  </si>
  <si>
    <t>-1.865e+01</t>
  </si>
  <si>
    <t>ics</t>
  </si>
  <si>
    <t>ficancy</t>
  </si>
  <si>
    <t>on</t>
  </si>
  <si>
    <t>tions</t>
  </si>
  <si>
    <t>tabase</t>
  </si>
  <si>
    <t>sion 1.10</t>
  </si>
  <si>
    <t>pyright</t>
  </si>
  <si>
    <t>by</t>
  </si>
  <si>
    <t>reen</t>
  </si>
  <si>
    <t>Arrow</t>
  </si>
  <si>
    <t>Arrow keys - scroll Esc - exit Fl - help</t>
  </si>
  <si>
    <r>
      <t>Temperature,</t>
    </r>
    <r>
      <rPr>
        <sz val="8"/>
        <rFont val="Arial"/>
        <family val="2"/>
        <charset val="204"/>
      </rPr>
      <t>К</t>
    </r>
  </si>
  <si>
    <r>
      <t>*Ga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</si>
  <si>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</si>
  <si>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-1.867e+01</t>
  </si>
  <si>
    <t>-1.869e+01</t>
  </si>
  <si>
    <t>-1.872e+01</t>
  </si>
  <si>
    <t>-1.875e+01</t>
  </si>
  <si>
    <t>-1.878e+01</t>
  </si>
  <si>
    <t>454.9</t>
  </si>
  <si>
    <t>-1.881e+01</t>
  </si>
  <si>
    <t>471.4</t>
  </si>
  <si>
    <t>-1.884e+01</t>
  </si>
  <si>
    <t>-1.976e+01</t>
  </si>
  <si>
    <t>537.5</t>
  </si>
  <si>
    <t>-1.897e+01</t>
  </si>
  <si>
    <t>603.5</t>
  </si>
  <si>
    <t>-1.911e+01</t>
  </si>
  <si>
    <t>-1.914e+01</t>
  </si>
  <si>
    <t>-1.918e+01</t>
  </si>
  <si>
    <t>-1.921e+01</t>
  </si>
  <si>
    <t>-1.925e+01</t>
  </si>
  <si>
    <t>-1.140e+01</t>
  </si>
  <si>
    <t>-1.928e+01</t>
  </si>
  <si>
    <t>-1.932e+01</t>
  </si>
  <si>
    <t>-1.935e+01</t>
  </si>
  <si>
    <t>-1.938e+01</t>
  </si>
  <si>
    <t>-1.942e+01</t>
  </si>
  <si>
    <t>-1.945e+01</t>
  </si>
  <si>
    <t>-1.948e+01</t>
  </si>
  <si>
    <t>-1.951e+01</t>
  </si>
  <si>
    <t>-2.660e+01</t>
  </si>
  <si>
    <t>818.3</t>
  </si>
  <si>
    <t>-1.955e+01</t>
  </si>
  <si>
    <t>2.2298e-12</t>
  </si>
  <si>
    <t>-1.958e+01</t>
  </si>
  <si>
    <t>-7.584e+00</t>
  </si>
  <si>
    <t>4.6901e-12</t>
  </si>
  <si>
    <t>-1.961e+01</t>
  </si>
  <si>
    <t>-7.641e+00</t>
  </si>
  <si>
    <t>9.5887e-12</t>
  </si>
  <si>
    <t>-1.964e+01</t>
  </si>
  <si>
    <t>-7.696e+00</t>
  </si>
  <si>
    <t>-7.910e+00</t>
  </si>
  <si>
    <t>1000</t>
  </si>
  <si>
    <t>1.2466e-09</t>
  </si>
  <si>
    <t>-1.988e+01</t>
  </si>
  <si>
    <t>-8.109e+00</t>
  </si>
  <si>
    <t>-2.862e+01</t>
  </si>
  <si>
    <t>*Ga[1]</t>
  </si>
  <si>
    <t>(1)Ga2Se3</t>
  </si>
  <si>
    <t>(1)Ga2Se</t>
  </si>
  <si>
    <t>(1)Ga</t>
  </si>
  <si>
    <t>(1)Se</t>
  </si>
  <si>
    <t>(1)Se[a]</t>
  </si>
  <si>
    <t>(1)Se[m]</t>
  </si>
  <si>
    <t>(2)Ga[1]</t>
  </si>
  <si>
    <t>So1ution #1</t>
  </si>
  <si>
    <t>So1ution #2</t>
  </si>
  <si>
    <t>Temperature,К</t>
  </si>
  <si>
    <t>*Ga2Se3</t>
  </si>
  <si>
    <t>Ga2Se</t>
  </si>
  <si>
    <t xml:space="preserve">Раствор 2 (жид): </t>
  </si>
  <si>
    <t xml:space="preserve">Раствор 2 + газовая без Ar: </t>
  </si>
  <si>
    <t>Р1+Р2+газ без Ar</t>
  </si>
  <si>
    <t>*Se[l]</t>
  </si>
  <si>
    <t>Se?</t>
  </si>
  <si>
    <t>(l)Se[l]</t>
  </si>
  <si>
    <t>1.4918e-08</t>
  </si>
  <si>
    <t>1.6000e-01</t>
  </si>
  <si>
    <t>-2.032e+01</t>
  </si>
  <si>
    <t>-5.368e+01</t>
  </si>
  <si>
    <t>353.9</t>
  </si>
  <si>
    <t>1.4980e-08</t>
  </si>
  <si>
    <t>4.2820e-32</t>
  </si>
  <si>
    <t>-1.678e+01</t>
  </si>
  <si>
    <t>-4.240e+01</t>
  </si>
  <si>
    <t>434.7</t>
  </si>
  <si>
    <t>1.4987e-08</t>
  </si>
  <si>
    <t>2.7256e-24</t>
  </si>
  <si>
    <t>1.2373e-36</t>
  </si>
  <si>
    <t>3.7427e-36</t>
  </si>
  <si>
    <t>-1.877e+01</t>
  </si>
  <si>
    <t>-1.439e+01</t>
  </si>
  <si>
    <t>-3.562e+01</t>
  </si>
  <si>
    <t>Menu ---</t>
  </si>
  <si>
    <r>
      <t>*Ga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</si>
  <si>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r>
      <t>Se</t>
    </r>
    <r>
      <rPr>
        <vertAlign val="subscript"/>
        <sz val="8"/>
        <rFont val="Arial"/>
        <family val="2"/>
        <charset val="204"/>
      </rPr>
      <t>4</t>
    </r>
  </si>
  <si>
    <r>
      <t>Se</t>
    </r>
    <r>
      <rPr>
        <vertAlign val="subscript"/>
        <sz val="8"/>
        <rFont val="Arial"/>
        <family val="2"/>
        <charset val="204"/>
      </rPr>
      <t>5</t>
    </r>
  </si>
  <si>
    <r>
      <t>Se</t>
    </r>
    <r>
      <rPr>
        <vertAlign val="subscript"/>
        <sz val="8"/>
        <rFont val="Arial"/>
        <family val="2"/>
        <charset val="204"/>
      </rPr>
      <t>6</t>
    </r>
  </si>
  <si>
    <r>
      <t>Se</t>
    </r>
    <r>
      <rPr>
        <vertAlign val="subscript"/>
        <sz val="8"/>
        <rFont val="Arial"/>
        <family val="2"/>
        <charset val="204"/>
      </rPr>
      <t>8</t>
    </r>
  </si>
  <si>
    <r>
      <t>Se</t>
    </r>
    <r>
      <rPr>
        <vertAlign val="subscript"/>
        <sz val="8"/>
        <rFont val="Arial"/>
        <family val="2"/>
        <charset val="204"/>
      </rPr>
      <t>3</t>
    </r>
  </si>
  <si>
    <r>
      <t>Se</t>
    </r>
    <r>
      <rPr>
        <vertAlign val="subscript"/>
        <sz val="8"/>
        <rFont val="Arial"/>
        <family val="2"/>
        <charset val="204"/>
      </rPr>
      <t>2</t>
    </r>
  </si>
  <si>
    <t>1.5037e-08</t>
  </si>
  <si>
    <t>9.0978e-23</t>
  </si>
  <si>
    <t>1.0347e-34</t>
  </si>
  <si>
    <t>2.6144e-34</t>
  </si>
  <si>
    <t>-1.392e+01</t>
  </si>
  <si>
    <t>-3.433e+01</t>
  </si>
  <si>
    <t>3.4892e-43</t>
  </si>
  <si>
    <t>475.1</t>
  </si>
  <si>
    <t>2.5429e-21</t>
  </si>
  <si>
    <t>5.2354e-33</t>
  </si>
  <si>
    <t>1.1953e-32</t>
  </si>
  <si>
    <t>-1.340e+01</t>
  </si>
  <si>
    <t>-3.322e+01</t>
  </si>
  <si>
    <t>6.7103e-31</t>
  </si>
  <si>
    <t>495.2</t>
  </si>
  <si>
    <t>6.7345e-02</t>
  </si>
  <si>
    <t>1.1568e-ll</t>
  </si>
  <si>
    <t>1.3401e-09</t>
  </si>
  <si>
    <t>3.0833e-09</t>
  </si>
  <si>
    <t>4.9423e-10</t>
  </si>
  <si>
    <t>1.2858e-ll</t>
  </si>
  <si>
    <t>5.2702e-12</t>
  </si>
  <si>
    <t>4.4924e-09</t>
  </si>
  <si>
    <t>6.1157e-20</t>
  </si>
  <si>
    <t>-1.888e+01</t>
  </si>
  <si>
    <t>-5.157e+01</t>
  </si>
  <si>
    <t>-6.448e+00</t>
  </si>
  <si>
    <t>1.8306e-01</t>
  </si>
  <si>
    <t>515.4</t>
  </si>
  <si>
    <t>5.9732e-02</t>
  </si>
  <si>
    <t>4.8000e-01</t>
  </si>
  <si>
    <t>1.2000e-01</t>
  </si>
  <si>
    <t>9.6000e-02</t>
  </si>
  <si>
    <t>8.0000e-02</t>
  </si>
  <si>
    <t>6.8571e-02</t>
  </si>
  <si>
    <t>6.0000e-02</t>
  </si>
  <si>
    <t>3.1496e-19</t>
  </si>
  <si>
    <t>2.4000e-01</t>
  </si>
  <si>
    <t>-1.893e+01</t>
  </si>
  <si>
    <t>-1.673e+02</t>
  </si>
  <si>
    <t>+2.772e+02</t>
  </si>
  <si>
    <t>9.7991e-06</t>
  </si>
  <si>
    <t>535.6</t>
  </si>
  <si>
    <t>1.5075e-08</t>
  </si>
  <si>
    <t>9.5422e-18</t>
  </si>
  <si>
    <t>1.4414e-28</t>
  </si>
  <si>
    <t>2.2721e-28</t>
  </si>
  <si>
    <t>-1.230e+01</t>
  </si>
  <si>
    <t>-3.029e+01</t>
  </si>
  <si>
    <t>555.8</t>
  </si>
  <si>
    <t>1.5078e-08</t>
  </si>
  <si>
    <t>1.0434e-16</t>
  </si>
  <si>
    <t>2.5079e-27</t>
  </si>
  <si>
    <t>3.6601e-27</t>
  </si>
  <si>
    <t>-1.901e+01</t>
  </si>
  <si>
    <t>-1.195e+01</t>
  </si>
  <si>
    <t>-2.949e+01</t>
  </si>
  <si>
    <t>576</t>
  </si>
  <si>
    <t>9.7445e-16</t>
  </si>
  <si>
    <t>3.5212e-26</t>
  </si>
  <si>
    <t>4.8188e-26</t>
  </si>
  <si>
    <t>-1.905e+01</t>
  </si>
  <si>
    <t>-1.162e+01</t>
  </si>
  <si>
    <t>-2.876e+01</t>
  </si>
  <si>
    <t>596.2</t>
  </si>
  <si>
    <t>1.5074e-08</t>
  </si>
  <si>
    <t>7.8961e-15</t>
  </si>
  <si>
    <t>4.0786e-25</t>
  </si>
  <si>
    <t>5.2937e-25</t>
  </si>
  <si>
    <t>-1.909e+01</t>
  </si>
  <si>
    <t>-1.131e+01</t>
  </si>
  <si>
    <t>-2.809e+01</t>
  </si>
  <si>
    <t>1.1210e-44</t>
  </si>
  <si>
    <t>677</t>
  </si>
  <si>
    <t>1.4914e-08</t>
  </si>
  <si>
    <t>6.9313e-32</t>
  </si>
  <si>
    <t>1.1378e-ll</t>
  </si>
  <si>
    <t>1.4119e-21</t>
  </si>
  <si>
    <t>1.6846e-21</t>
  </si>
  <si>
    <t>8.4400e-22</t>
  </si>
  <si>
    <t>-1.926e+01</t>
  </si>
  <si>
    <t>-1.014e+01</t>
  </si>
  <si>
    <t>-2.591e+01</t>
  </si>
  <si>
    <t>2.5845e-13</t>
  </si>
  <si>
    <t>757.7</t>
  </si>
  <si>
    <t>1.2001e-08</t>
  </si>
  <si>
    <t>1.4565e-35</t>
  </si>
  <si>
    <t>5.1960e-28</t>
  </si>
  <si>
    <t>3.1710e-09</t>
  </si>
  <si>
    <t>8.9782e-19</t>
  </si>
  <si>
    <t>9.8511e-19</t>
  </si>
  <si>
    <t>1.0984e-29</t>
  </si>
  <si>
    <t>-1.943e+01</t>
  </si>
  <si>
    <t>-9.316e+00</t>
  </si>
  <si>
    <t>-2.421e+01</t>
  </si>
  <si>
    <t>4.2850e-22</t>
  </si>
  <si>
    <t>777.9</t>
  </si>
  <si>
    <t>6.8194e-09</t>
  </si>
  <si>
    <t>2.1071e-34</t>
  </si>
  <si>
    <t>4.7731e-27</t>
  </si>
  <si>
    <t>8.9072e-09</t>
  </si>
  <si>
    <t>4.3982e-18</t>
  </si>
  <si>
    <t>4.3233e-18</t>
  </si>
  <si>
    <t>2.3224e-27</t>
  </si>
  <si>
    <t>-1.947e+01</t>
  </si>
  <si>
    <t>-9.282e+00</t>
  </si>
  <si>
    <t>-2.375e+01</t>
  </si>
  <si>
    <t>5.2610e-20</t>
  </si>
  <si>
    <t>798.1</t>
  </si>
  <si>
    <t>1.4998e-09</t>
  </si>
  <si>
    <t>6.4819e-33</t>
  </si>
  <si>
    <t>7.6353e-26</t>
  </si>
  <si>
    <t>1.5179e-08</t>
  </si>
  <si>
    <t>3.1014e-17</t>
  </si>
  <si>
    <t>2.1995e-17</t>
  </si>
  <si>
    <t>8.5880e-25</t>
  </si>
  <si>
    <t>-9.586e+00</t>
  </si>
  <si>
    <t>-2.310e+01</t>
  </si>
  <si>
    <t>9.2874e-18</t>
  </si>
  <si>
    <t>5.9824e-12</t>
  </si>
  <si>
    <t>4.7296e-31</t>
  </si>
  <si>
    <t>7.2905e-36</t>
  </si>
  <si>
    <t>2.3105e-24</t>
  </si>
  <si>
    <t>1.4993e-08</t>
  </si>
  <si>
    <t>3.3281e-16</t>
  </si>
  <si>
    <t>1.3371e-16</t>
  </si>
  <si>
    <t>1.3315e-24</t>
  </si>
  <si>
    <t>-1.026e+01</t>
  </si>
  <si>
    <t>-2.222e+01</t>
  </si>
  <si>
    <t>5.5015e-18</t>
  </si>
  <si>
    <t>838.5</t>
  </si>
  <si>
    <t>2.7473e-29</t>
  </si>
  <si>
    <t>9.8717e-34</t>
  </si>
  <si>
    <t>5.8367e-23</t>
  </si>
  <si>
    <t>1.4940e-08</t>
  </si>
  <si>
    <t>3.1512e-15</t>
  </si>
  <si>
    <t>7.4131e-16</t>
  </si>
  <si>
    <t>2.0959e-31</t>
  </si>
  <si>
    <t>-1.959e+01</t>
  </si>
  <si>
    <t>-1.091e+01</t>
  </si>
  <si>
    <t>-2.139e+01</t>
  </si>
  <si>
    <t>3.4812e-25</t>
  </si>
  <si>
    <t>919.2</t>
  </si>
  <si>
    <t>4.8704e-23</t>
  </si>
  <si>
    <t>3.5058e-26</t>
  </si>
  <si>
    <t>1.6700e-31</t>
  </si>
  <si>
    <t>1.4237e-36</t>
  </si>
  <si>
    <t>5.4232e-18</t>
  </si>
  <si>
    <t>1.4970e-08</t>
  </si>
  <si>
    <t>9.0745e-12</t>
  </si>
  <si>
    <t>3.2440e-13</t>
  </si>
  <si>
    <t>-1.974e+01</t>
  </si>
  <si>
    <t>-1.318e+01</t>
  </si>
  <si>
    <t>-1.846e+01</t>
  </si>
  <si>
    <t>8.2469e-37</t>
  </si>
  <si>
    <t>4.3848e-18</t>
  </si>
  <si>
    <t>3.3195e-20</t>
  </si>
  <si>
    <t>1.4981e-24</t>
  </si>
  <si>
    <t>1.6427e-28</t>
  </si>
  <si>
    <t>2.5061e-33</t>
  </si>
  <si>
    <t>4.8380e-14</t>
  </si>
  <si>
    <t>2.0133e-08</t>
  </si>
  <si>
    <t>5.1898e-09</t>
  </si>
  <si>
    <t>4.5218e-ll</t>
  </si>
  <si>
    <t>-1.488e+01</t>
  </si>
  <si>
    <t>-1.619e+01</t>
  </si>
  <si>
    <t>3.2164e-34</t>
  </si>
  <si>
    <t>*Ga</t>
  </si>
  <si>
    <t>(l)Ga[l]</t>
  </si>
  <si>
    <t>Convergency</t>
  </si>
  <si>
    <t>273.1 1</t>
  </si>
  <si>
    <t>2.2083e-ll</t>
  </si>
  <si>
    <t>-6.424e+01</t>
  </si>
  <si>
    <t>-2.441e+01</t>
  </si>
  <si>
    <t>2.9802e-08</t>
  </si>
  <si>
    <t>289.7 1</t>
  </si>
  <si>
    <t>6.3857e-09</t>
  </si>
  <si>
    <t>1.7484e-32</t>
  </si>
  <si>
    <t>-1.861e+01</t>
  </si>
  <si>
    <t>-6.463e+01</t>
  </si>
  <si>
    <t>-2.070e+01</t>
  </si>
  <si>
    <t>306.2 1</t>
  </si>
  <si>
    <t>3.8016e-08</t>
  </si>
  <si>
    <t>8.9736e-31</t>
  </si>
  <si>
    <t>-6.059e+01</t>
  </si>
  <si>
    <t>-2.035e+01</t>
  </si>
  <si>
    <t>1.1507e-07</t>
  </si>
  <si>
    <t>HEMICAL</t>
  </si>
  <si>
    <t>suit-----1</t>
  </si>
  <si>
    <r>
      <t>Temperature,</t>
    </r>
    <r>
      <rPr>
        <sz val="8"/>
        <rFont val="Arial"/>
        <family val="2"/>
        <charset val="204"/>
      </rPr>
      <t xml:space="preserve">К </t>
    </r>
    <r>
      <rPr>
        <sz val="8"/>
        <rFont val="Arial"/>
        <family val="2"/>
        <charset val="204"/>
      </rPr>
      <t>Pressure, at</t>
    </r>
  </si>
  <si>
    <r>
      <t>Ga</t>
    </r>
    <r>
      <rPr>
        <vertAlign val="subscript"/>
        <sz val="8"/>
        <rFont val="Arial"/>
        <family val="2"/>
        <charset val="204"/>
      </rPr>
      <t>2</t>
    </r>
  </si>
  <si>
    <r>
      <t xml:space="preserve">з) </t>
    </r>
    <r>
      <rPr>
        <sz val="8"/>
        <rFont val="Arial"/>
        <family val="2"/>
        <charset val="204"/>
      </rPr>
      <t>1990</t>
    </r>
  </si>
  <si>
    <t>(l)SeEl]</t>
  </si>
  <si>
    <t>322.7 1</t>
  </si>
  <si>
    <t>1.2997e-07</t>
  </si>
  <si>
    <t>1.4546e-29</t>
  </si>
  <si>
    <t>-5.640e+01</t>
  </si>
  <si>
    <t>-2.041e+01</t>
  </si>
  <si>
    <t>3.6706e-07</t>
  </si>
  <si>
    <t>339.2 1</t>
  </si>
  <si>
    <t>3.8197e-07</t>
  </si>
  <si>
    <t>1.4368e-28</t>
  </si>
  <si>
    <t>-5.246e+01</t>
  </si>
  <si>
    <t>-2.059e+01</t>
  </si>
  <si>
    <t>1.0528e-06</t>
  </si>
  <si>
    <t>355.7 1</t>
  </si>
  <si>
    <t>1.0677e-06</t>
  </si>
  <si>
    <t>1.0356e-27</t>
  </si>
  <si>
    <t>4.1830e-36</t>
  </si>
  <si>
    <t>-4.882e+01</t>
  </si>
  <si>
    <t>-2.080e+01</t>
  </si>
  <si>
    <t>2.9170e-06</t>
  </si>
  <si>
    <t>372.3 1</t>
  </si>
  <si>
    <t>1.5158e-08</t>
  </si>
  <si>
    <t>4.5607e-30</t>
  </si>
  <si>
    <t>-1.622e+01</t>
  </si>
  <si>
    <t>-4.053e+01</t>
  </si>
  <si>
    <t>6.2568e-09</t>
  </si>
  <si>
    <t>388.8 1</t>
  </si>
  <si>
    <t>2.9319e-06</t>
  </si>
  <si>
    <t>2.7381e-26</t>
  </si>
  <si>
    <t>2.4999e-33</t>
  </si>
  <si>
    <t>-4.236e+01</t>
  </si>
  <si>
    <t>-2.128e+01</t>
  </si>
  <si>
    <t>7.9846e-06</t>
  </si>
  <si>
    <t>405.3 1</t>
  </si>
  <si>
    <t>2.2754e-26</t>
  </si>
  <si>
    <t>1.8371e-32</t>
  </si>
  <si>
    <t>-3.831e+01</t>
  </si>
  <si>
    <t>-2.231e+01</t>
  </si>
  <si>
    <t>421.8 1</t>
  </si>
  <si>
    <t>7.9995e-06</t>
  </si>
  <si>
    <t>3.7353e-25</t>
  </si>
  <si>
    <t>5.0958e-31</t>
  </si>
  <si>
    <t>-3.682e+01</t>
  </si>
  <si>
    <t>-2.178e+01</t>
  </si>
  <si>
    <t>2.1760e-05</t>
  </si>
  <si>
    <t>438.3 1</t>
  </si>
  <si>
    <t>1.3327e-35</t>
  </si>
  <si>
    <t>1.1311e-24</t>
  </si>
  <si>
    <t>5.2516e-30</t>
  </si>
  <si>
    <t>-2.203e+01</t>
  </si>
  <si>
    <t>454.9 1</t>
  </si>
  <si>
    <t>3.0698e-33</t>
  </si>
  <si>
    <t>3.0664e-24</t>
  </si>
  <si>
    <t>4.5007e-29</t>
  </si>
  <si>
    <t>-3.200e+01</t>
  </si>
  <si>
    <t>-2.228e+01</t>
  </si>
  <si>
    <t>7.9118e-06</t>
  </si>
  <si>
    <t>1.4361e-35</t>
  </si>
  <si>
    <t>4.9503e-31</t>
  </si>
  <si>
    <t>7.5348e-24</t>
  </si>
  <si>
    <t>3.2716e-28</t>
  </si>
  <si>
    <t>-2.983e+01</t>
  </si>
  <si>
    <t>-2.253e+01</t>
  </si>
  <si>
    <t>2.1522e-05</t>
  </si>
  <si>
    <t>6.2986e-06</t>
  </si>
  <si>
    <t>1.5842e-28</t>
  </si>
  <si>
    <t>1.8072e-23</t>
  </si>
  <si>
    <t>1.2468e-22</t>
  </si>
  <si>
    <t>2.3994e-25</t>
  </si>
  <si>
    <t>-2.352e+01</t>
  </si>
  <si>
    <t>1.7136e-05</t>
  </si>
  <si>
    <t>554</t>
  </si>
  <si>
    <t>5.8739e-06</t>
  </si>
  <si>
    <t>5.1912e-27</t>
  </si>
  <si>
    <t>7.6968e-22</t>
  </si>
  <si>
    <t>2.1438e-22</t>
  </si>
  <si>
    <t>9.5027e-25</t>
  </si>
  <si>
    <t>-2.068e+01</t>
  </si>
  <si>
    <t>-2.376e+01</t>
  </si>
  <si>
    <t>1.5982e-05</t>
  </si>
  <si>
    <t>1990</t>
  </si>
  <si>
    <r>
      <t>$1</t>
    </r>
    <r>
      <rPr>
        <sz val="6.5"/>
        <rFont val="Arial"/>
        <family val="2"/>
        <charset val="204"/>
      </rPr>
      <t xml:space="preserve"> </t>
    </r>
    <r>
      <rPr>
        <sz val="6.5"/>
        <rFont val="Arial"/>
        <family val="2"/>
        <charset val="204"/>
      </rPr>
      <t>DOSBox SVN_MB6, CPU speed: 3000 cycles, Frameskip 0, Program: CHE</t>
    </r>
  </si>
  <si>
    <t>570.5</t>
  </si>
  <si>
    <t>4.6049e-35</t>
  </si>
  <si>
    <t>9.1265e-17</t>
  </si>
  <si>
    <t>8.2937e-26</t>
  </si>
  <si>
    <t>1.5025e-08</t>
  </si>
  <si>
    <t>6.2538e-34</t>
  </si>
  <si>
    <t>4.5988e-30</t>
  </si>
  <si>
    <t>-1.904e+01</t>
  </si>
  <si>
    <t>+1.152e+00</t>
  </si>
  <si>
    <t>-3.753e+01</t>
  </si>
  <si>
    <t>4.1807e-09</t>
  </si>
  <si>
    <t>587</t>
  </si>
  <si>
    <t>1.4955e-08</t>
  </si>
  <si>
    <t>1.6945e-21</t>
  </si>
  <si>
    <t>1.4555e-35</t>
  </si>
  <si>
    <t>3.3025e-15</t>
  </si>
  <si>
    <t>1.2869e-25</t>
  </si>
  <si>
    <t>1.7631e-25</t>
  </si>
  <si>
    <t>-1.907e+01</t>
  </si>
  <si>
    <t>-2.842e+01</t>
  </si>
  <si>
    <t>2.6798e-09</t>
  </si>
  <si>
    <t>1.60006-01</t>
  </si>
  <si>
    <t>9.9643e-21</t>
  </si>
  <si>
    <t>2.6564e-34</t>
  </si>
  <si>
    <t>1.6348e-14</t>
  </si>
  <si>
    <t>9.5187e-25</t>
  </si>
  <si>
    <t>1.2146e-24</t>
  </si>
  <si>
    <t>-1.120e+01</t>
  </si>
  <si>
    <t>-2.786e+01</t>
  </si>
  <si>
    <t>5.0260e-09</t>
  </si>
  <si>
    <t>3) 1990</t>
  </si>
  <si>
    <t>620.1 1</t>
  </si>
  <si>
    <t>1.7658e-01</t>
  </si>
  <si>
    <t>1.0611e-21</t>
  </si>
  <si>
    <t>1.6436e-36</t>
  </si>
  <si>
    <t>4.0007e-16</t>
  </si>
  <si>
    <t>1.1725e-21</t>
  </si>
  <si>
    <t>1.0278e-22</t>
  </si>
  <si>
    <t>4.8382e-ll</t>
  </si>
  <si>
    <t>1.4384e-15</t>
  </si>
  <si>
    <t>-1.493e+01</t>
  </si>
  <si>
    <t>-2.471e+01</t>
  </si>
  <si>
    <t>1.7426e-07</t>
  </si>
  <si>
    <t>636.6 1</t>
  </si>
  <si>
    <t>1.5136e-08</t>
  </si>
  <si>
    <t>2.8429e-19</t>
  </si>
  <si>
    <t>6.6385e-32</t>
  </si>
  <si>
    <t>3.4729e-13</t>
  </si>
  <si>
    <t>3.4031e-23</t>
  </si>
  <si>
    <t>4.0339e-23</t>
  </si>
  <si>
    <t>-1.075e+01</t>
  </si>
  <si>
    <t>-2.688e+01</t>
  </si>
  <si>
    <t>3.6926e-35</t>
  </si>
  <si>
    <t>5.9562e-09</t>
  </si>
  <si>
    <t>653.1 1</t>
  </si>
  <si>
    <t>1.5105e-08</t>
  </si>
  <si>
    <t>2.0926e-36</t>
  </si>
  <si>
    <t>1.3674e-18</t>
  </si>
  <si>
    <t>8.8912e-31</t>
  </si>
  <si>
    <t>1.4651e-12</t>
  </si>
  <si>
    <t>1.7223e-22</t>
  </si>
  <si>
    <t>2.0046e-22</t>
  </si>
  <si>
    <t>-1.052e+01</t>
  </si>
  <si>
    <t>-2.645e+01</t>
  </si>
  <si>
    <t>7.9706e-35</t>
  </si>
  <si>
    <t>5.5207e-09</t>
  </si>
  <si>
    <t>669.6 1</t>
  </si>
  <si>
    <t>4.8200e-16</t>
  </si>
  <si>
    <t>2.2699e-15</t>
  </si>
  <si>
    <t>1.4563e-24</t>
  </si>
  <si>
    <t>1.5430e-08</t>
  </si>
  <si>
    <t>2.9947e-25</t>
  </si>
  <si>
    <t>1.7759e-23</t>
  </si>
  <si>
    <t>4.2708e-32</t>
  </si>
  <si>
    <t>-4.387e+00</t>
  </si>
  <si>
    <t>-2.999e+01</t>
  </si>
  <si>
    <t>3.2842e-33</t>
  </si>
  <si>
    <t>9.4840e-09</t>
  </si>
  <si>
    <t>686.1 1</t>
  </si>
  <si>
    <t>1.4712e-08</t>
  </si>
  <si>
    <t>1.5745e-09</t>
  </si>
  <si>
    <t>2.7657e-17</t>
  </si>
  <si>
    <t>1.3170e-28</t>
  </si>
  <si>
    <t>2.3853e-ll</t>
  </si>
  <si>
    <t>3.0770e-21</t>
  </si>
  <si>
    <t>3.6890e-21</t>
  </si>
  <si>
    <t>-1.001e+01</t>
  </si>
  <si>
    <t>-2.571e+01</t>
  </si>
  <si>
    <t>1.8789e-37</t>
  </si>
  <si>
    <t>4.8889e-09</t>
  </si>
  <si>
    <t>702.7 1</t>
  </si>
  <si>
    <t>3.5153e-08</t>
  </si>
  <si>
    <t>4.2104e-08</t>
  </si>
  <si>
    <t>9.1887e-17</t>
  </si>
  <si>
    <t>9.0600e-28</t>
  </si>
  <si>
    <t>6.6961e-ll</t>
  </si>
  <si>
    <t>1.5254e-20</t>
  </si>
  <si>
    <t>1.6276e-20</t>
  </si>
  <si>
    <t>-9.978e+00</t>
  </si>
  <si>
    <t>-2.524e+01</t>
  </si>
  <si>
    <t>7.2226e-09</t>
  </si>
  <si>
    <t>719.2 1</t>
  </si>
  <si>
    <t>3.2000e-01</t>
  </si>
  <si>
    <t>2.9257e-07</t>
  </si>
  <si>
    <t>4.1862e-16</t>
  </si>
  <si>
    <t>1.1972e-26</t>
  </si>
  <si>
    <t>2.8084e-10</t>
  </si>
  <si>
    <t>3.9177e-20</t>
  </si>
  <si>
    <t>5.0097e-20</t>
  </si>
  <si>
    <t>-9.574e+00</t>
  </si>
  <si>
    <t>-2.509e+01</t>
  </si>
  <si>
    <t>9.6912e-09</t>
  </si>
  <si>
    <t>735.7 1</t>
  </si>
  <si>
    <t>2.4568e-10</t>
  </si>
  <si>
    <t>3.3984e-18</t>
  </si>
  <si>
    <t>6.9768e-34</t>
  </si>
  <si>
    <t>1.9120e-15</t>
  </si>
  <si>
    <t>1.6220e-25</t>
  </si>
  <si>
    <t>8.7891e-10</t>
  </si>
  <si>
    <t>4.6123e-20</t>
  </si>
  <si>
    <t>1.0140e-19</t>
  </si>
  <si>
    <t>2.0765e-17</t>
  </si>
  <si>
    <t>1.0761e-24</t>
  </si>
  <si>
    <t>-9.119e+00</t>
  </si>
  <si>
    <t>-2.531e+01</t>
  </si>
  <si>
    <t>1.3845e-16</t>
  </si>
  <si>
    <t>4.4149e-09</t>
  </si>
  <si>
    <t>752.2 1</t>
  </si>
  <si>
    <t>2.9100e-13</t>
  </si>
  <si>
    <t>5.3321e-ll</t>
  </si>
  <si>
    <t>3.6002e-23</t>
  </si>
  <si>
    <t>8.2130e-15</t>
  </si>
  <si>
    <t>1.9804e-24</t>
  </si>
  <si>
    <t>2.6251e-09</t>
  </si>
  <si>
    <t>5.3207e-20</t>
  </si>
  <si>
    <t>1.9772e-19</t>
  </si>
  <si>
    <t>3.0239e-10</t>
  </si>
  <si>
    <t>8.1754e-18</t>
  </si>
  <si>
    <t>-8.680e+00</t>
  </si>
  <si>
    <t>-2.553e+01</t>
  </si>
  <si>
    <t>1.2193e-09</t>
  </si>
  <si>
    <t>3.7971e-09</t>
  </si>
  <si>
    <t>768.7 1</t>
  </si>
  <si>
    <t>6.2232e-26</t>
  </si>
  <si>
    <t>4.4723e-10</t>
  </si>
  <si>
    <t>1.0101e-27</t>
  </si>
  <si>
    <t>3.3309e-14</t>
  </si>
  <si>
    <t>2.1934e-23</t>
  </si>
  <si>
    <t>7.5050e-09</t>
  </si>
  <si>
    <t>6.0229e-20</t>
  </si>
  <si>
    <t>3.7228e-19</t>
  </si>
  <si>
    <t>2.3606e-09</t>
  </si>
  <si>
    <t>3.3871e-17</t>
  </si>
  <si>
    <t>-8.256e+00</t>
  </si>
  <si>
    <t>-2.575e+01</t>
  </si>
  <si>
    <t>5.8602e-09</t>
  </si>
  <si>
    <t>5.4011e-09</t>
  </si>
  <si>
    <t>785.2 1</t>
  </si>
  <si>
    <t>7.6017e-09</t>
  </si>
  <si>
    <t>1.2800e-13</t>
  </si>
  <si>
    <t>2.2171e-22</t>
  </si>
  <si>
    <t>2.0593e-08</t>
  </si>
  <si>
    <t>6.6987e-20</t>
  </si>
  <si>
    <t>6.7845e-19</t>
  </si>
  <si>
    <t>3.7456e-08</t>
  </si>
  <si>
    <t>2.8988e-16</t>
  </si>
  <si>
    <t>-7.847e+00</t>
  </si>
  <si>
    <t>-2.596e+01</t>
  </si>
  <si>
    <t>5.8092e-08</t>
  </si>
  <si>
    <t>9.0639e-09</t>
  </si>
  <si>
    <t>801.8 1</t>
  </si>
  <si>
    <t>5.6096e-02</t>
  </si>
  <si>
    <t>4.2391e-01</t>
  </si>
  <si>
    <t>3.7020e-02</t>
  </si>
  <si>
    <t>4.6352e-13</t>
  </si>
  <si>
    <t>2.0210e-21</t>
  </si>
  <si>
    <t>5.3537e-08</t>
  </si>
  <si>
    <t>7.3594e-20</t>
  </si>
  <si>
    <t>1.2017e-18</t>
  </si>
  <si>
    <t>1.7081e-01</t>
  </si>
  <si>
    <t>7.3178e-10</t>
  </si>
  <si>
    <t>-7.459e+00</t>
  </si>
  <si>
    <t>-2.618e+01</t>
  </si>
  <si>
    <t>1.6938e-01</t>
  </si>
  <si>
    <t>2.0644e-05</t>
  </si>
  <si>
    <t>818.3 1</t>
  </si>
  <si>
    <t>1.7230e-09</t>
  </si>
  <si>
    <t>5.9991e-02</t>
  </si>
  <si>
    <t>5.1523e-31</t>
  </si>
  <si>
    <t>1.0287e-12</t>
  </si>
  <si>
    <t>7.0203e-21</t>
  </si>
  <si>
    <t>5.5226e-08</t>
  </si>
  <si>
    <t>7.8974e-20</t>
  </si>
  <si>
    <t>2.0597e-18</t>
  </si>
  <si>
    <t>2.6001e-01</t>
  </si>
  <si>
    <t>9.6934e-10</t>
  </si>
  <si>
    <t>-7.526e+00</t>
  </si>
  <si>
    <t>-2.639e+01</t>
  </si>
  <si>
    <t>6.8786e-09</t>
  </si>
  <si>
    <t>834.8 1</t>
  </si>
  <si>
    <t>3.2153e-ll</t>
  </si>
  <si>
    <t>6.2942e-02</t>
  </si>
  <si>
    <t>9.2193e-21</t>
  </si>
  <si>
    <t>2.3584e-20</t>
  </si>
  <si>
    <t>5.7570e-08</t>
  </si>
  <si>
    <t>8.3888e-20</t>
  </si>
  <si>
    <t>3.4438e-18</t>
  </si>
  <si>
    <t>2.5706e-01</t>
  </si>
  <si>
    <t>8.2929e-10</t>
  </si>
  <si>
    <t>2.1308e-09</t>
  </si>
  <si>
    <t>851.3 1</t>
  </si>
  <si>
    <t>5.6449e-12</t>
  </si>
  <si>
    <t>7.7259e-02</t>
  </si>
  <si>
    <t>9.8638e-17</t>
  </si>
  <si>
    <t>7.5564e-20</t>
  </si>
  <si>
    <t>5.9548e-08</t>
  </si>
  <si>
    <t>8.7924e-20</t>
  </si>
  <si>
    <t>5.6140e-18</t>
  </si>
  <si>
    <t>2.4274e-01</t>
  </si>
  <si>
    <t>6.7815e-10</t>
  </si>
  <si>
    <t>-2.681e+01</t>
  </si>
  <si>
    <t>3.6061e-09</t>
  </si>
  <si>
    <t>867.8 1</t>
  </si>
  <si>
    <t>4.2363e-14</t>
  </si>
  <si>
    <t>1.0416e-01</t>
  </si>
  <si>
    <t>3.5637e-16</t>
  </si>
  <si>
    <t>2.3155e-19</t>
  </si>
  <si>
    <t>6.1144e-08</t>
  </si>
  <si>
    <t>9.1005e-20</t>
  </si>
  <si>
    <t>8.9363e-18</t>
  </si>
  <si>
    <t>2.1584e-01</t>
  </si>
  <si>
    <t>5.2256e-10</t>
  </si>
  <si>
    <t>-2.702e+01</t>
  </si>
  <si>
    <t>2.3776e-10</t>
  </si>
  <si>
    <t>933.9 1</t>
  </si>
  <si>
    <t>2.8454e-23</t>
  </si>
  <si>
    <t>9.2060e-18</t>
  </si>
  <si>
    <t>1.2997e-10</t>
  </si>
  <si>
    <t>1.3706e-17</t>
  </si>
  <si>
    <t>6.3734e-08</t>
  </si>
  <si>
    <t>9.3496e-20</t>
  </si>
  <si>
    <t>4.6398e-17</t>
  </si>
  <si>
    <t>2.2003e-10</t>
  </si>
  <si>
    <t>-2.783e+01</t>
  </si>
  <si>
    <t>1.0193e-09</t>
  </si>
  <si>
    <t>1000 1</t>
  </si>
  <si>
    <t>1.4363e-31</t>
  </si>
  <si>
    <t>8.2449e-21</t>
  </si>
  <si>
    <t>4.7174e-16</t>
  </si>
  <si>
    <t>6.0961e-08</t>
  </si>
  <si>
    <t>8.2804e-20</t>
  </si>
  <si>
    <t>1.8062e-16</t>
  </si>
  <si>
    <t>1.2631e-10</t>
  </si>
  <si>
    <t>1.0028e-09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</si>
</sst>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31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sz val="6.5"/>
      <name val="Arial"/>
      <family val="2"/>
      <charset val="204"/>
    </font>
    <font>
      <vertAlign val="subscript"/>
      <sz val="8"/>
      <name val="Arial"/>
      <family val="2"/>
      <charset val="204"/>
    </font>
    <font>
      <u/>
      <sz val="6.5"/>
      <name val="Arial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1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5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148">
    <xf numFmtId="0" fontId="0" fillId="0" borderId="0" xfId="0"/>
    <xf numFmtId="0" fontId="8" fillId="7" borderId="33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5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17" xfId="5" applyBorder="1">
      <alignment horizontal="center" vertical="center"/>
    </xf>
    <xf numFmtId="0" fontId="2" fillId="4" borderId="19" xfId="5" applyBorder="1">
      <alignment horizontal="center" vertical="center"/>
    </xf>
    <xf numFmtId="0" fontId="2" fillId="4" borderId="8" xfId="5" applyBorder="1">
      <alignment horizontal="center" vertical="center"/>
    </xf>
    <xf numFmtId="0" fontId="2" fillId="4" borderId="21" xfId="5" applyBorder="1">
      <alignment horizontal="center" vertical="center"/>
    </xf>
    <xf numFmtId="0" fontId="2" fillId="4" borderId="22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4" xfId="0" applyBorder="1"/>
    <xf numFmtId="0" fontId="0" fillId="0" borderId="0" xfId="0" applyBorder="1"/>
    <xf numFmtId="0" fontId="0" fillId="0" borderId="25" xfId="0" applyBorder="1"/>
    <xf numFmtId="0" fontId="0" fillId="0" borderId="13" xfId="0" applyBorder="1"/>
    <xf numFmtId="0" fontId="0" fillId="0" borderId="26" xfId="0" applyBorder="1"/>
    <xf numFmtId="0" fontId="0" fillId="0" borderId="27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164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8" xfId="0" applyFont="1" applyFill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65" fontId="10" fillId="0" borderId="0" xfId="7"/>
    <xf numFmtId="1" fontId="2" fillId="4" borderId="18" xfId="5" applyNumberFormat="1" applyBorder="1">
      <alignment horizontal="center" vertical="center"/>
    </xf>
    <xf numFmtId="1" fontId="2" fillId="4" borderId="20" xfId="5" applyNumberFormat="1" applyBorder="1">
      <alignment horizontal="center" vertical="center"/>
    </xf>
    <xf numFmtId="11" fontId="12" fillId="10" borderId="0" xfId="4" applyNumberFormat="1">
      <alignment vertical="top"/>
    </xf>
    <xf numFmtId="1" fontId="22" fillId="4" borderId="18" xfId="5" applyNumberFormat="1" applyFont="1" applyBorder="1">
      <alignment horizontal="center" vertical="center"/>
    </xf>
    <xf numFmtId="1" fontId="22" fillId="4" borderId="20" xfId="5" applyNumberFormat="1" applyFont="1" applyBorder="1">
      <alignment horizontal="center" vertical="center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1" fontId="0" fillId="0" borderId="27" xfId="0" applyNumberFormat="1" applyBorder="1"/>
    <xf numFmtId="0" fontId="8" fillId="7" borderId="4" xfId="2" applyNumberFormat="1" applyBorder="1">
      <alignment horizontal="left" vertical="center"/>
    </xf>
    <xf numFmtId="0" fontId="8" fillId="7" borderId="31" xfId="2" applyNumberFormat="1" applyBorder="1">
      <alignment horizontal="left" vertical="center"/>
    </xf>
    <xf numFmtId="1" fontId="8" fillId="7" borderId="31" xfId="2" applyBorder="1">
      <alignment horizontal="left" vertical="center"/>
    </xf>
    <xf numFmtId="0" fontId="8" fillId="7" borderId="32" xfId="2" applyNumberFormat="1" applyBorder="1">
      <alignment horizontal="left" vertical="center"/>
    </xf>
    <xf numFmtId="0" fontId="8" fillId="7" borderId="2" xfId="2" applyNumberFormat="1" applyBorder="1">
      <alignment horizontal="left" vertical="center"/>
    </xf>
    <xf numFmtId="1" fontId="8" fillId="7" borderId="32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30" xfId="0" applyBorder="1"/>
    <xf numFmtId="1" fontId="8" fillId="7" borderId="33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4" xfId="0" applyFont="1" applyFill="1" applyBorder="1"/>
    <xf numFmtId="0" fontId="6" fillId="9" borderId="0" xfId="0" applyFont="1" applyFill="1" applyBorder="1"/>
    <xf numFmtId="0" fontId="6" fillId="9" borderId="30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23" xfId="0" applyFill="1" applyBorder="1"/>
    <xf numFmtId="1" fontId="12" fillId="9" borderId="0" xfId="4" applyNumberFormat="1" applyFill="1">
      <alignment vertical="top"/>
    </xf>
    <xf numFmtId="166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2" fillId="4" borderId="15" xfId="5" applyBorder="1">
      <alignment horizontal="center" vertical="center"/>
    </xf>
    <xf numFmtId="0" fontId="2" fillId="4" borderId="16" xfId="5" applyBorder="1">
      <alignment horizontal="center" vertical="center"/>
    </xf>
    <xf numFmtId="0" fontId="1" fillId="13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  <xf numFmtId="0" fontId="13" fillId="0" borderId="34" xfId="8" applyNumberFormat="1" applyFont="1" applyFill="1" applyBorder="1" applyAlignment="1" applyProtection="1">
      <alignment horizontal="left" vertical="top"/>
    </xf>
    <xf numFmtId="0" fontId="13" fillId="0" borderId="34" xfId="8" applyNumberFormat="1" applyFont="1" applyFill="1" applyBorder="1" applyAlignment="1" applyProtection="1">
      <alignment horizontal="justify" vertical="top"/>
    </xf>
    <xf numFmtId="0" fontId="13" fillId="0" borderId="10" xfId="8" applyNumberFormat="1" applyFont="1" applyFill="1" applyBorder="1" applyAlignment="1" applyProtection="1">
      <alignment horizontal="left" vertical="top"/>
    </xf>
    <xf numFmtId="0" fontId="13" fillId="0" borderId="28" xfId="8" applyNumberFormat="1" applyFont="1" applyFill="1" applyBorder="1" applyAlignment="1" applyProtection="1">
      <alignment horizontal="left"/>
    </xf>
    <xf numFmtId="0" fontId="13" fillId="0" borderId="34" xfId="8" applyNumberFormat="1" applyFont="1" applyFill="1" applyBorder="1" applyAlignment="1" applyProtection="1">
      <alignment horizontal="left"/>
    </xf>
    <xf numFmtId="0" fontId="13" fillId="0" borderId="34" xfId="8" applyNumberFormat="1" applyFont="1" applyFill="1" applyBorder="1" applyAlignment="1" applyProtection="1">
      <alignment horizontal="justify"/>
    </xf>
    <xf numFmtId="0" fontId="13" fillId="0" borderId="34" xfId="8" applyNumberFormat="1" applyFont="1" applyFill="1" applyBorder="1" applyAlignment="1" applyProtection="1">
      <alignment horizontal="right"/>
    </xf>
    <xf numFmtId="11" fontId="13" fillId="0" borderId="28" xfId="8" applyNumberFormat="1" applyFont="1" applyFill="1" applyBorder="1" applyAlignment="1" applyProtection="1">
      <alignment horizontal="justify"/>
    </xf>
    <xf numFmtId="11" fontId="13" fillId="0" borderId="28" xfId="8" applyNumberFormat="1" applyFont="1" applyFill="1" applyBorder="1" applyAlignment="1" applyProtection="1">
      <alignment horizontal="center"/>
    </xf>
    <xf numFmtId="11" fontId="13" fillId="0" borderId="34" xfId="8" applyNumberFormat="1" applyFont="1" applyFill="1" applyBorder="1" applyAlignment="1" applyProtection="1">
      <alignment horizontal="justify" vertical="top"/>
    </xf>
    <xf numFmtId="11" fontId="13" fillId="0" borderId="34" xfId="8" applyNumberFormat="1" applyFont="1" applyFill="1" applyBorder="1" applyAlignment="1" applyProtection="1">
      <alignment horizontal="center" vertical="top"/>
    </xf>
    <xf numFmtId="11" fontId="13" fillId="0" borderId="34" xfId="8" applyNumberFormat="1" applyFont="1" applyFill="1" applyBorder="1" applyAlignment="1" applyProtection="1">
      <alignment horizontal="justify"/>
    </xf>
    <xf numFmtId="11" fontId="13" fillId="0" borderId="34" xfId="8" applyNumberFormat="1" applyFont="1" applyFill="1" applyBorder="1" applyAlignment="1" applyProtection="1">
      <alignment horizontal="center"/>
    </xf>
    <xf numFmtId="11" fontId="13" fillId="0" borderId="10" xfId="8" applyNumberFormat="1" applyFont="1" applyFill="1" applyBorder="1" applyAlignment="1" applyProtection="1">
      <alignment horizontal="justify" vertical="top"/>
    </xf>
    <xf numFmtId="11" fontId="13" fillId="0" borderId="10" xfId="8" applyNumberFormat="1" applyFont="1" applyFill="1" applyBorder="1" applyAlignment="1" applyProtection="1">
      <alignment horizontal="center" vertical="top"/>
    </xf>
    <xf numFmtId="0" fontId="9" fillId="6" borderId="35" xfId="3" applyBorder="1" applyAlignment="1">
      <alignment horizontal="right" vertical="center"/>
    </xf>
    <xf numFmtId="0" fontId="13" fillId="0" borderId="34" xfId="9" applyNumberFormat="1" applyFont="1" applyFill="1" applyBorder="1" applyAlignment="1" applyProtection="1">
      <alignment horizontal="left" vertical="top"/>
    </xf>
    <xf numFmtId="0" fontId="13" fillId="0" borderId="34" xfId="9" applyNumberFormat="1" applyFont="1" applyFill="1" applyBorder="1" applyAlignment="1" applyProtection="1">
      <alignment horizontal="justify" vertical="top"/>
    </xf>
    <xf numFmtId="0" fontId="13" fillId="0" borderId="10" xfId="9" applyNumberFormat="1" applyFont="1" applyFill="1" applyBorder="1" applyAlignment="1" applyProtection="1">
      <alignment horizontal="left" vertical="top"/>
    </xf>
    <xf numFmtId="0" fontId="13" fillId="0" borderId="28" xfId="9" applyNumberFormat="1" applyFont="1" applyFill="1" applyBorder="1" applyAlignment="1" applyProtection="1">
      <alignment horizontal="left"/>
    </xf>
    <xf numFmtId="0" fontId="13" fillId="0" borderId="28" xfId="9" applyNumberFormat="1" applyFont="1" applyFill="1" applyBorder="1" applyAlignment="1" applyProtection="1">
      <alignment horizontal="justify"/>
    </xf>
    <xf numFmtId="0" fontId="13" fillId="0" borderId="28" xfId="9" applyNumberFormat="1" applyFont="1" applyFill="1" applyBorder="1" applyAlignment="1" applyProtection="1">
      <alignment horizontal="center"/>
    </xf>
    <xf numFmtId="0" fontId="13" fillId="0" borderId="34" xfId="9" applyNumberFormat="1" applyFont="1" applyFill="1" applyBorder="1" applyAlignment="1" applyProtection="1">
      <alignment horizontal="left"/>
    </xf>
    <xf numFmtId="0" fontId="13" fillId="0" borderId="34" xfId="9" applyNumberFormat="1" applyFont="1" applyFill="1" applyBorder="1" applyAlignment="1" applyProtection="1">
      <alignment horizontal="justify"/>
    </xf>
    <xf numFmtId="0" fontId="13" fillId="0" borderId="34" xfId="9" applyNumberFormat="1" applyFont="1" applyFill="1" applyBorder="1" applyAlignment="1" applyProtection="1">
      <alignment horizontal="center"/>
    </xf>
    <xf numFmtId="0" fontId="13" fillId="0" borderId="34" xfId="9" applyNumberFormat="1" applyFont="1" applyFill="1" applyBorder="1" applyAlignment="1" applyProtection="1">
      <alignment horizontal="center" vertical="top"/>
    </xf>
    <xf numFmtId="0" fontId="13" fillId="0" borderId="10" xfId="9" applyNumberFormat="1" applyFont="1" applyFill="1" applyBorder="1" applyAlignment="1" applyProtection="1">
      <alignment horizontal="justify" vertical="top"/>
    </xf>
    <xf numFmtId="0" fontId="13" fillId="0" borderId="10" xfId="9" applyNumberFormat="1" applyFont="1" applyFill="1" applyBorder="1" applyAlignment="1" applyProtection="1">
      <alignment horizontal="center" vertical="top"/>
    </xf>
    <xf numFmtId="0" fontId="13" fillId="0" borderId="34" xfId="9" applyNumberFormat="1" applyFont="1" applyFill="1" applyBorder="1" applyAlignment="1" applyProtection="1">
      <alignment horizontal="right" vertical="top"/>
    </xf>
    <xf numFmtId="0" fontId="13" fillId="0" borderId="34" xfId="9" applyNumberFormat="1" applyFont="1" applyFill="1" applyBorder="1" applyAlignment="1" applyProtection="1">
      <alignment horizontal="right"/>
    </xf>
    <xf numFmtId="0" fontId="28" fillId="0" borderId="0" xfId="10" applyNumberFormat="1" applyFont="1" applyFill="1" applyBorder="1" applyAlignment="1" applyProtection="1">
      <alignment vertical="top"/>
    </xf>
    <xf numFmtId="0" fontId="23" fillId="0" borderId="0" xfId="10" applyNumberFormat="1" applyFont="1" applyFill="1" applyBorder="1" applyAlignment="1" applyProtection="1">
      <alignment vertical="top"/>
    </xf>
    <xf numFmtId="0" fontId="13" fillId="0" borderId="0" xfId="10" applyNumberFormat="1" applyFont="1" applyFill="1" applyBorder="1" applyAlignment="1" applyProtection="1">
      <alignment vertical="top"/>
    </xf>
    <xf numFmtId="0" fontId="13" fillId="0" borderId="1" xfId="10" applyNumberFormat="1" applyFont="1" applyFill="1" applyBorder="1" applyAlignment="1" applyProtection="1">
      <alignment horizontal="left" vertical="center" wrapText="1"/>
    </xf>
    <xf numFmtId="0" fontId="13" fillId="0" borderId="1" xfId="10" applyNumberFormat="1" applyFont="1" applyFill="1" applyBorder="1" applyAlignment="1" applyProtection="1">
      <alignment horizontal="right" vertical="center" wrapText="1"/>
    </xf>
    <xf numFmtId="0" fontId="13" fillId="0" borderId="28" xfId="10" applyNumberFormat="1" applyFont="1" applyFill="1" applyBorder="1" applyAlignment="1" applyProtection="1">
      <alignment horizontal="left"/>
    </xf>
    <xf numFmtId="0" fontId="13" fillId="0" borderId="28" xfId="10" applyNumberFormat="1" applyFont="1" applyFill="1" applyBorder="1" applyAlignment="1" applyProtection="1">
      <alignment horizontal="justify"/>
    </xf>
    <xf numFmtId="0" fontId="13" fillId="0" borderId="28" xfId="10" applyNumberFormat="1" applyFont="1" applyFill="1" applyBorder="1" applyAlignment="1" applyProtection="1">
      <alignment horizontal="center"/>
    </xf>
    <xf numFmtId="0" fontId="13" fillId="0" borderId="34" xfId="10" applyNumberFormat="1" applyFont="1" applyFill="1" applyBorder="1" applyAlignment="1" applyProtection="1">
      <alignment horizontal="left"/>
    </xf>
    <xf numFmtId="0" fontId="13" fillId="0" borderId="34" xfId="10" applyNumberFormat="1" applyFont="1" applyFill="1" applyBorder="1" applyAlignment="1" applyProtection="1">
      <alignment horizontal="justify"/>
    </xf>
    <xf numFmtId="0" fontId="13" fillId="0" borderId="34" xfId="10" applyNumberFormat="1" applyFont="1" applyFill="1" applyBorder="1" applyAlignment="1" applyProtection="1">
      <alignment horizontal="center"/>
    </xf>
    <xf numFmtId="0" fontId="13" fillId="0" borderId="34" xfId="10" applyNumberFormat="1" applyFont="1" applyFill="1" applyBorder="1" applyAlignment="1" applyProtection="1">
      <alignment horizontal="left" vertical="top"/>
    </xf>
    <xf numFmtId="0" fontId="13" fillId="0" borderId="34" xfId="10" applyNumberFormat="1" applyFont="1" applyFill="1" applyBorder="1" applyAlignment="1" applyProtection="1">
      <alignment horizontal="justify" vertical="top"/>
    </xf>
    <xf numFmtId="0" fontId="13" fillId="0" borderId="34" xfId="10" applyNumberFormat="1" applyFont="1" applyFill="1" applyBorder="1" applyAlignment="1" applyProtection="1">
      <alignment horizontal="center" vertical="top"/>
    </xf>
    <xf numFmtId="0" fontId="13" fillId="0" borderId="10" xfId="10" applyNumberFormat="1" applyFont="1" applyFill="1" applyBorder="1" applyAlignment="1" applyProtection="1">
      <alignment horizontal="left" vertical="top"/>
    </xf>
    <xf numFmtId="0" fontId="13" fillId="0" borderId="10" xfId="10" applyNumberFormat="1" applyFont="1" applyFill="1" applyBorder="1" applyAlignment="1" applyProtection="1">
      <alignment horizontal="justify" vertical="top"/>
    </xf>
    <xf numFmtId="0" fontId="13" fillId="0" borderId="10" xfId="10" applyNumberFormat="1" applyFont="1" applyFill="1" applyBorder="1" applyAlignment="1" applyProtection="1">
      <alignment horizontal="center" vertical="top"/>
    </xf>
    <xf numFmtId="0" fontId="30" fillId="0" borderId="0" xfId="10" applyNumberFormat="1" applyFont="1" applyFill="1" applyBorder="1" applyAlignment="1" applyProtection="1">
      <alignment vertical="top"/>
    </xf>
    <xf numFmtId="0" fontId="13" fillId="0" borderId="28" xfId="10" applyNumberFormat="1" applyFont="1" applyFill="1" applyBorder="1" applyAlignment="1" applyProtection="1">
      <alignment horizontal="right"/>
    </xf>
    <xf numFmtId="0" fontId="13" fillId="0" borderId="10" xfId="10" applyNumberFormat="1" applyFont="1" applyFill="1" applyBorder="1" applyAlignment="1" applyProtection="1">
      <alignment horizontal="right" vertical="center"/>
    </xf>
    <xf numFmtId="0" fontId="13" fillId="0" borderId="1" xfId="10" applyNumberFormat="1" applyFont="1" applyFill="1" applyBorder="1" applyAlignment="1" applyProtection="1">
      <alignment horizontal="right" wrapText="1"/>
    </xf>
  </cellXfs>
  <cellStyles count="11">
    <cellStyle name="Ввод" xfId="6" xr:uid="{A9A7DDE3-643E-4013-945F-2DCD94967680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A" xfId="8" xr:uid="{DB449B64-621D-4156-9D15-8E9B786E4668}"/>
    <cellStyle name="Обычный_F" xfId="9" xr:uid="{1A73A0DA-1E22-4BEE-98B3-263DAA00CEFB}"/>
    <cellStyle name="Обычный_S" xfId="10" xr:uid="{BFC76211-90D0-48BA-95F7-C957A08A246E}"/>
    <cellStyle name="Форм" xfId="4" xr:uid="{810E17FE-2F7B-4E62-B173-29B9F2A26C86}"/>
  </cellStyles>
  <dxfs count="13"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ill>
        <patternFill>
          <bgColor theme="7" tint="0.7999816888943144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-36.639853033200005</c:v>
                </c:pt>
                <c:pt idx="1">
                  <c:v>-37.608976519679999</c:v>
                </c:pt>
                <c:pt idx="2">
                  <c:v>-37.867415790599999</c:v>
                </c:pt>
                <c:pt idx="3">
                  <c:v>-38.143845644040006</c:v>
                </c:pt>
                <c:pt idx="4">
                  <c:v>-38.419726740480002</c:v>
                </c:pt>
                <c:pt idx="5">
                  <c:v>-38.699550905400002</c:v>
                </c:pt>
                <c:pt idx="6">
                  <c:v>-38.99004689736001</c:v>
                </c:pt>
                <c:pt idx="7">
                  <c:v>-39.282049476720005</c:v>
                </c:pt>
                <c:pt idx="8">
                  <c:v>-39.586709385719999</c:v>
                </c:pt>
                <c:pt idx="9">
                  <c:v>-39.896919389760001</c:v>
                </c:pt>
                <c:pt idx="10">
                  <c:v>-41.183131965000001</c:v>
                </c:pt>
                <c:pt idx="11">
                  <c:v>-42.567007322400009</c:v>
                </c:pt>
                <c:pt idx="12">
                  <c:v>-42.958304321400014</c:v>
                </c:pt>
                <c:pt idx="13">
                  <c:v>-43.35610924584001</c:v>
                </c:pt>
                <c:pt idx="14">
                  <c:v>-43.793476556760005</c:v>
                </c:pt>
                <c:pt idx="15">
                  <c:v>-44.280786741120004</c:v>
                </c:pt>
                <c:pt idx="16">
                  <c:v>-44.824295628720009</c:v>
                </c:pt>
                <c:pt idx="17">
                  <c:v>-45.478791783600002</c:v>
                </c:pt>
                <c:pt idx="18">
                  <c:v>-46.229026545791996</c:v>
                </c:pt>
                <c:pt idx="19">
                  <c:v>-47.099749188576006</c:v>
                </c:pt>
                <c:pt idx="20">
                  <c:v>-48.009987124512001</c:v>
                </c:pt>
                <c:pt idx="21">
                  <c:v>-48.978240448680005</c:v>
                </c:pt>
                <c:pt idx="22">
                  <c:v>-49.945983728160002</c:v>
                </c:pt>
                <c:pt idx="23">
                  <c:v>-50.951764714368004</c:v>
                </c:pt>
                <c:pt idx="24">
                  <c:v>-51.956741655167995</c:v>
                </c:pt>
                <c:pt idx="25">
                  <c:v>-53.099892016704004</c:v>
                </c:pt>
                <c:pt idx="26">
                  <c:v>-54.400838018975996</c:v>
                </c:pt>
                <c:pt idx="27">
                  <c:v>-55.79580491937601</c:v>
                </c:pt>
                <c:pt idx="28">
                  <c:v>-57.245487349247995</c:v>
                </c:pt>
                <c:pt idx="29">
                  <c:v>-58.719786685560003</c:v>
                </c:pt>
                <c:pt idx="30">
                  <c:v>-60.207747876143998</c:v>
                </c:pt>
                <c:pt idx="31">
                  <c:v>-61.727940857880007</c:v>
                </c:pt>
                <c:pt idx="32">
                  <c:v>-67.898202480000009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3"/>
          <c:order val="3"/>
          <c:tx>
            <c:strRef>
              <c:f>ALL!$E$7</c:f>
              <c:strCache>
                <c:ptCount val="1"/>
                <c:pt idx="0">
                  <c:v>Ga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 formatCode="0">
                  <c:v>785.2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3.8320999999999999E-36</c:v>
                </c:pt>
                <c:pt idx="7">
                  <c:v>2.2387000000000001E-34</c:v>
                </c:pt>
                <c:pt idx="8">
                  <c:v>9.8779E-33</c:v>
                </c:pt>
                <c:pt idx="9">
                  <c:v>3.3866E-31</c:v>
                </c:pt>
                <c:pt idx="10">
                  <c:v>5.9233000000000004E-26</c:v>
                </c:pt>
                <c:pt idx="11">
                  <c:v>8.4598E-22</c:v>
                </c:pt>
                <c:pt idx="12">
                  <c:v>6.8566999999999995E-21</c:v>
                </c:pt>
                <c:pt idx="13">
                  <c:v>5.0211999999999997E-20</c:v>
                </c:pt>
                <c:pt idx="14">
                  <c:v>3.3474000000000001E-19</c:v>
                </c:pt>
                <c:pt idx="15">
                  <c:v>2.0452000000000001E-18</c:v>
                </c:pt>
                <c:pt idx="16">
                  <c:v>1.152E-17</c:v>
                </c:pt>
                <c:pt idx="17">
                  <c:v>6.0140000000000002E-17</c:v>
                </c:pt>
                <c:pt idx="18">
                  <c:v>2.9229999999999999E-16</c:v>
                </c:pt>
                <c:pt idx="19">
                  <c:v>1.3280000000000001E-15</c:v>
                </c:pt>
                <c:pt idx="20">
                  <c:v>5.6599000000000003E-15</c:v>
                </c:pt>
                <c:pt idx="21">
                  <c:v>2.2705E-14</c:v>
                </c:pt>
                <c:pt idx="22">
                  <c:v>8.5984000000000002E-14</c:v>
                </c:pt>
                <c:pt idx="23">
                  <c:v>3.0819000000000002E-13</c:v>
                </c:pt>
                <c:pt idx="24">
                  <c:v>1.0271999999999999E-12</c:v>
                </c:pt>
                <c:pt idx="25">
                  <c:v>2.2298000000000001E-12</c:v>
                </c:pt>
                <c:pt idx="26">
                  <c:v>4.6901E-12</c:v>
                </c:pt>
                <c:pt idx="27">
                  <c:v>9.5887000000000001E-12</c:v>
                </c:pt>
                <c:pt idx="28">
                  <c:v>1.9085000000000001E-11</c:v>
                </c:pt>
                <c:pt idx="29">
                  <c:v>3.7036E-11</c:v>
                </c:pt>
                <c:pt idx="30">
                  <c:v>7.0170999999999997E-11</c:v>
                </c:pt>
                <c:pt idx="31">
                  <c:v>1.2996000000000001E-10</c:v>
                </c:pt>
                <c:pt idx="32">
                  <c:v>1.2466E-9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 formatCode="0">
                  <c:v>785.2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ALL!$F$8:$AL$8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4.2332000000000003E-36</c:v>
                </c:pt>
                <c:pt idx="4">
                  <c:v>6.0527000000000001E-34</c:v>
                </c:pt>
                <c:pt idx="5">
                  <c:v>6.2144000000000001E-32</c:v>
                </c:pt>
                <c:pt idx="6">
                  <c:v>4.5853999999999997E-30</c:v>
                </c:pt>
                <c:pt idx="7">
                  <c:v>2.4974000000000001E-28</c:v>
                </c:pt>
                <c:pt idx="8">
                  <c:v>1.0342E-26</c:v>
                </c:pt>
                <c:pt idx="9">
                  <c:v>3.3470000000000002E-25</c:v>
                </c:pt>
                <c:pt idx="10">
                  <c:v>4.8509000000000003E-20</c:v>
                </c:pt>
                <c:pt idx="11">
                  <c:v>5.9017999999999996E-16</c:v>
                </c:pt>
                <c:pt idx="12">
                  <c:v>4.5601000000000001E-15</c:v>
                </c:pt>
                <c:pt idx="13">
                  <c:v>3.1510000000000003E-14</c:v>
                </c:pt>
                <c:pt idx="14">
                  <c:v>1.9485E-13</c:v>
                </c:pt>
                <c:pt idx="15">
                  <c:v>1.0743999999999999E-12</c:v>
                </c:pt>
                <c:pt idx="16">
                  <c:v>5.2356E-12</c:v>
                </c:pt>
                <c:pt idx="17">
                  <c:v>2.2282000000000001E-11</c:v>
                </c:pt>
                <c:pt idx="18">
                  <c:v>8.2526000000000003E-11</c:v>
                </c:pt>
                <c:pt idx="19">
                  <c:v>2.7111999999999999E-10</c:v>
                </c:pt>
                <c:pt idx="20">
                  <c:v>8.1524999999999995E-10</c:v>
                </c:pt>
                <c:pt idx="21">
                  <c:v>2.2953000000000001E-9</c:v>
                </c:pt>
                <c:pt idx="22">
                  <c:v>6.1175E-9</c:v>
                </c:pt>
                <c:pt idx="23">
                  <c:v>1.5509E-8</c:v>
                </c:pt>
                <c:pt idx="24">
                  <c:v>3.6494000000000002E-8</c:v>
                </c:pt>
                <c:pt idx="25">
                  <c:v>4.6166999999999999E-8</c:v>
                </c:pt>
                <c:pt idx="26">
                  <c:v>5.2561999999999998E-8</c:v>
                </c:pt>
                <c:pt idx="27">
                  <c:v>5.6626E-8</c:v>
                </c:pt>
                <c:pt idx="28">
                  <c:v>5.9237999999999997E-8</c:v>
                </c:pt>
                <c:pt idx="29">
                  <c:v>6.0924999999999998E-8</c:v>
                </c:pt>
                <c:pt idx="30">
                  <c:v>6.1962999999999997E-8</c:v>
                </c:pt>
                <c:pt idx="31">
                  <c:v>6.2491E-8</c:v>
                </c:pt>
                <c:pt idx="32">
                  <c:v>6.0654999999999996E-8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 formatCode="0">
                  <c:v>785.2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ALL!$F$9:$AL$9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1.0086E-35</c:v>
                      </c:pt>
                      <c:pt idx="8">
                        <c:v>1.8910000000000001E-33</c:v>
                      </c:pt>
                      <c:pt idx="9">
                        <c:v>1.4972999999999999E-28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1.7155999999999999E-22</c:v>
                      </c:pt>
                      <c:pt idx="15">
                        <c:v>8.7868000000000005E-13</c:v>
                      </c:pt>
                      <c:pt idx="16">
                        <c:v>6.5733999999999997E-9</c:v>
                      </c:pt>
                      <c:pt idx="17">
                        <c:v>1.7038E-8</c:v>
                      </c:pt>
                      <c:pt idx="18">
                        <c:v>2.0628999999999999E-8</c:v>
                      </c:pt>
                      <c:pt idx="19">
                        <c:v>3.9366999999999998E-8</c:v>
                      </c:pt>
                      <c:pt idx="20">
                        <c:v>4.0946000000000001E-8</c:v>
                      </c:pt>
                      <c:pt idx="21">
                        <c:v>3.8877999999999999E-8</c:v>
                      </c:pt>
                      <c:pt idx="22">
                        <c:v>4.3952000000000002E-8</c:v>
                      </c:pt>
                      <c:pt idx="23">
                        <c:v>4.6760999999999998E-8</c:v>
                      </c:pt>
                      <c:pt idx="24">
                        <c:v>9.9950999999999995E-26</c:v>
                      </c:pt>
                      <c:pt idx="25">
                        <c:v>2.6071000000000001E-7</c:v>
                      </c:pt>
                      <c:pt idx="26">
                        <c:v>9.8987000000000006E-7</c:v>
                      </c:pt>
                      <c:pt idx="27">
                        <c:v>4.4281E-6</c:v>
                      </c:pt>
                      <c:pt idx="28">
                        <c:v>1.9005000000000001E-4</c:v>
                      </c:pt>
                      <c:pt idx="29">
                        <c:v>1.6909E-3</c:v>
                      </c:pt>
                      <c:pt idx="30">
                        <c:v>6.8487000000000001E-3</c:v>
                      </c:pt>
                      <c:pt idx="31">
                        <c:v>1.8144E-2</c:v>
                      </c:pt>
                      <c:pt idx="32">
                        <c:v>0.1216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5.6252999999999997E-2</c:v>
                      </c:pt>
                      <c:pt idx="1">
                        <c:v>6.4007999999999995E-2</c:v>
                      </c:pt>
                      <c:pt idx="2">
                        <c:v>5.6304E-2</c:v>
                      </c:pt>
                      <c:pt idx="3">
                        <c:v>4.6892000000000003E-2</c:v>
                      </c:pt>
                      <c:pt idx="4">
                        <c:v>3.6861999999999999E-2</c:v>
                      </c:pt>
                      <c:pt idx="5">
                        <c:v>2.7831000000000002E-2</c:v>
                      </c:pt>
                      <c:pt idx="6">
                        <c:v>1.9467999999999999E-2</c:v>
                      </c:pt>
                      <c:pt idx="7">
                        <c:v>1.2625000000000001E-2</c:v>
                      </c:pt>
                      <c:pt idx="8">
                        <c:v>1.1017000000000001E-2</c:v>
                      </c:pt>
                      <c:pt idx="9">
                        <c:v>1.1077E-2</c:v>
                      </c:pt>
                      <c:pt idx="10">
                        <c:v>2.5934E-3</c:v>
                      </c:pt>
                      <c:pt idx="11">
                        <c:v>5.3855999999999997E-7</c:v>
                      </c:pt>
                      <c:pt idx="12">
                        <c:v>1.73E-7</c:v>
                      </c:pt>
                      <c:pt idx="13">
                        <c:v>5.2321000000000002E-8</c:v>
                      </c:pt>
                      <c:pt idx="14">
                        <c:v>1.5147E-8</c:v>
                      </c:pt>
                      <c:pt idx="15">
                        <c:v>3.3470000000000001E-9</c:v>
                      </c:pt>
                      <c:pt idx="16">
                        <c:v>1.0486999999999999E-11</c:v>
                      </c:pt>
                      <c:pt idx="17">
                        <c:v>3.2085999999999998E-20</c:v>
                      </c:pt>
                      <c:pt idx="18">
                        <c:v>8.8301000000000003E-35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1.929E-31</c:v>
                      </c:pt>
                      <c:pt idx="21">
                        <c:v>3.7936000000000003E-24</c:v>
                      </c:pt>
                      <c:pt idx="22">
                        <c:v>1.9791E-16</c:v>
                      </c:pt>
                      <c:pt idx="23">
                        <c:v>4.4614000000000003E-9</c:v>
                      </c:pt>
                      <c:pt idx="24">
                        <c:v>2.7187000000000001E-3</c:v>
                      </c:pt>
                      <c:pt idx="25">
                        <c:v>4.7280999999999997E-2</c:v>
                      </c:pt>
                      <c:pt idx="26">
                        <c:v>7.3472999999999997E-2</c:v>
                      </c:pt>
                      <c:pt idx="27">
                        <c:v>0.11949</c:v>
                      </c:pt>
                      <c:pt idx="28">
                        <c:v>0.14405000000000001</c:v>
                      </c:pt>
                      <c:pt idx="29">
                        <c:v>0.14953</c:v>
                      </c:pt>
                      <c:pt idx="30">
                        <c:v>0.15276999999999999</c:v>
                      </c:pt>
                      <c:pt idx="31">
                        <c:v>0.15487999999999999</c:v>
                      </c:pt>
                      <c:pt idx="32">
                        <c:v>0.15878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0.10375</c:v>
                      </c:pt>
                      <c:pt idx="1">
                        <c:v>9.5991999999999994E-2</c:v>
                      </c:pt>
                      <c:pt idx="2">
                        <c:v>0.1037</c:v>
                      </c:pt>
                      <c:pt idx="3">
                        <c:v>0.11311</c:v>
                      </c:pt>
                      <c:pt idx="4">
                        <c:v>0.12314</c:v>
                      </c:pt>
                      <c:pt idx="5">
                        <c:v>0.13217000000000001</c:v>
                      </c:pt>
                      <c:pt idx="6">
                        <c:v>0.14052999999999999</c:v>
                      </c:pt>
                      <c:pt idx="7">
                        <c:v>0.14737</c:v>
                      </c:pt>
                      <c:pt idx="8">
                        <c:v>0.14896999999999999</c:v>
                      </c:pt>
                      <c:pt idx="9">
                        <c:v>0.14888999999999999</c:v>
                      </c:pt>
                      <c:pt idx="10">
                        <c:v>0.15684999999999999</c:v>
                      </c:pt>
                      <c:pt idx="11">
                        <c:v>0.15464</c:v>
                      </c:pt>
                      <c:pt idx="12">
                        <c:v>0.15109</c:v>
                      </c:pt>
                      <c:pt idx="13">
                        <c:v>0.14537</c:v>
                      </c:pt>
                      <c:pt idx="14">
                        <c:v>0.13619000000000001</c:v>
                      </c:pt>
                      <c:pt idx="15">
                        <c:v>0.12161</c:v>
                      </c:pt>
                      <c:pt idx="16">
                        <c:v>9.9279000000000006E-2</c:v>
                      </c:pt>
                      <c:pt idx="17">
                        <c:v>6.9083000000000006E-2</c:v>
                      </c:pt>
                      <c:pt idx="18">
                        <c:v>3.8114000000000002E-2</c:v>
                      </c:pt>
                      <c:pt idx="19">
                        <c:v>1.6809000000000001E-2</c:v>
                      </c:pt>
                      <c:pt idx="20">
                        <c:v>6.5189000000000002E-3</c:v>
                      </c:pt>
                      <c:pt idx="21">
                        <c:v>2.4256999999999998E-3</c:v>
                      </c:pt>
                      <c:pt idx="22">
                        <c:v>9.0326000000000002E-4</c:v>
                      </c:pt>
                      <c:pt idx="23">
                        <c:v>3.4155999999999998E-4</c:v>
                      </c:pt>
                      <c:pt idx="24">
                        <c:v>1.3133E-4</c:v>
                      </c:pt>
                      <c:pt idx="25">
                        <c:v>4.0389000000000002E-5</c:v>
                      </c:pt>
                      <c:pt idx="26">
                        <c:v>9.8307000000000006E-6</c:v>
                      </c:pt>
                      <c:pt idx="27">
                        <c:v>2.1795999999999999E-6</c:v>
                      </c:pt>
                      <c:pt idx="28">
                        <c:v>4.7357000000000002E-7</c:v>
                      </c:pt>
                      <c:pt idx="29">
                        <c:v>1.0401E-7</c:v>
                      </c:pt>
                      <c:pt idx="30">
                        <c:v>2.3297E-8</c:v>
                      </c:pt>
                      <c:pt idx="31">
                        <c:v>5.3186999999999998E-9</c:v>
                      </c:pt>
                      <c:pt idx="32">
                        <c:v>1.7139999999999998E-11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1.5078999999999999E-8</c:v>
                      </c:pt>
                      <c:pt idx="1">
                        <c:v>1.7674E-8</c:v>
                      </c:pt>
                      <c:pt idx="2">
                        <c:v>3.1464999999999998E-8</c:v>
                      </c:pt>
                      <c:pt idx="3">
                        <c:v>8.8260999999999999E-8</c:v>
                      </c:pt>
                      <c:pt idx="4">
                        <c:v>2.7841000000000002E-7</c:v>
                      </c:pt>
                      <c:pt idx="5">
                        <c:v>8.4438999999999995E-7</c:v>
                      </c:pt>
                      <c:pt idx="6">
                        <c:v>2.3898E-6</c:v>
                      </c:pt>
                      <c:pt idx="7">
                        <c:v>6.2621999999999999E-6</c:v>
                      </c:pt>
                      <c:pt idx="8">
                        <c:v>1.4905999999999999E-5</c:v>
                      </c:pt>
                      <c:pt idx="9">
                        <c:v>3.3232999999999998E-5</c:v>
                      </c:pt>
                      <c:pt idx="10">
                        <c:v>5.5696000000000001E-4</c:v>
                      </c:pt>
                      <c:pt idx="11">
                        <c:v>5.3363999999999998E-3</c:v>
                      </c:pt>
                      <c:pt idx="12">
                        <c:v>8.8681999999999997E-3</c:v>
                      </c:pt>
                      <c:pt idx="13">
                        <c:v>1.4548999999999999E-2</c:v>
                      </c:pt>
                      <c:pt idx="14">
                        <c:v>2.3650999999999998E-2</c:v>
                      </c:pt>
                      <c:pt idx="15">
                        <c:v>3.8098E-2</c:v>
                      </c:pt>
                      <c:pt idx="16">
                        <c:v>6.0144000000000003E-2</c:v>
                      </c:pt>
                      <c:pt idx="17">
                        <c:v>8.9802000000000007E-2</c:v>
                      </c:pt>
                      <c:pt idx="18">
                        <c:v>0.11985</c:v>
                      </c:pt>
                      <c:pt idx="19">
                        <c:v>0.13979</c:v>
                      </c:pt>
                      <c:pt idx="20">
                        <c:v>0.14826</c:v>
                      </c:pt>
                      <c:pt idx="21">
                        <c:v>0.14996999999999999</c:v>
                      </c:pt>
                      <c:pt idx="22">
                        <c:v>0.14840999999999999</c:v>
                      </c:pt>
                      <c:pt idx="23">
                        <c:v>0.14505999999999999</c:v>
                      </c:pt>
                      <c:pt idx="24">
                        <c:v>0.13650000000000001</c:v>
                      </c:pt>
                      <c:pt idx="25">
                        <c:v>6.9397E-2</c:v>
                      </c:pt>
                      <c:pt idx="26">
                        <c:v>3.2823999999999999E-2</c:v>
                      </c:pt>
                      <c:pt idx="27">
                        <c:v>1.5162999999999999E-2</c:v>
                      </c:pt>
                      <c:pt idx="28">
                        <c:v>7.0063E-3</c:v>
                      </c:pt>
                      <c:pt idx="29">
                        <c:v>3.2650999999999999E-3</c:v>
                      </c:pt>
                      <c:pt idx="30">
                        <c:v>1.5336E-3</c:v>
                      </c:pt>
                      <c:pt idx="31">
                        <c:v>7.2294999999999998E-4</c:v>
                      </c:pt>
                      <c:pt idx="32">
                        <c:v>3.6019000000000002E-5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1.6152E-13</c:v>
                      </c:pt>
                      <c:pt idx="1">
                        <c:v>3.7678999999999997E-12</c:v>
                      </c:pt>
                      <c:pt idx="2">
                        <c:v>1.107E-11</c:v>
                      </c:pt>
                      <c:pt idx="3">
                        <c:v>4.3996999999999997E-11</c:v>
                      </c:pt>
                      <c:pt idx="4">
                        <c:v>1.8399E-10</c:v>
                      </c:pt>
                      <c:pt idx="5">
                        <c:v>7.2048999999999996E-10</c:v>
                      </c:pt>
                      <c:pt idx="6">
                        <c:v>2.5944000000000001E-9</c:v>
                      </c:pt>
                      <c:pt idx="7">
                        <c:v>8.5534000000000007E-9</c:v>
                      </c:pt>
                      <c:pt idx="8">
                        <c:v>2.5361999999999999E-8</c:v>
                      </c:pt>
                      <c:pt idx="9">
                        <c:v>6.9779999999999994E-8</c:v>
                      </c:pt>
                      <c:pt idx="10">
                        <c:v>2.4799000000000002E-6</c:v>
                      </c:pt>
                      <c:pt idx="11">
                        <c:v>4.4483000000000001E-5</c:v>
                      </c:pt>
                      <c:pt idx="12">
                        <c:v>8.5549000000000004E-5</c:v>
                      </c:pt>
                      <c:pt idx="13">
                        <c:v>1.6275999999999999E-4</c:v>
                      </c:pt>
                      <c:pt idx="14">
                        <c:v>3.0941999999999998E-4</c:v>
                      </c:pt>
                      <c:pt idx="15">
                        <c:v>5.9373E-4</c:v>
                      </c:pt>
                      <c:pt idx="16">
                        <c:v>1.1539E-3</c:v>
                      </c:pt>
                      <c:pt idx="17">
                        <c:v>2.2290999999999999E-3</c:v>
                      </c:pt>
                      <c:pt idx="18">
                        <c:v>4.0762000000000003E-3</c:v>
                      </c:pt>
                      <c:pt idx="19">
                        <c:v>6.7939999999999997E-3</c:v>
                      </c:pt>
                      <c:pt idx="20">
                        <c:v>1.044E-2</c:v>
                      </c:pt>
                      <c:pt idx="21">
                        <c:v>1.5213000000000001E-2</c:v>
                      </c:pt>
                      <c:pt idx="22">
                        <c:v>2.1381000000000001E-2</c:v>
                      </c:pt>
                      <c:pt idx="23">
                        <c:v>2.9191999999999999E-2</c:v>
                      </c:pt>
                      <c:pt idx="24">
                        <c:v>3.7984999999999998E-2</c:v>
                      </c:pt>
                      <c:pt idx="25">
                        <c:v>3.1954999999999997E-2</c:v>
                      </c:pt>
                      <c:pt idx="26">
                        <c:v>2.6592999999999999E-2</c:v>
                      </c:pt>
                      <c:pt idx="27">
                        <c:v>2.1922000000000001E-2</c:v>
                      </c:pt>
                      <c:pt idx="28">
                        <c:v>1.7888000000000001E-2</c:v>
                      </c:pt>
                      <c:pt idx="29">
                        <c:v>1.4407E-2</c:v>
                      </c:pt>
                      <c:pt idx="30">
                        <c:v>1.1393E-2</c:v>
                      </c:pt>
                      <c:pt idx="31">
                        <c:v>8.7919000000000001E-3</c:v>
                      </c:pt>
                      <c:pt idx="32">
                        <c:v>2.3739E-3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2.1039E-19</c:v>
                      </c:pt>
                      <c:pt idx="1">
                        <c:v>2.7014000000000001E-15</c:v>
                      </c:pt>
                      <c:pt idx="2">
                        <c:v>1.4168E-14</c:v>
                      </c:pt>
                      <c:pt idx="3">
                        <c:v>5.0641000000000002E-14</c:v>
                      </c:pt>
                      <c:pt idx="4">
                        <c:v>1.4670999999999999E-13</c:v>
                      </c:pt>
                      <c:pt idx="5">
                        <c:v>3.7254E-13</c:v>
                      </c:pt>
                      <c:pt idx="6">
                        <c:v>8.6104999999999995E-13</c:v>
                      </c:pt>
                      <c:pt idx="7">
                        <c:v>1.8305999999999999E-12</c:v>
                      </c:pt>
                      <c:pt idx="8">
                        <c:v>3.5318E-12</c:v>
                      </c:pt>
                      <c:pt idx="9">
                        <c:v>6.3879999999999998E-12</c:v>
                      </c:pt>
                      <c:pt idx="10">
                        <c:v>5.3442000000000003E-11</c:v>
                      </c:pt>
                      <c:pt idx="11">
                        <c:v>2.7569000000000001E-10</c:v>
                      </c:pt>
                      <c:pt idx="12">
                        <c:v>3.9305999999999998E-10</c:v>
                      </c:pt>
                      <c:pt idx="13">
                        <c:v>5.5368999999999998E-10</c:v>
                      </c:pt>
                      <c:pt idx="14">
                        <c:v>7.7354E-10</c:v>
                      </c:pt>
                      <c:pt idx="15">
                        <c:v>1.0721000000000001E-9</c:v>
                      </c:pt>
                      <c:pt idx="16">
                        <c:v>1.4585999999999999E-9</c:v>
                      </c:pt>
                      <c:pt idx="17">
                        <c:v>1.8809E-9</c:v>
                      </c:pt>
                      <c:pt idx="18">
                        <c:v>2.1754000000000002E-9</c:v>
                      </c:pt>
                      <c:pt idx="19">
                        <c:v>2.2091000000000002E-9</c:v>
                      </c:pt>
                      <c:pt idx="20">
                        <c:v>2.0516999999999999E-9</c:v>
                      </c:pt>
                      <c:pt idx="21">
                        <c:v>1.8300000000000001E-9</c:v>
                      </c:pt>
                      <c:pt idx="22">
                        <c:v>1.6101000000000001E-9</c:v>
                      </c:pt>
                      <c:pt idx="23">
                        <c:v>1.4125E-9</c:v>
                      </c:pt>
                      <c:pt idx="24">
                        <c:v>1.2550999999999999E-9</c:v>
                      </c:pt>
                      <c:pt idx="25">
                        <c:v>1.2994000000000001E-9</c:v>
                      </c:pt>
                      <c:pt idx="26">
                        <c:v>1.2258E-9</c:v>
                      </c:pt>
                      <c:pt idx="27">
                        <c:v>1.1044E-9</c:v>
                      </c:pt>
                      <c:pt idx="28">
                        <c:v>9.7423999999999994E-10</c:v>
                      </c:pt>
                      <c:pt idx="29">
                        <c:v>8.4955000000000003E-10</c:v>
                      </c:pt>
                      <c:pt idx="30">
                        <c:v>7.325E-10</c:v>
                      </c:pt>
                      <c:pt idx="31">
                        <c:v>6.2244999999999995E-10</c:v>
                      </c:pt>
                      <c:pt idx="32">
                        <c:v>2.7775999999999998E-10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4.8492000000000003E-20</c:v>
                      </c:pt>
                      <c:pt idx="1">
                        <c:v>9.5845000000000002E-16</c:v>
                      </c:pt>
                      <c:pt idx="2">
                        <c:v>5.4674999999999998E-15</c:v>
                      </c:pt>
                      <c:pt idx="3">
                        <c:v>2.1104999999999999E-14</c:v>
                      </c:pt>
                      <c:pt idx="4">
                        <c:v>6.5613E-14</c:v>
                      </c:pt>
                      <c:pt idx="5">
                        <c:v>1.7781E-13</c:v>
                      </c:pt>
                      <c:pt idx="6">
                        <c:v>4.3641000000000001E-13</c:v>
                      </c:pt>
                      <c:pt idx="7">
                        <c:v>9.8087999999999996E-13</c:v>
                      </c:pt>
                      <c:pt idx="8">
                        <c:v>1.9925999999999998E-12</c:v>
                      </c:pt>
                      <c:pt idx="9">
                        <c:v>3.7812999999999996E-12</c:v>
                      </c:pt>
                      <c:pt idx="10">
                        <c:v>3.2878999999999998E-11</c:v>
                      </c:pt>
                      <c:pt idx="11">
                        <c:v>1.6313999999999999E-10</c:v>
                      </c:pt>
                      <c:pt idx="12">
                        <c:v>2.3025999999999999E-10</c:v>
                      </c:pt>
                      <c:pt idx="13">
                        <c:v>3.2109000000000003E-10</c:v>
                      </c:pt>
                      <c:pt idx="14">
                        <c:v>4.4404E-10</c:v>
                      </c:pt>
                      <c:pt idx="15">
                        <c:v>6.0920000000000003E-10</c:v>
                      </c:pt>
                      <c:pt idx="16">
                        <c:v>8.2039999999999998E-10</c:v>
                      </c:pt>
                      <c:pt idx="17">
                        <c:v>1.0473000000000001E-9</c:v>
                      </c:pt>
                      <c:pt idx="18">
                        <c:v>1.1990999999999999E-9</c:v>
                      </c:pt>
                      <c:pt idx="19">
                        <c:v>1.2056000000000001E-9</c:v>
                      </c:pt>
                      <c:pt idx="20">
                        <c:v>1.1086000000000001E-9</c:v>
                      </c:pt>
                      <c:pt idx="21">
                        <c:v>9.7908999999999998E-10</c:v>
                      </c:pt>
                      <c:pt idx="22">
                        <c:v>8.5301000000000004E-10</c:v>
                      </c:pt>
                      <c:pt idx="23">
                        <c:v>7.4108999999999997E-10</c:v>
                      </c:pt>
                      <c:pt idx="24">
                        <c:v>6.5214999999999997E-10</c:v>
                      </c:pt>
                      <c:pt idx="25">
                        <c:v>6.6874999999999999E-10</c:v>
                      </c:pt>
                      <c:pt idx="26">
                        <c:v>6.2490999999999996E-10</c:v>
                      </c:pt>
                      <c:pt idx="27">
                        <c:v>5.5770000000000005E-10</c:v>
                      </c:pt>
                      <c:pt idx="28">
                        <c:v>4.8739000000000001E-10</c:v>
                      </c:pt>
                      <c:pt idx="29">
                        <c:v>4.2107000000000003E-10</c:v>
                      </c:pt>
                      <c:pt idx="30">
                        <c:v>3.5972000000000003E-10</c:v>
                      </c:pt>
                      <c:pt idx="31">
                        <c:v>3.0287999999999999E-10</c:v>
                      </c:pt>
                      <c:pt idx="32">
                        <c:v>1.3033E-10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1.7719E-13</c:v>
                      </c:pt>
                      <c:pt idx="1">
                        <c:v>5.1054000000000002E-9</c:v>
                      </c:pt>
                      <c:pt idx="2">
                        <c:v>3.3136E-8</c:v>
                      </c:pt>
                      <c:pt idx="3">
                        <c:v>1.4679000000000001E-7</c:v>
                      </c:pt>
                      <c:pt idx="4">
                        <c:v>5.2728999999999995E-7</c:v>
                      </c:pt>
                      <c:pt idx="5">
                        <c:v>1.6601E-6</c:v>
                      </c:pt>
                      <c:pt idx="6">
                        <c:v>4.7536999999999999E-6</c:v>
                      </c:pt>
                      <c:pt idx="7">
                        <c:v>1.2507000000000001E-5</c:v>
                      </c:pt>
                      <c:pt idx="8">
                        <c:v>2.9819999999999999E-5</c:v>
                      </c:pt>
                      <c:pt idx="9">
                        <c:v>6.6540999999999999E-5</c:v>
                      </c:pt>
                      <c:pt idx="10">
                        <c:v>1.1176000000000001E-3</c:v>
                      </c:pt>
                      <c:pt idx="11">
                        <c:v>1.0739E-2</c:v>
                      </c:pt>
                      <c:pt idx="12">
                        <c:v>1.7864999999999999E-2</c:v>
                      </c:pt>
                      <c:pt idx="13">
                        <c:v>2.9343000000000001E-2</c:v>
                      </c:pt>
                      <c:pt idx="14">
                        <c:v>4.7766000000000003E-2</c:v>
                      </c:pt>
                      <c:pt idx="15">
                        <c:v>7.7086000000000002E-2</c:v>
                      </c:pt>
                      <c:pt idx="16">
                        <c:v>0.12202</c:v>
                      </c:pt>
                      <c:pt idx="17">
                        <c:v>0.18295</c:v>
                      </c:pt>
                      <c:pt idx="18">
                        <c:v>0.24581</c:v>
                      </c:pt>
                      <c:pt idx="19">
                        <c:v>0.28977999999999998</c:v>
                      </c:pt>
                      <c:pt idx="20">
                        <c:v>0.31218000000000001</c:v>
                      </c:pt>
                      <c:pt idx="21">
                        <c:v>0.32275999999999999</c:v>
                      </c:pt>
                      <c:pt idx="22">
                        <c:v>0.32888000000000001</c:v>
                      </c:pt>
                      <c:pt idx="23">
                        <c:v>0.33390999999999998</c:v>
                      </c:pt>
                      <c:pt idx="24">
                        <c:v>0.34310000000000002</c:v>
                      </c:pt>
                      <c:pt idx="25">
                        <c:v>0.41048000000000001</c:v>
                      </c:pt>
                      <c:pt idx="26">
                        <c:v>0.44714999999999999</c:v>
                      </c:pt>
                      <c:pt idx="27">
                        <c:v>0.46483000000000002</c:v>
                      </c:pt>
                      <c:pt idx="28">
                        <c:v>0.4728</c:v>
                      </c:pt>
                      <c:pt idx="29">
                        <c:v>0.47504000000000002</c:v>
                      </c:pt>
                      <c:pt idx="30">
                        <c:v>0.47161999999999998</c:v>
                      </c:pt>
                      <c:pt idx="31">
                        <c:v>0.46113999999999999</c:v>
                      </c:pt>
                      <c:pt idx="32">
                        <c:v>0.35836000000000001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4.9137E-31</c:v>
                      </c:pt>
                      <c:pt idx="21">
                        <c:v>9.2955999999999998E-24</c:v>
                      </c:pt>
                      <c:pt idx="22">
                        <c:v>4.6778999999999996E-16</c:v>
                      </c:pt>
                      <c:pt idx="23">
                        <c:v>1.0198999999999999E-8</c:v>
                      </c:pt>
                      <c:pt idx="24">
                        <c:v>6.0271999999999999E-3</c:v>
                      </c:pt>
                      <c:pt idx="25">
                        <c:v>0.10188999999999999</c:v>
                      </c:pt>
                      <c:pt idx="26">
                        <c:v>0.15426999999999999</c:v>
                      </c:pt>
                      <c:pt idx="27">
                        <c:v>0.14826</c:v>
                      </c:pt>
                      <c:pt idx="28">
                        <c:v>0.14405000000000001</c:v>
                      </c:pt>
                      <c:pt idx="29">
                        <c:v>0.14953</c:v>
                      </c:pt>
                      <c:pt idx="30">
                        <c:v>0.15276999999999999</c:v>
                      </c:pt>
                      <c:pt idx="31">
                        <c:v>0.15487999999999999</c:v>
                      </c:pt>
                      <c:pt idx="32">
                        <c:v>0.15878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-18.649999999999999</c:v>
                      </c:pt>
                      <c:pt idx="3">
                        <c:v>-18.670000000000002</c:v>
                      </c:pt>
                      <c:pt idx="4">
                        <c:v>-18.690000000000001</c:v>
                      </c:pt>
                      <c:pt idx="5">
                        <c:v>-18.72</c:v>
                      </c:pt>
                      <c:pt idx="6">
                        <c:v>-18.75</c:v>
                      </c:pt>
                      <c:pt idx="7">
                        <c:v>-18.78</c:v>
                      </c:pt>
                      <c:pt idx="8">
                        <c:v>-18.809999999999999</c:v>
                      </c:pt>
                      <c:pt idx="9">
                        <c:v>-18.84</c:v>
                      </c:pt>
                      <c:pt idx="10">
                        <c:v>-18.97</c:v>
                      </c:pt>
                      <c:pt idx="11">
                        <c:v>-19.11</c:v>
                      </c:pt>
                      <c:pt idx="12">
                        <c:v>-19.14</c:v>
                      </c:pt>
                      <c:pt idx="13">
                        <c:v>-19.18</c:v>
                      </c:pt>
                      <c:pt idx="14">
                        <c:v>-19.21</c:v>
                      </c:pt>
                      <c:pt idx="15">
                        <c:v>-19.25</c:v>
                      </c:pt>
                      <c:pt idx="16">
                        <c:v>-19.28</c:v>
                      </c:pt>
                      <c:pt idx="17">
                        <c:v>-19.32</c:v>
                      </c:pt>
                      <c:pt idx="18">
                        <c:v>-19.350000000000001</c:v>
                      </c:pt>
                      <c:pt idx="19">
                        <c:v>-19.38</c:v>
                      </c:pt>
                      <c:pt idx="20">
                        <c:v>-19.420000000000002</c:v>
                      </c:pt>
                      <c:pt idx="21">
                        <c:v>-19.45</c:v>
                      </c:pt>
                      <c:pt idx="22">
                        <c:v>-19.48</c:v>
                      </c:pt>
                      <c:pt idx="23">
                        <c:v>-19.510000000000002</c:v>
                      </c:pt>
                      <c:pt idx="24">
                        <c:v>-19.55</c:v>
                      </c:pt>
                      <c:pt idx="25">
                        <c:v>-19.579999999999998</c:v>
                      </c:pt>
                      <c:pt idx="26">
                        <c:v>-19.61</c:v>
                      </c:pt>
                      <c:pt idx="27">
                        <c:v>-19.64</c:v>
                      </c:pt>
                      <c:pt idx="28">
                        <c:v>-19.670000000000002</c:v>
                      </c:pt>
                      <c:pt idx="29">
                        <c:v>-19.7</c:v>
                      </c:pt>
                      <c:pt idx="30">
                        <c:v>-19.73</c:v>
                      </c:pt>
                      <c:pt idx="31">
                        <c:v>-19.760000000000002</c:v>
                      </c:pt>
                      <c:pt idx="32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-32.090000000000003</c:v>
                      </c:pt>
                      <c:pt idx="1">
                        <c:v>-28.88</c:v>
                      </c:pt>
                      <c:pt idx="2">
                        <c:v>-27.9</c:v>
                      </c:pt>
                      <c:pt idx="3">
                        <c:v>-26.63</c:v>
                      </c:pt>
                      <c:pt idx="4">
                        <c:v>-25.32</c:v>
                      </c:pt>
                      <c:pt idx="5">
                        <c:v>-24.06</c:v>
                      </c:pt>
                      <c:pt idx="6">
                        <c:v>-22.88</c:v>
                      </c:pt>
                      <c:pt idx="7">
                        <c:v>-21.77</c:v>
                      </c:pt>
                      <c:pt idx="8">
                        <c:v>-20.73</c:v>
                      </c:pt>
                      <c:pt idx="9">
                        <c:v>-19.760000000000002</c:v>
                      </c:pt>
                      <c:pt idx="10">
                        <c:v>-16.39</c:v>
                      </c:pt>
                      <c:pt idx="11">
                        <c:v>-13.66</c:v>
                      </c:pt>
                      <c:pt idx="12">
                        <c:v>-13.06</c:v>
                      </c:pt>
                      <c:pt idx="13">
                        <c:v>-12.48</c:v>
                      </c:pt>
                      <c:pt idx="14">
                        <c:v>-11.93</c:v>
                      </c:pt>
                      <c:pt idx="15">
                        <c:v>-11.4</c:v>
                      </c:pt>
                      <c:pt idx="16">
                        <c:v>-10.89</c:v>
                      </c:pt>
                      <c:pt idx="17">
                        <c:v>-10.4</c:v>
                      </c:pt>
                      <c:pt idx="18">
                        <c:v>-9.9329999999999998</c:v>
                      </c:pt>
                      <c:pt idx="19">
                        <c:v>-9.484</c:v>
                      </c:pt>
                      <c:pt idx="20">
                        <c:v>-9.0530000000000008</c:v>
                      </c:pt>
                      <c:pt idx="21">
                        <c:v>-8.64</c:v>
                      </c:pt>
                      <c:pt idx="22">
                        <c:v>-8.2449999999999992</c:v>
                      </c:pt>
                      <c:pt idx="23">
                        <c:v>-7.8680000000000003</c:v>
                      </c:pt>
                      <c:pt idx="24">
                        <c:v>-7.5279999999999996</c:v>
                      </c:pt>
                      <c:pt idx="25">
                        <c:v>-7.5839999999999996</c:v>
                      </c:pt>
                      <c:pt idx="26">
                        <c:v>-7.641</c:v>
                      </c:pt>
                      <c:pt idx="27">
                        <c:v>-7.6959999999999997</c:v>
                      </c:pt>
                      <c:pt idx="28">
                        <c:v>-7.7510000000000003</c:v>
                      </c:pt>
                      <c:pt idx="29">
                        <c:v>-7.8049999999999997</c:v>
                      </c:pt>
                      <c:pt idx="30">
                        <c:v>-7.8579999999999997</c:v>
                      </c:pt>
                      <c:pt idx="31">
                        <c:v>-7.91</c:v>
                      </c:pt>
                      <c:pt idx="32">
                        <c:v>-8.109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-45.84</c:v>
                      </c:pt>
                      <c:pt idx="1">
                        <c:v>-36.31</c:v>
                      </c:pt>
                      <c:pt idx="2">
                        <c:v>-34.75</c:v>
                      </c:pt>
                      <c:pt idx="3">
                        <c:v>-33.590000000000003</c:v>
                      </c:pt>
                      <c:pt idx="4">
                        <c:v>-32.64</c:v>
                      </c:pt>
                      <c:pt idx="5">
                        <c:v>-31.81</c:v>
                      </c:pt>
                      <c:pt idx="6">
                        <c:v>-31.07</c:v>
                      </c:pt>
                      <c:pt idx="7">
                        <c:v>-30.4</c:v>
                      </c:pt>
                      <c:pt idx="8">
                        <c:v>-29.79</c:v>
                      </c:pt>
                      <c:pt idx="9">
                        <c:v>-29.24</c:v>
                      </c:pt>
                      <c:pt idx="10">
                        <c:v>-27.47</c:v>
                      </c:pt>
                      <c:pt idx="11">
                        <c:v>-26.24</c:v>
                      </c:pt>
                      <c:pt idx="12">
                        <c:v>-26.01</c:v>
                      </c:pt>
                      <c:pt idx="13">
                        <c:v>-25.81</c:v>
                      </c:pt>
                      <c:pt idx="14">
                        <c:v>-25.65</c:v>
                      </c:pt>
                      <c:pt idx="15">
                        <c:v>-25.54</c:v>
                      </c:pt>
                      <c:pt idx="16">
                        <c:v>-25.48</c:v>
                      </c:pt>
                      <c:pt idx="17">
                        <c:v>-25.5</c:v>
                      </c:pt>
                      <c:pt idx="18">
                        <c:v>-25.59</c:v>
                      </c:pt>
                      <c:pt idx="19">
                        <c:v>-25.76</c:v>
                      </c:pt>
                      <c:pt idx="20">
                        <c:v>-25.95</c:v>
                      </c:pt>
                      <c:pt idx="21">
                        <c:v>-26.17</c:v>
                      </c:pt>
                      <c:pt idx="22">
                        <c:v>-26.38</c:v>
                      </c:pt>
                      <c:pt idx="23">
                        <c:v>-26.6</c:v>
                      </c:pt>
                      <c:pt idx="24">
                        <c:v>-26.8</c:v>
                      </c:pt>
                      <c:pt idx="25">
                        <c:v>-26.82</c:v>
                      </c:pt>
                      <c:pt idx="26">
                        <c:v>-26.93</c:v>
                      </c:pt>
                      <c:pt idx="27">
                        <c:v>-27.09</c:v>
                      </c:pt>
                      <c:pt idx="28">
                        <c:v>-27.27</c:v>
                      </c:pt>
                      <c:pt idx="29">
                        <c:v>-27.46</c:v>
                      </c:pt>
                      <c:pt idx="30">
                        <c:v>-27.65</c:v>
                      </c:pt>
                      <c:pt idx="31">
                        <c:v>-27.85</c:v>
                      </c:pt>
                      <c:pt idx="32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090761540369199E-2"/>
          <c:y val="3.0333052002423602E-2"/>
          <c:w val="0.91636745514471907"/>
          <c:h val="0.9051331831197452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ALL!$F$123:$AL$123</c:f>
              <c:numCache>
                <c:formatCode>General</c:formatCode>
                <c:ptCount val="33"/>
                <c:pt idx="0">
                  <c:v>-66.524238437323788</c:v>
                </c:pt>
                <c:pt idx="1">
                  <c:v>-63.177822593286649</c:v>
                </c:pt>
                <c:pt idx="2">
                  <c:v>-68.719909371707544</c:v>
                </c:pt>
                <c:pt idx="3">
                  <c:v>-75.502936256745443</c:v>
                </c:pt>
                <c:pt idx="4">
                  <c:v>-82.792772985960198</c:v>
                </c:pt>
                <c:pt idx="5">
                  <c:v>-89.511661389662422</c:v>
                </c:pt>
                <c:pt idx="6">
                  <c:v>-95.888874546355908</c:v>
                </c:pt>
                <c:pt idx="7">
                  <c:v>-101.31172666183532</c:v>
                </c:pt>
                <c:pt idx="8">
                  <c:v>-103.21189213869063</c:v>
                </c:pt>
                <c:pt idx="9">
                  <c:v>-103.97763849084627</c:v>
                </c:pt>
                <c:pt idx="10">
                  <c:v>-113.44483990679146</c:v>
                </c:pt>
                <c:pt idx="11">
                  <c:v>-119.18651192307553</c:v>
                </c:pt>
                <c:pt idx="12">
                  <c:v>-120.28403672836572</c:v>
                </c:pt>
                <c:pt idx="13">
                  <c:v>-121.39755885536466</c:v>
                </c:pt>
                <c:pt idx="14">
                  <c:v>-122.61842145129933</c:v>
                </c:pt>
                <c:pt idx="15">
                  <c:v>-123.98985472010641</c:v>
                </c:pt>
                <c:pt idx="16">
                  <c:v>-125.50822302070037</c:v>
                </c:pt>
                <c:pt idx="17">
                  <c:v>-127.34074962421668</c:v>
                </c:pt>
                <c:pt idx="18">
                  <c:v>-129.44205277070211</c:v>
                </c:pt>
                <c:pt idx="19">
                  <c:v>-131.87798692299933</c:v>
                </c:pt>
                <c:pt idx="20">
                  <c:v>-134.4270404744455</c:v>
                </c:pt>
                <c:pt idx="21">
                  <c:v>-137.14107665960938</c:v>
                </c:pt>
                <c:pt idx="22">
                  <c:v>-139.84926868771808</c:v>
                </c:pt>
                <c:pt idx="23">
                  <c:v>-142.66326262037674</c:v>
                </c:pt>
                <c:pt idx="24">
                  <c:v>-144.84974640394375</c:v>
                </c:pt>
                <c:pt idx="25">
                  <c:v>-137.68594590145116</c:v>
                </c:pt>
                <c:pt idx="26">
                  <c:v>-135.07939608860727</c:v>
                </c:pt>
                <c:pt idx="27">
                  <c:v>-135.41321833089575</c:v>
                </c:pt>
                <c:pt idx="28">
                  <c:v>-137.24483574789161</c:v>
                </c:pt>
                <c:pt idx="29">
                  <c:v>-139.44942884604427</c:v>
                </c:pt>
                <c:pt idx="30">
                  <c:v>-140.921091455755</c:v>
                </c:pt>
                <c:pt idx="31">
                  <c:v>-140.71115042135636</c:v>
                </c:pt>
                <c:pt idx="32">
                  <c:v>-119.62885525202798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ALL!$F$124:$AL$124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-3.8949210630860059E-29</c:v>
                </c:pt>
                <c:pt idx="21">
                  <c:v>-7.1864138579716236E-22</c:v>
                </c:pt>
                <c:pt idx="22">
                  <c:v>-3.5252186400523626E-14</c:v>
                </c:pt>
                <c:pt idx="23">
                  <c:v>-7.4894886726923923E-7</c:v>
                </c:pt>
                <c:pt idx="24">
                  <c:v>-0.43218723727238434</c:v>
                </c:pt>
                <c:pt idx="25">
                  <c:v>-7.508903106193574</c:v>
                </c:pt>
                <c:pt idx="26">
                  <c:v>-11.680958633079147</c:v>
                </c:pt>
                <c:pt idx="27">
                  <c:v>-11.525847628952967</c:v>
                </c:pt>
                <c:pt idx="28">
                  <c:v>-11.494336490975648</c:v>
                </c:pt>
                <c:pt idx="29">
                  <c:v>-12.238889139922943</c:v>
                </c:pt>
                <c:pt idx="30">
                  <c:v>-12.819556838043926</c:v>
                </c:pt>
                <c:pt idx="31">
                  <c:v>-13.317919092567935</c:v>
                </c:pt>
                <c:pt idx="32">
                  <c:v>-14.987433576905998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ALL!$F$126:$AL$126</c:f>
              <c:numCache>
                <c:formatCode>General</c:formatCode>
                <c:ptCount val="33"/>
                <c:pt idx="0">
                  <c:v>-66.524238437323788</c:v>
                </c:pt>
                <c:pt idx="1">
                  <c:v>-63.177822593286649</c:v>
                </c:pt>
                <c:pt idx="2">
                  <c:v>-68.719909371707544</c:v>
                </c:pt>
                <c:pt idx="3">
                  <c:v>-75.502936256745443</c:v>
                </c:pt>
                <c:pt idx="4">
                  <c:v>-82.792772985960198</c:v>
                </c:pt>
                <c:pt idx="5">
                  <c:v>-89.511661389662422</c:v>
                </c:pt>
                <c:pt idx="6">
                  <c:v>-95.888874546355908</c:v>
                </c:pt>
                <c:pt idx="7">
                  <c:v>-101.31172666183532</c:v>
                </c:pt>
                <c:pt idx="8">
                  <c:v>-103.21189213869063</c:v>
                </c:pt>
                <c:pt idx="9">
                  <c:v>-103.97763849084627</c:v>
                </c:pt>
                <c:pt idx="10">
                  <c:v>-113.44483990679146</c:v>
                </c:pt>
                <c:pt idx="11">
                  <c:v>-119.18651192307576</c:v>
                </c:pt>
                <c:pt idx="12">
                  <c:v>-120.28403672836744</c:v>
                </c:pt>
                <c:pt idx="13">
                  <c:v>-121.39755885537652</c:v>
                </c:pt>
                <c:pt idx="14">
                  <c:v>-122.61842145137267</c:v>
                </c:pt>
                <c:pt idx="15">
                  <c:v>-123.98985472051122</c:v>
                </c:pt>
                <c:pt idx="16">
                  <c:v>-125.50822302267649</c:v>
                </c:pt>
                <c:pt idx="17">
                  <c:v>-127.34074963265527</c:v>
                </c:pt>
                <c:pt idx="18">
                  <c:v>-129.44205280210693</c:v>
                </c:pt>
                <c:pt idx="19">
                  <c:v>-131.8779870268493</c:v>
                </c:pt>
                <c:pt idx="20">
                  <c:v>-134.42704078892621</c:v>
                </c:pt>
                <c:pt idx="21">
                  <c:v>-137.14107755199208</c:v>
                </c:pt>
                <c:pt idx="22">
                  <c:v>-139.84927108474605</c:v>
                </c:pt>
                <c:pt idx="23">
                  <c:v>-142.66326874847115</c:v>
                </c:pt>
                <c:pt idx="24">
                  <c:v>-144.84976095378025</c:v>
                </c:pt>
                <c:pt idx="25">
                  <c:v>-137.6859647382563</c:v>
                </c:pt>
                <c:pt idx="26">
                  <c:v>-135.07941807538737</c:v>
                </c:pt>
                <c:pt idx="27">
                  <c:v>-135.41324263155079</c:v>
                </c:pt>
                <c:pt idx="28">
                  <c:v>-137.24486183333408</c:v>
                </c:pt>
                <c:pt idx="29">
                  <c:v>-139.44945636671468</c:v>
                </c:pt>
                <c:pt idx="30">
                  <c:v>-140.92112015654303</c:v>
                </c:pt>
                <c:pt idx="31">
                  <c:v>-140.7111800989565</c:v>
                </c:pt>
                <c:pt idx="32">
                  <c:v>-119.62888702722501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ALL!$F$127:$AL$127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-1.5932936298267198E-33</c:v>
                </c:pt>
                <c:pt idx="4">
                  <c:v>-2.2812889395083562E-31</c:v>
                </c:pt>
                <c:pt idx="5">
                  <c:v>-2.343418175241521E-29</c:v>
                </c:pt>
                <c:pt idx="6">
                  <c:v>-1.7297323852041183E-27</c:v>
                </c:pt>
                <c:pt idx="7">
                  <c:v>-9.4211368475307221E-26</c:v>
                </c:pt>
                <c:pt idx="8">
                  <c:v>-3.9018415843241926E-24</c:v>
                </c:pt>
                <c:pt idx="9">
                  <c:v>-1.2628316506139485E-22</c:v>
                </c:pt>
                <c:pt idx="10">
                  <c:v>-1.8286145003866433E-17</c:v>
                </c:pt>
                <c:pt idx="11">
                  <c:v>-2.2205812218787624E-13</c:v>
                </c:pt>
                <c:pt idx="12">
                  <c:v>-1.715884929042013E-12</c:v>
                </c:pt>
                <c:pt idx="13">
                  <c:v>-1.1854590167565043E-11</c:v>
                </c:pt>
                <c:pt idx="14">
                  <c:v>-7.3339403497599454E-11</c:v>
                </c:pt>
                <c:pt idx="15">
                  <c:v>-4.0481114341007377E-10</c:v>
                </c:pt>
                <c:pt idx="16">
                  <c:v>-1.9761139735965782E-9</c:v>
                </c:pt>
                <c:pt idx="17">
                  <c:v>-8.4385834799568181E-9</c:v>
                </c:pt>
                <c:pt idx="18">
                  <c:v>-3.1404812159307993E-8</c:v>
                </c:pt>
                <c:pt idx="19">
                  <c:v>-1.0384997958746489E-7</c:v>
                </c:pt>
                <c:pt idx="20">
                  <c:v>-3.1448069668858864E-7</c:v>
                </c:pt>
                <c:pt idx="21">
                  <c:v>-8.9238270779571744E-7</c:v>
                </c:pt>
                <c:pt idx="22">
                  <c:v>-2.3970279947671249E-6</c:v>
                </c:pt>
                <c:pt idx="23">
                  <c:v>-6.8770432794004394E-6</c:v>
                </c:pt>
                <c:pt idx="24">
                  <c:v>-0.43220178710888463</c:v>
                </c:pt>
                <c:pt idx="25">
                  <c:v>-7.50892194299872</c:v>
                </c:pt>
                <c:pt idx="26">
                  <c:v>-11.680980619859241</c:v>
                </c:pt>
                <c:pt idx="27">
                  <c:v>-11.525871929608021</c:v>
                </c:pt>
                <c:pt idx="28">
                  <c:v>-11.494362576418112</c:v>
                </c:pt>
                <c:pt idx="29">
                  <c:v>-12.238916660593365</c:v>
                </c:pt>
                <c:pt idx="30">
                  <c:v>-12.819585538831959</c:v>
                </c:pt>
                <c:pt idx="31">
                  <c:v>-13.317948770168083</c:v>
                </c:pt>
                <c:pt idx="32">
                  <c:v>-14.987465352103033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-66.524238437323788</c:v>
                </c:pt>
                <c:pt idx="1">
                  <c:v>-63.177822593286649</c:v>
                </c:pt>
                <c:pt idx="2">
                  <c:v>-68.719909371707544</c:v>
                </c:pt>
                <c:pt idx="3">
                  <c:v>-75.502936256745443</c:v>
                </c:pt>
                <c:pt idx="4">
                  <c:v>-82.792772985960198</c:v>
                </c:pt>
                <c:pt idx="5">
                  <c:v>-89.511661389662422</c:v>
                </c:pt>
                <c:pt idx="6">
                  <c:v>-95.888874546355908</c:v>
                </c:pt>
                <c:pt idx="7">
                  <c:v>-101.31172666183532</c:v>
                </c:pt>
                <c:pt idx="8">
                  <c:v>-103.21189213869063</c:v>
                </c:pt>
                <c:pt idx="9">
                  <c:v>-103.97763849084627</c:v>
                </c:pt>
                <c:pt idx="10">
                  <c:v>-113.44483990679146</c:v>
                </c:pt>
                <c:pt idx="11">
                  <c:v>-119.18651192307576</c:v>
                </c:pt>
                <c:pt idx="12">
                  <c:v>-120.28403672836744</c:v>
                </c:pt>
                <c:pt idx="13">
                  <c:v>-121.39755885537652</c:v>
                </c:pt>
                <c:pt idx="14">
                  <c:v>-122.61842145137267</c:v>
                </c:pt>
                <c:pt idx="15">
                  <c:v>-123.98985472051122</c:v>
                </c:pt>
                <c:pt idx="16">
                  <c:v>-125.50822302267649</c:v>
                </c:pt>
                <c:pt idx="17">
                  <c:v>-127.34074963265527</c:v>
                </c:pt>
                <c:pt idx="18">
                  <c:v>-129.44205280210693</c:v>
                </c:pt>
                <c:pt idx="19">
                  <c:v>-131.8779870268493</c:v>
                </c:pt>
                <c:pt idx="20">
                  <c:v>-134.42704078892621</c:v>
                </c:pt>
                <c:pt idx="21">
                  <c:v>-137.14107755199208</c:v>
                </c:pt>
                <c:pt idx="22">
                  <c:v>-139.84927108474608</c:v>
                </c:pt>
                <c:pt idx="23">
                  <c:v>-142.66326949742003</c:v>
                </c:pt>
                <c:pt idx="24">
                  <c:v>-145.28194819105263</c:v>
                </c:pt>
                <c:pt idx="25">
                  <c:v>-145.19486784444987</c:v>
                </c:pt>
                <c:pt idx="26">
                  <c:v>-146.76037670846651</c:v>
                </c:pt>
                <c:pt idx="27">
                  <c:v>-146.93909026050375</c:v>
                </c:pt>
                <c:pt idx="28">
                  <c:v>-148.73919832430974</c:v>
                </c:pt>
                <c:pt idx="29">
                  <c:v>-151.68834550663763</c:v>
                </c:pt>
                <c:pt idx="30">
                  <c:v>-153.74067699458695</c:v>
                </c:pt>
                <c:pt idx="31">
                  <c:v>-154.02909919152444</c:v>
                </c:pt>
                <c:pt idx="32">
                  <c:v>-134.616320604131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ALL!$B$114:$B$115</c:f>
              <c:numCache>
                <c:formatCode>0</c:formatCode>
                <c:ptCount val="2"/>
                <c:pt idx="0">
                  <c:v>-144.84974640394375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-36.639853033200005</c:v>
                </c:pt>
                <c:pt idx="1">
                  <c:v>-37.608976519679999</c:v>
                </c:pt>
                <c:pt idx="2">
                  <c:v>-37.867415790599999</c:v>
                </c:pt>
                <c:pt idx="3">
                  <c:v>-38.143845644040006</c:v>
                </c:pt>
                <c:pt idx="4">
                  <c:v>-38.419726740480002</c:v>
                </c:pt>
                <c:pt idx="5">
                  <c:v>-38.699550905400002</c:v>
                </c:pt>
                <c:pt idx="6">
                  <c:v>-38.99004689736001</c:v>
                </c:pt>
                <c:pt idx="7">
                  <c:v>-39.282049476720005</c:v>
                </c:pt>
                <c:pt idx="8">
                  <c:v>-39.586709385719999</c:v>
                </c:pt>
                <c:pt idx="9">
                  <c:v>-39.896919389760001</c:v>
                </c:pt>
                <c:pt idx="10">
                  <c:v>-41.183131965000001</c:v>
                </c:pt>
                <c:pt idx="11">
                  <c:v>-42.567007322400009</c:v>
                </c:pt>
                <c:pt idx="12">
                  <c:v>-42.958304321400014</c:v>
                </c:pt>
                <c:pt idx="13">
                  <c:v>-43.35610924584001</c:v>
                </c:pt>
                <c:pt idx="14">
                  <c:v>-43.793476556760005</c:v>
                </c:pt>
                <c:pt idx="15">
                  <c:v>-44.280786741120004</c:v>
                </c:pt>
                <c:pt idx="16">
                  <c:v>-44.824295628720009</c:v>
                </c:pt>
                <c:pt idx="17">
                  <c:v>-45.478791783600002</c:v>
                </c:pt>
                <c:pt idx="18">
                  <c:v>-46.229026545791996</c:v>
                </c:pt>
                <c:pt idx="19">
                  <c:v>-47.099749188576006</c:v>
                </c:pt>
                <c:pt idx="20">
                  <c:v>-48.009987124512001</c:v>
                </c:pt>
                <c:pt idx="21">
                  <c:v>-48.978240448680005</c:v>
                </c:pt>
                <c:pt idx="22">
                  <c:v>-49.945983728160002</c:v>
                </c:pt>
                <c:pt idx="23">
                  <c:v>-50.951764714368004</c:v>
                </c:pt>
                <c:pt idx="24">
                  <c:v>-51.956741655167995</c:v>
                </c:pt>
                <c:pt idx="25">
                  <c:v>-53.099892016704004</c:v>
                </c:pt>
                <c:pt idx="26">
                  <c:v>-54.400838018975996</c:v>
                </c:pt>
                <c:pt idx="27">
                  <c:v>-55.79580491937601</c:v>
                </c:pt>
                <c:pt idx="28">
                  <c:v>-57.245487349247995</c:v>
                </c:pt>
                <c:pt idx="29">
                  <c:v>-58.719786685560003</c:v>
                </c:pt>
                <c:pt idx="30">
                  <c:v>-60.207747876143998</c:v>
                </c:pt>
                <c:pt idx="31">
                  <c:v>-61.727940857880007</c:v>
                </c:pt>
                <c:pt idx="32">
                  <c:v>-67.898202480000009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-1.5932936298267198E-33</c:v>
                      </c:pt>
                      <c:pt idx="4">
                        <c:v>-2.2812889395083562E-31</c:v>
                      </c:pt>
                      <c:pt idx="5">
                        <c:v>-2.343418175241521E-29</c:v>
                      </c:pt>
                      <c:pt idx="6">
                        <c:v>-1.7297323852041183E-27</c:v>
                      </c:pt>
                      <c:pt idx="7">
                        <c:v>-9.4211368475307221E-26</c:v>
                      </c:pt>
                      <c:pt idx="8">
                        <c:v>-3.9018415843241926E-24</c:v>
                      </c:pt>
                      <c:pt idx="9">
                        <c:v>-1.2628316506139485E-22</c:v>
                      </c:pt>
                      <c:pt idx="10">
                        <c:v>-1.8286145003866433E-17</c:v>
                      </c:pt>
                      <c:pt idx="11">
                        <c:v>-2.2205812218787624E-13</c:v>
                      </c:pt>
                      <c:pt idx="12">
                        <c:v>-1.715884929042013E-12</c:v>
                      </c:pt>
                      <c:pt idx="13">
                        <c:v>-1.1854590167565043E-11</c:v>
                      </c:pt>
                      <c:pt idx="14">
                        <c:v>-7.3339403497599454E-11</c:v>
                      </c:pt>
                      <c:pt idx="15">
                        <c:v>-4.0481114341007377E-10</c:v>
                      </c:pt>
                      <c:pt idx="16">
                        <c:v>-1.9761139735965782E-9</c:v>
                      </c:pt>
                      <c:pt idx="17">
                        <c:v>-8.4385834799568181E-9</c:v>
                      </c:pt>
                      <c:pt idx="18">
                        <c:v>-3.1404812159307993E-8</c:v>
                      </c:pt>
                      <c:pt idx="19">
                        <c:v>-1.0384997958746489E-7</c:v>
                      </c:pt>
                      <c:pt idx="20">
                        <c:v>-3.1448069668858864E-7</c:v>
                      </c:pt>
                      <c:pt idx="21">
                        <c:v>-8.923827077957167E-7</c:v>
                      </c:pt>
                      <c:pt idx="22">
                        <c:v>-2.3970279595149384E-6</c:v>
                      </c:pt>
                      <c:pt idx="23">
                        <c:v>-6.1280944121311998E-6</c:v>
                      </c:pt>
                      <c:pt idx="24">
                        <c:v>-1.4549836500282901E-5</c:v>
                      </c:pt>
                      <c:pt idx="25">
                        <c:v>-1.8836805145900523E-5</c:v>
                      </c:pt>
                      <c:pt idx="26">
                        <c:v>-2.1986780093604113E-5</c:v>
                      </c:pt>
                      <c:pt idx="27">
                        <c:v>-2.4300655054572435E-5</c:v>
                      </c:pt>
                      <c:pt idx="28">
                        <c:v>-2.6085442463684772E-5</c:v>
                      </c:pt>
                      <c:pt idx="29">
                        <c:v>-2.7520670422231782E-5</c:v>
                      </c:pt>
                      <c:pt idx="30">
                        <c:v>-2.8700788031822206E-5</c:v>
                      </c:pt>
                      <c:pt idx="31">
                        <c:v>-2.9677600148453046E-5</c:v>
                      </c:pt>
                      <c:pt idx="32">
                        <c:v>-3.1775197035086821E-5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774B-47E8-A19D-44B695C09DB0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74B-47E8-A19D-44B695C09DB0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 formatCode="0">
                  <c:v>785.2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1.0086E-35</c:v>
                </c:pt>
                <c:pt idx="8">
                  <c:v>1.8910000000000001E-33</c:v>
                </c:pt>
                <c:pt idx="9">
                  <c:v>1.4972999999999999E-28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1.7155999999999999E-22</c:v>
                </c:pt>
                <c:pt idx="15">
                  <c:v>8.7868000000000005E-13</c:v>
                </c:pt>
                <c:pt idx="16">
                  <c:v>6.5733999999999997E-9</c:v>
                </c:pt>
                <c:pt idx="17">
                  <c:v>1.7038E-8</c:v>
                </c:pt>
                <c:pt idx="18">
                  <c:v>2.0628999999999999E-8</c:v>
                </c:pt>
                <c:pt idx="19">
                  <c:v>3.9366999999999998E-8</c:v>
                </c:pt>
                <c:pt idx="20">
                  <c:v>4.0946000000000001E-8</c:v>
                </c:pt>
                <c:pt idx="21">
                  <c:v>3.8877999999999999E-8</c:v>
                </c:pt>
                <c:pt idx="22">
                  <c:v>4.3952000000000002E-8</c:v>
                </c:pt>
                <c:pt idx="23">
                  <c:v>4.6760999999999998E-8</c:v>
                </c:pt>
                <c:pt idx="24">
                  <c:v>9.9950999999999995E-26</c:v>
                </c:pt>
                <c:pt idx="25">
                  <c:v>2.6071000000000001E-7</c:v>
                </c:pt>
                <c:pt idx="26">
                  <c:v>9.8987000000000006E-7</c:v>
                </c:pt>
                <c:pt idx="27">
                  <c:v>4.4281E-6</c:v>
                </c:pt>
                <c:pt idx="28">
                  <c:v>1.9005000000000001E-4</c:v>
                </c:pt>
                <c:pt idx="29">
                  <c:v>1.6909E-3</c:v>
                </c:pt>
                <c:pt idx="30">
                  <c:v>6.8487000000000001E-3</c:v>
                </c:pt>
                <c:pt idx="31">
                  <c:v>1.8144E-2</c:v>
                </c:pt>
                <c:pt idx="32">
                  <c:v>0.1216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 formatCode="0">
                  <c:v>785.2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  <c:pt idx="0">
                  <c:v>5.6252999999999997E-2</c:v>
                </c:pt>
                <c:pt idx="1">
                  <c:v>6.4007999999999995E-2</c:v>
                </c:pt>
                <c:pt idx="2">
                  <c:v>5.6304E-2</c:v>
                </c:pt>
                <c:pt idx="3">
                  <c:v>4.6892000000000003E-2</c:v>
                </c:pt>
                <c:pt idx="4">
                  <c:v>3.6861999999999999E-2</c:v>
                </c:pt>
                <c:pt idx="5">
                  <c:v>2.7831000000000002E-2</c:v>
                </c:pt>
                <c:pt idx="6">
                  <c:v>1.9467999999999999E-2</c:v>
                </c:pt>
                <c:pt idx="7">
                  <c:v>1.2625000000000001E-2</c:v>
                </c:pt>
                <c:pt idx="8">
                  <c:v>1.1017000000000001E-2</c:v>
                </c:pt>
                <c:pt idx="9">
                  <c:v>1.1077E-2</c:v>
                </c:pt>
                <c:pt idx="10">
                  <c:v>2.5934E-3</c:v>
                </c:pt>
                <c:pt idx="11">
                  <c:v>5.3855999999999997E-7</c:v>
                </c:pt>
                <c:pt idx="12">
                  <c:v>1.73E-7</c:v>
                </c:pt>
                <c:pt idx="13">
                  <c:v>5.2321000000000002E-8</c:v>
                </c:pt>
                <c:pt idx="14">
                  <c:v>1.5147E-8</c:v>
                </c:pt>
                <c:pt idx="15">
                  <c:v>3.3470000000000001E-9</c:v>
                </c:pt>
                <c:pt idx="16">
                  <c:v>1.0486999999999999E-11</c:v>
                </c:pt>
                <c:pt idx="17">
                  <c:v>3.2085999999999998E-20</c:v>
                </c:pt>
                <c:pt idx="18">
                  <c:v>8.8301000000000003E-35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*Ga[1]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 formatCode="0">
                  <c:v>785.2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1.929E-31</c:v>
                </c:pt>
                <c:pt idx="21">
                  <c:v>3.7936000000000003E-24</c:v>
                </c:pt>
                <c:pt idx="22">
                  <c:v>1.9791E-16</c:v>
                </c:pt>
                <c:pt idx="23">
                  <c:v>4.4614000000000003E-9</c:v>
                </c:pt>
                <c:pt idx="24">
                  <c:v>2.7187000000000001E-3</c:v>
                </c:pt>
                <c:pt idx="25">
                  <c:v>4.7280999999999997E-2</c:v>
                </c:pt>
                <c:pt idx="26">
                  <c:v>7.3472999999999997E-2</c:v>
                </c:pt>
                <c:pt idx="27">
                  <c:v>0.11949</c:v>
                </c:pt>
                <c:pt idx="28">
                  <c:v>0.14405000000000001</c:v>
                </c:pt>
                <c:pt idx="29">
                  <c:v>0.14953</c:v>
                </c:pt>
                <c:pt idx="30">
                  <c:v>0.15276999999999999</c:v>
                </c:pt>
                <c:pt idx="31">
                  <c:v>0.15487999999999999</c:v>
                </c:pt>
                <c:pt idx="32">
                  <c:v>0.15878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(1)Ga2Se3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 formatCode="0">
                  <c:v>785.2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ALL!$F$10:$AL$10</c:f>
              <c:numCache>
                <c:formatCode>0.0E+00</c:formatCode>
                <c:ptCount val="33"/>
                <c:pt idx="0">
                  <c:v>0.10375</c:v>
                </c:pt>
                <c:pt idx="1">
                  <c:v>9.5991999999999994E-2</c:v>
                </c:pt>
                <c:pt idx="2">
                  <c:v>0.1037</c:v>
                </c:pt>
                <c:pt idx="3">
                  <c:v>0.11311</c:v>
                </c:pt>
                <c:pt idx="4">
                  <c:v>0.12314</c:v>
                </c:pt>
                <c:pt idx="5">
                  <c:v>0.13217000000000001</c:v>
                </c:pt>
                <c:pt idx="6">
                  <c:v>0.14052999999999999</c:v>
                </c:pt>
                <c:pt idx="7">
                  <c:v>0.14737</c:v>
                </c:pt>
                <c:pt idx="8">
                  <c:v>0.14896999999999999</c:v>
                </c:pt>
                <c:pt idx="9">
                  <c:v>0.14888999999999999</c:v>
                </c:pt>
                <c:pt idx="10">
                  <c:v>0.15684999999999999</c:v>
                </c:pt>
                <c:pt idx="11">
                  <c:v>0.15464</c:v>
                </c:pt>
                <c:pt idx="12">
                  <c:v>0.15109</c:v>
                </c:pt>
                <c:pt idx="13">
                  <c:v>0.14537</c:v>
                </c:pt>
                <c:pt idx="14">
                  <c:v>0.13619000000000001</c:v>
                </c:pt>
                <c:pt idx="15">
                  <c:v>0.12161</c:v>
                </c:pt>
                <c:pt idx="16">
                  <c:v>9.9279000000000006E-2</c:v>
                </c:pt>
                <c:pt idx="17">
                  <c:v>6.9083000000000006E-2</c:v>
                </c:pt>
                <c:pt idx="18">
                  <c:v>3.8114000000000002E-2</c:v>
                </c:pt>
                <c:pt idx="19">
                  <c:v>1.6809000000000001E-2</c:v>
                </c:pt>
                <c:pt idx="20">
                  <c:v>6.5189000000000002E-3</c:v>
                </c:pt>
                <c:pt idx="21">
                  <c:v>2.4256999999999998E-3</c:v>
                </c:pt>
                <c:pt idx="22">
                  <c:v>9.0326000000000002E-4</c:v>
                </c:pt>
                <c:pt idx="23">
                  <c:v>3.4155999999999998E-4</c:v>
                </c:pt>
                <c:pt idx="24">
                  <c:v>1.3133E-4</c:v>
                </c:pt>
                <c:pt idx="25">
                  <c:v>4.0389000000000002E-5</c:v>
                </c:pt>
                <c:pt idx="26">
                  <c:v>9.8307000000000006E-6</c:v>
                </c:pt>
                <c:pt idx="27">
                  <c:v>2.1795999999999999E-6</c:v>
                </c:pt>
                <c:pt idx="28">
                  <c:v>4.7357000000000002E-7</c:v>
                </c:pt>
                <c:pt idx="29">
                  <c:v>1.0401E-7</c:v>
                </c:pt>
                <c:pt idx="30">
                  <c:v>2.3297E-8</c:v>
                </c:pt>
                <c:pt idx="31">
                  <c:v>5.3186999999999998E-9</c:v>
                </c:pt>
                <c:pt idx="32">
                  <c:v>1.7139999999999998E-11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(1)Ga2Se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 formatCode="0">
                  <c:v>785.2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  <c:pt idx="0">
                  <c:v>1.5078999999999999E-8</c:v>
                </c:pt>
                <c:pt idx="1">
                  <c:v>1.7674E-8</c:v>
                </c:pt>
                <c:pt idx="2">
                  <c:v>3.1464999999999998E-8</c:v>
                </c:pt>
                <c:pt idx="3">
                  <c:v>8.8260999999999999E-8</c:v>
                </c:pt>
                <c:pt idx="4">
                  <c:v>2.7841000000000002E-7</c:v>
                </c:pt>
                <c:pt idx="5">
                  <c:v>8.4438999999999995E-7</c:v>
                </c:pt>
                <c:pt idx="6">
                  <c:v>2.3898E-6</c:v>
                </c:pt>
                <c:pt idx="7">
                  <c:v>6.2621999999999999E-6</c:v>
                </c:pt>
                <c:pt idx="8">
                  <c:v>1.4905999999999999E-5</c:v>
                </c:pt>
                <c:pt idx="9">
                  <c:v>3.3232999999999998E-5</c:v>
                </c:pt>
                <c:pt idx="10">
                  <c:v>5.5696000000000001E-4</c:v>
                </c:pt>
                <c:pt idx="11">
                  <c:v>5.3363999999999998E-3</c:v>
                </c:pt>
                <c:pt idx="12">
                  <c:v>8.8681999999999997E-3</c:v>
                </c:pt>
                <c:pt idx="13">
                  <c:v>1.4548999999999999E-2</c:v>
                </c:pt>
                <c:pt idx="14">
                  <c:v>2.3650999999999998E-2</c:v>
                </c:pt>
                <c:pt idx="15">
                  <c:v>3.8098E-2</c:v>
                </c:pt>
                <c:pt idx="16">
                  <c:v>6.0144000000000003E-2</c:v>
                </c:pt>
                <c:pt idx="17">
                  <c:v>8.9802000000000007E-2</c:v>
                </c:pt>
                <c:pt idx="18">
                  <c:v>0.11985</c:v>
                </c:pt>
                <c:pt idx="19">
                  <c:v>0.13979</c:v>
                </c:pt>
                <c:pt idx="20">
                  <c:v>0.14826</c:v>
                </c:pt>
                <c:pt idx="21">
                  <c:v>0.14996999999999999</c:v>
                </c:pt>
                <c:pt idx="22">
                  <c:v>0.14840999999999999</c:v>
                </c:pt>
                <c:pt idx="23">
                  <c:v>0.14505999999999999</c:v>
                </c:pt>
                <c:pt idx="24">
                  <c:v>0.13650000000000001</c:v>
                </c:pt>
                <c:pt idx="25">
                  <c:v>6.9397E-2</c:v>
                </c:pt>
                <c:pt idx="26">
                  <c:v>3.2823999999999999E-2</c:v>
                </c:pt>
                <c:pt idx="27">
                  <c:v>1.5162999999999999E-2</c:v>
                </c:pt>
                <c:pt idx="28">
                  <c:v>7.0063E-3</c:v>
                </c:pt>
                <c:pt idx="29">
                  <c:v>3.2650999999999999E-3</c:v>
                </c:pt>
                <c:pt idx="30">
                  <c:v>1.5336E-3</c:v>
                </c:pt>
                <c:pt idx="31">
                  <c:v>7.2294999999999998E-4</c:v>
                </c:pt>
                <c:pt idx="32">
                  <c:v>3.6019000000000002E-5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 formatCode="0">
                  <c:v>785.2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ALL!$F$12:$AL$12</c:f>
              <c:numCache>
                <c:formatCode>0.0E+00</c:formatCode>
                <c:ptCount val="33"/>
                <c:pt idx="0">
                  <c:v>1.6152E-13</c:v>
                </c:pt>
                <c:pt idx="1">
                  <c:v>3.7678999999999997E-12</c:v>
                </c:pt>
                <c:pt idx="2">
                  <c:v>1.107E-11</c:v>
                </c:pt>
                <c:pt idx="3">
                  <c:v>4.3996999999999997E-11</c:v>
                </c:pt>
                <c:pt idx="4">
                  <c:v>1.8399E-10</c:v>
                </c:pt>
                <c:pt idx="5">
                  <c:v>7.2048999999999996E-10</c:v>
                </c:pt>
                <c:pt idx="6">
                  <c:v>2.5944000000000001E-9</c:v>
                </c:pt>
                <c:pt idx="7">
                  <c:v>8.5534000000000007E-9</c:v>
                </c:pt>
                <c:pt idx="8">
                  <c:v>2.5361999999999999E-8</c:v>
                </c:pt>
                <c:pt idx="9">
                  <c:v>6.9779999999999994E-8</c:v>
                </c:pt>
                <c:pt idx="10">
                  <c:v>2.4799000000000002E-6</c:v>
                </c:pt>
                <c:pt idx="11">
                  <c:v>4.4483000000000001E-5</c:v>
                </c:pt>
                <c:pt idx="12">
                  <c:v>8.5549000000000004E-5</c:v>
                </c:pt>
                <c:pt idx="13">
                  <c:v>1.6275999999999999E-4</c:v>
                </c:pt>
                <c:pt idx="14">
                  <c:v>3.0941999999999998E-4</c:v>
                </c:pt>
                <c:pt idx="15">
                  <c:v>5.9373E-4</c:v>
                </c:pt>
                <c:pt idx="16">
                  <c:v>1.1539E-3</c:v>
                </c:pt>
                <c:pt idx="17">
                  <c:v>2.2290999999999999E-3</c:v>
                </c:pt>
                <c:pt idx="18">
                  <c:v>4.0762000000000003E-3</c:v>
                </c:pt>
                <c:pt idx="19">
                  <c:v>6.7939999999999997E-3</c:v>
                </c:pt>
                <c:pt idx="20">
                  <c:v>1.044E-2</c:v>
                </c:pt>
                <c:pt idx="21">
                  <c:v>1.5213000000000001E-2</c:v>
                </c:pt>
                <c:pt idx="22">
                  <c:v>2.1381000000000001E-2</c:v>
                </c:pt>
                <c:pt idx="23">
                  <c:v>2.9191999999999999E-2</c:v>
                </c:pt>
                <c:pt idx="24">
                  <c:v>3.7984999999999998E-2</c:v>
                </c:pt>
                <c:pt idx="25">
                  <c:v>3.1954999999999997E-2</c:v>
                </c:pt>
                <c:pt idx="26">
                  <c:v>2.6592999999999999E-2</c:v>
                </c:pt>
                <c:pt idx="27">
                  <c:v>2.1922000000000001E-2</c:v>
                </c:pt>
                <c:pt idx="28">
                  <c:v>1.7888000000000001E-2</c:v>
                </c:pt>
                <c:pt idx="29">
                  <c:v>1.4407E-2</c:v>
                </c:pt>
                <c:pt idx="30">
                  <c:v>1.1393E-2</c:v>
                </c:pt>
                <c:pt idx="31">
                  <c:v>8.7919000000000001E-3</c:v>
                </c:pt>
                <c:pt idx="32">
                  <c:v>2.3739E-3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(1)Se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 formatCode="0">
                  <c:v>785.2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  <c:pt idx="0">
                  <c:v>2.1039E-19</c:v>
                </c:pt>
                <c:pt idx="1">
                  <c:v>2.7014000000000001E-15</c:v>
                </c:pt>
                <c:pt idx="2">
                  <c:v>1.4168E-14</c:v>
                </c:pt>
                <c:pt idx="3">
                  <c:v>5.0641000000000002E-14</c:v>
                </c:pt>
                <c:pt idx="4">
                  <c:v>1.4670999999999999E-13</c:v>
                </c:pt>
                <c:pt idx="5">
                  <c:v>3.7254E-13</c:v>
                </c:pt>
                <c:pt idx="6">
                  <c:v>8.6104999999999995E-13</c:v>
                </c:pt>
                <c:pt idx="7">
                  <c:v>1.8305999999999999E-12</c:v>
                </c:pt>
                <c:pt idx="8">
                  <c:v>3.5318E-12</c:v>
                </c:pt>
                <c:pt idx="9">
                  <c:v>6.3879999999999998E-12</c:v>
                </c:pt>
                <c:pt idx="10">
                  <c:v>5.3442000000000003E-11</c:v>
                </c:pt>
                <c:pt idx="11">
                  <c:v>2.7569000000000001E-10</c:v>
                </c:pt>
                <c:pt idx="12">
                  <c:v>3.9305999999999998E-10</c:v>
                </c:pt>
                <c:pt idx="13">
                  <c:v>5.5368999999999998E-10</c:v>
                </c:pt>
                <c:pt idx="14">
                  <c:v>7.7354E-10</c:v>
                </c:pt>
                <c:pt idx="15">
                  <c:v>1.0721000000000001E-9</c:v>
                </c:pt>
                <c:pt idx="16">
                  <c:v>1.4585999999999999E-9</c:v>
                </c:pt>
                <c:pt idx="17">
                  <c:v>1.8809E-9</c:v>
                </c:pt>
                <c:pt idx="18">
                  <c:v>2.1754000000000002E-9</c:v>
                </c:pt>
                <c:pt idx="19">
                  <c:v>2.2091000000000002E-9</c:v>
                </c:pt>
                <c:pt idx="20">
                  <c:v>2.0516999999999999E-9</c:v>
                </c:pt>
                <c:pt idx="21">
                  <c:v>1.8300000000000001E-9</c:v>
                </c:pt>
                <c:pt idx="22">
                  <c:v>1.6101000000000001E-9</c:v>
                </c:pt>
                <c:pt idx="23">
                  <c:v>1.4125E-9</c:v>
                </c:pt>
                <c:pt idx="24">
                  <c:v>1.2550999999999999E-9</c:v>
                </c:pt>
                <c:pt idx="25">
                  <c:v>1.2994000000000001E-9</c:v>
                </c:pt>
                <c:pt idx="26">
                  <c:v>1.2258E-9</c:v>
                </c:pt>
                <c:pt idx="27">
                  <c:v>1.1044E-9</c:v>
                </c:pt>
                <c:pt idx="28">
                  <c:v>9.7423999999999994E-10</c:v>
                </c:pt>
                <c:pt idx="29">
                  <c:v>8.4955000000000003E-10</c:v>
                </c:pt>
                <c:pt idx="30">
                  <c:v>7.325E-10</c:v>
                </c:pt>
                <c:pt idx="31">
                  <c:v>6.2244999999999995E-10</c:v>
                </c:pt>
                <c:pt idx="32">
                  <c:v>2.7775999999999998E-10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(1)Se[a]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 formatCode="0">
                  <c:v>785.2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  <c:pt idx="0">
                  <c:v>4.8492000000000003E-20</c:v>
                </c:pt>
                <c:pt idx="1">
                  <c:v>9.5845000000000002E-16</c:v>
                </c:pt>
                <c:pt idx="2">
                  <c:v>5.4674999999999998E-15</c:v>
                </c:pt>
                <c:pt idx="3">
                  <c:v>2.1104999999999999E-14</c:v>
                </c:pt>
                <c:pt idx="4">
                  <c:v>6.5613E-14</c:v>
                </c:pt>
                <c:pt idx="5">
                  <c:v>1.7781E-13</c:v>
                </c:pt>
                <c:pt idx="6">
                  <c:v>4.3641000000000001E-13</c:v>
                </c:pt>
                <c:pt idx="7">
                  <c:v>9.8087999999999996E-13</c:v>
                </c:pt>
                <c:pt idx="8">
                  <c:v>1.9925999999999998E-12</c:v>
                </c:pt>
                <c:pt idx="9">
                  <c:v>3.7812999999999996E-12</c:v>
                </c:pt>
                <c:pt idx="10">
                  <c:v>3.2878999999999998E-11</c:v>
                </c:pt>
                <c:pt idx="11">
                  <c:v>1.6313999999999999E-10</c:v>
                </c:pt>
                <c:pt idx="12">
                  <c:v>2.3025999999999999E-10</c:v>
                </c:pt>
                <c:pt idx="13">
                  <c:v>3.2109000000000003E-10</c:v>
                </c:pt>
                <c:pt idx="14">
                  <c:v>4.4404E-10</c:v>
                </c:pt>
                <c:pt idx="15">
                  <c:v>6.0920000000000003E-10</c:v>
                </c:pt>
                <c:pt idx="16">
                  <c:v>8.2039999999999998E-10</c:v>
                </c:pt>
                <c:pt idx="17">
                  <c:v>1.0473000000000001E-9</c:v>
                </c:pt>
                <c:pt idx="18">
                  <c:v>1.1990999999999999E-9</c:v>
                </c:pt>
                <c:pt idx="19">
                  <c:v>1.2056000000000001E-9</c:v>
                </c:pt>
                <c:pt idx="20">
                  <c:v>1.1086000000000001E-9</c:v>
                </c:pt>
                <c:pt idx="21">
                  <c:v>9.7908999999999998E-10</c:v>
                </c:pt>
                <c:pt idx="22">
                  <c:v>8.5301000000000004E-10</c:v>
                </c:pt>
                <c:pt idx="23">
                  <c:v>7.4108999999999997E-10</c:v>
                </c:pt>
                <c:pt idx="24">
                  <c:v>6.5214999999999997E-10</c:v>
                </c:pt>
                <c:pt idx="25">
                  <c:v>6.6874999999999999E-10</c:v>
                </c:pt>
                <c:pt idx="26">
                  <c:v>6.2490999999999996E-10</c:v>
                </c:pt>
                <c:pt idx="27">
                  <c:v>5.5770000000000005E-10</c:v>
                </c:pt>
                <c:pt idx="28">
                  <c:v>4.8739000000000001E-10</c:v>
                </c:pt>
                <c:pt idx="29">
                  <c:v>4.2107000000000003E-10</c:v>
                </c:pt>
                <c:pt idx="30">
                  <c:v>3.5972000000000003E-10</c:v>
                </c:pt>
                <c:pt idx="31">
                  <c:v>3.0287999999999999E-10</c:v>
                </c:pt>
                <c:pt idx="32">
                  <c:v>1.3033E-10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(1)Se[m]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 formatCode="0">
                  <c:v>785.2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  <c:pt idx="0">
                  <c:v>1.7719E-13</c:v>
                </c:pt>
                <c:pt idx="1">
                  <c:v>5.1054000000000002E-9</c:v>
                </c:pt>
                <c:pt idx="2">
                  <c:v>3.3136E-8</c:v>
                </c:pt>
                <c:pt idx="3">
                  <c:v>1.4679000000000001E-7</c:v>
                </c:pt>
                <c:pt idx="4">
                  <c:v>5.2728999999999995E-7</c:v>
                </c:pt>
                <c:pt idx="5">
                  <c:v>1.6601E-6</c:v>
                </c:pt>
                <c:pt idx="6">
                  <c:v>4.7536999999999999E-6</c:v>
                </c:pt>
                <c:pt idx="7">
                  <c:v>1.2507000000000001E-5</c:v>
                </c:pt>
                <c:pt idx="8">
                  <c:v>2.9819999999999999E-5</c:v>
                </c:pt>
                <c:pt idx="9">
                  <c:v>6.6540999999999999E-5</c:v>
                </c:pt>
                <c:pt idx="10">
                  <c:v>1.1176000000000001E-3</c:v>
                </c:pt>
                <c:pt idx="11">
                  <c:v>1.0739E-2</c:v>
                </c:pt>
                <c:pt idx="12">
                  <c:v>1.7864999999999999E-2</c:v>
                </c:pt>
                <c:pt idx="13">
                  <c:v>2.9343000000000001E-2</c:v>
                </c:pt>
                <c:pt idx="14">
                  <c:v>4.7766000000000003E-2</c:v>
                </c:pt>
                <c:pt idx="15">
                  <c:v>7.7086000000000002E-2</c:v>
                </c:pt>
                <c:pt idx="16">
                  <c:v>0.12202</c:v>
                </c:pt>
                <c:pt idx="17">
                  <c:v>0.18295</c:v>
                </c:pt>
                <c:pt idx="18">
                  <c:v>0.24581</c:v>
                </c:pt>
                <c:pt idx="19">
                  <c:v>0.28977999999999998</c:v>
                </c:pt>
                <c:pt idx="20">
                  <c:v>0.31218000000000001</c:v>
                </c:pt>
                <c:pt idx="21">
                  <c:v>0.32275999999999999</c:v>
                </c:pt>
                <c:pt idx="22">
                  <c:v>0.32888000000000001</c:v>
                </c:pt>
                <c:pt idx="23">
                  <c:v>0.33390999999999998</c:v>
                </c:pt>
                <c:pt idx="24">
                  <c:v>0.34310000000000002</c:v>
                </c:pt>
                <c:pt idx="25">
                  <c:v>0.41048000000000001</c:v>
                </c:pt>
                <c:pt idx="26">
                  <c:v>0.44714999999999999</c:v>
                </c:pt>
                <c:pt idx="27">
                  <c:v>0.46483000000000002</c:v>
                </c:pt>
                <c:pt idx="28">
                  <c:v>0.4728</c:v>
                </c:pt>
                <c:pt idx="29">
                  <c:v>0.47504000000000002</c:v>
                </c:pt>
                <c:pt idx="30">
                  <c:v>0.47161999999999998</c:v>
                </c:pt>
                <c:pt idx="31">
                  <c:v>0.46113999999999999</c:v>
                </c:pt>
                <c:pt idx="32">
                  <c:v>0.35836000000000001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(2)Ga[1]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355.7</c:v>
                </c:pt>
                <c:pt idx="3">
                  <c:v>372.3</c:v>
                </c:pt>
                <c:pt idx="4">
                  <c:v>388.8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620.1</c:v>
                </c:pt>
                <c:pt idx="13">
                  <c:v>636.6</c:v>
                </c:pt>
                <c:pt idx="14">
                  <c:v>653.1</c:v>
                </c:pt>
                <c:pt idx="15">
                  <c:v>669.6</c:v>
                </c:pt>
                <c:pt idx="16">
                  <c:v>686.1</c:v>
                </c:pt>
                <c:pt idx="17">
                  <c:v>702.7</c:v>
                </c:pt>
                <c:pt idx="18">
                  <c:v>719.2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 formatCode="0">
                  <c:v>785.2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ALL!$F$16:$AL$16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4.9137E-31</c:v>
                </c:pt>
                <c:pt idx="21">
                  <c:v>9.2955999999999998E-24</c:v>
                </c:pt>
                <c:pt idx="22">
                  <c:v>4.6778999999999996E-16</c:v>
                </c:pt>
                <c:pt idx="23">
                  <c:v>1.0198999999999999E-8</c:v>
                </c:pt>
                <c:pt idx="24">
                  <c:v>6.0271999999999999E-3</c:v>
                </c:pt>
                <c:pt idx="25">
                  <c:v>0.10188999999999999</c:v>
                </c:pt>
                <c:pt idx="26">
                  <c:v>0.15426999999999999</c:v>
                </c:pt>
                <c:pt idx="27">
                  <c:v>0.14826</c:v>
                </c:pt>
                <c:pt idx="28">
                  <c:v>0.14405000000000001</c:v>
                </c:pt>
                <c:pt idx="29">
                  <c:v>0.14953</c:v>
                </c:pt>
                <c:pt idx="30">
                  <c:v>0.15276999999999999</c:v>
                </c:pt>
                <c:pt idx="31">
                  <c:v>0.15487999999999999</c:v>
                </c:pt>
                <c:pt idx="32">
                  <c:v>0.15878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3.8320999999999999E-36</c:v>
                      </c:pt>
                      <c:pt idx="7">
                        <c:v>2.2387000000000001E-34</c:v>
                      </c:pt>
                      <c:pt idx="8">
                        <c:v>9.8779E-33</c:v>
                      </c:pt>
                      <c:pt idx="9">
                        <c:v>3.3866E-31</c:v>
                      </c:pt>
                      <c:pt idx="10">
                        <c:v>5.9233000000000004E-26</c:v>
                      </c:pt>
                      <c:pt idx="11">
                        <c:v>8.4598E-22</c:v>
                      </c:pt>
                      <c:pt idx="12">
                        <c:v>6.8566999999999995E-21</c:v>
                      </c:pt>
                      <c:pt idx="13">
                        <c:v>5.0211999999999997E-20</c:v>
                      </c:pt>
                      <c:pt idx="14">
                        <c:v>3.3474000000000001E-19</c:v>
                      </c:pt>
                      <c:pt idx="15">
                        <c:v>2.0452000000000001E-18</c:v>
                      </c:pt>
                      <c:pt idx="16">
                        <c:v>1.152E-17</c:v>
                      </c:pt>
                      <c:pt idx="17">
                        <c:v>6.0140000000000002E-17</c:v>
                      </c:pt>
                      <c:pt idx="18">
                        <c:v>2.9229999999999999E-16</c:v>
                      </c:pt>
                      <c:pt idx="19">
                        <c:v>1.3280000000000001E-15</c:v>
                      </c:pt>
                      <c:pt idx="20">
                        <c:v>5.6599000000000003E-15</c:v>
                      </c:pt>
                      <c:pt idx="21">
                        <c:v>2.2705E-14</c:v>
                      </c:pt>
                      <c:pt idx="22">
                        <c:v>8.5984000000000002E-14</c:v>
                      </c:pt>
                      <c:pt idx="23">
                        <c:v>3.0819000000000002E-13</c:v>
                      </c:pt>
                      <c:pt idx="24">
                        <c:v>1.0271999999999999E-12</c:v>
                      </c:pt>
                      <c:pt idx="25">
                        <c:v>2.2298000000000001E-12</c:v>
                      </c:pt>
                      <c:pt idx="26">
                        <c:v>4.6901E-12</c:v>
                      </c:pt>
                      <c:pt idx="27">
                        <c:v>9.5887000000000001E-12</c:v>
                      </c:pt>
                      <c:pt idx="28">
                        <c:v>1.9085000000000001E-11</c:v>
                      </c:pt>
                      <c:pt idx="29">
                        <c:v>3.7036E-11</c:v>
                      </c:pt>
                      <c:pt idx="30">
                        <c:v>7.0170999999999997E-11</c:v>
                      </c:pt>
                      <c:pt idx="31">
                        <c:v>1.2996000000000001E-10</c:v>
                      </c:pt>
                      <c:pt idx="32">
                        <c:v>1.2466E-9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4.2332000000000003E-36</c:v>
                      </c:pt>
                      <c:pt idx="4">
                        <c:v>6.0527000000000001E-34</c:v>
                      </c:pt>
                      <c:pt idx="5">
                        <c:v>6.2144000000000001E-32</c:v>
                      </c:pt>
                      <c:pt idx="6">
                        <c:v>4.5853999999999997E-30</c:v>
                      </c:pt>
                      <c:pt idx="7">
                        <c:v>2.4974000000000001E-28</c:v>
                      </c:pt>
                      <c:pt idx="8">
                        <c:v>1.0342E-26</c:v>
                      </c:pt>
                      <c:pt idx="9">
                        <c:v>3.3470000000000002E-25</c:v>
                      </c:pt>
                      <c:pt idx="10">
                        <c:v>4.8509000000000003E-20</c:v>
                      </c:pt>
                      <c:pt idx="11">
                        <c:v>5.9017999999999996E-16</c:v>
                      </c:pt>
                      <c:pt idx="12">
                        <c:v>4.5601000000000001E-15</c:v>
                      </c:pt>
                      <c:pt idx="13">
                        <c:v>3.1510000000000003E-14</c:v>
                      </c:pt>
                      <c:pt idx="14">
                        <c:v>1.9485E-13</c:v>
                      </c:pt>
                      <c:pt idx="15">
                        <c:v>1.0743999999999999E-12</c:v>
                      </c:pt>
                      <c:pt idx="16">
                        <c:v>5.2356E-12</c:v>
                      </c:pt>
                      <c:pt idx="17">
                        <c:v>2.2282000000000001E-11</c:v>
                      </c:pt>
                      <c:pt idx="18">
                        <c:v>8.2526000000000003E-11</c:v>
                      </c:pt>
                      <c:pt idx="19">
                        <c:v>2.7111999999999999E-10</c:v>
                      </c:pt>
                      <c:pt idx="20">
                        <c:v>8.1524999999999995E-10</c:v>
                      </c:pt>
                      <c:pt idx="21">
                        <c:v>2.2953000000000001E-9</c:v>
                      </c:pt>
                      <c:pt idx="22">
                        <c:v>6.1175E-9</c:v>
                      </c:pt>
                      <c:pt idx="23">
                        <c:v>1.5509E-8</c:v>
                      </c:pt>
                      <c:pt idx="24">
                        <c:v>3.6494000000000002E-8</c:v>
                      </c:pt>
                      <c:pt idx="25">
                        <c:v>4.6166999999999999E-8</c:v>
                      </c:pt>
                      <c:pt idx="26">
                        <c:v>5.2561999999999998E-8</c:v>
                      </c:pt>
                      <c:pt idx="27">
                        <c:v>5.6626E-8</c:v>
                      </c:pt>
                      <c:pt idx="28">
                        <c:v>5.9237999999999997E-8</c:v>
                      </c:pt>
                      <c:pt idx="29">
                        <c:v>6.0924999999999998E-8</c:v>
                      </c:pt>
                      <c:pt idx="30">
                        <c:v>6.1962999999999997E-8</c:v>
                      </c:pt>
                      <c:pt idx="31">
                        <c:v>6.2491E-8</c:v>
                      </c:pt>
                      <c:pt idx="32">
                        <c:v>6.0654999999999996E-8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-18.649999999999999</c:v>
                      </c:pt>
                      <c:pt idx="3">
                        <c:v>-18.670000000000002</c:v>
                      </c:pt>
                      <c:pt idx="4">
                        <c:v>-18.690000000000001</c:v>
                      </c:pt>
                      <c:pt idx="5">
                        <c:v>-18.72</c:v>
                      </c:pt>
                      <c:pt idx="6">
                        <c:v>-18.75</c:v>
                      </c:pt>
                      <c:pt idx="7">
                        <c:v>-18.78</c:v>
                      </c:pt>
                      <c:pt idx="8">
                        <c:v>-18.809999999999999</c:v>
                      </c:pt>
                      <c:pt idx="9">
                        <c:v>-18.84</c:v>
                      </c:pt>
                      <c:pt idx="10">
                        <c:v>-18.97</c:v>
                      </c:pt>
                      <c:pt idx="11">
                        <c:v>-19.11</c:v>
                      </c:pt>
                      <c:pt idx="12">
                        <c:v>-19.14</c:v>
                      </c:pt>
                      <c:pt idx="13">
                        <c:v>-19.18</c:v>
                      </c:pt>
                      <c:pt idx="14">
                        <c:v>-19.21</c:v>
                      </c:pt>
                      <c:pt idx="15">
                        <c:v>-19.25</c:v>
                      </c:pt>
                      <c:pt idx="16">
                        <c:v>-19.28</c:v>
                      </c:pt>
                      <c:pt idx="17">
                        <c:v>-19.32</c:v>
                      </c:pt>
                      <c:pt idx="18">
                        <c:v>-19.350000000000001</c:v>
                      </c:pt>
                      <c:pt idx="19">
                        <c:v>-19.38</c:v>
                      </c:pt>
                      <c:pt idx="20">
                        <c:v>-19.420000000000002</c:v>
                      </c:pt>
                      <c:pt idx="21">
                        <c:v>-19.45</c:v>
                      </c:pt>
                      <c:pt idx="22">
                        <c:v>-19.48</c:v>
                      </c:pt>
                      <c:pt idx="23">
                        <c:v>-19.510000000000002</c:v>
                      </c:pt>
                      <c:pt idx="24">
                        <c:v>-19.55</c:v>
                      </c:pt>
                      <c:pt idx="25">
                        <c:v>-19.579999999999998</c:v>
                      </c:pt>
                      <c:pt idx="26">
                        <c:v>-19.61</c:v>
                      </c:pt>
                      <c:pt idx="27">
                        <c:v>-19.64</c:v>
                      </c:pt>
                      <c:pt idx="28">
                        <c:v>-19.670000000000002</c:v>
                      </c:pt>
                      <c:pt idx="29">
                        <c:v>-19.7</c:v>
                      </c:pt>
                      <c:pt idx="30">
                        <c:v>-19.73</c:v>
                      </c:pt>
                      <c:pt idx="31">
                        <c:v>-19.760000000000002</c:v>
                      </c:pt>
                      <c:pt idx="32">
                        <c:v>-19.88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AE7A-412E-BBF5-89E233391AB6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-32.090000000000003</c:v>
                      </c:pt>
                      <c:pt idx="1">
                        <c:v>-28.88</c:v>
                      </c:pt>
                      <c:pt idx="2">
                        <c:v>-27.9</c:v>
                      </c:pt>
                      <c:pt idx="3">
                        <c:v>-26.63</c:v>
                      </c:pt>
                      <c:pt idx="4">
                        <c:v>-25.32</c:v>
                      </c:pt>
                      <c:pt idx="5">
                        <c:v>-24.06</c:v>
                      </c:pt>
                      <c:pt idx="6">
                        <c:v>-22.88</c:v>
                      </c:pt>
                      <c:pt idx="7">
                        <c:v>-21.77</c:v>
                      </c:pt>
                      <c:pt idx="8">
                        <c:v>-20.73</c:v>
                      </c:pt>
                      <c:pt idx="9">
                        <c:v>-19.760000000000002</c:v>
                      </c:pt>
                      <c:pt idx="10">
                        <c:v>-16.39</c:v>
                      </c:pt>
                      <c:pt idx="11">
                        <c:v>-13.66</c:v>
                      </c:pt>
                      <c:pt idx="12">
                        <c:v>-13.06</c:v>
                      </c:pt>
                      <c:pt idx="13">
                        <c:v>-12.48</c:v>
                      </c:pt>
                      <c:pt idx="14">
                        <c:v>-11.93</c:v>
                      </c:pt>
                      <c:pt idx="15">
                        <c:v>-11.4</c:v>
                      </c:pt>
                      <c:pt idx="16">
                        <c:v>-10.89</c:v>
                      </c:pt>
                      <c:pt idx="17">
                        <c:v>-10.4</c:v>
                      </c:pt>
                      <c:pt idx="18">
                        <c:v>-9.9329999999999998</c:v>
                      </c:pt>
                      <c:pt idx="19">
                        <c:v>-9.484</c:v>
                      </c:pt>
                      <c:pt idx="20">
                        <c:v>-9.0530000000000008</c:v>
                      </c:pt>
                      <c:pt idx="21">
                        <c:v>-8.64</c:v>
                      </c:pt>
                      <c:pt idx="22">
                        <c:v>-8.2449999999999992</c:v>
                      </c:pt>
                      <c:pt idx="23">
                        <c:v>-7.8680000000000003</c:v>
                      </c:pt>
                      <c:pt idx="24">
                        <c:v>-7.5279999999999996</c:v>
                      </c:pt>
                      <c:pt idx="25">
                        <c:v>-7.5839999999999996</c:v>
                      </c:pt>
                      <c:pt idx="26">
                        <c:v>-7.641</c:v>
                      </c:pt>
                      <c:pt idx="27">
                        <c:v>-7.6959999999999997</c:v>
                      </c:pt>
                      <c:pt idx="28">
                        <c:v>-7.7510000000000003</c:v>
                      </c:pt>
                      <c:pt idx="29">
                        <c:v>-7.8049999999999997</c:v>
                      </c:pt>
                      <c:pt idx="30">
                        <c:v>-7.8579999999999997</c:v>
                      </c:pt>
                      <c:pt idx="31">
                        <c:v>-7.91</c:v>
                      </c:pt>
                      <c:pt idx="32">
                        <c:v>-8.109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F-AE7A-412E-BBF5-89E233391AB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-45.84</c:v>
                      </c:pt>
                      <c:pt idx="1">
                        <c:v>-36.31</c:v>
                      </c:pt>
                      <c:pt idx="2">
                        <c:v>-34.75</c:v>
                      </c:pt>
                      <c:pt idx="3">
                        <c:v>-33.590000000000003</c:v>
                      </c:pt>
                      <c:pt idx="4">
                        <c:v>-32.64</c:v>
                      </c:pt>
                      <c:pt idx="5">
                        <c:v>-31.81</c:v>
                      </c:pt>
                      <c:pt idx="6">
                        <c:v>-31.07</c:v>
                      </c:pt>
                      <c:pt idx="7">
                        <c:v>-30.4</c:v>
                      </c:pt>
                      <c:pt idx="8">
                        <c:v>-29.79</c:v>
                      </c:pt>
                      <c:pt idx="9">
                        <c:v>-29.24</c:v>
                      </c:pt>
                      <c:pt idx="10">
                        <c:v>-27.47</c:v>
                      </c:pt>
                      <c:pt idx="11">
                        <c:v>-26.24</c:v>
                      </c:pt>
                      <c:pt idx="12">
                        <c:v>-26.01</c:v>
                      </c:pt>
                      <c:pt idx="13">
                        <c:v>-25.81</c:v>
                      </c:pt>
                      <c:pt idx="14">
                        <c:v>-25.65</c:v>
                      </c:pt>
                      <c:pt idx="15">
                        <c:v>-25.54</c:v>
                      </c:pt>
                      <c:pt idx="16">
                        <c:v>-25.48</c:v>
                      </c:pt>
                      <c:pt idx="17">
                        <c:v>-25.5</c:v>
                      </c:pt>
                      <c:pt idx="18">
                        <c:v>-25.59</c:v>
                      </c:pt>
                      <c:pt idx="19">
                        <c:v>-25.76</c:v>
                      </c:pt>
                      <c:pt idx="20">
                        <c:v>-25.95</c:v>
                      </c:pt>
                      <c:pt idx="21">
                        <c:v>-26.17</c:v>
                      </c:pt>
                      <c:pt idx="22">
                        <c:v>-26.38</c:v>
                      </c:pt>
                      <c:pt idx="23">
                        <c:v>-26.6</c:v>
                      </c:pt>
                      <c:pt idx="24">
                        <c:v>-26.8</c:v>
                      </c:pt>
                      <c:pt idx="25">
                        <c:v>-26.82</c:v>
                      </c:pt>
                      <c:pt idx="26">
                        <c:v>-26.93</c:v>
                      </c:pt>
                      <c:pt idx="27">
                        <c:v>-27.09</c:v>
                      </c:pt>
                      <c:pt idx="28">
                        <c:v>-27.27</c:v>
                      </c:pt>
                      <c:pt idx="29">
                        <c:v>-27.46</c:v>
                      </c:pt>
                      <c:pt idx="30">
                        <c:v>-27.65</c:v>
                      </c:pt>
                      <c:pt idx="31">
                        <c:v>-27.85</c:v>
                      </c:pt>
                      <c:pt idx="32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E7A-412E-BBF5-89E233391AB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355.7</c:v>
                      </c:pt>
                      <c:pt idx="3">
                        <c:v>372.3</c:v>
                      </c:pt>
                      <c:pt idx="4">
                        <c:v>388.8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 formatCode="0">
                        <c:v>785.2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FLUID!$F$4:$AL$4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F8F-421C-B882-6FC6CED20D0E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FLUID!$B$114:$B$115</c:f>
              <c:numCache>
                <c:formatCode>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FLUID!$F$14:$AL$14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63B3-4D01-BEA3-739B2EC62692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2"/>
          <c:order val="2"/>
          <c:tx>
            <c:strRef>
              <c:f>SOLID!$E$6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SOLID!$F$7:$AL$7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SOLID!$F$8:$AL$8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2E1-40A6-A933-2A862B83ED7D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D2E1-40A6-A933-2A862B83ED7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2E1-40A6-A933-2A862B83ED7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2E1-40A6-A933-2A862B83ED7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D2E1-40A6-A933-2A862B83ED7D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2E1-40A6-A933-2A862B83ED7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2E1-40A6-A933-2A862B83ED7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2E1-40A6-A933-2A862B83ED7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2E1-40A6-A933-2A862B83ED7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2E1-40A6-A933-2A862B83ED7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2E1-40A6-A933-2A862B83ED7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2E1-40A6-A933-2A862B83ED7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2E1-40A6-A933-2A862B83ED7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2E1-40A6-A933-2A862B83ED7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2E1-40A6-A933-2A862B83ED7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2E1-40A6-A933-2A862B83ED7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2E1-40A6-A933-2A862B83ED7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2E1-40A6-A933-2A862B83ED7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2E1-40A6-A933-2A862B83ED7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2E1-40A6-A933-2A862B83ED7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2E1-40A6-A933-2A862B83ED7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2E1-40A6-A933-2A862B83ED7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2E1-40A6-A933-2A862B83ED7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2E1-40A6-A933-2A862B83ED7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2E1-40A6-A933-2A862B83ED7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2E1-40A6-A933-2A862B83ED7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2E1-40A6-A933-2A862B83ED7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2E1-40A6-A933-2A862B83ED7D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SOLID!$F$123:$AL$123</c:f>
              <c:numCache>
                <c:formatCode>0.00E+00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SOLID!$F$126:$AL$126</c:f>
              <c:numCache>
                <c:formatCode>0.00E+00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SOLID!$F$128:$AL$128</c:f>
              <c:numCache>
                <c:formatCode>0.00E+00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SOLID!$B$114:$B$115</c:f>
              <c:numCache>
                <c:formatCode>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B8-4099-89EB-409D78398715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0.00E+00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7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7C9-4F8E-93A1-524E66C52F6C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7C9-4F8E-93A1-524E66C52F6C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7C9-4F8E-93A1-524E66C52F6C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7C9-4F8E-93A1-524E66C52F6C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4-A7C9-4F8E-93A1-524E66C52F6C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7C9-4F8E-93A1-524E66C52F6C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SOLID!$F$11:$AL$11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7C9-4F8E-93A1-524E66C52F6C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SOLID!$F$12:$AL$12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7C9-4F8E-93A1-524E66C52F6C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SOLID!$F$13:$AL$13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7C9-4F8E-93A1-524E66C52F6C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SOLID!$F$14:$AL$14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7C9-4F8E-93A1-524E66C52F6C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SOLID!$F$15:$AL$15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7C9-4F8E-93A1-524E66C52F6C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SOLID!$F$16:$AL$16</c:f>
              <c:numCache>
                <c:formatCode>0.0E+00</c:formatCode>
                <c:ptCount val="33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7C9-4F8E-93A1-524E66C52F6C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SOLID!$F$17:$AL$17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7C9-4F8E-93A1-524E66C52F6C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</c:numCache>
            </c:numRef>
          </c:xVal>
          <c:yVal>
            <c:numRef>
              <c:f>SOLID!$F$18:$AL$18</c:f>
              <c:numCache>
                <c:formatCode>0.0E+00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7C9-4F8E-93A1-524E66C52F6C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A7C9-4F8E-93A1-524E66C52F6C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7C9-4F8E-93A1-524E66C5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1-A7C9-4F8E-93A1-524E66C52F6C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7C9-4F8E-93A1-524E66C52F6C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7C9-4F8E-93A1-524E66C52F6C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7C9-4F8E-93A1-524E66C52F6C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7C9-4F8E-93A1-524E66C52F6C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7C9-4F8E-93A1-524E66C52F6C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7C9-4F8E-93A1-524E66C52F6C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7C9-4F8E-93A1-524E66C52F6C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7C9-4F8E-93A1-524E66C52F6C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7C9-4F8E-93A1-524E66C52F6C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7C9-4F8E-93A1-524E66C52F6C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7C9-4F8E-93A1-524E66C52F6C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7C9-4F8E-93A1-524E66C52F6C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7C9-4F8E-93A1-524E66C52F6C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7C9-4F8E-93A1-524E66C52F6C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7C9-4F8E-93A1-524E66C52F6C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7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EVALUATION!$B$101:$CP$101</c:f>
              <c:numCache>
                <c:formatCode>0</c:formatCode>
                <c:ptCount val="93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1EF-44BA-AAAA-9AD66152902A}"/>
            </c:ext>
          </c:extLst>
        </c:ser>
        <c:ser>
          <c:idx val="37"/>
          <c:order val="39"/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EVALUATION!$B$140:$CP$140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EF-44BA-AAAA-9AD66152902A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11EF-44BA-AAAA-9AD66152902A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EF-44BA-AAAA-9AD661529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11EF-44BA-AAAA-9AD66152902A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11EF-44BA-AAAA-9AD66152902A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1EF-44BA-AAAA-9AD66152902A}"/>
                  </c:ext>
                </c:extLst>
              </c15:ser>
            </c15:filteredScatterSeries>
            <c15:filteredScatterSeries>
              <c15:ser>
                <c:idx val="1"/>
                <c:order val="3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1EF-44BA-AAAA-9AD66152902A}"/>
                  </c:ext>
                </c:extLst>
              </c15:ser>
            </c15:filteredScatterSeries>
            <c15:filteredScatterSeries>
              <c15:ser>
                <c:idx val="2"/>
                <c:order val="4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1EF-44BA-AAAA-9AD66152902A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1EF-44BA-AAAA-9AD66152902A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1EF-44BA-AAAA-9AD66152902A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1EF-44BA-AAAA-9AD66152902A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1EF-44BA-AAAA-9AD66152902A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1EF-44BA-AAAA-9AD66152902A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1EF-44BA-AAAA-9AD66152902A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1EF-44BA-AAAA-9AD66152902A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1EF-44BA-AAAA-9AD66152902A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1EF-44BA-AAAA-9AD66152902A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1EF-44BA-AAAA-9AD66152902A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1EF-44BA-AAAA-9AD66152902A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1EF-44BA-AAAA-9AD66152902A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1EF-44BA-AAAA-9AD66152902A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1EF-44BA-AAAA-9AD66152902A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1EF-44BA-AAAA-9AD66152902A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1EF-44BA-AAAA-9AD66152902A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1EF-44BA-AAAA-9AD66152902A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1EF-44BA-AAAA-9AD66152902A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1EF-44BA-AAAA-9AD66152902A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1EF-44BA-AAAA-9AD66152902A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1EF-44BA-AAAA-9AD66152902A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1EF-44BA-AAAA-9AD66152902A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1EF-44BA-AAAA-9AD66152902A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1EF-44BA-AAAA-9AD66152902A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1EF-44BA-AAAA-9AD66152902A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1EF-44BA-AAAA-9AD66152902A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1EF-44BA-AAAA-9AD66152902A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1EF-44BA-AAAA-9AD66152902A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1EF-44BA-AAAA-9AD66152902A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1EF-44BA-AAAA-9AD66152902A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1EF-44BA-AAAA-9AD66152902A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1EF-44BA-AAAA-9AD66152902A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1EF-44BA-AAAA-9AD66152902A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1EF-44BA-AAAA-9AD66152902A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1EF-44BA-AAAA-9AD66152902A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1EF-44BA-AAAA-9AD66152902A}"/>
                  </c:ext>
                </c:extLst>
              </c15:ser>
            </c15:filteredScatterSeries>
            <c15:filteredScatterSeries>
              <c15:ser>
                <c:idx val="41"/>
                <c:order val="42"/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1EF-44BA-AAAA-9AD66152902A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1EF-44BA-AAAA-9AD66152902A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1EF-44BA-AAAA-9AD66152902A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1EF-44BA-AAAA-9AD66152902A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chemeClr val="accent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1EF-44BA-AAAA-9AD66152902A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1EF-44BA-AAAA-9AD66152902A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1EF-44BA-AAAA-9AD66152902A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1EF-44BA-AAAA-9AD66152902A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1EF-44BA-AAAA-9AD66152902A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1EF-44BA-AAAA-9AD66152902A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1EF-44BA-AAAA-9AD66152902A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1EF-44BA-AAAA-9AD66152902A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"/>
          <c:order val="3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EVALUATION!$B$104:$CP$104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F-46D6-A94F-2517E60135C4}"/>
            </c:ext>
          </c:extLst>
        </c:ser>
        <c:ser>
          <c:idx val="38"/>
          <c:order val="40"/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EVALUATION!$B$141:$CP$141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EF-46D6-A94F-2517E60135C4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5EF-46D6-A94F-2517E60135C4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EF-46D6-A94F-2517E6013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5EF-46D6-A94F-2517E60135C4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5EF-46D6-A94F-2517E60135C4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5EF-46D6-A94F-2517E60135C4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5EF-46D6-A94F-2517E60135C4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5EF-46D6-A94F-2517E60135C4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5EF-46D6-A94F-2517E60135C4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5EF-46D6-A94F-2517E60135C4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5EF-46D6-A94F-2517E60135C4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5EF-46D6-A94F-2517E60135C4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5EF-46D6-A94F-2517E60135C4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5EF-46D6-A94F-2517E60135C4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5EF-46D6-A94F-2517E60135C4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5EF-46D6-A94F-2517E60135C4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5EF-46D6-A94F-2517E60135C4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5EF-46D6-A94F-2517E60135C4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5EF-46D6-A94F-2517E60135C4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5EF-46D6-A94F-2517E60135C4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5EF-46D6-A94F-2517E60135C4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5EF-46D6-A94F-2517E60135C4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5EF-46D6-A94F-2517E60135C4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5EF-46D6-A94F-2517E60135C4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5EF-46D6-A94F-2517E60135C4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5EF-46D6-A94F-2517E60135C4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5EF-46D6-A94F-2517E60135C4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5EF-46D6-A94F-2517E60135C4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5EF-46D6-A94F-2517E60135C4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5EF-46D6-A94F-2517E60135C4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5EF-46D6-A94F-2517E60135C4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5EF-46D6-A94F-2517E60135C4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5EF-46D6-A94F-2517E60135C4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5EF-46D6-A94F-2517E60135C4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5EF-46D6-A94F-2517E60135C4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5EF-46D6-A94F-2517E60135C4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5EF-46D6-A94F-2517E60135C4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5EF-46D6-A94F-2517E60135C4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5EF-46D6-A94F-2517E60135C4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5EF-46D6-A94F-2517E60135C4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5EF-46D6-A94F-2517E60135C4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5EF-46D6-A94F-2517E60135C4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5EF-46D6-A94F-2517E60135C4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5EF-46D6-A94F-2517E60135C4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5EF-46D6-A94F-2517E60135C4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5EF-46D6-A94F-2517E60135C4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5EF-46D6-A94F-2517E60135C4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5EF-46D6-A94F-2517E60135C4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5EF-46D6-A94F-2517E60135C4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5EF-46D6-A94F-2517E60135C4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5EF-46D6-A94F-2517E60135C4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5EF-46D6-A94F-2517E60135C4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5EF-46D6-A94F-2517E60135C4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5EF-46D6-A94F-2517E60135C4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5EF-46D6-A94F-2517E60135C4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5EF-46D6-A94F-2517E60135C4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"/>
          <c:order val="5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EVALUATION!$B$106:$CP$106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2F-4A2F-976F-7C3C2CD148C5}"/>
            </c:ext>
          </c:extLst>
        </c:ser>
        <c:ser>
          <c:idx val="40"/>
          <c:order val="41"/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EVALUATION!$B$142:$CP$142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2F-4A2F-976F-7C3C2CD148C5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22F-4A2F-976F-7C3C2CD148C5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22F-4A2F-976F-7C3C2CD14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022F-4A2F-976F-7C3C2CD148C5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22F-4A2F-976F-7C3C2CD148C5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022F-4A2F-976F-7C3C2CD148C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22F-4A2F-976F-7C3C2CD148C5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22F-4A2F-976F-7C3C2CD148C5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22F-4A2F-976F-7C3C2CD148C5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22F-4A2F-976F-7C3C2CD148C5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22F-4A2F-976F-7C3C2CD148C5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22F-4A2F-976F-7C3C2CD148C5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22F-4A2F-976F-7C3C2CD148C5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2F-4A2F-976F-7C3C2CD148C5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2F-4A2F-976F-7C3C2CD148C5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22F-4A2F-976F-7C3C2CD148C5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22F-4A2F-976F-7C3C2CD148C5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22F-4A2F-976F-7C3C2CD148C5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22F-4A2F-976F-7C3C2CD148C5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22F-4A2F-976F-7C3C2CD148C5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22F-4A2F-976F-7C3C2CD148C5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22F-4A2F-976F-7C3C2CD148C5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22F-4A2F-976F-7C3C2CD148C5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22F-4A2F-976F-7C3C2CD148C5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22F-4A2F-976F-7C3C2CD148C5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22F-4A2F-976F-7C3C2CD148C5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22F-4A2F-976F-7C3C2CD148C5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22F-4A2F-976F-7C3C2CD148C5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22F-4A2F-976F-7C3C2CD148C5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22F-4A2F-976F-7C3C2CD148C5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22F-4A2F-976F-7C3C2CD148C5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22F-4A2F-976F-7C3C2CD148C5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22F-4A2F-976F-7C3C2CD148C5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22F-4A2F-976F-7C3C2CD148C5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22F-4A2F-976F-7C3C2CD148C5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22F-4A2F-976F-7C3C2CD148C5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22F-4A2F-976F-7C3C2CD148C5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22F-4A2F-976F-7C3C2CD148C5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22F-4A2F-976F-7C3C2CD148C5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22F-4A2F-976F-7C3C2CD148C5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22F-4A2F-976F-7C3C2CD148C5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22F-4A2F-976F-7C3C2CD148C5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22F-4A2F-976F-7C3C2CD148C5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22F-4A2F-976F-7C3C2CD148C5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22F-4A2F-976F-7C3C2CD148C5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22F-4A2F-976F-7C3C2CD148C5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22F-4A2F-976F-7C3C2CD148C5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22F-4A2F-976F-7C3C2CD148C5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22F-4A2F-976F-7C3C2CD148C5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22F-4A2F-976F-7C3C2CD148C5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22F-4A2F-976F-7C3C2CD148C5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22F-4A2F-976F-7C3C2CD148C5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22F-4A2F-976F-7C3C2CD148C5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22F-4A2F-976F-7C3C2CD148C5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022F-4A2F-976F-7C3C2CD148C5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022F-4A2F-976F-7C3C2CD148C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4"/>
          <c:order val="2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0-9729-4FC8-BC53-4E6B694307CE}"/>
              </c:ext>
            </c:extLst>
          </c:dPt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EVALUATION!$B$103:$CP$103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29-4FC8-BC53-4E6B694307CE}"/>
            </c:ext>
          </c:extLst>
        </c:ser>
        <c:ser>
          <c:idx val="35"/>
          <c:order val="37"/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EVALUATION!$B$138:$CP$138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29-4FC8-BC53-4E6B694307CE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29-4FC8-BC53-4E6B6943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9729-4FC8-BC53-4E6B694307CE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729-4FC8-BC53-4E6B694307CE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729-4FC8-BC53-4E6B694307CE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729-4FC8-BC53-4E6B694307CE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729-4FC8-BC53-4E6B694307CE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729-4FC8-BC53-4E6B694307CE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729-4FC8-BC53-4E6B694307CE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729-4FC8-BC53-4E6B694307CE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729-4FC8-BC53-4E6B694307CE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729-4FC8-BC53-4E6B694307CE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729-4FC8-BC53-4E6B694307CE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729-4FC8-BC53-4E6B694307CE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729-4FC8-BC53-4E6B694307CE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729-4FC8-BC53-4E6B694307CE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729-4FC8-BC53-4E6B694307CE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729-4FC8-BC53-4E6B694307CE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729-4FC8-BC53-4E6B694307CE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729-4FC8-BC53-4E6B694307CE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729-4FC8-BC53-4E6B694307CE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729-4FC8-BC53-4E6B694307CE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729-4FC8-BC53-4E6B694307CE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729-4FC8-BC53-4E6B694307CE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729-4FC8-BC53-4E6B694307CE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729-4FC8-BC53-4E6B694307CE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729-4FC8-BC53-4E6B694307CE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729-4FC8-BC53-4E6B694307CE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729-4FC8-BC53-4E6B694307CE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729-4FC8-BC53-4E6B694307CE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729-4FC8-BC53-4E6B694307CE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729-4FC8-BC53-4E6B694307CE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729-4FC8-BC53-4E6B694307CE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729-4FC8-BC53-4E6B694307CE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729-4FC8-BC53-4E6B694307CE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729-4FC8-BC53-4E6B694307CE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729-4FC8-BC53-4E6B694307CE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729-4FC8-BC53-4E6B694307CE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729-4FC8-BC53-4E6B694307CE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729-4FC8-BC53-4E6B694307CE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729-4FC8-BC53-4E6B694307CE}"/>
                  </c:ext>
                </c:extLst>
              </c15:ser>
            </c15:filteredScatterSeries>
            <c15:filteredScatterSeries>
              <c15:ser>
                <c:idx val="40"/>
                <c:order val="41"/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729-4FC8-BC53-4E6B694307CE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729-4FC8-BC53-4E6B694307CE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729-4FC8-BC53-4E6B694307CE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solidFill>
                      <a:schemeClr val="accent2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729-4FC8-BC53-4E6B694307CE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729-4FC8-BC53-4E6B694307CE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729-4FC8-BC53-4E6B694307CE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729-4FC8-BC53-4E6B694307CE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729-4FC8-BC53-4E6B694307CE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729-4FC8-BC53-4E6B694307CE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729-4FC8-BC53-4E6B694307CE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729-4FC8-BC53-4E6B694307CE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729-4FC8-BC53-4E6B694307CE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729-4FC8-BC53-4E6B694307C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4"/>
          <c:order val="6"/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EVALUATION!$B$107:$CP$107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12-420D-849A-A4A865892EA1}"/>
            </c:ext>
          </c:extLst>
        </c:ser>
        <c:ser>
          <c:idx val="34"/>
          <c:order val="36"/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EVALUATION!$B$137:$CP$137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12-420D-849A-A4A865892EA1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512-420D-849A-A4A865892EA1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12-420D-849A-A4A865892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512-420D-849A-A4A865892EA1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512-420D-849A-A4A865892EA1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512-420D-849A-A4A865892EA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512-420D-849A-A4A865892EA1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512-420D-849A-A4A865892EA1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512-420D-849A-A4A865892EA1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512-420D-849A-A4A865892EA1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512-420D-849A-A4A865892EA1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512-420D-849A-A4A865892EA1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512-420D-849A-A4A865892EA1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512-420D-849A-A4A865892EA1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512-420D-849A-A4A865892EA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512-420D-849A-A4A865892EA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512-420D-849A-A4A865892EA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512-420D-849A-A4A865892EA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512-420D-849A-A4A865892EA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512-420D-849A-A4A865892EA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512-420D-849A-A4A865892EA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512-420D-849A-A4A865892EA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512-420D-849A-A4A865892EA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512-420D-849A-A4A865892EA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512-420D-849A-A4A865892EA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512-420D-849A-A4A865892EA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512-420D-849A-A4A865892EA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512-420D-849A-A4A865892EA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512-420D-849A-A4A865892EA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512-420D-849A-A4A865892EA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512-420D-849A-A4A865892EA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512-420D-849A-A4A865892EA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512-420D-849A-A4A865892EA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512-420D-849A-A4A865892EA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512-420D-849A-A4A865892EA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512-420D-849A-A4A865892EA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512-420D-849A-A4A865892EA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512-420D-849A-A4A865892EA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512-420D-849A-A4A865892EA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512-420D-849A-A4A865892EA1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512-420D-849A-A4A865892EA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512-420D-849A-A4A865892EA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512-420D-849A-A4A865892EA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512-420D-849A-A4A865892EA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512-420D-849A-A4A865892EA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512-420D-849A-A4A865892EA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512-420D-849A-A4A865892EA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512-420D-849A-A4A865892EA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512-420D-849A-A4A865892EA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512-420D-849A-A4A865892EA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512-420D-849A-A4A865892EA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512-420D-849A-A4A865892EA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512-420D-849A-A4A865892EA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512-420D-849A-A4A865892EA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512-420D-849A-A4A865892EA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512-420D-849A-A4A865892EA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"/>
          <c:order val="7"/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EVALUATION!$B$108:$CP$108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FE-44AB-BC11-EAB99CDED101}"/>
            </c:ext>
          </c:extLst>
        </c:ser>
        <c:ser>
          <c:idx val="36"/>
          <c:order val="38"/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</c:numCache>
            </c:numRef>
          </c:xVal>
          <c:yVal>
            <c:numRef>
              <c:f>EVALUATION!$B$139:$CP$139</c:f>
              <c:numCache>
                <c:formatCode>0</c:formatCode>
                <c:ptCount val="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FE-44AB-BC11-EAB99CDED101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FE-44AB-BC11-EAB99CDED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0EFE-44AB-BC11-EAB99CDED101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EFE-44AB-BC11-EAB99CDED101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0EFE-44AB-BC11-EAB99CDED10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EFE-44AB-BC11-EAB99CDED101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EFE-44AB-BC11-EAB99CDED101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EFE-44AB-BC11-EAB99CDED101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EFE-44AB-BC11-EAB99CDED101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EFE-44AB-BC11-EAB99CDED101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EFE-44AB-BC11-EAB99CDED101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EFE-44AB-BC11-EAB99CDED101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EFE-44AB-BC11-EAB99CDED101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EFE-44AB-BC11-EAB99CDED10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EFE-44AB-BC11-EAB99CDED10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EFE-44AB-BC11-EAB99CDED10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EFE-44AB-BC11-EAB99CDED10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EFE-44AB-BC11-EAB99CDED10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EFE-44AB-BC11-EAB99CDED10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EFE-44AB-BC11-EAB99CDED10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EFE-44AB-BC11-EAB99CDED10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EFE-44AB-BC11-EAB99CDED10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EFE-44AB-BC11-EAB99CDED10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EFE-44AB-BC11-EAB99CDED10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EFE-44AB-BC11-EAB99CDED10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EFE-44AB-BC11-EAB99CDED10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EFE-44AB-BC11-EAB99CDED10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EFE-44AB-BC11-EAB99CDED10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EFE-44AB-BC11-EAB99CDED10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EFE-44AB-BC11-EAB99CDED10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EFE-44AB-BC11-EAB99CDED10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EFE-44AB-BC11-EAB99CDED10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EFE-44AB-BC11-EAB99CDED10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EFE-44AB-BC11-EAB99CDED10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EFE-44AB-BC11-EAB99CDED10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EFE-44AB-BC11-EAB99CDED10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EFE-44AB-BC11-EAB99CDED10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EFE-44AB-BC11-EAB99CDED10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EFE-44AB-BC11-EAB99CDED10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EFE-44AB-BC11-EAB99CDED10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EFE-44AB-BC11-EAB99CDED10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EFE-44AB-BC11-EAB99CDED10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EFE-44AB-BC11-EAB99CDED10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EFE-44AB-BC11-EAB99CDED10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EFE-44AB-BC11-EAB99CDED10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EFE-44AB-BC11-EAB99CDED10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EFE-44AB-BC11-EAB99CDED10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EFE-44AB-BC11-EAB99CDED10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EFE-44AB-BC11-EAB99CDED10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EFE-44AB-BC11-EAB99CDED10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EFE-44AB-BC11-EAB99CDED10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EFE-44AB-BC11-EAB99CDED10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EFE-44AB-BC11-EAB99CDED10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EFE-44AB-BC11-EAB99CDED10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EFE-44AB-BC11-EAB99CDED10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94-4356-9EB2-6A9076CBA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8894-4356-9EB2-6A9076CBABE1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894-4356-9EB2-6A9076CBABE1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8894-4356-9EB2-6A9076CBABE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894-4356-9EB2-6A9076CBABE1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894-4356-9EB2-6A9076CBABE1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894-4356-9EB2-6A9076CBABE1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894-4356-9EB2-6A9076CBABE1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894-4356-9EB2-6A9076CBABE1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894-4356-9EB2-6A9076CBABE1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894-4356-9EB2-6A9076CBABE1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894-4356-9EB2-6A9076CBABE1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894-4356-9EB2-6A9076CBABE1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894-4356-9EB2-6A9076CBABE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894-4356-9EB2-6A9076CBABE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894-4356-9EB2-6A9076CBABE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894-4356-9EB2-6A9076CBABE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894-4356-9EB2-6A9076CBABE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894-4356-9EB2-6A9076CBABE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894-4356-9EB2-6A9076CBABE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894-4356-9EB2-6A9076CBABE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894-4356-9EB2-6A9076CBABE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894-4356-9EB2-6A9076CBABE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894-4356-9EB2-6A9076CBABE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894-4356-9EB2-6A9076CBABE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894-4356-9EB2-6A9076CBABE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894-4356-9EB2-6A9076CBABE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894-4356-9EB2-6A9076CBABE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894-4356-9EB2-6A9076CBABE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894-4356-9EB2-6A9076CBABE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894-4356-9EB2-6A9076CBABE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894-4356-9EB2-6A9076CBABE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894-4356-9EB2-6A9076CBABE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894-4356-9EB2-6A9076CBABE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8894-4356-9EB2-6A9076CBABE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894-4356-9EB2-6A9076CBABE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894-4356-9EB2-6A9076CBABE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894-4356-9EB2-6A9076CBABE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894-4356-9EB2-6A9076CBABE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894-4356-9EB2-6A9076CBABE1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894-4356-9EB2-6A9076CBABE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894-4356-9EB2-6A9076CBABE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894-4356-9EB2-6A9076CBABE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894-4356-9EB2-6A9076CBABE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894-4356-9EB2-6A9076CBABE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894-4356-9EB2-6A9076CBABE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894-4356-9EB2-6A9076CBABE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894-4356-9EB2-6A9076CBABE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894-4356-9EB2-6A9076CBABE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894-4356-9EB2-6A9076CBABE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894-4356-9EB2-6A9076CBABE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894-4356-9EB2-6A9076CBABE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894-4356-9EB2-6A9076CBABE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894-4356-9EB2-6A9076CBABE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894-4356-9EB2-6A9076CBABE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894-4356-9EB2-6A9076CBABE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153605</xdr:colOff>
      <xdr:row>112</xdr:row>
      <xdr:rowOff>42289</xdr:rowOff>
    </xdr:from>
    <xdr:to>
      <xdr:col>48</xdr:col>
      <xdr:colOff>795619</xdr:colOff>
      <xdr:row>134</xdr:row>
      <xdr:rowOff>123265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829235</xdr:colOff>
      <xdr:row>36</xdr:row>
      <xdr:rowOff>190500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48</xdr:col>
      <xdr:colOff>728383</xdr:colOff>
      <xdr:row>134</xdr:row>
      <xdr:rowOff>156882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829235</xdr:colOff>
      <xdr:row>36</xdr:row>
      <xdr:rowOff>190500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48</xdr:col>
      <xdr:colOff>728383</xdr:colOff>
      <xdr:row>134</xdr:row>
      <xdr:rowOff>156882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829235</xdr:colOff>
      <xdr:row>36</xdr:row>
      <xdr:rowOff>190500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95</xdr:col>
          <xdr:colOff>676275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95</xdr:col>
      <xdr:colOff>0</xdr:colOff>
      <xdr:row>99</xdr:row>
      <xdr:rowOff>0</xdr:rowOff>
    </xdr:from>
    <xdr:to>
      <xdr:col>98</xdr:col>
      <xdr:colOff>843353</xdr:colOff>
      <xdr:row>111</xdr:row>
      <xdr:rowOff>215824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99</xdr:col>
      <xdr:colOff>0</xdr:colOff>
      <xdr:row>99</xdr:row>
      <xdr:rowOff>0</xdr:rowOff>
    </xdr:from>
    <xdr:to>
      <xdr:col>102</xdr:col>
      <xdr:colOff>843353</xdr:colOff>
      <xdr:row>111</xdr:row>
      <xdr:rowOff>215823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103</xdr:col>
      <xdr:colOff>0</xdr:colOff>
      <xdr:row>99</xdr:row>
      <xdr:rowOff>0</xdr:rowOff>
    </xdr:from>
    <xdr:to>
      <xdr:col>106</xdr:col>
      <xdr:colOff>843353</xdr:colOff>
      <xdr:row>111</xdr:row>
      <xdr:rowOff>215824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95</xdr:col>
      <xdr:colOff>0</xdr:colOff>
      <xdr:row>131</xdr:row>
      <xdr:rowOff>0</xdr:rowOff>
    </xdr:from>
    <xdr:to>
      <xdr:col>98</xdr:col>
      <xdr:colOff>843353</xdr:colOff>
      <xdr:row>143</xdr:row>
      <xdr:rowOff>238236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99</xdr:col>
      <xdr:colOff>0</xdr:colOff>
      <xdr:row>131</xdr:row>
      <xdr:rowOff>0</xdr:rowOff>
    </xdr:from>
    <xdr:to>
      <xdr:col>102</xdr:col>
      <xdr:colOff>843353</xdr:colOff>
      <xdr:row>143</xdr:row>
      <xdr:rowOff>238236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103</xdr:col>
      <xdr:colOff>0</xdr:colOff>
      <xdr:row>131</xdr:row>
      <xdr:rowOff>0</xdr:rowOff>
    </xdr:from>
    <xdr:to>
      <xdr:col>106</xdr:col>
      <xdr:colOff>843353</xdr:colOff>
      <xdr:row>143</xdr:row>
      <xdr:rowOff>238236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95</xdr:col>
      <xdr:colOff>-1</xdr:colOff>
      <xdr:row>144</xdr:row>
      <xdr:rowOff>0</xdr:rowOff>
    </xdr:from>
    <xdr:to>
      <xdr:col>98</xdr:col>
      <xdr:colOff>843352</xdr:colOff>
      <xdr:row>156</xdr:row>
      <xdr:rowOff>238235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3;&#1088;&#1072;&#1092;&#1080;&#1082;&#108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рафики"/>
      <sheetName val="Данные"/>
    </sheetNames>
    <sheetDataSet>
      <sheetData sheetId="0"/>
      <sheetData sheetId="1">
        <row r="1">
          <cell r="B1">
            <v>700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C11" sqref="C11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27</v>
      </c>
      <c r="B1" s="40">
        <f>B2</f>
        <v>700</v>
      </c>
      <c r="D1" s="90" t="s">
        <v>38</v>
      </c>
      <c r="E1" s="91"/>
      <c r="F1" s="91"/>
      <c r="G1" s="91"/>
    </row>
    <row r="2" spans="1:7" ht="21.75" thickTop="1" x14ac:dyDescent="0.35">
      <c r="A2" s="11" t="s">
        <v>37</v>
      </c>
      <c r="B2" s="11">
        <f>[1]Данные!$B$1</f>
        <v>700</v>
      </c>
      <c r="D2" s="73" t="s">
        <v>1</v>
      </c>
      <c r="E2" s="7" t="s">
        <v>3</v>
      </c>
      <c r="F2" s="7" t="s">
        <v>4</v>
      </c>
      <c r="G2" s="7" t="s">
        <v>2</v>
      </c>
    </row>
    <row r="3" spans="1:7" ht="27.75" customHeight="1" x14ac:dyDescent="0.35">
      <c r="D3" s="40">
        <v>25</v>
      </c>
      <c r="E3" s="40">
        <v>0</v>
      </c>
      <c r="F3" s="40">
        <v>4</v>
      </c>
      <c r="G3" s="40">
        <v>6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36"/>
  <sheetViews>
    <sheetView topLeftCell="B77" zoomScale="85" zoomScaleNormal="85" zoomScaleSheetLayoutView="25" workbookViewId="0">
      <selection activeCell="BC125" sqref="BC125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8" hidden="1" customWidth="1"/>
    <col min="22" max="22" width="8.6328125" style="29" hidden="1" customWidth="1"/>
    <col min="23" max="23" width="8.6328125" style="67" hidden="1" customWidth="1"/>
    <col min="24" max="37" width="8.6328125" hidden="1" customWidth="1"/>
    <col min="38" max="38" width="3" customWidth="1"/>
  </cols>
  <sheetData>
    <row r="1" spans="1:54" ht="29.25" customHeight="1" thickBot="1" x14ac:dyDescent="0.4">
      <c r="A1" s="94" t="s">
        <v>25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</row>
    <row r="2" spans="1:54" ht="21" customHeight="1" thickBot="1" x14ac:dyDescent="0.45">
      <c r="A2" s="85">
        <f>Values!B1</f>
        <v>700</v>
      </c>
      <c r="B2" s="86">
        <v>8.3145000000000007</v>
      </c>
      <c r="C2" s="75"/>
      <c r="D2" s="75"/>
      <c r="E2" s="74" t="s">
        <v>20</v>
      </c>
      <c r="F2" s="75"/>
      <c r="G2" s="74"/>
      <c r="H2" s="74"/>
      <c r="I2" s="74"/>
      <c r="J2" s="74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8"/>
      <c r="W2" s="79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80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7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4" t="s">
        <v>125</v>
      </c>
      <c r="F3" s="3">
        <v>273.10000000000002</v>
      </c>
      <c r="G3" s="3">
        <v>339.2</v>
      </c>
      <c r="H3" s="3">
        <v>355.7</v>
      </c>
      <c r="I3" s="3">
        <v>372.3</v>
      </c>
      <c r="J3" s="3">
        <v>388.8</v>
      </c>
      <c r="K3" s="3">
        <v>405.3</v>
      </c>
      <c r="L3" s="3">
        <v>421.8</v>
      </c>
      <c r="M3" s="3">
        <v>438.3</v>
      </c>
      <c r="N3" s="3">
        <v>454.9</v>
      </c>
      <c r="O3" s="3">
        <v>471.4</v>
      </c>
      <c r="P3" s="3">
        <v>537.5</v>
      </c>
      <c r="Q3" s="3">
        <v>603.5</v>
      </c>
      <c r="R3" s="3">
        <v>620.1</v>
      </c>
      <c r="S3" s="3">
        <v>636.6</v>
      </c>
      <c r="T3" s="60">
        <v>653.1</v>
      </c>
      <c r="U3" s="63">
        <v>669.6</v>
      </c>
      <c r="V3" s="64">
        <v>686.1</v>
      </c>
      <c r="W3" s="1">
        <v>702.7</v>
      </c>
      <c r="X3" s="61">
        <v>719.2</v>
      </c>
      <c r="Y3" s="3">
        <v>735.7</v>
      </c>
      <c r="Z3" s="3">
        <v>752.2</v>
      </c>
      <c r="AA3" s="3">
        <v>768.7</v>
      </c>
      <c r="AB3" s="4">
        <v>785.2</v>
      </c>
      <c r="AC3" s="4">
        <v>801.8</v>
      </c>
      <c r="AD3" s="4">
        <v>818.3</v>
      </c>
      <c r="AE3" s="4">
        <v>834.8</v>
      </c>
      <c r="AF3" s="4">
        <v>851.3</v>
      </c>
      <c r="AG3" s="4">
        <v>867.8</v>
      </c>
      <c r="AH3" s="4">
        <v>884.4</v>
      </c>
      <c r="AI3" s="4">
        <v>900.9</v>
      </c>
      <c r="AJ3" s="4">
        <v>917.4</v>
      </c>
      <c r="AK3" s="4">
        <v>933.9</v>
      </c>
      <c r="AL3" s="20">
        <v>1000</v>
      </c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1</v>
      </c>
      <c r="C4" s="44">
        <f t="shared" si="0"/>
        <v>0</v>
      </c>
      <c r="D4" s="44">
        <f t="shared" si="0"/>
        <v>0</v>
      </c>
      <c r="E4" s="48" t="s">
        <v>42</v>
      </c>
      <c r="F4" s="49">
        <v>0</v>
      </c>
      <c r="G4" s="49">
        <v>0</v>
      </c>
      <c r="H4" s="49">
        <v>0</v>
      </c>
      <c r="I4" s="49">
        <v>0</v>
      </c>
      <c r="J4" s="49">
        <v>0</v>
      </c>
      <c r="K4" s="49">
        <v>0</v>
      </c>
      <c r="L4" s="49">
        <v>0</v>
      </c>
      <c r="M4" s="49">
        <v>1.0086E-35</v>
      </c>
      <c r="N4" s="49">
        <v>1.8910000000000001E-33</v>
      </c>
      <c r="O4" s="49">
        <v>1.4972999999999999E-28</v>
      </c>
      <c r="P4" s="49">
        <v>0</v>
      </c>
      <c r="Q4" s="49">
        <v>0</v>
      </c>
      <c r="R4" s="49">
        <v>0</v>
      </c>
      <c r="S4" s="49">
        <v>0</v>
      </c>
      <c r="T4" s="49">
        <v>1.7155999999999999E-22</v>
      </c>
      <c r="U4" s="49">
        <v>8.7868000000000005E-13</v>
      </c>
      <c r="V4" s="49">
        <v>6.5733999999999997E-9</v>
      </c>
      <c r="W4" s="49">
        <v>1.7038E-8</v>
      </c>
      <c r="X4" s="49">
        <v>2.0628999999999999E-8</v>
      </c>
      <c r="Y4" s="49">
        <v>3.9366999999999998E-8</v>
      </c>
      <c r="Z4" s="49">
        <v>4.0946000000000001E-8</v>
      </c>
      <c r="AA4" s="49">
        <v>3.8877999999999999E-8</v>
      </c>
      <c r="AB4" s="49">
        <v>4.3952000000000002E-8</v>
      </c>
      <c r="AC4" s="49">
        <v>4.6760999999999998E-8</v>
      </c>
      <c r="AD4" s="49">
        <v>9.9950999999999995E-26</v>
      </c>
      <c r="AE4" s="49">
        <v>2.6071000000000001E-7</v>
      </c>
      <c r="AF4" s="49">
        <v>9.8987000000000006E-7</v>
      </c>
      <c r="AG4" s="49">
        <v>4.4281E-6</v>
      </c>
      <c r="AH4" s="49">
        <v>1.9005000000000001E-4</v>
      </c>
      <c r="AI4" s="49">
        <v>1.6909E-3</v>
      </c>
      <c r="AJ4" s="49">
        <v>6.8487000000000001E-3</v>
      </c>
      <c r="AK4" s="49">
        <v>1.8144E-2</v>
      </c>
      <c r="AL4" s="49">
        <v>0.1216</v>
      </c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9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3</v>
      </c>
      <c r="C5" s="44">
        <f t="shared" si="0"/>
        <v>0</v>
      </c>
      <c r="D5" s="44">
        <f t="shared" si="0"/>
        <v>2</v>
      </c>
      <c r="E5" s="48" t="s">
        <v>126</v>
      </c>
      <c r="F5" s="49">
        <v>5.6252999999999997E-2</v>
      </c>
      <c r="G5" s="49">
        <v>6.4007999999999995E-2</v>
      </c>
      <c r="H5" s="49">
        <v>5.6304E-2</v>
      </c>
      <c r="I5" s="49">
        <v>4.6892000000000003E-2</v>
      </c>
      <c r="J5" s="49">
        <v>3.6861999999999999E-2</v>
      </c>
      <c r="K5" s="49">
        <v>2.7831000000000002E-2</v>
      </c>
      <c r="L5" s="49">
        <v>1.9467999999999999E-2</v>
      </c>
      <c r="M5" s="49">
        <v>1.2625000000000001E-2</v>
      </c>
      <c r="N5" s="49">
        <v>1.1017000000000001E-2</v>
      </c>
      <c r="O5" s="49">
        <v>1.1077E-2</v>
      </c>
      <c r="P5" s="49">
        <v>2.5934E-3</v>
      </c>
      <c r="Q5" s="49">
        <v>5.3855999999999997E-7</v>
      </c>
      <c r="R5" s="49">
        <v>1.73E-7</v>
      </c>
      <c r="S5" s="49">
        <v>5.2321000000000002E-8</v>
      </c>
      <c r="T5" s="49">
        <v>1.5147E-8</v>
      </c>
      <c r="U5" s="49">
        <v>3.3470000000000001E-9</v>
      </c>
      <c r="V5" s="49">
        <v>1.0486999999999999E-11</v>
      </c>
      <c r="W5" s="49">
        <v>3.2085999999999998E-20</v>
      </c>
      <c r="X5" s="49">
        <v>8.8301000000000003E-35</v>
      </c>
      <c r="Y5" s="49">
        <v>0</v>
      </c>
      <c r="Z5" s="49">
        <v>0</v>
      </c>
      <c r="AA5" s="49">
        <v>0</v>
      </c>
      <c r="AB5" s="49">
        <v>0</v>
      </c>
      <c r="AC5" s="49">
        <v>0</v>
      </c>
      <c r="AD5" s="49">
        <v>0</v>
      </c>
      <c r="AE5" s="49">
        <v>0</v>
      </c>
      <c r="AF5" s="49">
        <v>0</v>
      </c>
      <c r="AG5" s="49">
        <v>0</v>
      </c>
      <c r="AH5" s="49">
        <v>0</v>
      </c>
      <c r="AI5" s="49">
        <v>0</v>
      </c>
      <c r="AJ5" s="49">
        <v>0</v>
      </c>
      <c r="AK5" s="49">
        <v>0</v>
      </c>
      <c r="AL5" s="49">
        <v>0</v>
      </c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0</v>
      </c>
      <c r="C6" s="44">
        <f t="shared" si="0"/>
        <v>0</v>
      </c>
      <c r="D6" s="44">
        <f t="shared" si="0"/>
        <v>1</v>
      </c>
      <c r="E6" s="48" t="s">
        <v>115</v>
      </c>
      <c r="F6" s="49">
        <v>0</v>
      </c>
      <c r="G6" s="49">
        <v>0</v>
      </c>
      <c r="H6" s="49">
        <v>0</v>
      </c>
      <c r="I6" s="49">
        <v>0</v>
      </c>
      <c r="J6" s="49">
        <v>0</v>
      </c>
      <c r="K6" s="49">
        <v>0</v>
      </c>
      <c r="L6" s="49">
        <v>0</v>
      </c>
      <c r="M6" s="49">
        <v>0</v>
      </c>
      <c r="N6" s="49">
        <v>0</v>
      </c>
      <c r="O6" s="49">
        <v>0</v>
      </c>
      <c r="P6" s="49">
        <v>0</v>
      </c>
      <c r="Q6" s="49">
        <v>0</v>
      </c>
      <c r="R6" s="49">
        <v>0</v>
      </c>
      <c r="S6" s="49">
        <v>0</v>
      </c>
      <c r="T6" s="49">
        <v>0</v>
      </c>
      <c r="U6" s="49">
        <v>0</v>
      </c>
      <c r="V6" s="49">
        <v>0</v>
      </c>
      <c r="W6" s="49">
        <v>0</v>
      </c>
      <c r="X6" s="49">
        <v>0</v>
      </c>
      <c r="Y6" s="49">
        <v>0</v>
      </c>
      <c r="Z6" s="49">
        <v>1.929E-31</v>
      </c>
      <c r="AA6" s="49">
        <v>3.7936000000000003E-24</v>
      </c>
      <c r="AB6" s="49">
        <v>1.9791E-16</v>
      </c>
      <c r="AC6" s="49">
        <v>4.4614000000000003E-9</v>
      </c>
      <c r="AD6" s="49">
        <v>2.7187000000000001E-3</v>
      </c>
      <c r="AE6" s="49">
        <v>4.7280999999999997E-2</v>
      </c>
      <c r="AF6" s="49">
        <v>7.3472999999999997E-2</v>
      </c>
      <c r="AG6" s="49">
        <v>0.11949</v>
      </c>
      <c r="AH6" s="49">
        <v>0.14405000000000001</v>
      </c>
      <c r="AI6" s="49">
        <v>0.14953</v>
      </c>
      <c r="AJ6" s="49">
        <v>0.15276999999999999</v>
      </c>
      <c r="AK6" s="49">
        <v>0.15487999999999999</v>
      </c>
      <c r="AL6" s="49">
        <v>0.15878</v>
      </c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0</v>
      </c>
      <c r="C7" s="44">
        <f t="shared" si="0"/>
        <v>0</v>
      </c>
      <c r="D7" s="44">
        <f t="shared" si="0"/>
        <v>1</v>
      </c>
      <c r="E7" s="48" t="s">
        <v>4</v>
      </c>
      <c r="F7" s="49">
        <v>0</v>
      </c>
      <c r="G7" s="49">
        <v>0</v>
      </c>
      <c r="H7" s="49">
        <v>0</v>
      </c>
      <c r="I7" s="49">
        <v>0</v>
      </c>
      <c r="J7" s="49">
        <v>0</v>
      </c>
      <c r="K7" s="49">
        <v>0</v>
      </c>
      <c r="L7" s="49">
        <v>3.8320999999999999E-36</v>
      </c>
      <c r="M7" s="49">
        <v>2.2387000000000001E-34</v>
      </c>
      <c r="N7" s="49">
        <v>9.8779E-33</v>
      </c>
      <c r="O7" s="49">
        <v>3.3866E-31</v>
      </c>
      <c r="P7" s="49">
        <v>5.9233000000000004E-26</v>
      </c>
      <c r="Q7" s="49">
        <v>8.4598E-22</v>
      </c>
      <c r="R7" s="49">
        <v>6.8566999999999995E-21</v>
      </c>
      <c r="S7" s="49">
        <v>5.0211999999999997E-20</v>
      </c>
      <c r="T7" s="49">
        <v>3.3474000000000001E-19</v>
      </c>
      <c r="U7" s="49">
        <v>2.0452000000000001E-18</v>
      </c>
      <c r="V7" s="49">
        <v>1.152E-17</v>
      </c>
      <c r="W7" s="49">
        <v>6.0140000000000002E-17</v>
      </c>
      <c r="X7" s="49">
        <v>2.9229999999999999E-16</v>
      </c>
      <c r="Y7" s="49">
        <v>1.3280000000000001E-15</v>
      </c>
      <c r="Z7" s="49">
        <v>5.6599000000000003E-15</v>
      </c>
      <c r="AA7" s="49">
        <v>2.2705E-14</v>
      </c>
      <c r="AB7" s="49">
        <v>8.5984000000000002E-14</v>
      </c>
      <c r="AC7" s="49">
        <v>3.0819000000000002E-13</v>
      </c>
      <c r="AD7" s="49">
        <v>1.0271999999999999E-12</v>
      </c>
      <c r="AE7" s="49">
        <v>2.2298000000000001E-12</v>
      </c>
      <c r="AF7" s="49">
        <v>4.6901E-12</v>
      </c>
      <c r="AG7" s="49">
        <v>9.5887000000000001E-12</v>
      </c>
      <c r="AH7" s="49">
        <v>1.9085000000000001E-11</v>
      </c>
      <c r="AI7" s="49">
        <v>3.7036E-11</v>
      </c>
      <c r="AJ7" s="49">
        <v>7.0170999999999997E-11</v>
      </c>
      <c r="AK7" s="49">
        <v>1.2996000000000001E-10</v>
      </c>
      <c r="AL7" s="49">
        <v>1.2466E-9</v>
      </c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1</v>
      </c>
      <c r="C8" s="44">
        <f t="shared" si="0"/>
        <v>0</v>
      </c>
      <c r="D8" s="44">
        <f t="shared" si="0"/>
        <v>2</v>
      </c>
      <c r="E8" s="48" t="s">
        <v>127</v>
      </c>
      <c r="F8" s="49">
        <v>0</v>
      </c>
      <c r="G8" s="49">
        <v>0</v>
      </c>
      <c r="H8" s="49">
        <v>0</v>
      </c>
      <c r="I8" s="49">
        <v>4.2332000000000003E-36</v>
      </c>
      <c r="J8" s="49">
        <v>6.0527000000000001E-34</v>
      </c>
      <c r="K8" s="49">
        <v>6.2144000000000001E-32</v>
      </c>
      <c r="L8" s="49">
        <v>4.5853999999999997E-30</v>
      </c>
      <c r="M8" s="49">
        <v>2.4974000000000001E-28</v>
      </c>
      <c r="N8" s="49">
        <v>1.0342E-26</v>
      </c>
      <c r="O8" s="49">
        <v>3.3470000000000002E-25</v>
      </c>
      <c r="P8" s="49">
        <v>4.8509000000000003E-20</v>
      </c>
      <c r="Q8" s="49">
        <v>5.9017999999999996E-16</v>
      </c>
      <c r="R8" s="49">
        <v>4.5601000000000001E-15</v>
      </c>
      <c r="S8" s="49">
        <v>3.1510000000000003E-14</v>
      </c>
      <c r="T8" s="49">
        <v>1.9485E-13</v>
      </c>
      <c r="U8" s="49">
        <v>1.0743999999999999E-12</v>
      </c>
      <c r="V8" s="49">
        <v>5.2356E-12</v>
      </c>
      <c r="W8" s="49">
        <v>2.2282000000000001E-11</v>
      </c>
      <c r="X8" s="49">
        <v>8.2526000000000003E-11</v>
      </c>
      <c r="Y8" s="49">
        <v>2.7111999999999999E-10</v>
      </c>
      <c r="Z8" s="49">
        <v>8.1524999999999995E-10</v>
      </c>
      <c r="AA8" s="49">
        <v>2.2953000000000001E-9</v>
      </c>
      <c r="AB8" s="49">
        <v>6.1175E-9</v>
      </c>
      <c r="AC8" s="49">
        <v>1.5509E-8</v>
      </c>
      <c r="AD8" s="49">
        <v>3.6494000000000002E-8</v>
      </c>
      <c r="AE8" s="49">
        <v>4.6166999999999999E-8</v>
      </c>
      <c r="AF8" s="49">
        <v>5.2561999999999998E-8</v>
      </c>
      <c r="AG8" s="49">
        <v>5.6626E-8</v>
      </c>
      <c r="AH8" s="49">
        <v>5.9237999999999997E-8</v>
      </c>
      <c r="AI8" s="49">
        <v>6.0924999999999998E-8</v>
      </c>
      <c r="AJ8" s="49">
        <v>6.1962999999999997E-8</v>
      </c>
      <c r="AK8" s="49">
        <v>6.2491E-8</v>
      </c>
      <c r="AL8" s="49">
        <v>6.0654999999999996E-8</v>
      </c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1</v>
      </c>
      <c r="B9" s="44">
        <f t="shared" si="0"/>
        <v>0</v>
      </c>
      <c r="C9" s="44">
        <f t="shared" si="0"/>
        <v>0</v>
      </c>
      <c r="D9" s="44">
        <f t="shared" si="0"/>
        <v>0</v>
      </c>
      <c r="E9" s="48" t="s">
        <v>1</v>
      </c>
      <c r="F9" s="49">
        <v>0.2</v>
      </c>
      <c r="G9" s="49">
        <v>0.2</v>
      </c>
      <c r="H9" s="49">
        <v>0.2</v>
      </c>
      <c r="I9" s="49">
        <v>0.2</v>
      </c>
      <c r="J9" s="49">
        <v>0.2</v>
      </c>
      <c r="K9" s="49">
        <v>0.2</v>
      </c>
      <c r="L9" s="49">
        <v>0.2</v>
      </c>
      <c r="M9" s="49">
        <v>0.2</v>
      </c>
      <c r="N9" s="49">
        <v>0.2</v>
      </c>
      <c r="O9" s="49">
        <v>0.2</v>
      </c>
      <c r="P9" s="49">
        <v>0.2</v>
      </c>
      <c r="Q9" s="49">
        <v>0.2</v>
      </c>
      <c r="R9" s="49">
        <v>0.2</v>
      </c>
      <c r="S9" s="49">
        <v>0.2</v>
      </c>
      <c r="T9" s="49">
        <v>0.2</v>
      </c>
      <c r="U9" s="49">
        <v>0.2</v>
      </c>
      <c r="V9" s="49">
        <v>0.2</v>
      </c>
      <c r="W9" s="49">
        <v>0.2</v>
      </c>
      <c r="X9" s="49">
        <v>0.2</v>
      </c>
      <c r="Y9" s="49">
        <v>0.2</v>
      </c>
      <c r="Z9" s="49">
        <v>0.2</v>
      </c>
      <c r="AA9" s="49">
        <v>0.2</v>
      </c>
      <c r="AB9" s="49">
        <v>0.2</v>
      </c>
      <c r="AC9" s="49">
        <v>0.2</v>
      </c>
      <c r="AD9" s="49">
        <v>0.2</v>
      </c>
      <c r="AE9" s="49">
        <v>0.2</v>
      </c>
      <c r="AF9" s="49">
        <v>0.2</v>
      </c>
      <c r="AG9" s="49">
        <v>0.2</v>
      </c>
      <c r="AH9" s="49">
        <v>0.2</v>
      </c>
      <c r="AI9" s="49">
        <v>0.2</v>
      </c>
      <c r="AJ9" s="49">
        <v>0.2</v>
      </c>
      <c r="AK9" s="49">
        <v>0.2</v>
      </c>
      <c r="AL9" s="49">
        <v>0.2</v>
      </c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3</v>
      </c>
      <c r="C10" s="44">
        <f t="shared" si="0"/>
        <v>0</v>
      </c>
      <c r="D10" s="44">
        <f t="shared" si="0"/>
        <v>2</v>
      </c>
      <c r="E10" s="48" t="s">
        <v>116</v>
      </c>
      <c r="F10" s="49">
        <v>0.10375</v>
      </c>
      <c r="G10" s="49">
        <v>9.5991999999999994E-2</v>
      </c>
      <c r="H10" s="49">
        <v>0.1037</v>
      </c>
      <c r="I10" s="49">
        <v>0.11311</v>
      </c>
      <c r="J10" s="49">
        <v>0.12314</v>
      </c>
      <c r="K10" s="49">
        <v>0.13217000000000001</v>
      </c>
      <c r="L10" s="49">
        <v>0.14052999999999999</v>
      </c>
      <c r="M10" s="49">
        <v>0.14737</v>
      </c>
      <c r="N10" s="49">
        <v>0.14896999999999999</v>
      </c>
      <c r="O10" s="49">
        <v>0.14888999999999999</v>
      </c>
      <c r="P10" s="49">
        <v>0.15684999999999999</v>
      </c>
      <c r="Q10" s="49">
        <v>0.15464</v>
      </c>
      <c r="R10" s="49">
        <v>0.15109</v>
      </c>
      <c r="S10" s="49">
        <v>0.14537</v>
      </c>
      <c r="T10" s="49">
        <v>0.13619000000000001</v>
      </c>
      <c r="U10" s="49">
        <v>0.12161</v>
      </c>
      <c r="V10" s="49">
        <v>9.9279000000000006E-2</v>
      </c>
      <c r="W10" s="49">
        <v>6.9083000000000006E-2</v>
      </c>
      <c r="X10" s="49">
        <v>3.8114000000000002E-2</v>
      </c>
      <c r="Y10" s="49">
        <v>1.6809000000000001E-2</v>
      </c>
      <c r="Z10" s="49">
        <v>6.5189000000000002E-3</v>
      </c>
      <c r="AA10" s="49">
        <v>2.4256999999999998E-3</v>
      </c>
      <c r="AB10" s="49">
        <v>9.0326000000000002E-4</v>
      </c>
      <c r="AC10" s="49">
        <v>3.4155999999999998E-4</v>
      </c>
      <c r="AD10" s="49">
        <v>1.3133E-4</v>
      </c>
      <c r="AE10" s="49">
        <v>4.0389000000000002E-5</v>
      </c>
      <c r="AF10" s="49">
        <v>9.8307000000000006E-6</v>
      </c>
      <c r="AG10" s="49">
        <v>2.1795999999999999E-6</v>
      </c>
      <c r="AH10" s="49">
        <v>4.7357000000000002E-7</v>
      </c>
      <c r="AI10" s="49">
        <v>1.0401E-7</v>
      </c>
      <c r="AJ10" s="49">
        <v>2.3297E-8</v>
      </c>
      <c r="AK10" s="49">
        <v>5.3186999999999998E-9</v>
      </c>
      <c r="AL10" s="49">
        <v>1.7139999999999998E-11</v>
      </c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1</v>
      </c>
      <c r="C11" s="44">
        <f t="shared" si="0"/>
        <v>0</v>
      </c>
      <c r="D11" s="44">
        <f t="shared" si="0"/>
        <v>2</v>
      </c>
      <c r="E11" s="48" t="s">
        <v>117</v>
      </c>
      <c r="F11" s="49">
        <v>1.5078999999999999E-8</v>
      </c>
      <c r="G11" s="49">
        <v>1.7674E-8</v>
      </c>
      <c r="H11" s="49">
        <v>3.1464999999999998E-8</v>
      </c>
      <c r="I11" s="49">
        <v>8.8260999999999999E-8</v>
      </c>
      <c r="J11" s="49">
        <v>2.7841000000000002E-7</v>
      </c>
      <c r="K11" s="49">
        <v>8.4438999999999995E-7</v>
      </c>
      <c r="L11" s="49">
        <v>2.3898E-6</v>
      </c>
      <c r="M11" s="49">
        <v>6.2621999999999999E-6</v>
      </c>
      <c r="N11" s="49">
        <v>1.4905999999999999E-5</v>
      </c>
      <c r="O11" s="49">
        <v>3.3232999999999998E-5</v>
      </c>
      <c r="P11" s="49">
        <v>5.5696000000000001E-4</v>
      </c>
      <c r="Q11" s="49">
        <v>5.3363999999999998E-3</v>
      </c>
      <c r="R11" s="49">
        <v>8.8681999999999997E-3</v>
      </c>
      <c r="S11" s="49">
        <v>1.4548999999999999E-2</v>
      </c>
      <c r="T11" s="49">
        <v>2.3650999999999998E-2</v>
      </c>
      <c r="U11" s="49">
        <v>3.8098E-2</v>
      </c>
      <c r="V11" s="49">
        <v>6.0144000000000003E-2</v>
      </c>
      <c r="W11" s="49">
        <v>8.9802000000000007E-2</v>
      </c>
      <c r="X11" s="49">
        <v>0.11985</v>
      </c>
      <c r="Y11" s="49">
        <v>0.13979</v>
      </c>
      <c r="Z11" s="49">
        <v>0.14826</v>
      </c>
      <c r="AA11" s="49">
        <v>0.14996999999999999</v>
      </c>
      <c r="AB11" s="49">
        <v>0.14840999999999999</v>
      </c>
      <c r="AC11" s="49">
        <v>0.14505999999999999</v>
      </c>
      <c r="AD11" s="49">
        <v>0.13650000000000001</v>
      </c>
      <c r="AE11" s="49">
        <v>6.9397E-2</v>
      </c>
      <c r="AF11" s="49">
        <v>3.2823999999999999E-2</v>
      </c>
      <c r="AG11" s="49">
        <v>1.5162999999999999E-2</v>
      </c>
      <c r="AH11" s="49">
        <v>7.0063E-3</v>
      </c>
      <c r="AI11" s="49">
        <v>3.2650999999999999E-3</v>
      </c>
      <c r="AJ11" s="49">
        <v>1.5336E-3</v>
      </c>
      <c r="AK11" s="49">
        <v>7.2294999999999998E-4</v>
      </c>
      <c r="AL11" s="49">
        <v>3.6019000000000002E-5</v>
      </c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0</v>
      </c>
      <c r="C12" s="44">
        <f t="shared" si="0"/>
        <v>0</v>
      </c>
      <c r="D12" s="44">
        <f t="shared" si="0"/>
        <v>1</v>
      </c>
      <c r="E12" s="48" t="s">
        <v>118</v>
      </c>
      <c r="F12" s="49">
        <v>1.6152E-13</v>
      </c>
      <c r="G12" s="49">
        <v>3.7678999999999997E-12</v>
      </c>
      <c r="H12" s="49">
        <v>1.107E-11</v>
      </c>
      <c r="I12" s="49">
        <v>4.3996999999999997E-11</v>
      </c>
      <c r="J12" s="49">
        <v>1.8399E-10</v>
      </c>
      <c r="K12" s="49">
        <v>7.2048999999999996E-10</v>
      </c>
      <c r="L12" s="49">
        <v>2.5944000000000001E-9</v>
      </c>
      <c r="M12" s="49">
        <v>8.5534000000000007E-9</v>
      </c>
      <c r="N12" s="49">
        <v>2.5361999999999999E-8</v>
      </c>
      <c r="O12" s="49">
        <v>6.9779999999999994E-8</v>
      </c>
      <c r="P12" s="49">
        <v>2.4799000000000002E-6</v>
      </c>
      <c r="Q12" s="49">
        <v>4.4483000000000001E-5</v>
      </c>
      <c r="R12" s="49">
        <v>8.5549000000000004E-5</v>
      </c>
      <c r="S12" s="49">
        <v>1.6275999999999999E-4</v>
      </c>
      <c r="T12" s="49">
        <v>3.0941999999999998E-4</v>
      </c>
      <c r="U12" s="49">
        <v>5.9373E-4</v>
      </c>
      <c r="V12" s="49">
        <v>1.1539E-3</v>
      </c>
      <c r="W12" s="49">
        <v>2.2290999999999999E-3</v>
      </c>
      <c r="X12" s="49">
        <v>4.0762000000000003E-3</v>
      </c>
      <c r="Y12" s="49">
        <v>6.7939999999999997E-3</v>
      </c>
      <c r="Z12" s="49">
        <v>1.044E-2</v>
      </c>
      <c r="AA12" s="49">
        <v>1.5213000000000001E-2</v>
      </c>
      <c r="AB12" s="49">
        <v>2.1381000000000001E-2</v>
      </c>
      <c r="AC12" s="49">
        <v>2.9191999999999999E-2</v>
      </c>
      <c r="AD12" s="49">
        <v>3.7984999999999998E-2</v>
      </c>
      <c r="AE12" s="49">
        <v>3.1954999999999997E-2</v>
      </c>
      <c r="AF12" s="49">
        <v>2.6592999999999999E-2</v>
      </c>
      <c r="AG12" s="49">
        <v>2.1922000000000001E-2</v>
      </c>
      <c r="AH12" s="49">
        <v>1.7888000000000001E-2</v>
      </c>
      <c r="AI12" s="49">
        <v>1.4407E-2</v>
      </c>
      <c r="AJ12" s="49">
        <v>1.1393E-2</v>
      </c>
      <c r="AK12" s="49">
        <v>8.7919000000000001E-3</v>
      </c>
      <c r="AL12" s="49">
        <v>2.3739E-3</v>
      </c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1</v>
      </c>
      <c r="C13" s="44">
        <f t="shared" si="0"/>
        <v>0</v>
      </c>
      <c r="D13" s="44">
        <f t="shared" si="0"/>
        <v>0</v>
      </c>
      <c r="E13" s="48" t="s">
        <v>119</v>
      </c>
      <c r="F13" s="49">
        <v>2.1039E-19</v>
      </c>
      <c r="G13" s="49">
        <v>2.7014000000000001E-15</v>
      </c>
      <c r="H13" s="49">
        <v>1.4168E-14</v>
      </c>
      <c r="I13" s="49">
        <v>5.0641000000000002E-14</v>
      </c>
      <c r="J13" s="49">
        <v>1.4670999999999999E-13</v>
      </c>
      <c r="K13" s="49">
        <v>3.7254E-13</v>
      </c>
      <c r="L13" s="49">
        <v>8.6104999999999995E-13</v>
      </c>
      <c r="M13" s="49">
        <v>1.8305999999999999E-12</v>
      </c>
      <c r="N13" s="49">
        <v>3.5318E-12</v>
      </c>
      <c r="O13" s="49">
        <v>6.3879999999999998E-12</v>
      </c>
      <c r="P13" s="49">
        <v>5.3442000000000003E-11</v>
      </c>
      <c r="Q13" s="49">
        <v>2.7569000000000001E-10</v>
      </c>
      <c r="R13" s="49">
        <v>3.9305999999999998E-10</v>
      </c>
      <c r="S13" s="49">
        <v>5.5368999999999998E-10</v>
      </c>
      <c r="T13" s="49">
        <v>7.7354E-10</v>
      </c>
      <c r="U13" s="49">
        <v>1.0721000000000001E-9</v>
      </c>
      <c r="V13" s="49">
        <v>1.4585999999999999E-9</v>
      </c>
      <c r="W13" s="49">
        <v>1.8809E-9</v>
      </c>
      <c r="X13" s="49">
        <v>2.1754000000000002E-9</v>
      </c>
      <c r="Y13" s="49">
        <v>2.2091000000000002E-9</v>
      </c>
      <c r="Z13" s="49">
        <v>2.0516999999999999E-9</v>
      </c>
      <c r="AA13" s="49">
        <v>1.8300000000000001E-9</v>
      </c>
      <c r="AB13" s="49">
        <v>1.6101000000000001E-9</v>
      </c>
      <c r="AC13" s="49">
        <v>1.4125E-9</v>
      </c>
      <c r="AD13" s="49">
        <v>1.2550999999999999E-9</v>
      </c>
      <c r="AE13" s="49">
        <v>1.2994000000000001E-9</v>
      </c>
      <c r="AF13" s="49">
        <v>1.2258E-9</v>
      </c>
      <c r="AG13" s="49">
        <v>1.1044E-9</v>
      </c>
      <c r="AH13" s="49">
        <v>9.7423999999999994E-10</v>
      </c>
      <c r="AI13" s="49">
        <v>8.4955000000000003E-10</v>
      </c>
      <c r="AJ13" s="49">
        <v>7.325E-10</v>
      </c>
      <c r="AK13" s="49">
        <v>6.2244999999999995E-10</v>
      </c>
      <c r="AL13" s="49">
        <v>2.7775999999999998E-10</v>
      </c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0</v>
      </c>
      <c r="B14" s="44">
        <f t="shared" si="0"/>
        <v>1</v>
      </c>
      <c r="C14" s="44">
        <f t="shared" si="0"/>
        <v>0</v>
      </c>
      <c r="D14" s="44">
        <f t="shared" si="0"/>
        <v>0</v>
      </c>
      <c r="E14" s="48" t="s">
        <v>120</v>
      </c>
      <c r="F14" s="49">
        <v>4.8492000000000003E-20</v>
      </c>
      <c r="G14" s="49">
        <v>9.5845000000000002E-16</v>
      </c>
      <c r="H14" s="49">
        <v>5.4674999999999998E-15</v>
      </c>
      <c r="I14" s="49">
        <v>2.1104999999999999E-14</v>
      </c>
      <c r="J14" s="49">
        <v>6.5613E-14</v>
      </c>
      <c r="K14" s="49">
        <v>1.7781E-13</v>
      </c>
      <c r="L14" s="49">
        <v>4.3641000000000001E-13</v>
      </c>
      <c r="M14" s="49">
        <v>9.8087999999999996E-13</v>
      </c>
      <c r="N14" s="49">
        <v>1.9925999999999998E-12</v>
      </c>
      <c r="O14" s="49">
        <v>3.7812999999999996E-12</v>
      </c>
      <c r="P14" s="49">
        <v>3.2878999999999998E-11</v>
      </c>
      <c r="Q14" s="49">
        <v>1.6313999999999999E-10</v>
      </c>
      <c r="R14" s="49">
        <v>2.3025999999999999E-10</v>
      </c>
      <c r="S14" s="49">
        <v>3.2109000000000003E-10</v>
      </c>
      <c r="T14" s="49">
        <v>4.4404E-10</v>
      </c>
      <c r="U14" s="49">
        <v>6.0920000000000003E-10</v>
      </c>
      <c r="V14" s="49">
        <v>8.2039999999999998E-10</v>
      </c>
      <c r="W14" s="49">
        <v>1.0473000000000001E-9</v>
      </c>
      <c r="X14" s="49">
        <v>1.1990999999999999E-9</v>
      </c>
      <c r="Y14" s="49">
        <v>1.2056000000000001E-9</v>
      </c>
      <c r="Z14" s="49">
        <v>1.1086000000000001E-9</v>
      </c>
      <c r="AA14" s="49">
        <v>9.7908999999999998E-10</v>
      </c>
      <c r="AB14" s="49">
        <v>8.5301000000000004E-10</v>
      </c>
      <c r="AC14" s="49">
        <v>7.4108999999999997E-10</v>
      </c>
      <c r="AD14" s="49">
        <v>6.5214999999999997E-10</v>
      </c>
      <c r="AE14" s="49">
        <v>6.6874999999999999E-10</v>
      </c>
      <c r="AF14" s="49">
        <v>6.2490999999999996E-10</v>
      </c>
      <c r="AG14" s="49">
        <v>5.5770000000000005E-10</v>
      </c>
      <c r="AH14" s="49">
        <v>4.8739000000000001E-10</v>
      </c>
      <c r="AI14" s="49">
        <v>4.2107000000000003E-10</v>
      </c>
      <c r="AJ14" s="49">
        <v>3.5972000000000003E-10</v>
      </c>
      <c r="AK14" s="49">
        <v>3.0287999999999999E-10</v>
      </c>
      <c r="AL14" s="49">
        <v>1.3033E-10</v>
      </c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1</v>
      </c>
      <c r="C15" s="44">
        <f t="shared" si="0"/>
        <v>0</v>
      </c>
      <c r="D15" s="44">
        <f t="shared" si="0"/>
        <v>0</v>
      </c>
      <c r="E15" s="48" t="s">
        <v>121</v>
      </c>
      <c r="F15" s="49">
        <v>1.7719E-13</v>
      </c>
      <c r="G15" s="49">
        <v>5.1054000000000002E-9</v>
      </c>
      <c r="H15" s="49">
        <v>3.3136E-8</v>
      </c>
      <c r="I15" s="49">
        <v>1.4679000000000001E-7</v>
      </c>
      <c r="J15" s="49">
        <v>5.2728999999999995E-7</v>
      </c>
      <c r="K15" s="49">
        <v>1.6601E-6</v>
      </c>
      <c r="L15" s="49">
        <v>4.7536999999999999E-6</v>
      </c>
      <c r="M15" s="49">
        <v>1.2507000000000001E-5</v>
      </c>
      <c r="N15" s="49">
        <v>2.9819999999999999E-5</v>
      </c>
      <c r="O15" s="49">
        <v>6.6540999999999999E-5</v>
      </c>
      <c r="P15" s="49">
        <v>1.1176000000000001E-3</v>
      </c>
      <c r="Q15" s="49">
        <v>1.0739E-2</v>
      </c>
      <c r="R15" s="49">
        <v>1.7864999999999999E-2</v>
      </c>
      <c r="S15" s="49">
        <v>2.9343000000000001E-2</v>
      </c>
      <c r="T15" s="49">
        <v>4.7766000000000003E-2</v>
      </c>
      <c r="U15" s="49">
        <v>7.7086000000000002E-2</v>
      </c>
      <c r="V15" s="49">
        <v>0.12202</v>
      </c>
      <c r="W15" s="49">
        <v>0.18295</v>
      </c>
      <c r="X15" s="49">
        <v>0.24581</v>
      </c>
      <c r="Y15" s="49">
        <v>0.28977999999999998</v>
      </c>
      <c r="Z15" s="49">
        <v>0.31218000000000001</v>
      </c>
      <c r="AA15" s="49">
        <v>0.32275999999999999</v>
      </c>
      <c r="AB15" s="49">
        <v>0.32888000000000001</v>
      </c>
      <c r="AC15" s="49">
        <v>0.33390999999999998</v>
      </c>
      <c r="AD15" s="49">
        <v>0.34310000000000002</v>
      </c>
      <c r="AE15" s="49">
        <v>0.41048000000000001</v>
      </c>
      <c r="AF15" s="49">
        <v>0.44714999999999999</v>
      </c>
      <c r="AG15" s="49">
        <v>0.46483000000000002</v>
      </c>
      <c r="AH15" s="49">
        <v>0.4728</v>
      </c>
      <c r="AI15" s="49">
        <v>0.47504000000000002</v>
      </c>
      <c r="AJ15" s="49">
        <v>0.47161999999999998</v>
      </c>
      <c r="AK15" s="49">
        <v>0.46113999999999999</v>
      </c>
      <c r="AL15" s="49">
        <v>0.35836000000000001</v>
      </c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0</v>
      </c>
      <c r="C16" s="44">
        <f t="shared" si="0"/>
        <v>0</v>
      </c>
      <c r="D16" s="44">
        <f t="shared" si="0"/>
        <v>1</v>
      </c>
      <c r="E16" s="48" t="s">
        <v>122</v>
      </c>
      <c r="F16" s="49">
        <v>0</v>
      </c>
      <c r="G16" s="49">
        <v>0</v>
      </c>
      <c r="H16" s="49">
        <v>0</v>
      </c>
      <c r="I16" s="49">
        <v>0</v>
      </c>
      <c r="J16" s="49">
        <v>0</v>
      </c>
      <c r="K16" s="49">
        <v>0</v>
      </c>
      <c r="L16" s="49">
        <v>0</v>
      </c>
      <c r="M16" s="49">
        <v>0</v>
      </c>
      <c r="N16" s="49">
        <v>0</v>
      </c>
      <c r="O16" s="49">
        <v>0</v>
      </c>
      <c r="P16" s="49">
        <v>0</v>
      </c>
      <c r="Q16" s="49">
        <v>0</v>
      </c>
      <c r="R16" s="49">
        <v>0</v>
      </c>
      <c r="S16" s="49">
        <v>0</v>
      </c>
      <c r="T16" s="49">
        <v>0</v>
      </c>
      <c r="U16" s="49">
        <v>0</v>
      </c>
      <c r="V16" s="49">
        <v>0</v>
      </c>
      <c r="W16" s="49">
        <v>0</v>
      </c>
      <c r="X16" s="49">
        <v>0</v>
      </c>
      <c r="Y16" s="49">
        <v>0</v>
      </c>
      <c r="Z16" s="49">
        <v>4.9137E-31</v>
      </c>
      <c r="AA16" s="49">
        <v>9.2955999999999998E-24</v>
      </c>
      <c r="AB16" s="49">
        <v>4.6778999999999996E-16</v>
      </c>
      <c r="AC16" s="49">
        <v>1.0198999999999999E-8</v>
      </c>
      <c r="AD16" s="49">
        <v>6.0271999999999999E-3</v>
      </c>
      <c r="AE16" s="49">
        <v>0.10188999999999999</v>
      </c>
      <c r="AF16" s="49">
        <v>0.15426999999999999</v>
      </c>
      <c r="AG16" s="49">
        <v>0.14826</v>
      </c>
      <c r="AH16" s="49">
        <v>0.14405000000000001</v>
      </c>
      <c r="AI16" s="49">
        <v>0.14953</v>
      </c>
      <c r="AJ16" s="49">
        <v>0.15276999999999999</v>
      </c>
      <c r="AK16" s="49">
        <v>0.15487999999999999</v>
      </c>
      <c r="AL16" s="49">
        <v>0.15878</v>
      </c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1</v>
      </c>
      <c r="B17" s="44">
        <f t="shared" si="0"/>
        <v>0</v>
      </c>
      <c r="C17" s="44">
        <f t="shared" si="0"/>
        <v>0</v>
      </c>
      <c r="D17" s="44">
        <f t="shared" si="0"/>
        <v>0</v>
      </c>
      <c r="E17" s="48" t="s">
        <v>28</v>
      </c>
      <c r="F17" s="49">
        <v>-18.62</v>
      </c>
      <c r="G17" s="49">
        <v>-18.63</v>
      </c>
      <c r="H17" s="49">
        <v>-18.649999999999999</v>
      </c>
      <c r="I17" s="49">
        <v>-18.670000000000002</v>
      </c>
      <c r="J17" s="49">
        <v>-18.690000000000001</v>
      </c>
      <c r="K17" s="49">
        <v>-18.72</v>
      </c>
      <c r="L17" s="49">
        <v>-18.75</v>
      </c>
      <c r="M17" s="49">
        <v>-18.78</v>
      </c>
      <c r="N17" s="49">
        <v>-18.809999999999999</v>
      </c>
      <c r="O17" s="49">
        <v>-18.84</v>
      </c>
      <c r="P17" s="49">
        <v>-18.97</v>
      </c>
      <c r="Q17" s="49">
        <v>-19.11</v>
      </c>
      <c r="R17" s="49">
        <v>-19.14</v>
      </c>
      <c r="S17" s="49">
        <v>-19.18</v>
      </c>
      <c r="T17" s="49">
        <v>-19.21</v>
      </c>
      <c r="U17" s="49">
        <v>-19.25</v>
      </c>
      <c r="V17" s="49">
        <v>-19.28</v>
      </c>
      <c r="W17" s="49">
        <v>-19.32</v>
      </c>
      <c r="X17" s="49">
        <v>-19.350000000000001</v>
      </c>
      <c r="Y17" s="49">
        <v>-19.38</v>
      </c>
      <c r="Z17" s="49">
        <v>-19.420000000000002</v>
      </c>
      <c r="AA17" s="49">
        <v>-19.45</v>
      </c>
      <c r="AB17" s="49">
        <v>-19.48</v>
      </c>
      <c r="AC17" s="49">
        <v>-19.510000000000002</v>
      </c>
      <c r="AD17" s="49">
        <v>-19.55</v>
      </c>
      <c r="AE17" s="49">
        <v>-19.579999999999998</v>
      </c>
      <c r="AF17" s="49">
        <v>-19.61</v>
      </c>
      <c r="AG17" s="49">
        <v>-19.64</v>
      </c>
      <c r="AH17" s="49">
        <v>-19.670000000000002</v>
      </c>
      <c r="AI17" s="49">
        <v>-19.7</v>
      </c>
      <c r="AJ17" s="49">
        <v>-19.73</v>
      </c>
      <c r="AK17" s="49">
        <v>-19.760000000000002</v>
      </c>
      <c r="AL17" s="49">
        <v>-19.88</v>
      </c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0</v>
      </c>
      <c r="C18" s="44">
        <f t="shared" si="0"/>
        <v>0</v>
      </c>
      <c r="D18" s="44">
        <f t="shared" si="0"/>
        <v>1</v>
      </c>
      <c r="E18" s="48" t="s">
        <v>5</v>
      </c>
      <c r="F18" s="49">
        <v>-32.090000000000003</v>
      </c>
      <c r="G18" s="49">
        <v>-28.88</v>
      </c>
      <c r="H18" s="49">
        <v>-27.9</v>
      </c>
      <c r="I18" s="49">
        <v>-26.63</v>
      </c>
      <c r="J18" s="49">
        <v>-25.32</v>
      </c>
      <c r="K18" s="49">
        <v>-24.06</v>
      </c>
      <c r="L18" s="49">
        <v>-22.88</v>
      </c>
      <c r="M18" s="49">
        <v>-21.77</v>
      </c>
      <c r="N18" s="49">
        <v>-20.73</v>
      </c>
      <c r="O18" s="49">
        <v>-19.760000000000002</v>
      </c>
      <c r="P18" s="49">
        <v>-16.39</v>
      </c>
      <c r="Q18" s="49">
        <v>-13.66</v>
      </c>
      <c r="R18" s="49">
        <v>-13.06</v>
      </c>
      <c r="S18" s="49">
        <v>-12.48</v>
      </c>
      <c r="T18" s="49">
        <v>-11.93</v>
      </c>
      <c r="U18" s="49">
        <v>-11.4</v>
      </c>
      <c r="V18" s="49">
        <v>-10.89</v>
      </c>
      <c r="W18" s="49">
        <v>-10.4</v>
      </c>
      <c r="X18" s="49">
        <v>-9.9329999999999998</v>
      </c>
      <c r="Y18" s="49">
        <v>-9.484</v>
      </c>
      <c r="Z18" s="49">
        <v>-9.0530000000000008</v>
      </c>
      <c r="AA18" s="49">
        <v>-8.64</v>
      </c>
      <c r="AB18" s="49">
        <v>-8.2449999999999992</v>
      </c>
      <c r="AC18" s="49">
        <v>-7.8680000000000003</v>
      </c>
      <c r="AD18" s="49">
        <v>-7.5279999999999996</v>
      </c>
      <c r="AE18" s="49">
        <v>-7.5839999999999996</v>
      </c>
      <c r="AF18" s="49">
        <v>-7.641</v>
      </c>
      <c r="AG18" s="49">
        <v>-7.6959999999999997</v>
      </c>
      <c r="AH18" s="49">
        <v>-7.7510000000000003</v>
      </c>
      <c r="AI18" s="49">
        <v>-7.8049999999999997</v>
      </c>
      <c r="AJ18" s="49">
        <v>-7.8579999999999997</v>
      </c>
      <c r="AK18" s="49">
        <v>-7.91</v>
      </c>
      <c r="AL18" s="49">
        <v>-8.109</v>
      </c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1</v>
      </c>
      <c r="C19" s="44">
        <f t="shared" si="0"/>
        <v>0</v>
      </c>
      <c r="D19" s="44">
        <f t="shared" si="0"/>
        <v>0</v>
      </c>
      <c r="E19" s="48" t="s">
        <v>7</v>
      </c>
      <c r="F19" s="49">
        <v>-45.84</v>
      </c>
      <c r="G19" s="49">
        <v>-36.31</v>
      </c>
      <c r="H19" s="49">
        <v>-34.75</v>
      </c>
      <c r="I19" s="49">
        <v>-33.590000000000003</v>
      </c>
      <c r="J19" s="49">
        <v>-32.64</v>
      </c>
      <c r="K19" s="49">
        <v>-31.81</v>
      </c>
      <c r="L19" s="49">
        <v>-31.07</v>
      </c>
      <c r="M19" s="49">
        <v>-30.4</v>
      </c>
      <c r="N19" s="49">
        <v>-29.79</v>
      </c>
      <c r="O19" s="49">
        <v>-29.24</v>
      </c>
      <c r="P19" s="49">
        <v>-27.47</v>
      </c>
      <c r="Q19" s="49">
        <v>-26.24</v>
      </c>
      <c r="R19" s="49">
        <v>-26.01</v>
      </c>
      <c r="S19" s="49">
        <v>-25.81</v>
      </c>
      <c r="T19" s="49">
        <v>-25.65</v>
      </c>
      <c r="U19" s="49">
        <v>-25.54</v>
      </c>
      <c r="V19" s="49">
        <v>-25.48</v>
      </c>
      <c r="W19" s="49">
        <v>-25.5</v>
      </c>
      <c r="X19" s="49">
        <v>-25.59</v>
      </c>
      <c r="Y19" s="49">
        <v>-25.76</v>
      </c>
      <c r="Z19" s="49">
        <v>-25.95</v>
      </c>
      <c r="AA19" s="49">
        <v>-26.17</v>
      </c>
      <c r="AB19" s="49">
        <v>-26.38</v>
      </c>
      <c r="AC19" s="49">
        <v>-26.6</v>
      </c>
      <c r="AD19" s="49">
        <v>-26.8</v>
      </c>
      <c r="AE19" s="49">
        <v>-26.82</v>
      </c>
      <c r="AF19" s="49">
        <v>-26.93</v>
      </c>
      <c r="AG19" s="49">
        <v>-27.09</v>
      </c>
      <c r="AH19" s="49">
        <v>-27.27</v>
      </c>
      <c r="AI19" s="49">
        <v>-27.46</v>
      </c>
      <c r="AJ19" s="49">
        <v>-27.65</v>
      </c>
      <c r="AK19" s="49">
        <v>-27.85</v>
      </c>
      <c r="AL19" s="49">
        <v>-28.62</v>
      </c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0</v>
      </c>
      <c r="C20" s="44">
        <f t="shared" si="1"/>
        <v>0</v>
      </c>
      <c r="D20" s="44">
        <f t="shared" si="1"/>
        <v>0</v>
      </c>
      <c r="E20" s="48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0</v>
      </c>
      <c r="C21" s="44">
        <f t="shared" si="1"/>
        <v>0</v>
      </c>
      <c r="D21" s="44">
        <f t="shared" si="1"/>
        <v>0</v>
      </c>
      <c r="E21" s="48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2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ref="A33:D33" si="3">IF( ISNUMBER( FIND(A$3,$E33,1)),   IF( ISNUMBER( VALUE(MID($E33,FIND(A$3,$E33,1)+2,1)) ), VALUE( MID($E33,FIND(A$3,$E33,1)+2,1) ),1),0)</f>
        <v>0</v>
      </c>
      <c r="B33" s="44">
        <f t="shared" si="3"/>
        <v>0</v>
      </c>
      <c r="C33" s="44">
        <f t="shared" si="3"/>
        <v>0</v>
      </c>
      <c r="D33" s="44">
        <f t="shared" si="3"/>
        <v>0</v>
      </c>
      <c r="E33" s="41">
        <v>1</v>
      </c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>
        <f t="shared" ref="D34:D37" si="4">MATCH(C34,$E$4:$E$33)</f>
        <v>14</v>
      </c>
      <c r="E34" s="11" t="str">
        <f ca="1">OFFSET($E$3:$AL$3,$D34,0)</f>
        <v>H (Ar)</v>
      </c>
      <c r="F34" s="14">
        <f t="shared" ref="F34:AL37" ca="1" si="5">OFFSET($E$3:$AL$3,$D34,0)</f>
        <v>-18.62</v>
      </c>
      <c r="G34" s="14">
        <f t="shared" ca="1" si="5"/>
        <v>-18.63</v>
      </c>
      <c r="H34" s="14">
        <f t="shared" ca="1" si="5"/>
        <v>-18.649999999999999</v>
      </c>
      <c r="I34" s="14">
        <f t="shared" ca="1" si="5"/>
        <v>-18.670000000000002</v>
      </c>
      <c r="J34" s="14">
        <f t="shared" ca="1" si="5"/>
        <v>-18.690000000000001</v>
      </c>
      <c r="K34" s="14">
        <f t="shared" ca="1" si="5"/>
        <v>-18.72</v>
      </c>
      <c r="L34" s="14">
        <f t="shared" ca="1" si="5"/>
        <v>-18.75</v>
      </c>
      <c r="M34" s="14">
        <f t="shared" ca="1" si="5"/>
        <v>-18.78</v>
      </c>
      <c r="N34" s="14">
        <f t="shared" ca="1" si="5"/>
        <v>-18.809999999999999</v>
      </c>
      <c r="O34" s="14">
        <f t="shared" ca="1" si="5"/>
        <v>-18.84</v>
      </c>
      <c r="P34" s="14">
        <f t="shared" ca="1" si="5"/>
        <v>-18.97</v>
      </c>
      <c r="Q34" s="14">
        <f t="shared" ca="1" si="5"/>
        <v>-19.11</v>
      </c>
      <c r="R34" s="14">
        <f t="shared" ca="1" si="5"/>
        <v>-19.14</v>
      </c>
      <c r="S34" s="14">
        <f t="shared" ca="1" si="5"/>
        <v>-19.18</v>
      </c>
      <c r="T34" s="14">
        <f t="shared" ca="1" si="5"/>
        <v>-19.21</v>
      </c>
      <c r="U34" s="14">
        <f t="shared" ca="1" si="5"/>
        <v>-19.25</v>
      </c>
      <c r="V34" s="14">
        <f t="shared" ca="1" si="5"/>
        <v>-19.28</v>
      </c>
      <c r="W34" s="14">
        <f t="shared" ca="1" si="5"/>
        <v>-19.32</v>
      </c>
      <c r="X34" s="14">
        <f t="shared" ca="1" si="5"/>
        <v>-19.350000000000001</v>
      </c>
      <c r="Y34" s="14">
        <f t="shared" ca="1" si="5"/>
        <v>-19.38</v>
      </c>
      <c r="Z34" s="14">
        <f t="shared" ca="1" si="5"/>
        <v>-19.420000000000002</v>
      </c>
      <c r="AA34" s="14">
        <f t="shared" ca="1" si="5"/>
        <v>-19.45</v>
      </c>
      <c r="AB34" s="14">
        <f t="shared" ca="1" si="5"/>
        <v>-19.48</v>
      </c>
      <c r="AC34" s="14">
        <f t="shared" ca="1" si="5"/>
        <v>-19.510000000000002</v>
      </c>
      <c r="AD34" s="14">
        <f t="shared" ca="1" si="5"/>
        <v>-19.55</v>
      </c>
      <c r="AE34" s="14">
        <f t="shared" ca="1" si="5"/>
        <v>-19.579999999999998</v>
      </c>
      <c r="AF34" s="14">
        <f t="shared" ca="1" si="5"/>
        <v>-19.61</v>
      </c>
      <c r="AG34" s="14">
        <f t="shared" ca="1" si="5"/>
        <v>-19.64</v>
      </c>
      <c r="AH34" s="14">
        <f t="shared" ca="1" si="5"/>
        <v>-19.670000000000002</v>
      </c>
      <c r="AI34" s="14">
        <f t="shared" ca="1" si="5"/>
        <v>-19.7</v>
      </c>
      <c r="AJ34" s="14">
        <f t="shared" ca="1" si="5"/>
        <v>-19.73</v>
      </c>
      <c r="AK34" s="14">
        <f t="shared" ca="1" si="5"/>
        <v>-19.760000000000002</v>
      </c>
      <c r="AL34" s="14">
        <f t="shared" ca="1" si="5"/>
        <v>-19.88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s="37" customFormat="1" ht="21" customHeight="1" outlineLevel="1" x14ac:dyDescent="0.35">
      <c r="C35" s="11" t="s">
        <v>5</v>
      </c>
      <c r="D35" s="47">
        <f t="shared" si="4"/>
        <v>15</v>
      </c>
      <c r="E35" s="11" t="str">
        <f t="shared" ref="E35:E37" ca="1" si="6">OFFSET($E$3:$AL$3,$D35,0)</f>
        <v>H (Ga)</v>
      </c>
      <c r="F35" s="14">
        <f t="shared" ca="1" si="5"/>
        <v>-32.090000000000003</v>
      </c>
      <c r="G35" s="14">
        <f t="shared" ca="1" si="5"/>
        <v>-28.88</v>
      </c>
      <c r="H35" s="14">
        <f t="shared" ca="1" si="5"/>
        <v>-27.9</v>
      </c>
      <c r="I35" s="14">
        <f t="shared" ca="1" si="5"/>
        <v>-26.63</v>
      </c>
      <c r="J35" s="14">
        <f t="shared" ca="1" si="5"/>
        <v>-25.32</v>
      </c>
      <c r="K35" s="14">
        <f t="shared" ca="1" si="5"/>
        <v>-24.06</v>
      </c>
      <c r="L35" s="14">
        <f t="shared" ca="1" si="5"/>
        <v>-22.88</v>
      </c>
      <c r="M35" s="14">
        <f t="shared" ca="1" si="5"/>
        <v>-21.77</v>
      </c>
      <c r="N35" s="14">
        <f t="shared" ca="1" si="5"/>
        <v>-20.73</v>
      </c>
      <c r="O35" s="14">
        <f t="shared" ca="1" si="5"/>
        <v>-19.760000000000002</v>
      </c>
      <c r="P35" s="14">
        <f t="shared" ca="1" si="5"/>
        <v>-16.39</v>
      </c>
      <c r="Q35" s="14">
        <f t="shared" ca="1" si="5"/>
        <v>-13.66</v>
      </c>
      <c r="R35" s="14">
        <f t="shared" ca="1" si="5"/>
        <v>-13.06</v>
      </c>
      <c r="S35" s="14">
        <f t="shared" ca="1" si="5"/>
        <v>-12.48</v>
      </c>
      <c r="T35" s="14">
        <f t="shared" ca="1" si="5"/>
        <v>-11.93</v>
      </c>
      <c r="U35" s="14">
        <f t="shared" ca="1" si="5"/>
        <v>-11.4</v>
      </c>
      <c r="V35" s="14">
        <f t="shared" ca="1" si="5"/>
        <v>-10.89</v>
      </c>
      <c r="W35" s="14">
        <f t="shared" ca="1" si="5"/>
        <v>-10.4</v>
      </c>
      <c r="X35" s="14">
        <f t="shared" ca="1" si="5"/>
        <v>-9.9329999999999998</v>
      </c>
      <c r="Y35" s="14">
        <f t="shared" ca="1" si="5"/>
        <v>-9.484</v>
      </c>
      <c r="Z35" s="14">
        <f t="shared" ca="1" si="5"/>
        <v>-9.0530000000000008</v>
      </c>
      <c r="AA35" s="14">
        <f t="shared" ca="1" si="5"/>
        <v>-8.64</v>
      </c>
      <c r="AB35" s="14">
        <f t="shared" ca="1" si="5"/>
        <v>-8.2449999999999992</v>
      </c>
      <c r="AC35" s="14">
        <f t="shared" ca="1" si="5"/>
        <v>-7.8680000000000003</v>
      </c>
      <c r="AD35" s="14">
        <f t="shared" ca="1" si="5"/>
        <v>-7.5279999999999996</v>
      </c>
      <c r="AE35" s="14">
        <f t="shared" ca="1" si="5"/>
        <v>-7.5839999999999996</v>
      </c>
      <c r="AF35" s="14">
        <f t="shared" ca="1" si="5"/>
        <v>-7.641</v>
      </c>
      <c r="AG35" s="14">
        <f t="shared" ca="1" si="5"/>
        <v>-7.6959999999999997</v>
      </c>
      <c r="AH35" s="14">
        <f t="shared" ca="1" si="5"/>
        <v>-7.7510000000000003</v>
      </c>
      <c r="AI35" s="14">
        <f t="shared" ca="1" si="5"/>
        <v>-7.8049999999999997</v>
      </c>
      <c r="AJ35" s="14">
        <f t="shared" ca="1" si="5"/>
        <v>-7.8579999999999997</v>
      </c>
      <c r="AK35" s="14">
        <f t="shared" ca="1" si="5"/>
        <v>-7.91</v>
      </c>
      <c r="AL35" s="14">
        <f t="shared" ca="1" si="5"/>
        <v>-8.109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s="37" customFormat="1" ht="21" customHeight="1" outlineLevel="1" x14ac:dyDescent="0.35">
      <c r="C36" s="11" t="s">
        <v>6</v>
      </c>
      <c r="D36" s="47">
        <v>20</v>
      </c>
      <c r="E36" s="11">
        <f t="shared" ca="1" si="6"/>
        <v>0</v>
      </c>
      <c r="F36" s="14">
        <f t="shared" ca="1" si="5"/>
        <v>0</v>
      </c>
      <c r="G36" s="14">
        <f t="shared" ca="1" si="5"/>
        <v>0</v>
      </c>
      <c r="H36" s="14">
        <f t="shared" ca="1" si="5"/>
        <v>0</v>
      </c>
      <c r="I36" s="14">
        <f t="shared" ca="1" si="5"/>
        <v>0</v>
      </c>
      <c r="J36" s="14">
        <f t="shared" ca="1" si="5"/>
        <v>0</v>
      </c>
      <c r="K36" s="14">
        <f t="shared" ca="1" si="5"/>
        <v>0</v>
      </c>
      <c r="L36" s="14">
        <f t="shared" ca="1" si="5"/>
        <v>0</v>
      </c>
      <c r="M36" s="14">
        <f t="shared" ca="1" si="5"/>
        <v>0</v>
      </c>
      <c r="N36" s="14">
        <f t="shared" ca="1" si="5"/>
        <v>0</v>
      </c>
      <c r="O36" s="14">
        <f t="shared" ca="1" si="5"/>
        <v>0</v>
      </c>
      <c r="P36" s="14">
        <f t="shared" ca="1" si="5"/>
        <v>0</v>
      </c>
      <c r="Q36" s="14">
        <f t="shared" ca="1" si="5"/>
        <v>0</v>
      </c>
      <c r="R36" s="14">
        <f t="shared" ca="1" si="5"/>
        <v>0</v>
      </c>
      <c r="S36" s="14">
        <f t="shared" ca="1" si="5"/>
        <v>0</v>
      </c>
      <c r="T36" s="14">
        <f t="shared" ca="1" si="5"/>
        <v>0</v>
      </c>
      <c r="U36" s="14">
        <f t="shared" ca="1" si="5"/>
        <v>0</v>
      </c>
      <c r="V36" s="14">
        <f t="shared" ca="1" si="5"/>
        <v>0</v>
      </c>
      <c r="W36" s="14">
        <f t="shared" ca="1" si="5"/>
        <v>0</v>
      </c>
      <c r="X36" s="14">
        <f t="shared" ca="1" si="5"/>
        <v>0</v>
      </c>
      <c r="Y36" s="14">
        <f t="shared" ca="1" si="5"/>
        <v>0</v>
      </c>
      <c r="Z36" s="14">
        <f t="shared" ca="1" si="5"/>
        <v>0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4"/>
        <v>16</v>
      </c>
      <c r="E37" s="11" t="str">
        <f t="shared" ca="1" si="6"/>
        <v>H (Se)</v>
      </c>
      <c r="F37" s="14">
        <f t="shared" ca="1" si="5"/>
        <v>-45.84</v>
      </c>
      <c r="G37" s="14">
        <f t="shared" ca="1" si="5"/>
        <v>-36.31</v>
      </c>
      <c r="H37" s="14">
        <f t="shared" ca="1" si="5"/>
        <v>-34.75</v>
      </c>
      <c r="I37" s="14">
        <f t="shared" ca="1" si="5"/>
        <v>-33.590000000000003</v>
      </c>
      <c r="J37" s="14">
        <f t="shared" ca="1" si="5"/>
        <v>-32.64</v>
      </c>
      <c r="K37" s="14">
        <f t="shared" ca="1" si="5"/>
        <v>-31.81</v>
      </c>
      <c r="L37" s="14">
        <f t="shared" ca="1" si="5"/>
        <v>-31.07</v>
      </c>
      <c r="M37" s="14">
        <f t="shared" ca="1" si="5"/>
        <v>-30.4</v>
      </c>
      <c r="N37" s="14">
        <f t="shared" ca="1" si="5"/>
        <v>-29.79</v>
      </c>
      <c r="O37" s="14">
        <f t="shared" ca="1" si="5"/>
        <v>-29.24</v>
      </c>
      <c r="P37" s="14">
        <f t="shared" ca="1" si="5"/>
        <v>-27.47</v>
      </c>
      <c r="Q37" s="14">
        <f t="shared" ca="1" si="5"/>
        <v>-26.24</v>
      </c>
      <c r="R37" s="14">
        <f t="shared" ca="1" si="5"/>
        <v>-26.01</v>
      </c>
      <c r="S37" s="14">
        <f t="shared" ca="1" si="5"/>
        <v>-25.81</v>
      </c>
      <c r="T37" s="14">
        <f t="shared" ca="1" si="5"/>
        <v>-25.65</v>
      </c>
      <c r="U37" s="14">
        <f t="shared" ca="1" si="5"/>
        <v>-25.54</v>
      </c>
      <c r="V37" s="14">
        <f t="shared" ca="1" si="5"/>
        <v>-25.48</v>
      </c>
      <c r="W37" s="14">
        <f t="shared" ca="1" si="5"/>
        <v>-25.5</v>
      </c>
      <c r="X37" s="14">
        <f t="shared" ca="1" si="5"/>
        <v>-25.59</v>
      </c>
      <c r="Y37" s="14">
        <f t="shared" ca="1" si="5"/>
        <v>-25.76</v>
      </c>
      <c r="Z37" s="14">
        <f t="shared" ca="1" si="5"/>
        <v>-25.95</v>
      </c>
      <c r="AA37" s="14">
        <f t="shared" ca="1" si="5"/>
        <v>-26.17</v>
      </c>
      <c r="AB37" s="14">
        <f t="shared" ca="1" si="5"/>
        <v>-26.38</v>
      </c>
      <c r="AC37" s="14">
        <f t="shared" ca="1" si="5"/>
        <v>-26.6</v>
      </c>
      <c r="AD37" s="14">
        <f t="shared" ca="1" si="5"/>
        <v>-26.8</v>
      </c>
      <c r="AE37" s="14">
        <f t="shared" ca="1" si="5"/>
        <v>-26.82</v>
      </c>
      <c r="AF37" s="14">
        <f t="shared" ca="1" si="5"/>
        <v>-26.93</v>
      </c>
      <c r="AG37" s="14">
        <f t="shared" ca="1" si="5"/>
        <v>-27.09</v>
      </c>
      <c r="AH37" s="14">
        <f t="shared" ref="AH37:AL37" ca="1" si="7">OFFSET($E$3:$AL$3,$D37,0)</f>
        <v>-27.27</v>
      </c>
      <c r="AI37" s="14">
        <f t="shared" ca="1" si="7"/>
        <v>-27.46</v>
      </c>
      <c r="AJ37" s="14">
        <f t="shared" ca="1" si="7"/>
        <v>-27.65</v>
      </c>
      <c r="AK37" s="14">
        <f t="shared" ca="1" si="7"/>
        <v>-27.85</v>
      </c>
      <c r="AL37" s="14">
        <f t="shared" ca="1" si="7"/>
        <v>-28.62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s="37" customFormat="1" ht="21" customHeight="1" thickBot="1" x14ac:dyDescent="0.4"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81" t="s">
        <v>8</v>
      </c>
      <c r="B39" s="82"/>
      <c r="C39" s="82"/>
      <c r="D39" s="83"/>
      <c r="E39" s="74" t="s">
        <v>21</v>
      </c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</row>
    <row r="40" spans="1:54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8">G3</f>
        <v>339.2</v>
      </c>
      <c r="H40" s="8">
        <f t="shared" si="8"/>
        <v>355.7</v>
      </c>
      <c r="I40" s="8">
        <f t="shared" si="8"/>
        <v>372.3</v>
      </c>
      <c r="J40" s="8">
        <f t="shared" si="8"/>
        <v>388.8</v>
      </c>
      <c r="K40" s="8">
        <f t="shared" si="8"/>
        <v>405.3</v>
      </c>
      <c r="L40" s="8">
        <f t="shared" si="8"/>
        <v>421.8</v>
      </c>
      <c r="M40" s="8">
        <f t="shared" si="8"/>
        <v>438.3</v>
      </c>
      <c r="N40" s="8">
        <f t="shared" si="8"/>
        <v>454.9</v>
      </c>
      <c r="O40" s="8">
        <f t="shared" si="8"/>
        <v>471.4</v>
      </c>
      <c r="P40" s="8">
        <f t="shared" si="8"/>
        <v>537.5</v>
      </c>
      <c r="Q40" s="8">
        <f t="shared" si="8"/>
        <v>603.5</v>
      </c>
      <c r="R40" s="8">
        <f t="shared" si="8"/>
        <v>620.1</v>
      </c>
      <c r="S40" s="8">
        <f t="shared" si="8"/>
        <v>636.6</v>
      </c>
      <c r="T40" s="8">
        <f t="shared" si="8"/>
        <v>653.1</v>
      </c>
      <c r="U40" s="8">
        <f t="shared" si="8"/>
        <v>669.6</v>
      </c>
      <c r="V40" s="8">
        <f t="shared" si="8"/>
        <v>686.1</v>
      </c>
      <c r="W40" s="8">
        <f t="shared" si="8"/>
        <v>702.7</v>
      </c>
      <c r="X40" s="8">
        <f t="shared" si="8"/>
        <v>719.2</v>
      </c>
      <c r="Y40" s="8">
        <f t="shared" si="8"/>
        <v>735.7</v>
      </c>
      <c r="Z40" s="8">
        <f t="shared" si="8"/>
        <v>752.2</v>
      </c>
      <c r="AA40" s="8">
        <f t="shared" si="8"/>
        <v>768.7</v>
      </c>
      <c r="AB40" s="8">
        <f t="shared" si="8"/>
        <v>785.2</v>
      </c>
      <c r="AC40" s="8">
        <f t="shared" si="8"/>
        <v>801.8</v>
      </c>
      <c r="AD40" s="8">
        <f t="shared" si="8"/>
        <v>818.3</v>
      </c>
      <c r="AE40" s="8">
        <f t="shared" si="8"/>
        <v>834.8</v>
      </c>
      <c r="AF40" s="8">
        <f t="shared" si="8"/>
        <v>851.3</v>
      </c>
      <c r="AG40" s="8">
        <f t="shared" si="8"/>
        <v>867.8</v>
      </c>
      <c r="AH40" s="8">
        <f t="shared" si="8"/>
        <v>884.4</v>
      </c>
      <c r="AI40" s="8">
        <f t="shared" si="8"/>
        <v>900.9</v>
      </c>
      <c r="AJ40" s="8">
        <f t="shared" si="8"/>
        <v>917.4</v>
      </c>
      <c r="AK40" s="8">
        <f t="shared" si="8"/>
        <v>933.9</v>
      </c>
      <c r="AL40" s="8">
        <f t="shared" si="8"/>
        <v>1000</v>
      </c>
    </row>
    <row r="41" spans="1:54" ht="21" customHeight="1" outlineLevel="1" thickTop="1" x14ac:dyDescent="0.35">
      <c r="A41" s="9">
        <f>Values!D3/Values!$D$3</f>
        <v>1</v>
      </c>
      <c r="B41" s="9">
        <f>Values!E3/Values!$D$3</f>
        <v>0</v>
      </c>
      <c r="C41" s="9">
        <f>Values!F3/Values!$D$3</f>
        <v>0.16</v>
      </c>
      <c r="D41" s="9">
        <f>Values!G3/Values!$D$3</f>
        <v>0.24</v>
      </c>
      <c r="E41" s="9">
        <f>SUM(A41:D41)</f>
        <v>1.4</v>
      </c>
      <c r="F41" s="10">
        <f t="shared" ref="F41:AL41" ca="1" si="9">($B$41*H.Ge+$C$41*H.Ga+$D$41*H.Se)*F$40*$B$2/1000</f>
        <v>-36.639853033200005</v>
      </c>
      <c r="G41" s="10">
        <f t="shared" ca="1" si="9"/>
        <v>-37.608976519679999</v>
      </c>
      <c r="H41" s="10">
        <f t="shared" ca="1" si="9"/>
        <v>-37.867415790599999</v>
      </c>
      <c r="I41" s="10">
        <f t="shared" ca="1" si="9"/>
        <v>-38.143845644040006</v>
      </c>
      <c r="J41" s="10">
        <f t="shared" ca="1" si="9"/>
        <v>-38.419726740480002</v>
      </c>
      <c r="K41" s="10">
        <f t="shared" ca="1" si="9"/>
        <v>-38.699550905400002</v>
      </c>
      <c r="L41" s="10">
        <f t="shared" ca="1" si="9"/>
        <v>-38.99004689736001</v>
      </c>
      <c r="M41" s="10">
        <f t="shared" ca="1" si="9"/>
        <v>-39.282049476720005</v>
      </c>
      <c r="N41" s="10">
        <f t="shared" ca="1" si="9"/>
        <v>-39.586709385719999</v>
      </c>
      <c r="O41" s="10">
        <f t="shared" ca="1" si="9"/>
        <v>-39.896919389760001</v>
      </c>
      <c r="P41" s="10">
        <f t="shared" ca="1" si="9"/>
        <v>-41.183131965000001</v>
      </c>
      <c r="Q41" s="10">
        <f t="shared" ca="1" si="9"/>
        <v>-42.567007322400009</v>
      </c>
      <c r="R41" s="10">
        <f t="shared" ca="1" si="9"/>
        <v>-42.958304321400014</v>
      </c>
      <c r="S41" s="10">
        <f t="shared" ca="1" si="9"/>
        <v>-43.35610924584001</v>
      </c>
      <c r="T41" s="10">
        <f t="shared" ca="1" si="9"/>
        <v>-43.793476556760005</v>
      </c>
      <c r="U41" s="10">
        <f t="shared" ca="1" si="9"/>
        <v>-44.280786741120004</v>
      </c>
      <c r="V41" s="10">
        <f t="shared" ca="1" si="9"/>
        <v>-44.824295628720009</v>
      </c>
      <c r="W41" s="10">
        <f t="shared" ca="1" si="9"/>
        <v>-45.478791783600002</v>
      </c>
      <c r="X41" s="10">
        <f t="shared" ca="1" si="9"/>
        <v>-46.229026545791996</v>
      </c>
      <c r="Y41" s="10">
        <f t="shared" ca="1" si="9"/>
        <v>-47.099749188576006</v>
      </c>
      <c r="Z41" s="10">
        <f t="shared" ca="1" si="9"/>
        <v>-48.009987124512001</v>
      </c>
      <c r="AA41" s="10">
        <f t="shared" ca="1" si="9"/>
        <v>-48.978240448680005</v>
      </c>
      <c r="AB41" s="10">
        <f t="shared" ca="1" si="9"/>
        <v>-49.945983728160002</v>
      </c>
      <c r="AC41" s="10">
        <f t="shared" ca="1" si="9"/>
        <v>-50.951764714368004</v>
      </c>
      <c r="AD41" s="10">
        <f t="shared" ca="1" si="9"/>
        <v>-51.956741655167995</v>
      </c>
      <c r="AE41" s="10">
        <f t="shared" ca="1" si="9"/>
        <v>-53.099892016704004</v>
      </c>
      <c r="AF41" s="10">
        <f t="shared" ca="1" si="9"/>
        <v>-54.400838018975996</v>
      </c>
      <c r="AG41" s="10">
        <f t="shared" ca="1" si="9"/>
        <v>-55.79580491937601</v>
      </c>
      <c r="AH41" s="10">
        <f t="shared" ca="1" si="9"/>
        <v>-57.245487349247995</v>
      </c>
      <c r="AI41" s="10">
        <f t="shared" ca="1" si="9"/>
        <v>-58.719786685560003</v>
      </c>
      <c r="AJ41" s="10">
        <f t="shared" ca="1" si="9"/>
        <v>-60.207747876143998</v>
      </c>
      <c r="AK41" s="10">
        <f t="shared" ca="1" si="9"/>
        <v>-61.727940857880007</v>
      </c>
      <c r="AL41" s="10">
        <f t="shared" ca="1" si="9"/>
        <v>-67.898202480000009</v>
      </c>
    </row>
    <row r="42" spans="1:54" ht="176.25" customHeight="1" outlineLevel="1" x14ac:dyDescent="0.35"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</row>
    <row r="43" spans="1:54" ht="21" customHeight="1" x14ac:dyDescent="0.35"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</row>
    <row r="44" spans="1:54" ht="21" customHeight="1" x14ac:dyDescent="0.4">
      <c r="A44" s="75"/>
      <c r="B44" s="75"/>
      <c r="C44" s="75"/>
      <c r="D44" s="75"/>
      <c r="E44" s="74" t="s">
        <v>22</v>
      </c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</row>
    <row r="45" spans="1:54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10">E3</f>
        <v>Temperature,К</v>
      </c>
      <c r="F45" s="3">
        <f t="shared" si="10"/>
        <v>273.10000000000002</v>
      </c>
      <c r="G45" s="3">
        <f t="shared" si="10"/>
        <v>339.2</v>
      </c>
      <c r="H45" s="3">
        <f t="shared" si="10"/>
        <v>355.7</v>
      </c>
      <c r="I45" s="3">
        <f t="shared" si="10"/>
        <v>372.3</v>
      </c>
      <c r="J45" s="3">
        <f t="shared" si="10"/>
        <v>388.8</v>
      </c>
      <c r="K45" s="3">
        <f t="shared" si="10"/>
        <v>405.3</v>
      </c>
      <c r="L45" s="3">
        <f t="shared" si="10"/>
        <v>421.8</v>
      </c>
      <c r="M45" s="3">
        <f t="shared" si="10"/>
        <v>438.3</v>
      </c>
      <c r="N45" s="3">
        <f t="shared" si="10"/>
        <v>454.9</v>
      </c>
      <c r="O45" s="3">
        <f t="shared" si="10"/>
        <v>471.4</v>
      </c>
      <c r="P45" s="3">
        <f t="shared" si="10"/>
        <v>537.5</v>
      </c>
      <c r="Q45" s="3">
        <f t="shared" si="10"/>
        <v>603.5</v>
      </c>
      <c r="R45" s="3">
        <f t="shared" si="10"/>
        <v>620.1</v>
      </c>
      <c r="S45" s="3">
        <f t="shared" si="10"/>
        <v>636.6</v>
      </c>
      <c r="T45" s="3">
        <f t="shared" si="10"/>
        <v>653.1</v>
      </c>
      <c r="U45" s="3">
        <f t="shared" si="10"/>
        <v>669.6</v>
      </c>
      <c r="V45" s="3">
        <f t="shared" si="10"/>
        <v>686.1</v>
      </c>
      <c r="W45" s="3">
        <f t="shared" si="10"/>
        <v>702.7</v>
      </c>
      <c r="X45" s="3">
        <f t="shared" si="10"/>
        <v>719.2</v>
      </c>
      <c r="Y45" s="3">
        <f t="shared" si="10"/>
        <v>735.7</v>
      </c>
      <c r="Z45" s="3">
        <f t="shared" si="10"/>
        <v>752.2</v>
      </c>
      <c r="AA45" s="3">
        <f t="shared" si="10"/>
        <v>768.7</v>
      </c>
      <c r="AB45" s="3">
        <f t="shared" si="10"/>
        <v>785.2</v>
      </c>
      <c r="AC45" s="3">
        <f t="shared" si="10"/>
        <v>801.8</v>
      </c>
      <c r="AD45" s="3">
        <f t="shared" si="10"/>
        <v>818.3</v>
      </c>
      <c r="AE45" s="3">
        <f t="shared" si="10"/>
        <v>834.8</v>
      </c>
      <c r="AF45" s="3">
        <f t="shared" si="10"/>
        <v>851.3</v>
      </c>
      <c r="AG45" s="3">
        <f t="shared" si="10"/>
        <v>867.8</v>
      </c>
      <c r="AH45" s="3">
        <f t="shared" si="10"/>
        <v>884.4</v>
      </c>
      <c r="AI45" s="3">
        <f t="shared" si="10"/>
        <v>900.9</v>
      </c>
      <c r="AJ45" s="3">
        <f t="shared" si="10"/>
        <v>917.4</v>
      </c>
      <c r="AK45" s="3">
        <f t="shared" si="10"/>
        <v>933.9</v>
      </c>
      <c r="AL45" s="3">
        <f t="shared" si="10"/>
        <v>1000</v>
      </c>
    </row>
    <row r="46" spans="1:54" ht="21" hidden="1" customHeight="1" outlineLevel="1" thickTop="1" thickBot="1" x14ac:dyDescent="0.4">
      <c r="A46" s="5">
        <f t="shared" ref="A46:E55" si="11">A4</f>
        <v>0</v>
      </c>
      <c r="B46" s="5">
        <f t="shared" si="11"/>
        <v>1</v>
      </c>
      <c r="C46" s="5">
        <f t="shared" si="11"/>
        <v>0</v>
      </c>
      <c r="D46" s="5">
        <f t="shared" si="11"/>
        <v>0</v>
      </c>
      <c r="E46" s="6" t="str">
        <f t="shared" si="11"/>
        <v>*Se[m]</v>
      </c>
      <c r="F46" s="14">
        <f t="shared" ref="F46:U55" ca="1" si="12">$A46*H.Ar + $B46*H.Se + $C46*H.Ge + $D46*H.Ga</f>
        <v>-45.84</v>
      </c>
      <c r="G46" s="14">
        <f t="shared" ca="1" si="12"/>
        <v>-36.31</v>
      </c>
      <c r="H46" s="14">
        <f t="shared" ca="1" si="12"/>
        <v>-34.75</v>
      </c>
      <c r="I46" s="14">
        <f t="shared" ca="1" si="12"/>
        <v>-33.590000000000003</v>
      </c>
      <c r="J46" s="14">
        <f t="shared" ca="1" si="12"/>
        <v>-32.64</v>
      </c>
      <c r="K46" s="14">
        <f t="shared" ca="1" si="12"/>
        <v>-31.81</v>
      </c>
      <c r="L46" s="14">
        <f t="shared" ca="1" si="12"/>
        <v>-31.07</v>
      </c>
      <c r="M46" s="14">
        <f t="shared" ca="1" si="12"/>
        <v>-30.4</v>
      </c>
      <c r="N46" s="14">
        <f t="shared" ca="1" si="12"/>
        <v>-29.79</v>
      </c>
      <c r="O46" s="14">
        <f t="shared" ca="1" si="12"/>
        <v>-29.24</v>
      </c>
      <c r="P46" s="14">
        <f t="shared" ca="1" si="12"/>
        <v>-27.47</v>
      </c>
      <c r="Q46" s="14">
        <f t="shared" ca="1" si="12"/>
        <v>-26.24</v>
      </c>
      <c r="R46" s="14">
        <f t="shared" ca="1" si="12"/>
        <v>-26.01</v>
      </c>
      <c r="S46" s="14">
        <f t="shared" ca="1" si="12"/>
        <v>-25.81</v>
      </c>
      <c r="T46" s="14">
        <f t="shared" ca="1" si="12"/>
        <v>-25.65</v>
      </c>
      <c r="U46" s="14">
        <f t="shared" ca="1" si="12"/>
        <v>-25.54</v>
      </c>
      <c r="V46" s="14">
        <f t="shared" ref="G46:AL54" ca="1" si="13">$A46*H.Ar + $B46*H.Se + $C46*H.Ge + $D46*H.Ga</f>
        <v>-25.48</v>
      </c>
      <c r="W46" s="14">
        <f t="shared" ca="1" si="13"/>
        <v>-25.5</v>
      </c>
      <c r="X46" s="14">
        <f t="shared" ca="1" si="13"/>
        <v>-25.59</v>
      </c>
      <c r="Y46" s="14">
        <f t="shared" ca="1" si="13"/>
        <v>-25.76</v>
      </c>
      <c r="Z46" s="14">
        <f t="shared" ca="1" si="13"/>
        <v>-25.95</v>
      </c>
      <c r="AA46" s="14">
        <f t="shared" ca="1" si="13"/>
        <v>-26.17</v>
      </c>
      <c r="AB46" s="14">
        <f t="shared" ca="1" si="13"/>
        <v>-26.38</v>
      </c>
      <c r="AC46" s="14">
        <f t="shared" ca="1" si="13"/>
        <v>-26.6</v>
      </c>
      <c r="AD46" s="14">
        <f t="shared" ca="1" si="13"/>
        <v>-26.8</v>
      </c>
      <c r="AE46" s="14">
        <f t="shared" ca="1" si="13"/>
        <v>-26.82</v>
      </c>
      <c r="AF46" s="14">
        <f t="shared" ca="1" si="13"/>
        <v>-26.93</v>
      </c>
      <c r="AG46" s="14">
        <f t="shared" ca="1" si="13"/>
        <v>-27.09</v>
      </c>
      <c r="AH46" s="14">
        <f t="shared" ca="1" si="13"/>
        <v>-27.27</v>
      </c>
      <c r="AI46" s="14">
        <f t="shared" ca="1" si="13"/>
        <v>-27.46</v>
      </c>
      <c r="AJ46" s="14">
        <f t="shared" ca="1" si="13"/>
        <v>-27.65</v>
      </c>
      <c r="AK46" s="14">
        <f t="shared" ca="1" si="13"/>
        <v>-27.85</v>
      </c>
      <c r="AL46" s="14">
        <f t="shared" ca="1" si="13"/>
        <v>-28.62</v>
      </c>
    </row>
    <row r="47" spans="1:54" ht="21" hidden="1" customHeight="1" outlineLevel="1" thickBot="1" x14ac:dyDescent="0.4">
      <c r="A47" s="5">
        <f t="shared" si="11"/>
        <v>0</v>
      </c>
      <c r="B47" s="5">
        <f t="shared" si="11"/>
        <v>3</v>
      </c>
      <c r="C47" s="5">
        <f t="shared" si="11"/>
        <v>0</v>
      </c>
      <c r="D47" s="5">
        <f t="shared" si="11"/>
        <v>2</v>
      </c>
      <c r="E47" s="6" t="str">
        <f t="shared" si="11"/>
        <v>*Ga2Se3</v>
      </c>
      <c r="F47" s="14">
        <f t="shared" ca="1" si="12"/>
        <v>-201.70000000000002</v>
      </c>
      <c r="G47" s="14">
        <f t="shared" ca="1" si="13"/>
        <v>-166.69</v>
      </c>
      <c r="H47" s="14">
        <f t="shared" ca="1" si="13"/>
        <v>-160.05000000000001</v>
      </c>
      <c r="I47" s="14">
        <f t="shared" ca="1" si="13"/>
        <v>-154.03</v>
      </c>
      <c r="J47" s="14">
        <f t="shared" ca="1" si="13"/>
        <v>-148.56</v>
      </c>
      <c r="K47" s="14">
        <f t="shared" ca="1" si="13"/>
        <v>-143.54999999999998</v>
      </c>
      <c r="L47" s="14">
        <f t="shared" ca="1" si="13"/>
        <v>-138.97</v>
      </c>
      <c r="M47" s="14">
        <f t="shared" ca="1" si="13"/>
        <v>-134.73999999999998</v>
      </c>
      <c r="N47" s="14">
        <f t="shared" ca="1" si="13"/>
        <v>-130.83000000000001</v>
      </c>
      <c r="O47" s="14">
        <f t="shared" ca="1" si="13"/>
        <v>-127.24000000000001</v>
      </c>
      <c r="P47" s="14">
        <f t="shared" ca="1" si="13"/>
        <v>-115.19</v>
      </c>
      <c r="Q47" s="14">
        <f t="shared" ca="1" si="13"/>
        <v>-106.03999999999999</v>
      </c>
      <c r="R47" s="14">
        <f t="shared" ca="1" si="13"/>
        <v>-104.15</v>
      </c>
      <c r="S47" s="14">
        <f t="shared" ca="1" si="13"/>
        <v>-102.38999999999999</v>
      </c>
      <c r="T47" s="14">
        <f t="shared" ca="1" si="13"/>
        <v>-100.80999999999999</v>
      </c>
      <c r="U47" s="14">
        <f t="shared" ca="1" si="13"/>
        <v>-99.42</v>
      </c>
      <c r="V47" s="14">
        <f t="shared" ca="1" si="13"/>
        <v>-98.22</v>
      </c>
      <c r="W47" s="14">
        <f t="shared" ca="1" si="13"/>
        <v>-97.3</v>
      </c>
      <c r="X47" s="14">
        <f t="shared" ca="1" si="13"/>
        <v>-96.635999999999996</v>
      </c>
      <c r="Y47" s="14">
        <f t="shared" ca="1" si="13"/>
        <v>-96.248000000000005</v>
      </c>
      <c r="Z47" s="14">
        <f t="shared" ca="1" si="13"/>
        <v>-95.955999999999989</v>
      </c>
      <c r="AA47" s="14">
        <f t="shared" ca="1" si="13"/>
        <v>-95.79</v>
      </c>
      <c r="AB47" s="14">
        <f t="shared" ca="1" si="13"/>
        <v>-95.63</v>
      </c>
      <c r="AC47" s="14">
        <f t="shared" ca="1" si="13"/>
        <v>-95.536000000000016</v>
      </c>
      <c r="AD47" s="14">
        <f t="shared" ca="1" si="13"/>
        <v>-95.456000000000003</v>
      </c>
      <c r="AE47" s="14">
        <f t="shared" ca="1" si="13"/>
        <v>-95.628000000000014</v>
      </c>
      <c r="AF47" s="14">
        <f t="shared" ca="1" si="13"/>
        <v>-96.071999999999989</v>
      </c>
      <c r="AG47" s="14">
        <f t="shared" ca="1" si="13"/>
        <v>-96.661999999999992</v>
      </c>
      <c r="AH47" s="14">
        <f t="shared" ca="1" si="13"/>
        <v>-97.311999999999998</v>
      </c>
      <c r="AI47" s="14">
        <f t="shared" ca="1" si="13"/>
        <v>-97.99</v>
      </c>
      <c r="AJ47" s="14">
        <f t="shared" ca="1" si="13"/>
        <v>-98.665999999999983</v>
      </c>
      <c r="AK47" s="14">
        <f t="shared" ca="1" si="13"/>
        <v>-99.37</v>
      </c>
      <c r="AL47" s="14">
        <f t="shared" ca="1" si="13"/>
        <v>-102.078</v>
      </c>
    </row>
    <row r="48" spans="1:54" ht="21" hidden="1" customHeight="1" outlineLevel="1" thickBot="1" x14ac:dyDescent="0.4">
      <c r="A48" s="5">
        <f t="shared" si="11"/>
        <v>0</v>
      </c>
      <c r="B48" s="5">
        <f t="shared" si="11"/>
        <v>0</v>
      </c>
      <c r="C48" s="5">
        <f t="shared" si="11"/>
        <v>0</v>
      </c>
      <c r="D48" s="5">
        <f t="shared" si="11"/>
        <v>1</v>
      </c>
      <c r="E48" s="6" t="str">
        <f t="shared" si="11"/>
        <v>*Ga[1]</v>
      </c>
      <c r="F48" s="14">
        <f t="shared" ca="1" si="12"/>
        <v>-32.090000000000003</v>
      </c>
      <c r="G48" s="14">
        <f t="shared" ca="1" si="13"/>
        <v>-28.88</v>
      </c>
      <c r="H48" s="14">
        <f t="shared" ca="1" si="13"/>
        <v>-27.9</v>
      </c>
      <c r="I48" s="14">
        <f t="shared" ca="1" si="13"/>
        <v>-26.63</v>
      </c>
      <c r="J48" s="14">
        <f t="shared" ca="1" si="13"/>
        <v>-25.32</v>
      </c>
      <c r="K48" s="14">
        <f t="shared" ca="1" si="13"/>
        <v>-24.06</v>
      </c>
      <c r="L48" s="14">
        <f t="shared" ca="1" si="13"/>
        <v>-22.88</v>
      </c>
      <c r="M48" s="14">
        <f t="shared" ca="1" si="13"/>
        <v>-21.77</v>
      </c>
      <c r="N48" s="14">
        <f t="shared" ca="1" si="13"/>
        <v>-20.73</v>
      </c>
      <c r="O48" s="14">
        <f t="shared" ca="1" si="13"/>
        <v>-19.760000000000002</v>
      </c>
      <c r="P48" s="14">
        <f t="shared" ca="1" si="13"/>
        <v>-16.39</v>
      </c>
      <c r="Q48" s="14">
        <f t="shared" ca="1" si="13"/>
        <v>-13.66</v>
      </c>
      <c r="R48" s="14">
        <f t="shared" ca="1" si="13"/>
        <v>-13.06</v>
      </c>
      <c r="S48" s="14">
        <f t="shared" ca="1" si="13"/>
        <v>-12.48</v>
      </c>
      <c r="T48" s="14">
        <f t="shared" ca="1" si="13"/>
        <v>-11.93</v>
      </c>
      <c r="U48" s="14">
        <f t="shared" ca="1" si="13"/>
        <v>-11.4</v>
      </c>
      <c r="V48" s="14">
        <f t="shared" ca="1" si="13"/>
        <v>-10.89</v>
      </c>
      <c r="W48" s="14">
        <f t="shared" ca="1" si="13"/>
        <v>-10.4</v>
      </c>
      <c r="X48" s="14">
        <f t="shared" ca="1" si="13"/>
        <v>-9.9329999999999998</v>
      </c>
      <c r="Y48" s="14">
        <f t="shared" ca="1" si="13"/>
        <v>-9.484</v>
      </c>
      <c r="Z48" s="14">
        <f t="shared" ca="1" si="13"/>
        <v>-9.0530000000000008</v>
      </c>
      <c r="AA48" s="14">
        <f t="shared" ca="1" si="13"/>
        <v>-8.64</v>
      </c>
      <c r="AB48" s="14">
        <f t="shared" ca="1" si="13"/>
        <v>-8.2449999999999992</v>
      </c>
      <c r="AC48" s="14">
        <f t="shared" ca="1" si="13"/>
        <v>-7.8680000000000003</v>
      </c>
      <c r="AD48" s="14">
        <f t="shared" ca="1" si="13"/>
        <v>-7.5279999999999996</v>
      </c>
      <c r="AE48" s="14">
        <f t="shared" ca="1" si="13"/>
        <v>-7.5839999999999996</v>
      </c>
      <c r="AF48" s="14">
        <f t="shared" ca="1" si="13"/>
        <v>-7.641</v>
      </c>
      <c r="AG48" s="14">
        <f t="shared" ca="1" si="13"/>
        <v>-7.6959999999999997</v>
      </c>
      <c r="AH48" s="14">
        <f t="shared" ca="1" si="13"/>
        <v>-7.7510000000000003</v>
      </c>
      <c r="AI48" s="14">
        <f t="shared" ca="1" si="13"/>
        <v>-7.8049999999999997</v>
      </c>
      <c r="AJ48" s="14">
        <f t="shared" ca="1" si="13"/>
        <v>-7.8579999999999997</v>
      </c>
      <c r="AK48" s="14">
        <f t="shared" ca="1" si="13"/>
        <v>-7.91</v>
      </c>
      <c r="AL48" s="14">
        <f t="shared" ca="1" si="13"/>
        <v>-8.109</v>
      </c>
    </row>
    <row r="49" spans="1:38" ht="21" hidden="1" customHeight="1" outlineLevel="1" thickBot="1" x14ac:dyDescent="0.4">
      <c r="A49" s="5">
        <f t="shared" si="11"/>
        <v>0</v>
      </c>
      <c r="B49" s="5">
        <f t="shared" si="11"/>
        <v>0</v>
      </c>
      <c r="C49" s="5">
        <f t="shared" si="11"/>
        <v>0</v>
      </c>
      <c r="D49" s="5">
        <f t="shared" si="11"/>
        <v>1</v>
      </c>
      <c r="E49" s="6" t="str">
        <f t="shared" si="11"/>
        <v>Ga</v>
      </c>
      <c r="F49" s="14">
        <f t="shared" ca="1" si="12"/>
        <v>-32.090000000000003</v>
      </c>
      <c r="G49" s="14">
        <f t="shared" ca="1" si="13"/>
        <v>-28.88</v>
      </c>
      <c r="H49" s="14">
        <f t="shared" ca="1" si="13"/>
        <v>-27.9</v>
      </c>
      <c r="I49" s="14">
        <f t="shared" ca="1" si="13"/>
        <v>-26.63</v>
      </c>
      <c r="J49" s="14">
        <f t="shared" ca="1" si="13"/>
        <v>-25.32</v>
      </c>
      <c r="K49" s="14">
        <f t="shared" ca="1" si="13"/>
        <v>-24.06</v>
      </c>
      <c r="L49" s="14">
        <f t="shared" ca="1" si="13"/>
        <v>-22.88</v>
      </c>
      <c r="M49" s="14">
        <f t="shared" ca="1" si="13"/>
        <v>-21.77</v>
      </c>
      <c r="N49" s="14">
        <f t="shared" ca="1" si="13"/>
        <v>-20.73</v>
      </c>
      <c r="O49" s="14">
        <f t="shared" ca="1" si="13"/>
        <v>-19.760000000000002</v>
      </c>
      <c r="P49" s="14">
        <f t="shared" ca="1" si="13"/>
        <v>-16.39</v>
      </c>
      <c r="Q49" s="14">
        <f t="shared" ca="1" si="13"/>
        <v>-13.66</v>
      </c>
      <c r="R49" s="14">
        <f t="shared" ca="1" si="13"/>
        <v>-13.06</v>
      </c>
      <c r="S49" s="14">
        <f t="shared" ca="1" si="13"/>
        <v>-12.48</v>
      </c>
      <c r="T49" s="14">
        <f t="shared" ca="1" si="13"/>
        <v>-11.93</v>
      </c>
      <c r="U49" s="14">
        <f t="shared" ca="1" si="13"/>
        <v>-11.4</v>
      </c>
      <c r="V49" s="14">
        <f t="shared" ca="1" si="13"/>
        <v>-10.89</v>
      </c>
      <c r="W49" s="14">
        <f t="shared" ca="1" si="13"/>
        <v>-10.4</v>
      </c>
      <c r="X49" s="14">
        <f t="shared" ca="1" si="13"/>
        <v>-9.9329999999999998</v>
      </c>
      <c r="Y49" s="14">
        <f t="shared" ca="1" si="13"/>
        <v>-9.484</v>
      </c>
      <c r="Z49" s="14">
        <f t="shared" ca="1" si="13"/>
        <v>-9.0530000000000008</v>
      </c>
      <c r="AA49" s="14">
        <f t="shared" ca="1" si="13"/>
        <v>-8.64</v>
      </c>
      <c r="AB49" s="14">
        <f t="shared" ca="1" si="13"/>
        <v>-8.2449999999999992</v>
      </c>
      <c r="AC49" s="14">
        <f t="shared" ca="1" si="13"/>
        <v>-7.8680000000000003</v>
      </c>
      <c r="AD49" s="14">
        <f t="shared" ca="1" si="13"/>
        <v>-7.5279999999999996</v>
      </c>
      <c r="AE49" s="14">
        <f t="shared" ca="1" si="13"/>
        <v>-7.5839999999999996</v>
      </c>
      <c r="AF49" s="14">
        <f t="shared" ca="1" si="13"/>
        <v>-7.641</v>
      </c>
      <c r="AG49" s="14">
        <f t="shared" ca="1" si="13"/>
        <v>-7.6959999999999997</v>
      </c>
      <c r="AH49" s="14">
        <f t="shared" ca="1" si="13"/>
        <v>-7.7510000000000003</v>
      </c>
      <c r="AI49" s="14">
        <f t="shared" ca="1" si="13"/>
        <v>-7.8049999999999997</v>
      </c>
      <c r="AJ49" s="14">
        <f t="shared" ca="1" si="13"/>
        <v>-7.8579999999999997</v>
      </c>
      <c r="AK49" s="14">
        <f t="shared" ca="1" si="13"/>
        <v>-7.91</v>
      </c>
      <c r="AL49" s="14">
        <f t="shared" ca="1" si="13"/>
        <v>-8.109</v>
      </c>
    </row>
    <row r="50" spans="1:38" ht="21" hidden="1" customHeight="1" outlineLevel="1" thickBot="1" x14ac:dyDescent="0.4">
      <c r="A50" s="5">
        <f t="shared" si="11"/>
        <v>0</v>
      </c>
      <c r="B50" s="5">
        <f t="shared" si="11"/>
        <v>1</v>
      </c>
      <c r="C50" s="5">
        <f t="shared" si="11"/>
        <v>0</v>
      </c>
      <c r="D50" s="5">
        <f t="shared" si="11"/>
        <v>2</v>
      </c>
      <c r="E50" s="6" t="str">
        <f t="shared" si="11"/>
        <v>Ga2Se</v>
      </c>
      <c r="F50" s="14">
        <f t="shared" ca="1" si="12"/>
        <v>-110.02000000000001</v>
      </c>
      <c r="G50" s="14">
        <f t="shared" ca="1" si="13"/>
        <v>-94.07</v>
      </c>
      <c r="H50" s="14">
        <f t="shared" ca="1" si="13"/>
        <v>-90.55</v>
      </c>
      <c r="I50" s="14">
        <f t="shared" ca="1" si="13"/>
        <v>-86.85</v>
      </c>
      <c r="J50" s="14">
        <f t="shared" ca="1" si="13"/>
        <v>-83.28</v>
      </c>
      <c r="K50" s="14">
        <f t="shared" ca="1" si="13"/>
        <v>-79.929999999999993</v>
      </c>
      <c r="L50" s="14">
        <f t="shared" ca="1" si="13"/>
        <v>-76.83</v>
      </c>
      <c r="M50" s="14">
        <f t="shared" ca="1" si="13"/>
        <v>-73.94</v>
      </c>
      <c r="N50" s="14">
        <f t="shared" ca="1" si="13"/>
        <v>-71.25</v>
      </c>
      <c r="O50" s="14">
        <f t="shared" ca="1" si="13"/>
        <v>-68.760000000000005</v>
      </c>
      <c r="P50" s="14">
        <f t="shared" ca="1" si="13"/>
        <v>-60.25</v>
      </c>
      <c r="Q50" s="14">
        <f t="shared" ca="1" si="13"/>
        <v>-53.56</v>
      </c>
      <c r="R50" s="14">
        <f t="shared" ca="1" si="13"/>
        <v>-52.13</v>
      </c>
      <c r="S50" s="14">
        <f t="shared" ca="1" si="13"/>
        <v>-50.769999999999996</v>
      </c>
      <c r="T50" s="14">
        <f t="shared" ca="1" si="13"/>
        <v>-49.51</v>
      </c>
      <c r="U50" s="14">
        <f t="shared" ca="1" si="13"/>
        <v>-48.34</v>
      </c>
      <c r="V50" s="14">
        <f t="shared" ca="1" si="13"/>
        <v>-47.260000000000005</v>
      </c>
      <c r="W50" s="14">
        <f t="shared" ca="1" si="13"/>
        <v>-46.3</v>
      </c>
      <c r="X50" s="14">
        <f t="shared" ca="1" si="13"/>
        <v>-45.456000000000003</v>
      </c>
      <c r="Y50" s="14">
        <f t="shared" ca="1" si="13"/>
        <v>-44.728000000000002</v>
      </c>
      <c r="Z50" s="14">
        <f t="shared" ca="1" si="13"/>
        <v>-44.055999999999997</v>
      </c>
      <c r="AA50" s="14">
        <f t="shared" ca="1" si="13"/>
        <v>-43.45</v>
      </c>
      <c r="AB50" s="14">
        <f t="shared" ca="1" si="13"/>
        <v>-42.87</v>
      </c>
      <c r="AC50" s="14">
        <f t="shared" ca="1" si="13"/>
        <v>-42.335999999999999</v>
      </c>
      <c r="AD50" s="14">
        <f t="shared" ca="1" si="13"/>
        <v>-41.856000000000002</v>
      </c>
      <c r="AE50" s="14">
        <f t="shared" ca="1" si="13"/>
        <v>-41.988</v>
      </c>
      <c r="AF50" s="14">
        <f t="shared" ca="1" si="13"/>
        <v>-42.212000000000003</v>
      </c>
      <c r="AG50" s="14">
        <f t="shared" ca="1" si="13"/>
        <v>-42.481999999999999</v>
      </c>
      <c r="AH50" s="14">
        <f t="shared" ca="1" si="13"/>
        <v>-42.771999999999998</v>
      </c>
      <c r="AI50" s="14">
        <f t="shared" ca="1" si="13"/>
        <v>-43.07</v>
      </c>
      <c r="AJ50" s="14">
        <f t="shared" ca="1" si="13"/>
        <v>-43.366</v>
      </c>
      <c r="AK50" s="14">
        <f t="shared" ca="1" si="13"/>
        <v>-43.67</v>
      </c>
      <c r="AL50" s="14">
        <f t="shared" ca="1" si="13"/>
        <v>-44.838000000000001</v>
      </c>
    </row>
    <row r="51" spans="1:38" ht="21" hidden="1" customHeight="1" outlineLevel="1" thickBot="1" x14ac:dyDescent="0.4">
      <c r="A51" s="5">
        <f t="shared" si="11"/>
        <v>1</v>
      </c>
      <c r="B51" s="5">
        <f t="shared" si="11"/>
        <v>0</v>
      </c>
      <c r="C51" s="5">
        <f t="shared" si="11"/>
        <v>0</v>
      </c>
      <c r="D51" s="5">
        <f t="shared" si="11"/>
        <v>0</v>
      </c>
      <c r="E51" s="6" t="str">
        <f t="shared" si="11"/>
        <v>Ar</v>
      </c>
      <c r="F51" s="14">
        <f t="shared" ca="1" si="12"/>
        <v>-18.62</v>
      </c>
      <c r="G51" s="14">
        <f t="shared" ca="1" si="13"/>
        <v>-18.63</v>
      </c>
      <c r="H51" s="14">
        <f t="shared" ca="1" si="13"/>
        <v>-18.649999999999999</v>
      </c>
      <c r="I51" s="14">
        <f t="shared" ca="1" si="13"/>
        <v>-18.670000000000002</v>
      </c>
      <c r="J51" s="14">
        <f t="shared" ca="1" si="13"/>
        <v>-18.690000000000001</v>
      </c>
      <c r="K51" s="14">
        <f t="shared" ca="1" si="13"/>
        <v>-18.72</v>
      </c>
      <c r="L51" s="14">
        <f t="shared" ca="1" si="13"/>
        <v>-18.75</v>
      </c>
      <c r="M51" s="14">
        <f t="shared" ca="1" si="13"/>
        <v>-18.78</v>
      </c>
      <c r="N51" s="14">
        <f t="shared" ca="1" si="13"/>
        <v>-18.809999999999999</v>
      </c>
      <c r="O51" s="14">
        <f t="shared" ca="1" si="13"/>
        <v>-18.84</v>
      </c>
      <c r="P51" s="14">
        <f t="shared" ca="1" si="13"/>
        <v>-18.97</v>
      </c>
      <c r="Q51" s="14">
        <f t="shared" ca="1" si="13"/>
        <v>-19.11</v>
      </c>
      <c r="R51" s="14">
        <f t="shared" ca="1" si="13"/>
        <v>-19.14</v>
      </c>
      <c r="S51" s="14">
        <f t="shared" ca="1" si="13"/>
        <v>-19.18</v>
      </c>
      <c r="T51" s="14">
        <f t="shared" ca="1" si="13"/>
        <v>-19.21</v>
      </c>
      <c r="U51" s="14">
        <f t="shared" ca="1" si="13"/>
        <v>-19.25</v>
      </c>
      <c r="V51" s="14">
        <f t="shared" ca="1" si="13"/>
        <v>-19.28</v>
      </c>
      <c r="W51" s="14">
        <f t="shared" ca="1" si="13"/>
        <v>-19.32</v>
      </c>
      <c r="X51" s="14">
        <f t="shared" ca="1" si="13"/>
        <v>-19.350000000000001</v>
      </c>
      <c r="Y51" s="14">
        <f t="shared" ca="1" si="13"/>
        <v>-19.38</v>
      </c>
      <c r="Z51" s="14">
        <f t="shared" ca="1" si="13"/>
        <v>-19.420000000000002</v>
      </c>
      <c r="AA51" s="14">
        <f t="shared" ca="1" si="13"/>
        <v>-19.45</v>
      </c>
      <c r="AB51" s="14">
        <f t="shared" ca="1" si="13"/>
        <v>-19.48</v>
      </c>
      <c r="AC51" s="14">
        <f t="shared" ca="1" si="13"/>
        <v>-19.510000000000002</v>
      </c>
      <c r="AD51" s="14">
        <f t="shared" ca="1" si="13"/>
        <v>-19.55</v>
      </c>
      <c r="AE51" s="14">
        <f t="shared" ca="1" si="13"/>
        <v>-19.579999999999998</v>
      </c>
      <c r="AF51" s="14">
        <f t="shared" ca="1" si="13"/>
        <v>-19.61</v>
      </c>
      <c r="AG51" s="14">
        <f t="shared" ca="1" si="13"/>
        <v>-19.64</v>
      </c>
      <c r="AH51" s="14">
        <f t="shared" ca="1" si="13"/>
        <v>-19.670000000000002</v>
      </c>
      <c r="AI51" s="14">
        <f t="shared" ca="1" si="13"/>
        <v>-19.7</v>
      </c>
      <c r="AJ51" s="14">
        <f t="shared" ca="1" si="13"/>
        <v>-19.73</v>
      </c>
      <c r="AK51" s="14">
        <f t="shared" ca="1" si="13"/>
        <v>-19.760000000000002</v>
      </c>
      <c r="AL51" s="14">
        <f t="shared" ca="1" si="13"/>
        <v>-19.88</v>
      </c>
    </row>
    <row r="52" spans="1:38" ht="21" hidden="1" customHeight="1" outlineLevel="1" thickBot="1" x14ac:dyDescent="0.4">
      <c r="A52" s="5">
        <f t="shared" si="11"/>
        <v>0</v>
      </c>
      <c r="B52" s="5">
        <f t="shared" si="11"/>
        <v>3</v>
      </c>
      <c r="C52" s="5">
        <f t="shared" si="11"/>
        <v>0</v>
      </c>
      <c r="D52" s="5">
        <f t="shared" si="11"/>
        <v>2</v>
      </c>
      <c r="E52" s="6" t="str">
        <f t="shared" si="11"/>
        <v>(1)Ga2Se3</v>
      </c>
      <c r="F52" s="14">
        <f t="shared" ca="1" si="12"/>
        <v>-201.70000000000002</v>
      </c>
      <c r="G52" s="14">
        <f t="shared" ca="1" si="13"/>
        <v>-166.69</v>
      </c>
      <c r="H52" s="14">
        <f t="shared" ca="1" si="13"/>
        <v>-160.05000000000001</v>
      </c>
      <c r="I52" s="14">
        <f t="shared" ca="1" si="13"/>
        <v>-154.03</v>
      </c>
      <c r="J52" s="14">
        <f t="shared" ca="1" si="13"/>
        <v>-148.56</v>
      </c>
      <c r="K52" s="14">
        <f t="shared" ca="1" si="13"/>
        <v>-143.54999999999998</v>
      </c>
      <c r="L52" s="14">
        <f t="shared" ca="1" si="13"/>
        <v>-138.97</v>
      </c>
      <c r="M52" s="14">
        <f t="shared" ca="1" si="13"/>
        <v>-134.73999999999998</v>
      </c>
      <c r="N52" s="14">
        <f t="shared" ca="1" si="13"/>
        <v>-130.83000000000001</v>
      </c>
      <c r="O52" s="14">
        <f t="shared" ca="1" si="13"/>
        <v>-127.24000000000001</v>
      </c>
      <c r="P52" s="14">
        <f t="shared" ca="1" si="13"/>
        <v>-115.19</v>
      </c>
      <c r="Q52" s="14">
        <f t="shared" ca="1" si="13"/>
        <v>-106.03999999999999</v>
      </c>
      <c r="R52" s="14">
        <f t="shared" ca="1" si="13"/>
        <v>-104.15</v>
      </c>
      <c r="S52" s="14">
        <f t="shared" ca="1" si="13"/>
        <v>-102.38999999999999</v>
      </c>
      <c r="T52" s="14">
        <f t="shared" ca="1" si="13"/>
        <v>-100.80999999999999</v>
      </c>
      <c r="U52" s="14">
        <f t="shared" ca="1" si="13"/>
        <v>-99.42</v>
      </c>
      <c r="V52" s="14">
        <f t="shared" ca="1" si="13"/>
        <v>-98.22</v>
      </c>
      <c r="W52" s="14">
        <f t="shared" ca="1" si="13"/>
        <v>-97.3</v>
      </c>
      <c r="X52" s="14">
        <f t="shared" ca="1" si="13"/>
        <v>-96.635999999999996</v>
      </c>
      <c r="Y52" s="14">
        <f t="shared" ca="1" si="13"/>
        <v>-96.248000000000005</v>
      </c>
      <c r="Z52" s="14">
        <f t="shared" ca="1" si="13"/>
        <v>-95.955999999999989</v>
      </c>
      <c r="AA52" s="14">
        <f t="shared" ca="1" si="13"/>
        <v>-95.79</v>
      </c>
      <c r="AB52" s="14">
        <f t="shared" ca="1" si="13"/>
        <v>-95.63</v>
      </c>
      <c r="AC52" s="14">
        <f t="shared" ca="1" si="13"/>
        <v>-95.536000000000016</v>
      </c>
      <c r="AD52" s="14">
        <f t="shared" ca="1" si="13"/>
        <v>-95.456000000000003</v>
      </c>
      <c r="AE52" s="14">
        <f t="shared" ca="1" si="13"/>
        <v>-95.628000000000014</v>
      </c>
      <c r="AF52" s="14">
        <f t="shared" ca="1" si="13"/>
        <v>-96.071999999999989</v>
      </c>
      <c r="AG52" s="14">
        <f t="shared" ca="1" si="13"/>
        <v>-96.661999999999992</v>
      </c>
      <c r="AH52" s="14">
        <f t="shared" ca="1" si="13"/>
        <v>-97.311999999999998</v>
      </c>
      <c r="AI52" s="14">
        <f t="shared" ca="1" si="13"/>
        <v>-97.99</v>
      </c>
      <c r="AJ52" s="14">
        <f t="shared" ca="1" si="13"/>
        <v>-98.665999999999983</v>
      </c>
      <c r="AK52" s="14">
        <f t="shared" ca="1" si="13"/>
        <v>-99.37</v>
      </c>
      <c r="AL52" s="14">
        <f t="shared" ca="1" si="13"/>
        <v>-102.078</v>
      </c>
    </row>
    <row r="53" spans="1:38" ht="21" hidden="1" customHeight="1" outlineLevel="1" thickBot="1" x14ac:dyDescent="0.4">
      <c r="A53" s="5">
        <f t="shared" si="11"/>
        <v>0</v>
      </c>
      <c r="B53" s="5">
        <f t="shared" si="11"/>
        <v>1</v>
      </c>
      <c r="C53" s="5">
        <f t="shared" si="11"/>
        <v>0</v>
      </c>
      <c r="D53" s="5">
        <f t="shared" si="11"/>
        <v>2</v>
      </c>
      <c r="E53" s="6" t="str">
        <f t="shared" si="11"/>
        <v>(1)Ga2Se</v>
      </c>
      <c r="F53" s="14">
        <f t="shared" ca="1" si="12"/>
        <v>-110.02000000000001</v>
      </c>
      <c r="G53" s="14">
        <f t="shared" ca="1" si="13"/>
        <v>-94.07</v>
      </c>
      <c r="H53" s="14">
        <f t="shared" ca="1" si="13"/>
        <v>-90.55</v>
      </c>
      <c r="I53" s="14">
        <f t="shared" ca="1" si="13"/>
        <v>-86.85</v>
      </c>
      <c r="J53" s="14">
        <f t="shared" ca="1" si="13"/>
        <v>-83.28</v>
      </c>
      <c r="K53" s="14">
        <f t="shared" ca="1" si="13"/>
        <v>-79.929999999999993</v>
      </c>
      <c r="L53" s="14">
        <f t="shared" ca="1" si="13"/>
        <v>-76.83</v>
      </c>
      <c r="M53" s="14">
        <f t="shared" ca="1" si="13"/>
        <v>-73.94</v>
      </c>
      <c r="N53" s="14">
        <f t="shared" ca="1" si="13"/>
        <v>-71.25</v>
      </c>
      <c r="O53" s="14">
        <f t="shared" ca="1" si="13"/>
        <v>-68.760000000000005</v>
      </c>
      <c r="P53" s="14">
        <f t="shared" ca="1" si="13"/>
        <v>-60.25</v>
      </c>
      <c r="Q53" s="14">
        <f t="shared" ca="1" si="13"/>
        <v>-53.56</v>
      </c>
      <c r="R53" s="14">
        <f t="shared" ca="1" si="13"/>
        <v>-52.13</v>
      </c>
      <c r="S53" s="14">
        <f t="shared" ca="1" si="13"/>
        <v>-50.769999999999996</v>
      </c>
      <c r="T53" s="14">
        <f t="shared" ca="1" si="13"/>
        <v>-49.51</v>
      </c>
      <c r="U53" s="14">
        <f t="shared" ca="1" si="13"/>
        <v>-48.34</v>
      </c>
      <c r="V53" s="14">
        <f t="shared" ca="1" si="13"/>
        <v>-47.260000000000005</v>
      </c>
      <c r="W53" s="14">
        <f t="shared" ca="1" si="13"/>
        <v>-46.3</v>
      </c>
      <c r="X53" s="14">
        <f t="shared" ca="1" si="13"/>
        <v>-45.456000000000003</v>
      </c>
      <c r="Y53" s="14">
        <f t="shared" ca="1" si="13"/>
        <v>-44.728000000000002</v>
      </c>
      <c r="Z53" s="14">
        <f t="shared" ca="1" si="13"/>
        <v>-44.055999999999997</v>
      </c>
      <c r="AA53" s="14">
        <f t="shared" ca="1" si="13"/>
        <v>-43.45</v>
      </c>
      <c r="AB53" s="14">
        <f t="shared" ca="1" si="13"/>
        <v>-42.87</v>
      </c>
      <c r="AC53" s="14">
        <f t="shared" ca="1" si="13"/>
        <v>-42.335999999999999</v>
      </c>
      <c r="AD53" s="14">
        <f t="shared" ca="1" si="13"/>
        <v>-41.856000000000002</v>
      </c>
      <c r="AE53" s="14">
        <f t="shared" ca="1" si="13"/>
        <v>-41.988</v>
      </c>
      <c r="AF53" s="14">
        <f t="shared" ca="1" si="13"/>
        <v>-42.212000000000003</v>
      </c>
      <c r="AG53" s="14">
        <f t="shared" ca="1" si="13"/>
        <v>-42.481999999999999</v>
      </c>
      <c r="AH53" s="14">
        <f t="shared" ca="1" si="13"/>
        <v>-42.771999999999998</v>
      </c>
      <c r="AI53" s="14">
        <f t="shared" ca="1" si="13"/>
        <v>-43.07</v>
      </c>
      <c r="AJ53" s="14">
        <f t="shared" ca="1" si="13"/>
        <v>-43.366</v>
      </c>
      <c r="AK53" s="14">
        <f t="shared" ca="1" si="13"/>
        <v>-43.67</v>
      </c>
      <c r="AL53" s="14">
        <f t="shared" ca="1" si="13"/>
        <v>-44.838000000000001</v>
      </c>
    </row>
    <row r="54" spans="1:38" ht="21" hidden="1" customHeight="1" outlineLevel="1" thickBot="1" x14ac:dyDescent="0.4">
      <c r="A54" s="5">
        <f t="shared" si="11"/>
        <v>0</v>
      </c>
      <c r="B54" s="5">
        <f t="shared" si="11"/>
        <v>0</v>
      </c>
      <c r="C54" s="5">
        <f t="shared" si="11"/>
        <v>0</v>
      </c>
      <c r="D54" s="5">
        <f t="shared" si="11"/>
        <v>1</v>
      </c>
      <c r="E54" s="6" t="str">
        <f t="shared" si="11"/>
        <v>(1)Ga</v>
      </c>
      <c r="F54" s="14">
        <f t="shared" ca="1" si="12"/>
        <v>-32.090000000000003</v>
      </c>
      <c r="G54" s="14">
        <f t="shared" ca="1" si="13"/>
        <v>-28.88</v>
      </c>
      <c r="H54" s="14">
        <f t="shared" ca="1" si="13"/>
        <v>-27.9</v>
      </c>
      <c r="I54" s="14">
        <f t="shared" ca="1" si="13"/>
        <v>-26.63</v>
      </c>
      <c r="J54" s="14">
        <f t="shared" ca="1" si="13"/>
        <v>-25.32</v>
      </c>
      <c r="K54" s="14">
        <f t="shared" ca="1" si="13"/>
        <v>-24.06</v>
      </c>
      <c r="L54" s="14">
        <f t="shared" ca="1" si="13"/>
        <v>-22.88</v>
      </c>
      <c r="M54" s="14">
        <f t="shared" ca="1" si="13"/>
        <v>-21.77</v>
      </c>
      <c r="N54" s="14">
        <f t="shared" ca="1" si="13"/>
        <v>-20.73</v>
      </c>
      <c r="O54" s="14">
        <f t="shared" ca="1" si="13"/>
        <v>-19.760000000000002</v>
      </c>
      <c r="P54" s="14">
        <f t="shared" ca="1" si="13"/>
        <v>-16.39</v>
      </c>
      <c r="Q54" s="14">
        <f t="shared" ca="1" si="13"/>
        <v>-13.66</v>
      </c>
      <c r="R54" s="14">
        <f t="shared" ca="1" si="13"/>
        <v>-13.06</v>
      </c>
      <c r="S54" s="14">
        <f t="shared" ca="1" si="13"/>
        <v>-12.48</v>
      </c>
      <c r="T54" s="14">
        <f t="shared" ca="1" si="13"/>
        <v>-11.93</v>
      </c>
      <c r="U54" s="14">
        <f t="shared" ref="G54:AL62" ca="1" si="14">$A54*H.Ar + $B54*H.Se + $C54*H.Ge + $D54*H.Ga</f>
        <v>-11.4</v>
      </c>
      <c r="V54" s="14">
        <f t="shared" ca="1" si="14"/>
        <v>-10.89</v>
      </c>
      <c r="W54" s="14">
        <f t="shared" ca="1" si="14"/>
        <v>-10.4</v>
      </c>
      <c r="X54" s="14">
        <f t="shared" ca="1" si="14"/>
        <v>-9.9329999999999998</v>
      </c>
      <c r="Y54" s="14">
        <f t="shared" ca="1" si="14"/>
        <v>-9.484</v>
      </c>
      <c r="Z54" s="14">
        <f t="shared" ca="1" si="14"/>
        <v>-9.0530000000000008</v>
      </c>
      <c r="AA54" s="14">
        <f t="shared" ca="1" si="14"/>
        <v>-8.64</v>
      </c>
      <c r="AB54" s="14">
        <f t="shared" ca="1" si="14"/>
        <v>-8.2449999999999992</v>
      </c>
      <c r="AC54" s="14">
        <f t="shared" ca="1" si="14"/>
        <v>-7.8680000000000003</v>
      </c>
      <c r="AD54" s="14">
        <f t="shared" ca="1" si="14"/>
        <v>-7.5279999999999996</v>
      </c>
      <c r="AE54" s="14">
        <f t="shared" ca="1" si="14"/>
        <v>-7.5839999999999996</v>
      </c>
      <c r="AF54" s="14">
        <f t="shared" ca="1" si="14"/>
        <v>-7.641</v>
      </c>
      <c r="AG54" s="14">
        <f t="shared" ca="1" si="14"/>
        <v>-7.6959999999999997</v>
      </c>
      <c r="AH54" s="14">
        <f t="shared" ca="1" si="14"/>
        <v>-7.7510000000000003</v>
      </c>
      <c r="AI54" s="14">
        <f t="shared" ca="1" si="14"/>
        <v>-7.8049999999999997</v>
      </c>
      <c r="AJ54" s="14">
        <f t="shared" ca="1" si="14"/>
        <v>-7.8579999999999997</v>
      </c>
      <c r="AK54" s="14">
        <f t="shared" ca="1" si="14"/>
        <v>-7.91</v>
      </c>
      <c r="AL54" s="14">
        <f t="shared" ca="1" si="14"/>
        <v>-8.109</v>
      </c>
    </row>
    <row r="55" spans="1:38" ht="21" hidden="1" customHeight="1" outlineLevel="1" thickBot="1" x14ac:dyDescent="0.4">
      <c r="A55" s="5">
        <f t="shared" si="11"/>
        <v>0</v>
      </c>
      <c r="B55" s="5">
        <f t="shared" si="11"/>
        <v>1</v>
      </c>
      <c r="C55" s="5">
        <f t="shared" si="11"/>
        <v>0</v>
      </c>
      <c r="D55" s="5">
        <f t="shared" si="11"/>
        <v>0</v>
      </c>
      <c r="E55" s="6" t="str">
        <f t="shared" si="11"/>
        <v>(1)Se</v>
      </c>
      <c r="F55" s="14">
        <f t="shared" ca="1" si="12"/>
        <v>-45.84</v>
      </c>
      <c r="G55" s="14">
        <f t="shared" ca="1" si="14"/>
        <v>-36.31</v>
      </c>
      <c r="H55" s="14">
        <f t="shared" ca="1" si="14"/>
        <v>-34.75</v>
      </c>
      <c r="I55" s="14">
        <f t="shared" ca="1" si="14"/>
        <v>-33.590000000000003</v>
      </c>
      <c r="J55" s="14">
        <f t="shared" ca="1" si="14"/>
        <v>-32.64</v>
      </c>
      <c r="K55" s="14">
        <f t="shared" ca="1" si="14"/>
        <v>-31.81</v>
      </c>
      <c r="L55" s="14">
        <f t="shared" ca="1" si="14"/>
        <v>-31.07</v>
      </c>
      <c r="M55" s="14">
        <f t="shared" ca="1" si="14"/>
        <v>-30.4</v>
      </c>
      <c r="N55" s="14">
        <f t="shared" ca="1" si="14"/>
        <v>-29.79</v>
      </c>
      <c r="O55" s="14">
        <f t="shared" ca="1" si="14"/>
        <v>-29.24</v>
      </c>
      <c r="P55" s="14">
        <f t="shared" ca="1" si="14"/>
        <v>-27.47</v>
      </c>
      <c r="Q55" s="14">
        <f t="shared" ca="1" si="14"/>
        <v>-26.24</v>
      </c>
      <c r="R55" s="14">
        <f t="shared" ca="1" si="14"/>
        <v>-26.01</v>
      </c>
      <c r="S55" s="14">
        <f t="shared" ca="1" si="14"/>
        <v>-25.81</v>
      </c>
      <c r="T55" s="14">
        <f t="shared" ca="1" si="14"/>
        <v>-25.65</v>
      </c>
      <c r="U55" s="14">
        <f t="shared" ca="1" si="14"/>
        <v>-25.54</v>
      </c>
      <c r="V55" s="14">
        <f t="shared" ca="1" si="14"/>
        <v>-25.48</v>
      </c>
      <c r="W55" s="14">
        <f t="shared" ca="1" si="14"/>
        <v>-25.5</v>
      </c>
      <c r="X55" s="14">
        <f t="shared" ca="1" si="14"/>
        <v>-25.59</v>
      </c>
      <c r="Y55" s="14">
        <f t="shared" ca="1" si="14"/>
        <v>-25.76</v>
      </c>
      <c r="Z55" s="14">
        <f t="shared" ca="1" si="14"/>
        <v>-25.95</v>
      </c>
      <c r="AA55" s="14">
        <f t="shared" ca="1" si="14"/>
        <v>-26.17</v>
      </c>
      <c r="AB55" s="14">
        <f t="shared" ca="1" si="14"/>
        <v>-26.38</v>
      </c>
      <c r="AC55" s="14">
        <f t="shared" ca="1" si="14"/>
        <v>-26.6</v>
      </c>
      <c r="AD55" s="14">
        <f t="shared" ca="1" si="14"/>
        <v>-26.8</v>
      </c>
      <c r="AE55" s="14">
        <f t="shared" ca="1" si="14"/>
        <v>-26.82</v>
      </c>
      <c r="AF55" s="14">
        <f t="shared" ca="1" si="14"/>
        <v>-26.93</v>
      </c>
      <c r="AG55" s="14">
        <f t="shared" ca="1" si="14"/>
        <v>-27.09</v>
      </c>
      <c r="AH55" s="14">
        <f t="shared" ca="1" si="14"/>
        <v>-27.27</v>
      </c>
      <c r="AI55" s="14">
        <f t="shared" ca="1" si="14"/>
        <v>-27.46</v>
      </c>
      <c r="AJ55" s="14">
        <f t="shared" ca="1" si="14"/>
        <v>-27.65</v>
      </c>
      <c r="AK55" s="14">
        <f t="shared" ca="1" si="14"/>
        <v>-27.85</v>
      </c>
      <c r="AL55" s="14">
        <f t="shared" ca="1" si="14"/>
        <v>-28.62</v>
      </c>
    </row>
    <row r="56" spans="1:38" ht="21" hidden="1" customHeight="1" outlineLevel="1" thickBot="1" x14ac:dyDescent="0.4">
      <c r="A56" s="5">
        <f t="shared" ref="A56:E65" si="15">A14</f>
        <v>0</v>
      </c>
      <c r="B56" s="5">
        <f t="shared" si="15"/>
        <v>1</v>
      </c>
      <c r="C56" s="5">
        <f t="shared" si="15"/>
        <v>0</v>
      </c>
      <c r="D56" s="5">
        <f t="shared" si="15"/>
        <v>0</v>
      </c>
      <c r="E56" s="6" t="str">
        <f t="shared" si="15"/>
        <v>(1)Se[a]</v>
      </c>
      <c r="F56" s="14">
        <f t="shared" ref="F56:U65" ca="1" si="16">$A56*H.Ar + $B56*H.Se + $C56*H.Ge + $D56*H.Ga</f>
        <v>-45.84</v>
      </c>
      <c r="G56" s="14">
        <f t="shared" ca="1" si="16"/>
        <v>-36.31</v>
      </c>
      <c r="H56" s="14">
        <f t="shared" ca="1" si="16"/>
        <v>-34.75</v>
      </c>
      <c r="I56" s="14">
        <f t="shared" ca="1" si="16"/>
        <v>-33.590000000000003</v>
      </c>
      <c r="J56" s="14">
        <f t="shared" ca="1" si="16"/>
        <v>-32.64</v>
      </c>
      <c r="K56" s="14">
        <f t="shared" ca="1" si="16"/>
        <v>-31.81</v>
      </c>
      <c r="L56" s="14">
        <f t="shared" ca="1" si="16"/>
        <v>-31.07</v>
      </c>
      <c r="M56" s="14">
        <f t="shared" ca="1" si="16"/>
        <v>-30.4</v>
      </c>
      <c r="N56" s="14">
        <f t="shared" ca="1" si="16"/>
        <v>-29.79</v>
      </c>
      <c r="O56" s="14">
        <f t="shared" ca="1" si="16"/>
        <v>-29.24</v>
      </c>
      <c r="P56" s="14">
        <f t="shared" ca="1" si="16"/>
        <v>-27.47</v>
      </c>
      <c r="Q56" s="14">
        <f t="shared" ca="1" si="16"/>
        <v>-26.24</v>
      </c>
      <c r="R56" s="14">
        <f t="shared" ca="1" si="16"/>
        <v>-26.01</v>
      </c>
      <c r="S56" s="14">
        <f t="shared" ca="1" si="16"/>
        <v>-25.81</v>
      </c>
      <c r="T56" s="14">
        <f t="shared" ca="1" si="16"/>
        <v>-25.65</v>
      </c>
      <c r="U56" s="14">
        <f t="shared" ca="1" si="16"/>
        <v>-25.54</v>
      </c>
      <c r="V56" s="14">
        <f t="shared" ca="1" si="14"/>
        <v>-25.48</v>
      </c>
      <c r="W56" s="14">
        <f t="shared" ca="1" si="14"/>
        <v>-25.5</v>
      </c>
      <c r="X56" s="14">
        <f t="shared" ca="1" si="14"/>
        <v>-25.59</v>
      </c>
      <c r="Y56" s="14">
        <f t="shared" ca="1" si="14"/>
        <v>-25.76</v>
      </c>
      <c r="Z56" s="14">
        <f t="shared" ca="1" si="14"/>
        <v>-25.95</v>
      </c>
      <c r="AA56" s="14">
        <f t="shared" ca="1" si="14"/>
        <v>-26.17</v>
      </c>
      <c r="AB56" s="14">
        <f t="shared" ca="1" si="14"/>
        <v>-26.38</v>
      </c>
      <c r="AC56" s="14">
        <f t="shared" ca="1" si="14"/>
        <v>-26.6</v>
      </c>
      <c r="AD56" s="14">
        <f t="shared" ca="1" si="14"/>
        <v>-26.8</v>
      </c>
      <c r="AE56" s="14">
        <f t="shared" ca="1" si="14"/>
        <v>-26.82</v>
      </c>
      <c r="AF56" s="14">
        <f t="shared" ca="1" si="14"/>
        <v>-26.93</v>
      </c>
      <c r="AG56" s="14">
        <f t="shared" ca="1" si="14"/>
        <v>-27.09</v>
      </c>
      <c r="AH56" s="14">
        <f t="shared" ca="1" si="14"/>
        <v>-27.27</v>
      </c>
      <c r="AI56" s="14">
        <f t="shared" ca="1" si="14"/>
        <v>-27.46</v>
      </c>
      <c r="AJ56" s="14">
        <f t="shared" ca="1" si="14"/>
        <v>-27.65</v>
      </c>
      <c r="AK56" s="14">
        <f t="shared" ca="1" si="14"/>
        <v>-27.85</v>
      </c>
      <c r="AL56" s="14">
        <f t="shared" ca="1" si="14"/>
        <v>-28.62</v>
      </c>
    </row>
    <row r="57" spans="1:38" ht="21" hidden="1" customHeight="1" outlineLevel="1" thickBot="1" x14ac:dyDescent="0.4">
      <c r="A57" s="5">
        <f t="shared" si="15"/>
        <v>0</v>
      </c>
      <c r="B57" s="5">
        <f t="shared" si="15"/>
        <v>1</v>
      </c>
      <c r="C57" s="5">
        <f t="shared" si="15"/>
        <v>0</v>
      </c>
      <c r="D57" s="5">
        <f t="shared" si="15"/>
        <v>0</v>
      </c>
      <c r="E57" s="6" t="str">
        <f t="shared" si="15"/>
        <v>(1)Se[m]</v>
      </c>
      <c r="F57" s="14">
        <f t="shared" ca="1" si="16"/>
        <v>-45.84</v>
      </c>
      <c r="G57" s="14">
        <f t="shared" ca="1" si="14"/>
        <v>-36.31</v>
      </c>
      <c r="H57" s="14">
        <f t="shared" ca="1" si="14"/>
        <v>-34.75</v>
      </c>
      <c r="I57" s="14">
        <f t="shared" ca="1" si="14"/>
        <v>-33.590000000000003</v>
      </c>
      <c r="J57" s="14">
        <f t="shared" ca="1" si="14"/>
        <v>-32.64</v>
      </c>
      <c r="K57" s="14">
        <f t="shared" ca="1" si="14"/>
        <v>-31.81</v>
      </c>
      <c r="L57" s="14">
        <f t="shared" ca="1" si="14"/>
        <v>-31.07</v>
      </c>
      <c r="M57" s="14">
        <f t="shared" ca="1" si="14"/>
        <v>-30.4</v>
      </c>
      <c r="N57" s="14">
        <f t="shared" ca="1" si="14"/>
        <v>-29.79</v>
      </c>
      <c r="O57" s="14">
        <f t="shared" ca="1" si="14"/>
        <v>-29.24</v>
      </c>
      <c r="P57" s="14">
        <f t="shared" ca="1" si="14"/>
        <v>-27.47</v>
      </c>
      <c r="Q57" s="14">
        <f t="shared" ca="1" si="14"/>
        <v>-26.24</v>
      </c>
      <c r="R57" s="14">
        <f t="shared" ca="1" si="14"/>
        <v>-26.01</v>
      </c>
      <c r="S57" s="14">
        <f t="shared" ca="1" si="14"/>
        <v>-25.81</v>
      </c>
      <c r="T57" s="14">
        <f t="shared" ca="1" si="14"/>
        <v>-25.65</v>
      </c>
      <c r="U57" s="14">
        <f t="shared" ca="1" si="14"/>
        <v>-25.54</v>
      </c>
      <c r="V57" s="14">
        <f t="shared" ca="1" si="14"/>
        <v>-25.48</v>
      </c>
      <c r="W57" s="14">
        <f t="shared" ca="1" si="14"/>
        <v>-25.5</v>
      </c>
      <c r="X57" s="14">
        <f t="shared" ca="1" si="14"/>
        <v>-25.59</v>
      </c>
      <c r="Y57" s="14">
        <f t="shared" ca="1" si="14"/>
        <v>-25.76</v>
      </c>
      <c r="Z57" s="14">
        <f t="shared" ca="1" si="14"/>
        <v>-25.95</v>
      </c>
      <c r="AA57" s="14">
        <f t="shared" ca="1" si="14"/>
        <v>-26.17</v>
      </c>
      <c r="AB57" s="14">
        <f t="shared" ca="1" si="14"/>
        <v>-26.38</v>
      </c>
      <c r="AC57" s="14">
        <f t="shared" ca="1" si="14"/>
        <v>-26.6</v>
      </c>
      <c r="AD57" s="14">
        <f t="shared" ca="1" si="14"/>
        <v>-26.8</v>
      </c>
      <c r="AE57" s="14">
        <f t="shared" ca="1" si="14"/>
        <v>-26.82</v>
      </c>
      <c r="AF57" s="14">
        <f t="shared" ca="1" si="14"/>
        <v>-26.93</v>
      </c>
      <c r="AG57" s="14">
        <f t="shared" ca="1" si="14"/>
        <v>-27.09</v>
      </c>
      <c r="AH57" s="14">
        <f t="shared" ca="1" si="14"/>
        <v>-27.27</v>
      </c>
      <c r="AI57" s="14">
        <f t="shared" ca="1" si="14"/>
        <v>-27.46</v>
      </c>
      <c r="AJ57" s="14">
        <f t="shared" ca="1" si="14"/>
        <v>-27.65</v>
      </c>
      <c r="AK57" s="14">
        <f t="shared" ca="1" si="14"/>
        <v>-27.85</v>
      </c>
      <c r="AL57" s="14">
        <f t="shared" ca="1" si="14"/>
        <v>-28.62</v>
      </c>
    </row>
    <row r="58" spans="1:38" ht="21" hidden="1" customHeight="1" outlineLevel="1" thickBot="1" x14ac:dyDescent="0.4">
      <c r="A58" s="5">
        <f t="shared" si="15"/>
        <v>0</v>
      </c>
      <c r="B58" s="5">
        <f t="shared" si="15"/>
        <v>0</v>
      </c>
      <c r="C58" s="5">
        <f t="shared" si="15"/>
        <v>0</v>
      </c>
      <c r="D58" s="5">
        <f t="shared" si="15"/>
        <v>1</v>
      </c>
      <c r="E58" s="6" t="str">
        <f t="shared" si="15"/>
        <v>(2)Ga[1]</v>
      </c>
      <c r="F58" s="14">
        <f t="shared" ca="1" si="16"/>
        <v>-32.090000000000003</v>
      </c>
      <c r="G58" s="14">
        <f t="shared" ca="1" si="14"/>
        <v>-28.88</v>
      </c>
      <c r="H58" s="14">
        <f t="shared" ca="1" si="14"/>
        <v>-27.9</v>
      </c>
      <c r="I58" s="14">
        <f t="shared" ca="1" si="14"/>
        <v>-26.63</v>
      </c>
      <c r="J58" s="14">
        <f t="shared" ca="1" si="14"/>
        <v>-25.32</v>
      </c>
      <c r="K58" s="14">
        <f t="shared" ca="1" si="14"/>
        <v>-24.06</v>
      </c>
      <c r="L58" s="14">
        <f t="shared" ca="1" si="14"/>
        <v>-22.88</v>
      </c>
      <c r="M58" s="14">
        <f t="shared" ca="1" si="14"/>
        <v>-21.77</v>
      </c>
      <c r="N58" s="14">
        <f t="shared" ca="1" si="14"/>
        <v>-20.73</v>
      </c>
      <c r="O58" s="14">
        <f t="shared" ca="1" si="14"/>
        <v>-19.760000000000002</v>
      </c>
      <c r="P58" s="14">
        <f t="shared" ca="1" si="14"/>
        <v>-16.39</v>
      </c>
      <c r="Q58" s="14">
        <f t="shared" ca="1" si="14"/>
        <v>-13.66</v>
      </c>
      <c r="R58" s="14">
        <f t="shared" ca="1" si="14"/>
        <v>-13.06</v>
      </c>
      <c r="S58" s="14">
        <f t="shared" ca="1" si="14"/>
        <v>-12.48</v>
      </c>
      <c r="T58" s="14">
        <f t="shared" ca="1" si="14"/>
        <v>-11.93</v>
      </c>
      <c r="U58" s="14">
        <f t="shared" ca="1" si="14"/>
        <v>-11.4</v>
      </c>
      <c r="V58" s="14">
        <f t="shared" ca="1" si="14"/>
        <v>-10.89</v>
      </c>
      <c r="W58" s="14">
        <f t="shared" ca="1" si="14"/>
        <v>-10.4</v>
      </c>
      <c r="X58" s="14">
        <f t="shared" ca="1" si="14"/>
        <v>-9.9329999999999998</v>
      </c>
      <c r="Y58" s="14">
        <f t="shared" ca="1" si="14"/>
        <v>-9.484</v>
      </c>
      <c r="Z58" s="14">
        <f t="shared" ca="1" si="14"/>
        <v>-9.0530000000000008</v>
      </c>
      <c r="AA58" s="14">
        <f t="shared" ca="1" si="14"/>
        <v>-8.64</v>
      </c>
      <c r="AB58" s="14">
        <f t="shared" ca="1" si="14"/>
        <v>-8.2449999999999992</v>
      </c>
      <c r="AC58" s="14">
        <f t="shared" ca="1" si="14"/>
        <v>-7.8680000000000003</v>
      </c>
      <c r="AD58" s="14">
        <f t="shared" ca="1" si="14"/>
        <v>-7.5279999999999996</v>
      </c>
      <c r="AE58" s="14">
        <f t="shared" ca="1" si="14"/>
        <v>-7.5839999999999996</v>
      </c>
      <c r="AF58" s="14">
        <f t="shared" ca="1" si="14"/>
        <v>-7.641</v>
      </c>
      <c r="AG58" s="14">
        <f t="shared" ca="1" si="14"/>
        <v>-7.6959999999999997</v>
      </c>
      <c r="AH58" s="14">
        <f t="shared" ca="1" si="14"/>
        <v>-7.7510000000000003</v>
      </c>
      <c r="AI58" s="14">
        <f t="shared" ca="1" si="14"/>
        <v>-7.8049999999999997</v>
      </c>
      <c r="AJ58" s="14">
        <f t="shared" ca="1" si="14"/>
        <v>-7.8579999999999997</v>
      </c>
      <c r="AK58" s="14">
        <f t="shared" ca="1" si="14"/>
        <v>-7.91</v>
      </c>
      <c r="AL58" s="14">
        <f t="shared" ca="1" si="14"/>
        <v>-8.109</v>
      </c>
    </row>
    <row r="59" spans="1:38" ht="21" hidden="1" customHeight="1" outlineLevel="1" thickBot="1" x14ac:dyDescent="0.4">
      <c r="A59" s="5">
        <f t="shared" si="15"/>
        <v>1</v>
      </c>
      <c r="B59" s="5">
        <f t="shared" si="15"/>
        <v>0</v>
      </c>
      <c r="C59" s="5">
        <f t="shared" si="15"/>
        <v>0</v>
      </c>
      <c r="D59" s="5">
        <f t="shared" si="15"/>
        <v>0</v>
      </c>
      <c r="E59" s="6" t="str">
        <f t="shared" si="15"/>
        <v>H (Ar)</v>
      </c>
      <c r="F59" s="14">
        <f t="shared" ca="1" si="16"/>
        <v>-18.62</v>
      </c>
      <c r="G59" s="14">
        <f t="shared" ca="1" si="14"/>
        <v>-18.63</v>
      </c>
      <c r="H59" s="14">
        <f t="shared" ca="1" si="14"/>
        <v>-18.649999999999999</v>
      </c>
      <c r="I59" s="14">
        <f t="shared" ca="1" si="14"/>
        <v>-18.670000000000002</v>
      </c>
      <c r="J59" s="14">
        <f t="shared" ca="1" si="14"/>
        <v>-18.690000000000001</v>
      </c>
      <c r="K59" s="14">
        <f t="shared" ca="1" si="14"/>
        <v>-18.72</v>
      </c>
      <c r="L59" s="14">
        <f t="shared" ca="1" si="14"/>
        <v>-18.75</v>
      </c>
      <c r="M59" s="14">
        <f t="shared" ca="1" si="14"/>
        <v>-18.78</v>
      </c>
      <c r="N59" s="14">
        <f t="shared" ca="1" si="14"/>
        <v>-18.809999999999999</v>
      </c>
      <c r="O59" s="14">
        <f t="shared" ca="1" si="14"/>
        <v>-18.84</v>
      </c>
      <c r="P59" s="14">
        <f t="shared" ca="1" si="14"/>
        <v>-18.97</v>
      </c>
      <c r="Q59" s="14">
        <f t="shared" ca="1" si="14"/>
        <v>-19.11</v>
      </c>
      <c r="R59" s="14">
        <f t="shared" ca="1" si="14"/>
        <v>-19.14</v>
      </c>
      <c r="S59" s="14">
        <f t="shared" ca="1" si="14"/>
        <v>-19.18</v>
      </c>
      <c r="T59" s="14">
        <f t="shared" ca="1" si="14"/>
        <v>-19.21</v>
      </c>
      <c r="U59" s="14">
        <f t="shared" ca="1" si="14"/>
        <v>-19.25</v>
      </c>
      <c r="V59" s="14">
        <f t="shared" ca="1" si="14"/>
        <v>-19.28</v>
      </c>
      <c r="W59" s="14">
        <f t="shared" ca="1" si="14"/>
        <v>-19.32</v>
      </c>
      <c r="X59" s="14">
        <f t="shared" ca="1" si="14"/>
        <v>-19.350000000000001</v>
      </c>
      <c r="Y59" s="14">
        <f t="shared" ca="1" si="14"/>
        <v>-19.38</v>
      </c>
      <c r="Z59" s="14">
        <f t="shared" ca="1" si="14"/>
        <v>-19.420000000000002</v>
      </c>
      <c r="AA59" s="14">
        <f t="shared" ca="1" si="14"/>
        <v>-19.45</v>
      </c>
      <c r="AB59" s="14">
        <f t="shared" ca="1" si="14"/>
        <v>-19.48</v>
      </c>
      <c r="AC59" s="14">
        <f t="shared" ca="1" si="14"/>
        <v>-19.510000000000002</v>
      </c>
      <c r="AD59" s="14">
        <f t="shared" ca="1" si="14"/>
        <v>-19.55</v>
      </c>
      <c r="AE59" s="14">
        <f t="shared" ca="1" si="14"/>
        <v>-19.579999999999998</v>
      </c>
      <c r="AF59" s="14">
        <f t="shared" ca="1" si="14"/>
        <v>-19.61</v>
      </c>
      <c r="AG59" s="14">
        <f t="shared" ca="1" si="14"/>
        <v>-19.64</v>
      </c>
      <c r="AH59" s="14">
        <f t="shared" ca="1" si="14"/>
        <v>-19.670000000000002</v>
      </c>
      <c r="AI59" s="14">
        <f t="shared" ca="1" si="14"/>
        <v>-19.7</v>
      </c>
      <c r="AJ59" s="14">
        <f t="shared" ca="1" si="14"/>
        <v>-19.73</v>
      </c>
      <c r="AK59" s="14">
        <f t="shared" ca="1" si="14"/>
        <v>-19.760000000000002</v>
      </c>
      <c r="AL59" s="14">
        <f t="shared" ca="1" si="14"/>
        <v>-19.88</v>
      </c>
    </row>
    <row r="60" spans="1:38" ht="21" hidden="1" customHeight="1" outlineLevel="1" thickBot="1" x14ac:dyDescent="0.4">
      <c r="A60" s="5">
        <f t="shared" si="15"/>
        <v>0</v>
      </c>
      <c r="B60" s="5">
        <f t="shared" si="15"/>
        <v>0</v>
      </c>
      <c r="C60" s="5">
        <f t="shared" si="15"/>
        <v>0</v>
      </c>
      <c r="D60" s="5">
        <f t="shared" si="15"/>
        <v>1</v>
      </c>
      <c r="E60" s="6" t="str">
        <f t="shared" si="15"/>
        <v>H (Ga)</v>
      </c>
      <c r="F60" s="14">
        <f t="shared" ca="1" si="16"/>
        <v>-32.090000000000003</v>
      </c>
      <c r="G60" s="14">
        <f t="shared" ca="1" si="14"/>
        <v>-28.88</v>
      </c>
      <c r="H60" s="14">
        <f t="shared" ca="1" si="14"/>
        <v>-27.9</v>
      </c>
      <c r="I60" s="14">
        <f t="shared" ca="1" si="14"/>
        <v>-26.63</v>
      </c>
      <c r="J60" s="14">
        <f t="shared" ca="1" si="14"/>
        <v>-25.32</v>
      </c>
      <c r="K60" s="14">
        <f t="shared" ca="1" si="14"/>
        <v>-24.06</v>
      </c>
      <c r="L60" s="14">
        <f t="shared" ca="1" si="14"/>
        <v>-22.88</v>
      </c>
      <c r="M60" s="14">
        <f t="shared" ca="1" si="14"/>
        <v>-21.77</v>
      </c>
      <c r="N60" s="14">
        <f t="shared" ca="1" si="14"/>
        <v>-20.73</v>
      </c>
      <c r="O60" s="14">
        <f t="shared" ca="1" si="14"/>
        <v>-19.760000000000002</v>
      </c>
      <c r="P60" s="14">
        <f t="shared" ca="1" si="14"/>
        <v>-16.39</v>
      </c>
      <c r="Q60" s="14">
        <f t="shared" ca="1" si="14"/>
        <v>-13.66</v>
      </c>
      <c r="R60" s="14">
        <f t="shared" ca="1" si="14"/>
        <v>-13.06</v>
      </c>
      <c r="S60" s="14">
        <f t="shared" ca="1" si="14"/>
        <v>-12.48</v>
      </c>
      <c r="T60" s="14">
        <f t="shared" ca="1" si="14"/>
        <v>-11.93</v>
      </c>
      <c r="U60" s="14">
        <f t="shared" ca="1" si="14"/>
        <v>-11.4</v>
      </c>
      <c r="V60" s="14">
        <f t="shared" ca="1" si="14"/>
        <v>-10.89</v>
      </c>
      <c r="W60" s="14">
        <f t="shared" ca="1" si="14"/>
        <v>-10.4</v>
      </c>
      <c r="X60" s="14">
        <f t="shared" ca="1" si="14"/>
        <v>-9.9329999999999998</v>
      </c>
      <c r="Y60" s="14">
        <f t="shared" ca="1" si="14"/>
        <v>-9.484</v>
      </c>
      <c r="Z60" s="14">
        <f t="shared" ca="1" si="14"/>
        <v>-9.0530000000000008</v>
      </c>
      <c r="AA60" s="14">
        <f t="shared" ca="1" si="14"/>
        <v>-8.64</v>
      </c>
      <c r="AB60" s="14">
        <f t="shared" ca="1" si="14"/>
        <v>-8.2449999999999992</v>
      </c>
      <c r="AC60" s="14">
        <f t="shared" ca="1" si="14"/>
        <v>-7.8680000000000003</v>
      </c>
      <c r="AD60" s="14">
        <f t="shared" ca="1" si="14"/>
        <v>-7.5279999999999996</v>
      </c>
      <c r="AE60" s="14">
        <f t="shared" ca="1" si="14"/>
        <v>-7.5839999999999996</v>
      </c>
      <c r="AF60" s="14">
        <f t="shared" ca="1" si="14"/>
        <v>-7.641</v>
      </c>
      <c r="AG60" s="14">
        <f t="shared" ca="1" si="14"/>
        <v>-7.6959999999999997</v>
      </c>
      <c r="AH60" s="14">
        <f t="shared" ca="1" si="14"/>
        <v>-7.7510000000000003</v>
      </c>
      <c r="AI60" s="14">
        <f t="shared" ca="1" si="14"/>
        <v>-7.8049999999999997</v>
      </c>
      <c r="AJ60" s="14">
        <f t="shared" ca="1" si="14"/>
        <v>-7.8579999999999997</v>
      </c>
      <c r="AK60" s="14">
        <f t="shared" ca="1" si="14"/>
        <v>-7.91</v>
      </c>
      <c r="AL60" s="14">
        <f t="shared" ca="1" si="14"/>
        <v>-8.109</v>
      </c>
    </row>
    <row r="61" spans="1:38" ht="21" hidden="1" customHeight="1" outlineLevel="1" thickBot="1" x14ac:dyDescent="0.4">
      <c r="A61" s="5">
        <f t="shared" si="15"/>
        <v>0</v>
      </c>
      <c r="B61" s="5">
        <f t="shared" si="15"/>
        <v>1</v>
      </c>
      <c r="C61" s="5">
        <f t="shared" si="15"/>
        <v>0</v>
      </c>
      <c r="D61" s="5">
        <f t="shared" si="15"/>
        <v>0</v>
      </c>
      <c r="E61" s="6" t="str">
        <f t="shared" si="15"/>
        <v>H (Se)</v>
      </c>
      <c r="F61" s="14">
        <f t="shared" ca="1" si="16"/>
        <v>-45.84</v>
      </c>
      <c r="G61" s="14">
        <f t="shared" ca="1" si="14"/>
        <v>-36.31</v>
      </c>
      <c r="H61" s="14">
        <f t="shared" ca="1" si="14"/>
        <v>-34.75</v>
      </c>
      <c r="I61" s="14">
        <f t="shared" ca="1" si="14"/>
        <v>-33.590000000000003</v>
      </c>
      <c r="J61" s="14">
        <f t="shared" ca="1" si="14"/>
        <v>-32.64</v>
      </c>
      <c r="K61" s="14">
        <f t="shared" ca="1" si="14"/>
        <v>-31.81</v>
      </c>
      <c r="L61" s="14">
        <f t="shared" ca="1" si="14"/>
        <v>-31.07</v>
      </c>
      <c r="M61" s="14">
        <f t="shared" ca="1" si="14"/>
        <v>-30.4</v>
      </c>
      <c r="N61" s="14">
        <f t="shared" ca="1" si="14"/>
        <v>-29.79</v>
      </c>
      <c r="O61" s="14">
        <f t="shared" ca="1" si="14"/>
        <v>-29.24</v>
      </c>
      <c r="P61" s="14">
        <f t="shared" ca="1" si="14"/>
        <v>-27.47</v>
      </c>
      <c r="Q61" s="14">
        <f t="shared" ca="1" si="14"/>
        <v>-26.24</v>
      </c>
      <c r="R61" s="14">
        <f t="shared" ca="1" si="14"/>
        <v>-26.01</v>
      </c>
      <c r="S61" s="14">
        <f t="shared" ca="1" si="14"/>
        <v>-25.81</v>
      </c>
      <c r="T61" s="14">
        <f t="shared" ca="1" si="14"/>
        <v>-25.65</v>
      </c>
      <c r="U61" s="14">
        <f t="shared" ca="1" si="14"/>
        <v>-25.54</v>
      </c>
      <c r="V61" s="14">
        <f t="shared" ca="1" si="14"/>
        <v>-25.48</v>
      </c>
      <c r="W61" s="14">
        <f t="shared" ca="1" si="14"/>
        <v>-25.5</v>
      </c>
      <c r="X61" s="14">
        <f t="shared" ca="1" si="14"/>
        <v>-25.59</v>
      </c>
      <c r="Y61" s="14">
        <f t="shared" ca="1" si="14"/>
        <v>-25.76</v>
      </c>
      <c r="Z61" s="14">
        <f t="shared" ca="1" si="14"/>
        <v>-25.95</v>
      </c>
      <c r="AA61" s="14">
        <f t="shared" ca="1" si="14"/>
        <v>-26.17</v>
      </c>
      <c r="AB61" s="14">
        <f t="shared" ca="1" si="14"/>
        <v>-26.38</v>
      </c>
      <c r="AC61" s="14">
        <f t="shared" ca="1" si="14"/>
        <v>-26.6</v>
      </c>
      <c r="AD61" s="14">
        <f t="shared" ca="1" si="14"/>
        <v>-26.8</v>
      </c>
      <c r="AE61" s="14">
        <f t="shared" ca="1" si="14"/>
        <v>-26.82</v>
      </c>
      <c r="AF61" s="14">
        <f t="shared" ca="1" si="14"/>
        <v>-26.93</v>
      </c>
      <c r="AG61" s="14">
        <f t="shared" ca="1" si="14"/>
        <v>-27.09</v>
      </c>
      <c r="AH61" s="14">
        <f t="shared" ca="1" si="14"/>
        <v>-27.27</v>
      </c>
      <c r="AI61" s="14">
        <f t="shared" ca="1" si="14"/>
        <v>-27.46</v>
      </c>
      <c r="AJ61" s="14">
        <f t="shared" ca="1" si="14"/>
        <v>-27.65</v>
      </c>
      <c r="AK61" s="14">
        <f t="shared" ca="1" si="14"/>
        <v>-27.85</v>
      </c>
      <c r="AL61" s="14">
        <f t="shared" ca="1" si="14"/>
        <v>-28.62</v>
      </c>
    </row>
    <row r="62" spans="1:38" ht="21" hidden="1" customHeight="1" outlineLevel="1" thickBot="1" x14ac:dyDescent="0.4">
      <c r="A62" s="5">
        <f t="shared" si="15"/>
        <v>0</v>
      </c>
      <c r="B62" s="5">
        <f t="shared" si="15"/>
        <v>0</v>
      </c>
      <c r="C62" s="5">
        <f t="shared" si="15"/>
        <v>0</v>
      </c>
      <c r="D62" s="5">
        <f t="shared" si="15"/>
        <v>0</v>
      </c>
      <c r="E62" s="6">
        <f t="shared" si="15"/>
        <v>0</v>
      </c>
      <c r="F62" s="14">
        <f t="shared" ca="1" si="16"/>
        <v>0</v>
      </c>
      <c r="G62" s="14">
        <f t="shared" ca="1" si="14"/>
        <v>0</v>
      </c>
      <c r="H62" s="14">
        <f t="shared" ca="1" si="14"/>
        <v>0</v>
      </c>
      <c r="I62" s="14">
        <f t="shared" ca="1" si="14"/>
        <v>0</v>
      </c>
      <c r="J62" s="14">
        <f t="shared" ca="1" si="14"/>
        <v>0</v>
      </c>
      <c r="K62" s="14">
        <f t="shared" ca="1" si="14"/>
        <v>0</v>
      </c>
      <c r="L62" s="14">
        <f t="shared" ca="1" si="14"/>
        <v>0</v>
      </c>
      <c r="M62" s="14">
        <f t="shared" ca="1" si="14"/>
        <v>0</v>
      </c>
      <c r="N62" s="14">
        <f t="shared" ca="1" si="14"/>
        <v>0</v>
      </c>
      <c r="O62" s="14">
        <f t="shared" ca="1" si="14"/>
        <v>0</v>
      </c>
      <c r="P62" s="14">
        <f t="shared" ca="1" si="14"/>
        <v>0</v>
      </c>
      <c r="Q62" s="14">
        <f t="shared" ca="1" si="14"/>
        <v>0</v>
      </c>
      <c r="R62" s="14">
        <f t="shared" ca="1" si="14"/>
        <v>0</v>
      </c>
      <c r="S62" s="14">
        <f t="shared" ca="1" si="14"/>
        <v>0</v>
      </c>
      <c r="T62" s="14">
        <f t="shared" ca="1" si="14"/>
        <v>0</v>
      </c>
      <c r="U62" s="14">
        <f t="shared" ca="1" si="14"/>
        <v>0</v>
      </c>
      <c r="V62" s="14">
        <f t="shared" ca="1" si="14"/>
        <v>0</v>
      </c>
      <c r="W62" s="14">
        <f t="shared" ca="1" si="14"/>
        <v>0</v>
      </c>
      <c r="X62" s="14">
        <f t="shared" ca="1" si="14"/>
        <v>0</v>
      </c>
      <c r="Y62" s="14">
        <f t="shared" ca="1" si="14"/>
        <v>0</v>
      </c>
      <c r="Z62" s="14">
        <f t="shared" ca="1" si="14"/>
        <v>0</v>
      </c>
      <c r="AA62" s="14">
        <f t="shared" ca="1" si="14"/>
        <v>0</v>
      </c>
      <c r="AB62" s="14">
        <f t="shared" ca="1" si="14"/>
        <v>0</v>
      </c>
      <c r="AC62" s="14">
        <f t="shared" ca="1" si="14"/>
        <v>0</v>
      </c>
      <c r="AD62" s="14">
        <f t="shared" ca="1" si="14"/>
        <v>0</v>
      </c>
      <c r="AE62" s="14">
        <f t="shared" ca="1" si="14"/>
        <v>0</v>
      </c>
      <c r="AF62" s="14">
        <f t="shared" ca="1" si="14"/>
        <v>0</v>
      </c>
      <c r="AG62" s="14">
        <f t="shared" ca="1" si="14"/>
        <v>0</v>
      </c>
      <c r="AH62" s="14">
        <f t="shared" ca="1" si="14"/>
        <v>0</v>
      </c>
      <c r="AI62" s="14">
        <f t="shared" ref="G62:AL71" ca="1" si="17">$A62*H.Ar + $B62*H.Se + $C62*H.Ge + $D62*H.Ga</f>
        <v>0</v>
      </c>
      <c r="AJ62" s="14">
        <f t="shared" ca="1" si="17"/>
        <v>0</v>
      </c>
      <c r="AK62" s="14">
        <f t="shared" ca="1" si="17"/>
        <v>0</v>
      </c>
      <c r="AL62" s="14">
        <f t="shared" ca="1" si="17"/>
        <v>0</v>
      </c>
    </row>
    <row r="63" spans="1:38" ht="21" hidden="1" customHeight="1" outlineLevel="1" thickBot="1" x14ac:dyDescent="0.4">
      <c r="A63" s="5">
        <f t="shared" si="15"/>
        <v>0</v>
      </c>
      <c r="B63" s="5">
        <f t="shared" si="15"/>
        <v>0</v>
      </c>
      <c r="C63" s="5">
        <f t="shared" si="15"/>
        <v>0</v>
      </c>
      <c r="D63" s="5">
        <f t="shared" si="15"/>
        <v>0</v>
      </c>
      <c r="E63" s="6">
        <f t="shared" si="15"/>
        <v>0</v>
      </c>
      <c r="F63" s="14">
        <f t="shared" ca="1" si="16"/>
        <v>0</v>
      </c>
      <c r="G63" s="14">
        <f t="shared" ca="1" si="17"/>
        <v>0</v>
      </c>
      <c r="H63" s="14">
        <f t="shared" ca="1" si="17"/>
        <v>0</v>
      </c>
      <c r="I63" s="14">
        <f t="shared" ca="1" si="17"/>
        <v>0</v>
      </c>
      <c r="J63" s="14">
        <f t="shared" ca="1" si="17"/>
        <v>0</v>
      </c>
      <c r="K63" s="14">
        <f t="shared" ca="1" si="17"/>
        <v>0</v>
      </c>
      <c r="L63" s="14">
        <f t="shared" ca="1" si="17"/>
        <v>0</v>
      </c>
      <c r="M63" s="14">
        <f t="shared" ca="1" si="17"/>
        <v>0</v>
      </c>
      <c r="N63" s="14">
        <f t="shared" ca="1" si="17"/>
        <v>0</v>
      </c>
      <c r="O63" s="14">
        <f t="shared" ca="1" si="17"/>
        <v>0</v>
      </c>
      <c r="P63" s="14">
        <f t="shared" ca="1" si="17"/>
        <v>0</v>
      </c>
      <c r="Q63" s="14">
        <f t="shared" ca="1" si="17"/>
        <v>0</v>
      </c>
      <c r="R63" s="14">
        <f t="shared" ca="1" si="17"/>
        <v>0</v>
      </c>
      <c r="S63" s="14">
        <f t="shared" ca="1" si="17"/>
        <v>0</v>
      </c>
      <c r="T63" s="14">
        <f t="shared" ca="1" si="17"/>
        <v>0</v>
      </c>
      <c r="U63" s="14">
        <f t="shared" ca="1" si="17"/>
        <v>0</v>
      </c>
      <c r="V63" s="14">
        <f t="shared" ca="1" si="17"/>
        <v>0</v>
      </c>
      <c r="W63" s="14">
        <f t="shared" ca="1" si="17"/>
        <v>0</v>
      </c>
      <c r="X63" s="14">
        <f t="shared" ca="1" si="17"/>
        <v>0</v>
      </c>
      <c r="Y63" s="14">
        <f t="shared" ca="1" si="17"/>
        <v>0</v>
      </c>
      <c r="Z63" s="14">
        <f t="shared" ca="1" si="17"/>
        <v>0</v>
      </c>
      <c r="AA63" s="14">
        <f t="shared" ca="1" si="17"/>
        <v>0</v>
      </c>
      <c r="AB63" s="14">
        <f t="shared" ca="1" si="17"/>
        <v>0</v>
      </c>
      <c r="AC63" s="14">
        <f t="shared" ca="1" si="17"/>
        <v>0</v>
      </c>
      <c r="AD63" s="14">
        <f t="shared" ca="1" si="17"/>
        <v>0</v>
      </c>
      <c r="AE63" s="14">
        <f t="shared" ca="1" si="17"/>
        <v>0</v>
      </c>
      <c r="AF63" s="14">
        <f t="shared" ca="1" si="17"/>
        <v>0</v>
      </c>
      <c r="AG63" s="14">
        <f t="shared" ca="1" si="17"/>
        <v>0</v>
      </c>
      <c r="AH63" s="14">
        <f t="shared" ca="1" si="17"/>
        <v>0</v>
      </c>
      <c r="AI63" s="14">
        <f t="shared" ca="1" si="17"/>
        <v>0</v>
      </c>
      <c r="AJ63" s="14">
        <f t="shared" ca="1" si="17"/>
        <v>0</v>
      </c>
      <c r="AK63" s="14">
        <f t="shared" ca="1" si="17"/>
        <v>0</v>
      </c>
      <c r="AL63" s="14">
        <f t="shared" ca="1" si="17"/>
        <v>0</v>
      </c>
    </row>
    <row r="64" spans="1:38" ht="21" hidden="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>
        <f t="shared" ca="1" si="16"/>
        <v>0</v>
      </c>
      <c r="G64" s="14">
        <f t="shared" ca="1" si="17"/>
        <v>0</v>
      </c>
      <c r="H64" s="14">
        <f t="shared" ca="1" si="17"/>
        <v>0</v>
      </c>
      <c r="I64" s="14">
        <f t="shared" ca="1" si="17"/>
        <v>0</v>
      </c>
      <c r="J64" s="14">
        <f t="shared" ca="1" si="17"/>
        <v>0</v>
      </c>
      <c r="K64" s="14">
        <f t="shared" ca="1" si="17"/>
        <v>0</v>
      </c>
      <c r="L64" s="14">
        <f t="shared" ca="1" si="17"/>
        <v>0</v>
      </c>
      <c r="M64" s="14">
        <f t="shared" ca="1" si="17"/>
        <v>0</v>
      </c>
      <c r="N64" s="14">
        <f t="shared" ca="1" si="17"/>
        <v>0</v>
      </c>
      <c r="O64" s="14">
        <f t="shared" ca="1" si="17"/>
        <v>0</v>
      </c>
      <c r="P64" s="14">
        <f t="shared" ca="1" si="17"/>
        <v>0</v>
      </c>
      <c r="Q64" s="14">
        <f t="shared" ca="1" si="17"/>
        <v>0</v>
      </c>
      <c r="R64" s="14">
        <f t="shared" ca="1" si="17"/>
        <v>0</v>
      </c>
      <c r="S64" s="14">
        <f t="shared" ca="1" si="17"/>
        <v>0</v>
      </c>
      <c r="T64" s="14">
        <f t="shared" ca="1" si="17"/>
        <v>0</v>
      </c>
      <c r="U64" s="14">
        <f t="shared" ca="1" si="17"/>
        <v>0</v>
      </c>
      <c r="V64" s="14">
        <f t="shared" ca="1" si="17"/>
        <v>0</v>
      </c>
      <c r="W64" s="14">
        <f t="shared" ca="1" si="17"/>
        <v>0</v>
      </c>
      <c r="X64" s="14">
        <f t="shared" ca="1" si="17"/>
        <v>0</v>
      </c>
      <c r="Y64" s="14">
        <f t="shared" ca="1" si="17"/>
        <v>0</v>
      </c>
      <c r="Z64" s="14">
        <f t="shared" ca="1" si="17"/>
        <v>0</v>
      </c>
      <c r="AA64" s="14">
        <f t="shared" ca="1" si="17"/>
        <v>0</v>
      </c>
      <c r="AB64" s="14">
        <f t="shared" ca="1" si="17"/>
        <v>0</v>
      </c>
      <c r="AC64" s="14">
        <f t="shared" ca="1" si="17"/>
        <v>0</v>
      </c>
      <c r="AD64" s="14">
        <f t="shared" ca="1" si="17"/>
        <v>0</v>
      </c>
      <c r="AE64" s="14">
        <f t="shared" ca="1" si="17"/>
        <v>0</v>
      </c>
      <c r="AF64" s="14">
        <f t="shared" ca="1" si="17"/>
        <v>0</v>
      </c>
      <c r="AG64" s="14">
        <f t="shared" ca="1" si="17"/>
        <v>0</v>
      </c>
      <c r="AH64" s="14">
        <f t="shared" ca="1" si="17"/>
        <v>0</v>
      </c>
      <c r="AI64" s="14">
        <f t="shared" ca="1" si="17"/>
        <v>0</v>
      </c>
      <c r="AJ64" s="14">
        <f t="shared" ca="1" si="17"/>
        <v>0</v>
      </c>
      <c r="AK64" s="14">
        <f t="shared" ca="1" si="17"/>
        <v>0</v>
      </c>
      <c r="AL64" s="14">
        <f t="shared" ca="1" si="17"/>
        <v>0</v>
      </c>
    </row>
    <row r="65" spans="1:54" ht="21" hidden="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>
        <f t="shared" ca="1" si="16"/>
        <v>0</v>
      </c>
      <c r="G65" s="14">
        <f t="shared" ca="1" si="17"/>
        <v>0</v>
      </c>
      <c r="H65" s="14">
        <f t="shared" ca="1" si="17"/>
        <v>0</v>
      </c>
      <c r="I65" s="14">
        <f t="shared" ca="1" si="17"/>
        <v>0</v>
      </c>
      <c r="J65" s="14">
        <f t="shared" ca="1" si="17"/>
        <v>0</v>
      </c>
      <c r="K65" s="14">
        <f t="shared" ca="1" si="17"/>
        <v>0</v>
      </c>
      <c r="L65" s="14">
        <f t="shared" ca="1" si="17"/>
        <v>0</v>
      </c>
      <c r="M65" s="14">
        <f t="shared" ca="1" si="17"/>
        <v>0</v>
      </c>
      <c r="N65" s="14">
        <f t="shared" ca="1" si="17"/>
        <v>0</v>
      </c>
      <c r="O65" s="14">
        <f t="shared" ca="1" si="17"/>
        <v>0</v>
      </c>
      <c r="P65" s="14">
        <f t="shared" ca="1" si="17"/>
        <v>0</v>
      </c>
      <c r="Q65" s="14">
        <f t="shared" ca="1" si="17"/>
        <v>0</v>
      </c>
      <c r="R65" s="14">
        <f t="shared" ca="1" si="17"/>
        <v>0</v>
      </c>
      <c r="S65" s="14">
        <f t="shared" ca="1" si="17"/>
        <v>0</v>
      </c>
      <c r="T65" s="14">
        <f t="shared" ca="1" si="17"/>
        <v>0</v>
      </c>
      <c r="U65" s="14">
        <f t="shared" ca="1" si="17"/>
        <v>0</v>
      </c>
      <c r="V65" s="14">
        <f t="shared" ca="1" si="17"/>
        <v>0</v>
      </c>
      <c r="W65" s="14">
        <f t="shared" ca="1" si="17"/>
        <v>0</v>
      </c>
      <c r="X65" s="14">
        <f t="shared" ca="1" si="17"/>
        <v>0</v>
      </c>
      <c r="Y65" s="14">
        <f t="shared" ca="1" si="17"/>
        <v>0</v>
      </c>
      <c r="Z65" s="14">
        <f t="shared" ca="1" si="17"/>
        <v>0</v>
      </c>
      <c r="AA65" s="14">
        <f t="shared" ca="1" si="17"/>
        <v>0</v>
      </c>
      <c r="AB65" s="14">
        <f t="shared" ca="1" si="17"/>
        <v>0</v>
      </c>
      <c r="AC65" s="14">
        <f t="shared" ca="1" si="17"/>
        <v>0</v>
      </c>
      <c r="AD65" s="14">
        <f t="shared" ca="1" si="17"/>
        <v>0</v>
      </c>
      <c r="AE65" s="14">
        <f t="shared" ca="1" si="17"/>
        <v>0</v>
      </c>
      <c r="AF65" s="14">
        <f t="shared" ca="1" si="17"/>
        <v>0</v>
      </c>
      <c r="AG65" s="14">
        <f t="shared" ca="1" si="17"/>
        <v>0</v>
      </c>
      <c r="AH65" s="14">
        <f t="shared" ca="1" si="17"/>
        <v>0</v>
      </c>
      <c r="AI65" s="14">
        <f t="shared" ca="1" si="17"/>
        <v>0</v>
      </c>
      <c r="AJ65" s="14">
        <f t="shared" ca="1" si="17"/>
        <v>0</v>
      </c>
      <c r="AK65" s="14">
        <f t="shared" ca="1" si="17"/>
        <v>0</v>
      </c>
      <c r="AL65" s="14">
        <f t="shared" ca="1" si="17"/>
        <v>0</v>
      </c>
    </row>
    <row r="66" spans="1:54" ht="21" hidden="1" customHeight="1" outlineLevel="1" thickBot="1" x14ac:dyDescent="0.4">
      <c r="A66" s="5">
        <f t="shared" ref="A66:E75" si="18">A24</f>
        <v>0</v>
      </c>
      <c r="B66" s="5">
        <f t="shared" si="18"/>
        <v>0</v>
      </c>
      <c r="C66" s="5">
        <f t="shared" si="18"/>
        <v>0</v>
      </c>
      <c r="D66" s="5">
        <f t="shared" si="18"/>
        <v>0</v>
      </c>
      <c r="E66" s="6">
        <f t="shared" si="18"/>
        <v>0</v>
      </c>
      <c r="F66" s="14">
        <f t="shared" ref="F66:U74" ca="1" si="19">$A66*H.Ar + $B66*H.Se + $C66*H.Ge + $D66*H.Ga</f>
        <v>0</v>
      </c>
      <c r="G66" s="14">
        <f t="shared" ca="1" si="19"/>
        <v>0</v>
      </c>
      <c r="H66" s="14">
        <f t="shared" ca="1" si="19"/>
        <v>0</v>
      </c>
      <c r="I66" s="14">
        <f t="shared" ca="1" si="19"/>
        <v>0</v>
      </c>
      <c r="J66" s="14">
        <f t="shared" ca="1" si="19"/>
        <v>0</v>
      </c>
      <c r="K66" s="14">
        <f t="shared" ca="1" si="19"/>
        <v>0</v>
      </c>
      <c r="L66" s="14">
        <f t="shared" ca="1" si="19"/>
        <v>0</v>
      </c>
      <c r="M66" s="14">
        <f t="shared" ca="1" si="19"/>
        <v>0</v>
      </c>
      <c r="N66" s="14">
        <f t="shared" ca="1" si="19"/>
        <v>0</v>
      </c>
      <c r="O66" s="14">
        <f t="shared" ca="1" si="19"/>
        <v>0</v>
      </c>
      <c r="P66" s="14">
        <f t="shared" ca="1" si="19"/>
        <v>0</v>
      </c>
      <c r="Q66" s="14">
        <f t="shared" ca="1" si="19"/>
        <v>0</v>
      </c>
      <c r="R66" s="14">
        <f t="shared" ca="1" si="19"/>
        <v>0</v>
      </c>
      <c r="S66" s="14">
        <f t="shared" ca="1" si="19"/>
        <v>0</v>
      </c>
      <c r="T66" s="14">
        <f t="shared" ca="1" si="19"/>
        <v>0</v>
      </c>
      <c r="U66" s="14">
        <f t="shared" ca="1" si="19"/>
        <v>0</v>
      </c>
      <c r="V66" s="14">
        <f t="shared" ca="1" si="17"/>
        <v>0</v>
      </c>
      <c r="W66" s="14">
        <f t="shared" ca="1" si="17"/>
        <v>0</v>
      </c>
      <c r="X66" s="14">
        <f t="shared" ca="1" si="17"/>
        <v>0</v>
      </c>
      <c r="Y66" s="14">
        <f t="shared" ca="1" si="17"/>
        <v>0</v>
      </c>
      <c r="Z66" s="14">
        <f t="shared" ca="1" si="17"/>
        <v>0</v>
      </c>
      <c r="AA66" s="14">
        <f t="shared" ca="1" si="17"/>
        <v>0</v>
      </c>
      <c r="AB66" s="14">
        <f t="shared" ca="1" si="17"/>
        <v>0</v>
      </c>
      <c r="AC66" s="14">
        <f t="shared" ca="1" si="17"/>
        <v>0</v>
      </c>
      <c r="AD66" s="14">
        <f t="shared" ca="1" si="17"/>
        <v>0</v>
      </c>
      <c r="AE66" s="14">
        <f t="shared" ca="1" si="17"/>
        <v>0</v>
      </c>
      <c r="AF66" s="14">
        <f t="shared" ca="1" si="17"/>
        <v>0</v>
      </c>
      <c r="AG66" s="14">
        <f t="shared" ca="1" si="17"/>
        <v>0</v>
      </c>
      <c r="AH66" s="14">
        <f t="shared" ca="1" si="17"/>
        <v>0</v>
      </c>
      <c r="AI66" s="14">
        <f t="shared" ca="1" si="17"/>
        <v>0</v>
      </c>
      <c r="AJ66" s="14">
        <f t="shared" ca="1" si="17"/>
        <v>0</v>
      </c>
      <c r="AK66" s="14">
        <f t="shared" ca="1" si="17"/>
        <v>0</v>
      </c>
      <c r="AL66" s="14">
        <f t="shared" ca="1" si="17"/>
        <v>0</v>
      </c>
    </row>
    <row r="67" spans="1:54" ht="21" hidden="1" customHeight="1" outlineLevel="1" thickBot="1" x14ac:dyDescent="0.4">
      <c r="A67" s="5">
        <f t="shared" si="18"/>
        <v>0</v>
      </c>
      <c r="B67" s="5">
        <f t="shared" si="18"/>
        <v>0</v>
      </c>
      <c r="C67" s="5">
        <f t="shared" si="18"/>
        <v>0</v>
      </c>
      <c r="D67" s="5">
        <f t="shared" si="18"/>
        <v>0</v>
      </c>
      <c r="E67" s="6">
        <f t="shared" si="18"/>
        <v>0</v>
      </c>
      <c r="F67" s="14">
        <f t="shared" ca="1" si="19"/>
        <v>0</v>
      </c>
      <c r="G67" s="14">
        <f t="shared" ca="1" si="17"/>
        <v>0</v>
      </c>
      <c r="H67" s="14">
        <f t="shared" ca="1" si="17"/>
        <v>0</v>
      </c>
      <c r="I67" s="14">
        <f t="shared" ca="1" si="17"/>
        <v>0</v>
      </c>
      <c r="J67" s="14">
        <f t="shared" ca="1" si="17"/>
        <v>0</v>
      </c>
      <c r="K67" s="14">
        <f t="shared" ca="1" si="17"/>
        <v>0</v>
      </c>
      <c r="L67" s="14">
        <f t="shared" ca="1" si="17"/>
        <v>0</v>
      </c>
      <c r="M67" s="14">
        <f t="shared" ca="1" si="17"/>
        <v>0</v>
      </c>
      <c r="N67" s="14">
        <f t="shared" ca="1" si="17"/>
        <v>0</v>
      </c>
      <c r="O67" s="14">
        <f t="shared" ca="1" si="17"/>
        <v>0</v>
      </c>
      <c r="P67" s="14">
        <f t="shared" ca="1" si="17"/>
        <v>0</v>
      </c>
      <c r="Q67" s="14">
        <f t="shared" ca="1" si="17"/>
        <v>0</v>
      </c>
      <c r="R67" s="14">
        <f t="shared" ca="1" si="17"/>
        <v>0</v>
      </c>
      <c r="S67" s="14">
        <f t="shared" ca="1" si="17"/>
        <v>0</v>
      </c>
      <c r="T67" s="14">
        <f t="shared" ca="1" si="17"/>
        <v>0</v>
      </c>
      <c r="U67" s="14">
        <f t="shared" ca="1" si="17"/>
        <v>0</v>
      </c>
      <c r="V67" s="14">
        <f t="shared" ca="1" si="17"/>
        <v>0</v>
      </c>
      <c r="W67" s="14">
        <f t="shared" ca="1" si="17"/>
        <v>0</v>
      </c>
      <c r="X67" s="14">
        <f t="shared" ca="1" si="17"/>
        <v>0</v>
      </c>
      <c r="Y67" s="14">
        <f t="shared" ca="1" si="17"/>
        <v>0</v>
      </c>
      <c r="Z67" s="14">
        <f t="shared" ca="1" si="17"/>
        <v>0</v>
      </c>
      <c r="AA67" s="14">
        <f t="shared" ca="1" si="17"/>
        <v>0</v>
      </c>
      <c r="AB67" s="14">
        <f t="shared" ca="1" si="17"/>
        <v>0</v>
      </c>
      <c r="AC67" s="14">
        <f t="shared" ca="1" si="17"/>
        <v>0</v>
      </c>
      <c r="AD67" s="14">
        <f t="shared" ca="1" si="17"/>
        <v>0</v>
      </c>
      <c r="AE67" s="14">
        <f t="shared" ca="1" si="17"/>
        <v>0</v>
      </c>
      <c r="AF67" s="14">
        <f t="shared" ca="1" si="17"/>
        <v>0</v>
      </c>
      <c r="AG67" s="14">
        <f t="shared" ca="1" si="17"/>
        <v>0</v>
      </c>
      <c r="AH67" s="14">
        <f t="shared" ca="1" si="17"/>
        <v>0</v>
      </c>
      <c r="AI67" s="14">
        <f t="shared" ca="1" si="17"/>
        <v>0</v>
      </c>
      <c r="AJ67" s="14">
        <f t="shared" ca="1" si="17"/>
        <v>0</v>
      </c>
      <c r="AK67" s="14">
        <f t="shared" ca="1" si="17"/>
        <v>0</v>
      </c>
      <c r="AL67" s="14">
        <f t="shared" ca="1" si="17"/>
        <v>0</v>
      </c>
    </row>
    <row r="68" spans="1:54" ht="21" hidden="1" customHeight="1" outlineLevel="1" thickBot="1" x14ac:dyDescent="0.4">
      <c r="A68" s="5">
        <f t="shared" si="18"/>
        <v>0</v>
      </c>
      <c r="B68" s="5">
        <f t="shared" si="18"/>
        <v>0</v>
      </c>
      <c r="C68" s="5">
        <f t="shared" si="18"/>
        <v>0</v>
      </c>
      <c r="D68" s="5">
        <f t="shared" si="18"/>
        <v>0</v>
      </c>
      <c r="E68" s="6">
        <f t="shared" si="18"/>
        <v>0</v>
      </c>
      <c r="F68" s="14">
        <f t="shared" ca="1" si="19"/>
        <v>0</v>
      </c>
      <c r="G68" s="14">
        <f t="shared" ca="1" si="17"/>
        <v>0</v>
      </c>
      <c r="H68" s="14">
        <f t="shared" ca="1" si="17"/>
        <v>0</v>
      </c>
      <c r="I68" s="14">
        <f t="shared" ca="1" si="17"/>
        <v>0</v>
      </c>
      <c r="J68" s="14">
        <f t="shared" ca="1" si="17"/>
        <v>0</v>
      </c>
      <c r="K68" s="14">
        <f t="shared" ca="1" si="17"/>
        <v>0</v>
      </c>
      <c r="L68" s="14">
        <f t="shared" ca="1" si="17"/>
        <v>0</v>
      </c>
      <c r="M68" s="14">
        <f t="shared" ca="1" si="17"/>
        <v>0</v>
      </c>
      <c r="N68" s="14">
        <f t="shared" ca="1" si="17"/>
        <v>0</v>
      </c>
      <c r="O68" s="14">
        <f t="shared" ca="1" si="17"/>
        <v>0</v>
      </c>
      <c r="P68" s="14">
        <f t="shared" ca="1" si="17"/>
        <v>0</v>
      </c>
      <c r="Q68" s="14">
        <f t="shared" ca="1" si="17"/>
        <v>0</v>
      </c>
      <c r="R68" s="14">
        <f t="shared" ca="1" si="17"/>
        <v>0</v>
      </c>
      <c r="S68" s="14">
        <f t="shared" ca="1" si="17"/>
        <v>0</v>
      </c>
      <c r="T68" s="14">
        <f t="shared" ca="1" si="17"/>
        <v>0</v>
      </c>
      <c r="U68" s="14">
        <f t="shared" ca="1" si="17"/>
        <v>0</v>
      </c>
      <c r="V68" s="14">
        <f t="shared" ca="1" si="17"/>
        <v>0</v>
      </c>
      <c r="W68" s="14">
        <f t="shared" ca="1" si="17"/>
        <v>0</v>
      </c>
      <c r="X68" s="14">
        <f t="shared" ca="1" si="17"/>
        <v>0</v>
      </c>
      <c r="Y68" s="14">
        <f t="shared" ca="1" si="17"/>
        <v>0</v>
      </c>
      <c r="Z68" s="14">
        <f t="shared" ca="1" si="17"/>
        <v>0</v>
      </c>
      <c r="AA68" s="14">
        <f t="shared" ca="1" si="17"/>
        <v>0</v>
      </c>
      <c r="AB68" s="14">
        <f t="shared" ca="1" si="17"/>
        <v>0</v>
      </c>
      <c r="AC68" s="14">
        <f t="shared" ca="1" si="17"/>
        <v>0</v>
      </c>
      <c r="AD68" s="14">
        <f t="shared" ca="1" si="17"/>
        <v>0</v>
      </c>
      <c r="AE68" s="14">
        <f t="shared" ca="1" si="17"/>
        <v>0</v>
      </c>
      <c r="AF68" s="14">
        <f t="shared" ca="1" si="17"/>
        <v>0</v>
      </c>
      <c r="AG68" s="14">
        <f t="shared" ca="1" si="17"/>
        <v>0</v>
      </c>
      <c r="AH68" s="14">
        <f t="shared" ca="1" si="17"/>
        <v>0</v>
      </c>
      <c r="AI68" s="14">
        <f t="shared" ca="1" si="17"/>
        <v>0</v>
      </c>
      <c r="AJ68" s="14">
        <f t="shared" ca="1" si="17"/>
        <v>0</v>
      </c>
      <c r="AK68" s="14">
        <f t="shared" ca="1" si="17"/>
        <v>0</v>
      </c>
      <c r="AL68" s="14">
        <f t="shared" ca="1" si="17"/>
        <v>0</v>
      </c>
    </row>
    <row r="69" spans="1:54" ht="21" hidden="1" customHeight="1" outlineLevel="1" thickBot="1" x14ac:dyDescent="0.4">
      <c r="A69" s="5">
        <f t="shared" si="18"/>
        <v>0</v>
      </c>
      <c r="B69" s="5">
        <f t="shared" si="18"/>
        <v>0</v>
      </c>
      <c r="C69" s="5">
        <f t="shared" si="18"/>
        <v>0</v>
      </c>
      <c r="D69" s="5">
        <f t="shared" si="18"/>
        <v>0</v>
      </c>
      <c r="E69" s="6">
        <f t="shared" si="18"/>
        <v>0</v>
      </c>
      <c r="F69" s="14">
        <f t="shared" ca="1" si="19"/>
        <v>0</v>
      </c>
      <c r="G69" s="14">
        <f t="shared" ca="1" si="17"/>
        <v>0</v>
      </c>
      <c r="H69" s="14">
        <f t="shared" ca="1" si="17"/>
        <v>0</v>
      </c>
      <c r="I69" s="14">
        <f t="shared" ca="1" si="17"/>
        <v>0</v>
      </c>
      <c r="J69" s="14">
        <f t="shared" ca="1" si="17"/>
        <v>0</v>
      </c>
      <c r="K69" s="14">
        <f t="shared" ca="1" si="17"/>
        <v>0</v>
      </c>
      <c r="L69" s="14">
        <f t="shared" ca="1" si="17"/>
        <v>0</v>
      </c>
      <c r="M69" s="14">
        <f t="shared" ca="1" si="17"/>
        <v>0</v>
      </c>
      <c r="N69" s="14">
        <f t="shared" ca="1" si="17"/>
        <v>0</v>
      </c>
      <c r="O69" s="14">
        <f t="shared" ca="1" si="17"/>
        <v>0</v>
      </c>
      <c r="P69" s="14">
        <f t="shared" ca="1" si="17"/>
        <v>0</v>
      </c>
      <c r="Q69" s="14">
        <f t="shared" ca="1" si="17"/>
        <v>0</v>
      </c>
      <c r="R69" s="14">
        <f t="shared" ca="1" si="17"/>
        <v>0</v>
      </c>
      <c r="S69" s="14">
        <f t="shared" ca="1" si="17"/>
        <v>0</v>
      </c>
      <c r="T69" s="14">
        <f t="shared" ca="1" si="17"/>
        <v>0</v>
      </c>
      <c r="U69" s="14">
        <f t="shared" ca="1" si="17"/>
        <v>0</v>
      </c>
      <c r="V69" s="14">
        <f t="shared" ca="1" si="17"/>
        <v>0</v>
      </c>
      <c r="W69" s="14">
        <f t="shared" ca="1" si="17"/>
        <v>0</v>
      </c>
      <c r="X69" s="14">
        <f t="shared" ca="1" si="17"/>
        <v>0</v>
      </c>
      <c r="Y69" s="14">
        <f t="shared" ca="1" si="17"/>
        <v>0</v>
      </c>
      <c r="Z69" s="14">
        <f t="shared" ca="1" si="17"/>
        <v>0</v>
      </c>
      <c r="AA69" s="14">
        <f t="shared" ca="1" si="17"/>
        <v>0</v>
      </c>
      <c r="AB69" s="14">
        <f t="shared" ca="1" si="17"/>
        <v>0</v>
      </c>
      <c r="AC69" s="14">
        <f t="shared" ca="1" si="17"/>
        <v>0</v>
      </c>
      <c r="AD69" s="14">
        <f t="shared" ca="1" si="17"/>
        <v>0</v>
      </c>
      <c r="AE69" s="14">
        <f t="shared" ca="1" si="17"/>
        <v>0</v>
      </c>
      <c r="AF69" s="14">
        <f t="shared" ca="1" si="17"/>
        <v>0</v>
      </c>
      <c r="AG69" s="14">
        <f t="shared" ca="1" si="17"/>
        <v>0</v>
      </c>
      <c r="AH69" s="14">
        <f t="shared" ca="1" si="17"/>
        <v>0</v>
      </c>
      <c r="AI69" s="14">
        <f t="shared" ca="1" si="17"/>
        <v>0</v>
      </c>
      <c r="AJ69" s="14">
        <f t="shared" ca="1" si="17"/>
        <v>0</v>
      </c>
      <c r="AK69" s="14">
        <f t="shared" ca="1" si="17"/>
        <v>0</v>
      </c>
      <c r="AL69" s="14">
        <f t="shared" ca="1" si="17"/>
        <v>0</v>
      </c>
    </row>
    <row r="70" spans="1:54" ht="21" hidden="1" customHeight="1" outlineLevel="1" thickBot="1" x14ac:dyDescent="0.4">
      <c r="A70" s="5">
        <f t="shared" si="18"/>
        <v>0</v>
      </c>
      <c r="B70" s="5">
        <f t="shared" si="18"/>
        <v>0</v>
      </c>
      <c r="C70" s="5">
        <f t="shared" si="18"/>
        <v>0</v>
      </c>
      <c r="D70" s="5">
        <f t="shared" si="18"/>
        <v>0</v>
      </c>
      <c r="E70" s="6">
        <f t="shared" si="18"/>
        <v>0</v>
      </c>
      <c r="F70" s="14">
        <f t="shared" ca="1" si="19"/>
        <v>0</v>
      </c>
      <c r="G70" s="14">
        <f t="shared" ca="1" si="17"/>
        <v>0</v>
      </c>
      <c r="H70" s="14">
        <f t="shared" ca="1" si="17"/>
        <v>0</v>
      </c>
      <c r="I70" s="14">
        <f t="shared" ca="1" si="17"/>
        <v>0</v>
      </c>
      <c r="J70" s="14">
        <f t="shared" ca="1" si="17"/>
        <v>0</v>
      </c>
      <c r="K70" s="14">
        <f t="shared" ca="1" si="17"/>
        <v>0</v>
      </c>
      <c r="L70" s="14">
        <f t="shared" ca="1" si="17"/>
        <v>0</v>
      </c>
      <c r="M70" s="14">
        <f t="shared" ca="1" si="17"/>
        <v>0</v>
      </c>
      <c r="N70" s="14">
        <f t="shared" ca="1" si="17"/>
        <v>0</v>
      </c>
      <c r="O70" s="14">
        <f t="shared" ca="1" si="17"/>
        <v>0</v>
      </c>
      <c r="P70" s="14">
        <f t="shared" ca="1" si="17"/>
        <v>0</v>
      </c>
      <c r="Q70" s="14">
        <f t="shared" ca="1" si="17"/>
        <v>0</v>
      </c>
      <c r="R70" s="14">
        <f t="shared" ca="1" si="17"/>
        <v>0</v>
      </c>
      <c r="S70" s="14">
        <f t="shared" ca="1" si="17"/>
        <v>0</v>
      </c>
      <c r="T70" s="14">
        <f t="shared" ca="1" si="17"/>
        <v>0</v>
      </c>
      <c r="U70" s="14">
        <f t="shared" ca="1" si="17"/>
        <v>0</v>
      </c>
      <c r="V70" s="14">
        <f t="shared" ca="1" si="17"/>
        <v>0</v>
      </c>
      <c r="W70" s="14">
        <f t="shared" ca="1" si="17"/>
        <v>0</v>
      </c>
      <c r="X70" s="14">
        <f t="shared" ca="1" si="17"/>
        <v>0</v>
      </c>
      <c r="Y70" s="14">
        <f t="shared" ca="1" si="17"/>
        <v>0</v>
      </c>
      <c r="Z70" s="14">
        <f t="shared" ca="1" si="17"/>
        <v>0</v>
      </c>
      <c r="AA70" s="14">
        <f t="shared" ca="1" si="17"/>
        <v>0</v>
      </c>
      <c r="AB70" s="14">
        <f t="shared" ca="1" si="17"/>
        <v>0</v>
      </c>
      <c r="AC70" s="14">
        <f t="shared" ca="1" si="17"/>
        <v>0</v>
      </c>
      <c r="AD70" s="14">
        <f t="shared" ca="1" si="17"/>
        <v>0</v>
      </c>
      <c r="AE70" s="14">
        <f t="shared" ca="1" si="17"/>
        <v>0</v>
      </c>
      <c r="AF70" s="14">
        <f t="shared" ca="1" si="17"/>
        <v>0</v>
      </c>
      <c r="AG70" s="14">
        <f t="shared" ca="1" si="17"/>
        <v>0</v>
      </c>
      <c r="AH70" s="14">
        <f t="shared" ca="1" si="17"/>
        <v>0</v>
      </c>
      <c r="AI70" s="14">
        <f t="shared" ca="1" si="17"/>
        <v>0</v>
      </c>
      <c r="AJ70" s="14">
        <f t="shared" ca="1" si="17"/>
        <v>0</v>
      </c>
      <c r="AK70" s="14">
        <f t="shared" ca="1" si="17"/>
        <v>0</v>
      </c>
      <c r="AL70" s="14">
        <f t="shared" ca="1" si="17"/>
        <v>0</v>
      </c>
    </row>
    <row r="71" spans="1:54" ht="21" hidden="1" customHeight="1" outlineLevel="1" thickBot="1" x14ac:dyDescent="0.4">
      <c r="A71" s="5">
        <f t="shared" si="18"/>
        <v>0</v>
      </c>
      <c r="B71" s="5">
        <f t="shared" si="18"/>
        <v>0</v>
      </c>
      <c r="C71" s="5">
        <f t="shared" si="18"/>
        <v>0</v>
      </c>
      <c r="D71" s="5">
        <f t="shared" si="18"/>
        <v>0</v>
      </c>
      <c r="E71" s="6">
        <f t="shared" si="18"/>
        <v>0</v>
      </c>
      <c r="F71" s="14">
        <f t="shared" ca="1" si="19"/>
        <v>0</v>
      </c>
      <c r="G71" s="14">
        <f t="shared" ca="1" si="17"/>
        <v>0</v>
      </c>
      <c r="H71" s="14">
        <f t="shared" ca="1" si="17"/>
        <v>0</v>
      </c>
      <c r="I71" s="14">
        <f t="shared" ca="1" si="17"/>
        <v>0</v>
      </c>
      <c r="J71" s="14">
        <f t="shared" ca="1" si="17"/>
        <v>0</v>
      </c>
      <c r="K71" s="14">
        <f t="shared" ca="1" si="17"/>
        <v>0</v>
      </c>
      <c r="L71" s="14">
        <f t="shared" ca="1" si="17"/>
        <v>0</v>
      </c>
      <c r="M71" s="14">
        <f t="shared" ca="1" si="17"/>
        <v>0</v>
      </c>
      <c r="N71" s="14">
        <f t="shared" ca="1" si="17"/>
        <v>0</v>
      </c>
      <c r="O71" s="14">
        <f t="shared" ca="1" si="17"/>
        <v>0</v>
      </c>
      <c r="P71" s="14">
        <f t="shared" ca="1" si="17"/>
        <v>0</v>
      </c>
      <c r="Q71" s="14">
        <f t="shared" ref="G71:AL74" ca="1" si="20">$A71*H.Ar + $B71*H.Se + $C71*H.Ge + $D71*H.Ga</f>
        <v>0</v>
      </c>
      <c r="R71" s="14">
        <f t="shared" ca="1" si="20"/>
        <v>0</v>
      </c>
      <c r="S71" s="14">
        <f t="shared" ca="1" si="20"/>
        <v>0</v>
      </c>
      <c r="T71" s="14">
        <f t="shared" ca="1" si="20"/>
        <v>0</v>
      </c>
      <c r="U71" s="14">
        <f t="shared" ca="1" si="20"/>
        <v>0</v>
      </c>
      <c r="V71" s="14">
        <f t="shared" ca="1" si="20"/>
        <v>0</v>
      </c>
      <c r="W71" s="14">
        <f t="shared" ca="1" si="20"/>
        <v>0</v>
      </c>
      <c r="X71" s="14">
        <f t="shared" ca="1" si="20"/>
        <v>0</v>
      </c>
      <c r="Y71" s="14">
        <f t="shared" ca="1" si="20"/>
        <v>0</v>
      </c>
      <c r="Z71" s="14">
        <f t="shared" ca="1" si="20"/>
        <v>0</v>
      </c>
      <c r="AA71" s="14">
        <f t="shared" ca="1" si="20"/>
        <v>0</v>
      </c>
      <c r="AB71" s="14">
        <f t="shared" ca="1" si="20"/>
        <v>0</v>
      </c>
      <c r="AC71" s="14">
        <f t="shared" ca="1" si="20"/>
        <v>0</v>
      </c>
      <c r="AD71" s="14">
        <f t="shared" ca="1" si="20"/>
        <v>0</v>
      </c>
      <c r="AE71" s="14">
        <f t="shared" ca="1" si="20"/>
        <v>0</v>
      </c>
      <c r="AF71" s="14">
        <f t="shared" ca="1" si="20"/>
        <v>0</v>
      </c>
      <c r="AG71" s="14">
        <f t="shared" ca="1" si="20"/>
        <v>0</v>
      </c>
      <c r="AH71" s="14">
        <f t="shared" ca="1" si="20"/>
        <v>0</v>
      </c>
      <c r="AI71" s="14">
        <f t="shared" ca="1" si="20"/>
        <v>0</v>
      </c>
      <c r="AJ71" s="14">
        <f t="shared" ca="1" si="20"/>
        <v>0</v>
      </c>
      <c r="AK71" s="14">
        <f t="shared" ca="1" si="20"/>
        <v>0</v>
      </c>
      <c r="AL71" s="14">
        <f t="shared" ca="1" si="20"/>
        <v>0</v>
      </c>
    </row>
    <row r="72" spans="1:54" ht="21" hidden="1" customHeight="1" outlineLevel="1" thickBot="1" x14ac:dyDescent="0.4">
      <c r="A72" s="5">
        <f t="shared" si="18"/>
        <v>0</v>
      </c>
      <c r="B72" s="5">
        <f t="shared" si="18"/>
        <v>0</v>
      </c>
      <c r="C72" s="5">
        <f t="shared" si="18"/>
        <v>0</v>
      </c>
      <c r="D72" s="5">
        <f t="shared" si="18"/>
        <v>0</v>
      </c>
      <c r="E72" s="6">
        <f t="shared" si="18"/>
        <v>0</v>
      </c>
      <c r="F72" s="14">
        <f t="shared" ca="1" si="19"/>
        <v>0</v>
      </c>
      <c r="G72" s="14">
        <f t="shared" ca="1" si="20"/>
        <v>0</v>
      </c>
      <c r="H72" s="14">
        <f t="shared" ca="1" si="20"/>
        <v>0</v>
      </c>
      <c r="I72" s="14">
        <f t="shared" ca="1" si="20"/>
        <v>0</v>
      </c>
      <c r="J72" s="14">
        <f t="shared" ca="1" si="20"/>
        <v>0</v>
      </c>
      <c r="K72" s="14">
        <f t="shared" ca="1" si="20"/>
        <v>0</v>
      </c>
      <c r="L72" s="14">
        <f t="shared" ca="1" si="20"/>
        <v>0</v>
      </c>
      <c r="M72" s="14">
        <f t="shared" ca="1" si="20"/>
        <v>0</v>
      </c>
      <c r="N72" s="14">
        <f t="shared" ca="1" si="20"/>
        <v>0</v>
      </c>
      <c r="O72" s="14">
        <f t="shared" ca="1" si="20"/>
        <v>0</v>
      </c>
      <c r="P72" s="14">
        <f t="shared" ca="1" si="20"/>
        <v>0</v>
      </c>
      <c r="Q72" s="14">
        <f t="shared" ca="1" si="20"/>
        <v>0</v>
      </c>
      <c r="R72" s="14">
        <f t="shared" ca="1" si="20"/>
        <v>0</v>
      </c>
      <c r="S72" s="14">
        <f t="shared" ca="1" si="20"/>
        <v>0</v>
      </c>
      <c r="T72" s="14">
        <f t="shared" ca="1" si="20"/>
        <v>0</v>
      </c>
      <c r="U72" s="14">
        <f t="shared" ca="1" si="20"/>
        <v>0</v>
      </c>
      <c r="V72" s="14">
        <f t="shared" ca="1" si="20"/>
        <v>0</v>
      </c>
      <c r="W72" s="14">
        <f t="shared" ca="1" si="20"/>
        <v>0</v>
      </c>
      <c r="X72" s="14">
        <f t="shared" ca="1" si="20"/>
        <v>0</v>
      </c>
      <c r="Y72" s="14">
        <f t="shared" ca="1" si="20"/>
        <v>0</v>
      </c>
      <c r="Z72" s="14">
        <f t="shared" ca="1" si="20"/>
        <v>0</v>
      </c>
      <c r="AA72" s="14">
        <f t="shared" ca="1" si="20"/>
        <v>0</v>
      </c>
      <c r="AB72" s="14">
        <f t="shared" ca="1" si="20"/>
        <v>0</v>
      </c>
      <c r="AC72" s="14">
        <f t="shared" ca="1" si="20"/>
        <v>0</v>
      </c>
      <c r="AD72" s="14">
        <f t="shared" ca="1" si="20"/>
        <v>0</v>
      </c>
      <c r="AE72" s="14">
        <f t="shared" ca="1" si="20"/>
        <v>0</v>
      </c>
      <c r="AF72" s="14">
        <f t="shared" ca="1" si="20"/>
        <v>0</v>
      </c>
      <c r="AG72" s="14">
        <f t="shared" ca="1" si="20"/>
        <v>0</v>
      </c>
      <c r="AH72" s="14">
        <f t="shared" ca="1" si="20"/>
        <v>0</v>
      </c>
      <c r="AI72" s="14">
        <f t="shared" ca="1" si="20"/>
        <v>0</v>
      </c>
      <c r="AJ72" s="14">
        <f t="shared" ca="1" si="20"/>
        <v>0</v>
      </c>
      <c r="AK72" s="14">
        <f t="shared" ca="1" si="20"/>
        <v>0</v>
      </c>
      <c r="AL72" s="14">
        <f t="shared" ca="1" si="20"/>
        <v>0</v>
      </c>
    </row>
    <row r="73" spans="1:54" ht="21" hidden="1" customHeight="1" outlineLevel="1" thickBot="1" x14ac:dyDescent="0.4">
      <c r="A73" s="5">
        <f t="shared" si="18"/>
        <v>0</v>
      </c>
      <c r="B73" s="5">
        <f t="shared" si="18"/>
        <v>0</v>
      </c>
      <c r="C73" s="5">
        <f t="shared" si="18"/>
        <v>0</v>
      </c>
      <c r="D73" s="5">
        <f t="shared" si="18"/>
        <v>0</v>
      </c>
      <c r="E73" s="6">
        <f t="shared" si="18"/>
        <v>0</v>
      </c>
      <c r="F73" s="14">
        <f t="shared" ca="1" si="19"/>
        <v>0</v>
      </c>
      <c r="G73" s="14">
        <f t="shared" ca="1" si="20"/>
        <v>0</v>
      </c>
      <c r="H73" s="14">
        <f t="shared" ca="1" si="20"/>
        <v>0</v>
      </c>
      <c r="I73" s="14">
        <f t="shared" ca="1" si="20"/>
        <v>0</v>
      </c>
      <c r="J73" s="14">
        <f t="shared" ca="1" si="20"/>
        <v>0</v>
      </c>
      <c r="K73" s="14">
        <f t="shared" ca="1" si="20"/>
        <v>0</v>
      </c>
      <c r="L73" s="14">
        <f t="shared" ca="1" si="20"/>
        <v>0</v>
      </c>
      <c r="M73" s="14">
        <f t="shared" ca="1" si="20"/>
        <v>0</v>
      </c>
      <c r="N73" s="14">
        <f t="shared" ca="1" si="20"/>
        <v>0</v>
      </c>
      <c r="O73" s="14">
        <f t="shared" ca="1" si="20"/>
        <v>0</v>
      </c>
      <c r="P73" s="14">
        <f t="shared" ca="1" si="20"/>
        <v>0</v>
      </c>
      <c r="Q73" s="14">
        <f t="shared" ca="1" si="20"/>
        <v>0</v>
      </c>
      <c r="R73" s="14">
        <f t="shared" ca="1" si="20"/>
        <v>0</v>
      </c>
      <c r="S73" s="14">
        <f t="shared" ca="1" si="20"/>
        <v>0</v>
      </c>
      <c r="T73" s="14">
        <f t="shared" ca="1" si="20"/>
        <v>0</v>
      </c>
      <c r="U73" s="14">
        <f t="shared" ca="1" si="20"/>
        <v>0</v>
      </c>
      <c r="V73" s="14">
        <f t="shared" ca="1" si="20"/>
        <v>0</v>
      </c>
      <c r="W73" s="14">
        <f t="shared" ca="1" si="20"/>
        <v>0</v>
      </c>
      <c r="X73" s="14">
        <f t="shared" ca="1" si="20"/>
        <v>0</v>
      </c>
      <c r="Y73" s="14">
        <f t="shared" ca="1" si="20"/>
        <v>0</v>
      </c>
      <c r="Z73" s="14">
        <f t="shared" ca="1" si="20"/>
        <v>0</v>
      </c>
      <c r="AA73" s="14">
        <f t="shared" ca="1" si="20"/>
        <v>0</v>
      </c>
      <c r="AB73" s="14">
        <f t="shared" ca="1" si="20"/>
        <v>0</v>
      </c>
      <c r="AC73" s="14">
        <f t="shared" ca="1" si="20"/>
        <v>0</v>
      </c>
      <c r="AD73" s="14">
        <f t="shared" ca="1" si="20"/>
        <v>0</v>
      </c>
      <c r="AE73" s="14">
        <f t="shared" ca="1" si="20"/>
        <v>0</v>
      </c>
      <c r="AF73" s="14">
        <f t="shared" ca="1" si="20"/>
        <v>0</v>
      </c>
      <c r="AG73" s="14">
        <f t="shared" ca="1" si="20"/>
        <v>0</v>
      </c>
      <c r="AH73" s="14">
        <f t="shared" ca="1" si="20"/>
        <v>0</v>
      </c>
      <c r="AI73" s="14">
        <f t="shared" ca="1" si="20"/>
        <v>0</v>
      </c>
      <c r="AJ73" s="14">
        <f t="shared" ca="1" si="20"/>
        <v>0</v>
      </c>
      <c r="AK73" s="14">
        <f t="shared" ca="1" si="20"/>
        <v>0</v>
      </c>
      <c r="AL73" s="14">
        <f t="shared" ca="1" si="20"/>
        <v>0</v>
      </c>
    </row>
    <row r="74" spans="1:54" ht="21" hidden="1" customHeight="1" outlineLevel="1" thickBot="1" x14ac:dyDescent="0.4">
      <c r="A74" s="5">
        <f t="shared" si="18"/>
        <v>0</v>
      </c>
      <c r="B74" s="5">
        <f t="shared" si="18"/>
        <v>0</v>
      </c>
      <c r="C74" s="5">
        <f t="shared" si="18"/>
        <v>0</v>
      </c>
      <c r="D74" s="5">
        <f t="shared" si="18"/>
        <v>0</v>
      </c>
      <c r="E74" s="6">
        <f t="shared" si="18"/>
        <v>0</v>
      </c>
      <c r="F74" s="14">
        <f t="shared" ca="1" si="19"/>
        <v>0</v>
      </c>
      <c r="G74" s="14">
        <f t="shared" ca="1" si="20"/>
        <v>0</v>
      </c>
      <c r="H74" s="14">
        <f t="shared" ca="1" si="20"/>
        <v>0</v>
      </c>
      <c r="I74" s="14">
        <f t="shared" ca="1" si="20"/>
        <v>0</v>
      </c>
      <c r="J74" s="14">
        <f t="shared" ca="1" si="20"/>
        <v>0</v>
      </c>
      <c r="K74" s="14">
        <f t="shared" ca="1" si="20"/>
        <v>0</v>
      </c>
      <c r="L74" s="14">
        <f t="shared" ca="1" si="20"/>
        <v>0</v>
      </c>
      <c r="M74" s="14">
        <f t="shared" ca="1" si="20"/>
        <v>0</v>
      </c>
      <c r="N74" s="14">
        <f t="shared" ca="1" si="20"/>
        <v>0</v>
      </c>
      <c r="O74" s="14">
        <f t="shared" ca="1" si="20"/>
        <v>0</v>
      </c>
      <c r="P74" s="14">
        <f t="shared" ca="1" si="20"/>
        <v>0</v>
      </c>
      <c r="Q74" s="14">
        <f t="shared" ca="1" si="20"/>
        <v>0</v>
      </c>
      <c r="R74" s="14">
        <f t="shared" ca="1" si="20"/>
        <v>0</v>
      </c>
      <c r="S74" s="14">
        <f t="shared" ca="1" si="20"/>
        <v>0</v>
      </c>
      <c r="T74" s="14">
        <f t="shared" ca="1" si="20"/>
        <v>0</v>
      </c>
      <c r="U74" s="14">
        <f t="shared" ca="1" si="20"/>
        <v>0</v>
      </c>
      <c r="V74" s="14">
        <f t="shared" ca="1" si="20"/>
        <v>0</v>
      </c>
      <c r="W74" s="14">
        <f t="shared" ca="1" si="20"/>
        <v>0</v>
      </c>
      <c r="X74" s="14">
        <f t="shared" ca="1" si="20"/>
        <v>0</v>
      </c>
      <c r="Y74" s="14">
        <f t="shared" ca="1" si="20"/>
        <v>0</v>
      </c>
      <c r="Z74" s="14">
        <f t="shared" ca="1" si="20"/>
        <v>0</v>
      </c>
      <c r="AA74" s="14">
        <f t="shared" ca="1" si="20"/>
        <v>0</v>
      </c>
      <c r="AB74" s="14">
        <f t="shared" ca="1" si="20"/>
        <v>0</v>
      </c>
      <c r="AC74" s="14">
        <f t="shared" ca="1" si="20"/>
        <v>0</v>
      </c>
      <c r="AD74" s="14">
        <f t="shared" ca="1" si="20"/>
        <v>0</v>
      </c>
      <c r="AE74" s="14">
        <f t="shared" ca="1" si="20"/>
        <v>0</v>
      </c>
      <c r="AF74" s="14">
        <f t="shared" ca="1" si="20"/>
        <v>0</v>
      </c>
      <c r="AG74" s="14">
        <f t="shared" ca="1" si="20"/>
        <v>0</v>
      </c>
      <c r="AH74" s="14">
        <f t="shared" ca="1" si="20"/>
        <v>0</v>
      </c>
      <c r="AI74" s="14">
        <f t="shared" ca="1" si="20"/>
        <v>0</v>
      </c>
      <c r="AJ74" s="14">
        <f t="shared" ca="1" si="20"/>
        <v>0</v>
      </c>
      <c r="AK74" s="14">
        <f t="shared" ca="1" si="20"/>
        <v>0</v>
      </c>
      <c r="AL74" s="14">
        <f t="shared" ca="1" si="20"/>
        <v>0</v>
      </c>
    </row>
    <row r="75" spans="1:54" ht="21" hidden="1" customHeight="1" outlineLevel="1" thickBot="1" x14ac:dyDescent="0.4">
      <c r="A75" s="5">
        <f t="shared" si="18"/>
        <v>0</v>
      </c>
      <c r="B75" s="5">
        <f t="shared" si="18"/>
        <v>0</v>
      </c>
      <c r="C75" s="5">
        <f t="shared" si="18"/>
        <v>0</v>
      </c>
      <c r="D75" s="5">
        <f t="shared" si="18"/>
        <v>0</v>
      </c>
      <c r="E75" s="6">
        <f t="shared" si="18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hidden="1" customHeight="1" outlineLevel="1" x14ac:dyDescent="0.35">
      <c r="A76" s="55"/>
      <c r="B76" s="55"/>
      <c r="C76" s="55"/>
      <c r="D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</row>
    <row r="77" spans="1:54" ht="21" customHeight="1" collapsed="1" x14ac:dyDescent="0.35"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</row>
    <row r="78" spans="1:54" ht="21" customHeight="1" x14ac:dyDescent="0.4">
      <c r="A78" s="88"/>
      <c r="B78" s="88"/>
      <c r="C78" s="89">
        <f>E41</f>
        <v>1.4</v>
      </c>
      <c r="D78" s="75"/>
      <c r="E78" s="74" t="s">
        <v>23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1">E45</f>
        <v>Temperature,К</v>
      </c>
      <c r="F79" s="3">
        <f t="shared" ref="F79:AL79" si="22">F3</f>
        <v>273.10000000000002</v>
      </c>
      <c r="G79" s="3">
        <f t="shared" si="22"/>
        <v>339.2</v>
      </c>
      <c r="H79" s="3">
        <f t="shared" si="22"/>
        <v>355.7</v>
      </c>
      <c r="I79" s="3">
        <f t="shared" si="22"/>
        <v>372.3</v>
      </c>
      <c r="J79" s="3">
        <f t="shared" si="22"/>
        <v>388.8</v>
      </c>
      <c r="K79" s="3">
        <f t="shared" si="22"/>
        <v>405.3</v>
      </c>
      <c r="L79" s="3">
        <f t="shared" si="22"/>
        <v>421.8</v>
      </c>
      <c r="M79" s="3">
        <f t="shared" si="22"/>
        <v>438.3</v>
      </c>
      <c r="N79" s="3">
        <f t="shared" si="22"/>
        <v>454.9</v>
      </c>
      <c r="O79" s="3">
        <f t="shared" si="22"/>
        <v>471.4</v>
      </c>
      <c r="P79" s="3">
        <f t="shared" si="22"/>
        <v>537.5</v>
      </c>
      <c r="Q79" s="3">
        <f t="shared" si="22"/>
        <v>603.5</v>
      </c>
      <c r="R79" s="3">
        <f t="shared" si="22"/>
        <v>620.1</v>
      </c>
      <c r="S79" s="3">
        <f t="shared" si="22"/>
        <v>636.6</v>
      </c>
      <c r="T79" s="3">
        <f t="shared" si="22"/>
        <v>653.1</v>
      </c>
      <c r="U79" s="3">
        <f t="shared" si="22"/>
        <v>669.6</v>
      </c>
      <c r="V79" s="3">
        <f t="shared" si="22"/>
        <v>686.1</v>
      </c>
      <c r="W79" s="3">
        <f t="shared" si="22"/>
        <v>702.7</v>
      </c>
      <c r="X79" s="3">
        <f t="shared" si="22"/>
        <v>719.2</v>
      </c>
      <c r="Y79" s="3">
        <f t="shared" si="22"/>
        <v>735.7</v>
      </c>
      <c r="Z79" s="3">
        <f t="shared" si="22"/>
        <v>752.2</v>
      </c>
      <c r="AA79" s="3">
        <f t="shared" si="22"/>
        <v>768.7</v>
      </c>
      <c r="AB79" s="3">
        <f t="shared" si="22"/>
        <v>785.2</v>
      </c>
      <c r="AC79" s="3">
        <f t="shared" si="22"/>
        <v>801.8</v>
      </c>
      <c r="AD79" s="3">
        <f t="shared" si="22"/>
        <v>818.3</v>
      </c>
      <c r="AE79" s="3">
        <f t="shared" si="22"/>
        <v>834.8</v>
      </c>
      <c r="AF79" s="3">
        <f t="shared" si="22"/>
        <v>851.3</v>
      </c>
      <c r="AG79" s="3">
        <f t="shared" si="22"/>
        <v>867.8</v>
      </c>
      <c r="AH79" s="3">
        <f t="shared" si="22"/>
        <v>884.4</v>
      </c>
      <c r="AI79" s="3">
        <f t="shared" si="22"/>
        <v>900.9</v>
      </c>
      <c r="AJ79" s="3">
        <f t="shared" si="22"/>
        <v>917.4</v>
      </c>
      <c r="AK79" s="3">
        <f t="shared" si="22"/>
        <v>933.9</v>
      </c>
      <c r="AL79" s="3">
        <f t="shared" si="22"/>
        <v>1000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3">B46</f>
        <v>1</v>
      </c>
      <c r="C80" s="5">
        <f t="shared" si="23"/>
        <v>0</v>
      </c>
      <c r="D80" s="5">
        <f t="shared" si="23"/>
        <v>0</v>
      </c>
      <c r="E80" s="6" t="str">
        <f t="shared" si="21"/>
        <v>*Se[m]</v>
      </c>
      <c r="F80" s="14">
        <f t="shared" ref="F80:AL80" si="24">F4*$C$78</f>
        <v>0</v>
      </c>
      <c r="G80" s="14">
        <f t="shared" si="24"/>
        <v>0</v>
      </c>
      <c r="H80" s="14">
        <f t="shared" si="24"/>
        <v>0</v>
      </c>
      <c r="I80" s="14">
        <f t="shared" si="24"/>
        <v>0</v>
      </c>
      <c r="J80" s="14">
        <f t="shared" si="24"/>
        <v>0</v>
      </c>
      <c r="K80" s="14">
        <f t="shared" si="24"/>
        <v>0</v>
      </c>
      <c r="L80" s="14">
        <f t="shared" si="24"/>
        <v>0</v>
      </c>
      <c r="M80" s="14">
        <f t="shared" si="24"/>
        <v>1.41204E-35</v>
      </c>
      <c r="N80" s="14">
        <f t="shared" si="24"/>
        <v>2.6474000000000001E-33</v>
      </c>
      <c r="O80" s="14">
        <f t="shared" si="24"/>
        <v>2.0962199999999999E-28</v>
      </c>
      <c r="P80" s="14">
        <f t="shared" si="24"/>
        <v>0</v>
      </c>
      <c r="Q80" s="14">
        <f t="shared" si="24"/>
        <v>0</v>
      </c>
      <c r="R80" s="14">
        <f t="shared" si="24"/>
        <v>0</v>
      </c>
      <c r="S80" s="14">
        <f t="shared" si="24"/>
        <v>0</v>
      </c>
      <c r="T80" s="14">
        <f t="shared" si="24"/>
        <v>2.4018399999999997E-22</v>
      </c>
      <c r="U80" s="14">
        <f t="shared" si="24"/>
        <v>1.2301519999999999E-12</v>
      </c>
      <c r="V80" s="14">
        <f t="shared" si="24"/>
        <v>9.2027599999999994E-9</v>
      </c>
      <c r="W80" s="14">
        <f t="shared" si="24"/>
        <v>2.3853199999999999E-8</v>
      </c>
      <c r="X80" s="14">
        <f t="shared" si="24"/>
        <v>2.8880599999999997E-8</v>
      </c>
      <c r="Y80" s="14">
        <f t="shared" si="24"/>
        <v>5.5113799999999996E-8</v>
      </c>
      <c r="Z80" s="14">
        <f t="shared" si="24"/>
        <v>5.7324399999999999E-8</v>
      </c>
      <c r="AA80" s="14">
        <f t="shared" si="24"/>
        <v>5.4429199999999995E-8</v>
      </c>
      <c r="AB80" s="14">
        <f t="shared" si="24"/>
        <v>6.1532800000000002E-8</v>
      </c>
      <c r="AC80" s="14">
        <f t="shared" si="24"/>
        <v>6.5465399999999993E-8</v>
      </c>
      <c r="AD80" s="14">
        <f t="shared" si="24"/>
        <v>1.3993139999999998E-25</v>
      </c>
      <c r="AE80" s="14">
        <f t="shared" si="24"/>
        <v>3.6499399999999999E-7</v>
      </c>
      <c r="AF80" s="14">
        <f t="shared" si="24"/>
        <v>1.385818E-6</v>
      </c>
      <c r="AG80" s="14">
        <f t="shared" si="24"/>
        <v>6.1993399999999995E-6</v>
      </c>
      <c r="AH80" s="14">
        <f t="shared" si="24"/>
        <v>2.6606999999999998E-4</v>
      </c>
      <c r="AI80" s="14">
        <f t="shared" si="24"/>
        <v>2.3672599999999999E-3</v>
      </c>
      <c r="AJ80" s="14">
        <f t="shared" si="24"/>
        <v>9.58818E-3</v>
      </c>
      <c r="AK80" s="14">
        <f t="shared" si="24"/>
        <v>2.54016E-2</v>
      </c>
      <c r="AL80" s="14">
        <f t="shared" si="24"/>
        <v>0.17024</v>
      </c>
    </row>
    <row r="81" spans="1:38" ht="21" hidden="1" customHeight="1" outlineLevel="1" thickBot="1" x14ac:dyDescent="0.4">
      <c r="A81" s="5">
        <f t="shared" ref="A81:D96" si="25">A47</f>
        <v>0</v>
      </c>
      <c r="B81" s="5">
        <f t="shared" si="25"/>
        <v>3</v>
      </c>
      <c r="C81" s="5">
        <f t="shared" si="25"/>
        <v>0</v>
      </c>
      <c r="D81" s="5">
        <f t="shared" si="25"/>
        <v>2</v>
      </c>
      <c r="E81" s="6" t="str">
        <f t="shared" si="21"/>
        <v>*Ga2Se3</v>
      </c>
      <c r="F81" s="14">
        <f t="shared" ref="F81:AL81" si="26">F5*$C$78</f>
        <v>7.8754199999999996E-2</v>
      </c>
      <c r="G81" s="14">
        <f t="shared" si="26"/>
        <v>8.9611199999999988E-2</v>
      </c>
      <c r="H81" s="14">
        <f t="shared" si="26"/>
        <v>7.8825599999999996E-2</v>
      </c>
      <c r="I81" s="14">
        <f t="shared" si="26"/>
        <v>6.5648800000000007E-2</v>
      </c>
      <c r="J81" s="14">
        <f t="shared" si="26"/>
        <v>5.1606799999999994E-2</v>
      </c>
      <c r="K81" s="14">
        <f t="shared" si="26"/>
        <v>3.8963400000000002E-2</v>
      </c>
      <c r="L81" s="14">
        <f t="shared" si="26"/>
        <v>2.7255199999999997E-2</v>
      </c>
      <c r="M81" s="14">
        <f t="shared" si="26"/>
        <v>1.7675E-2</v>
      </c>
      <c r="N81" s="14">
        <f t="shared" si="26"/>
        <v>1.54238E-2</v>
      </c>
      <c r="O81" s="14">
        <f t="shared" si="26"/>
        <v>1.5507799999999999E-2</v>
      </c>
      <c r="P81" s="14">
        <f t="shared" si="26"/>
        <v>3.6307599999999998E-3</v>
      </c>
      <c r="Q81" s="14">
        <f t="shared" si="26"/>
        <v>7.5398399999999988E-7</v>
      </c>
      <c r="R81" s="14">
        <f t="shared" si="26"/>
        <v>2.4219999999999999E-7</v>
      </c>
      <c r="S81" s="14">
        <f t="shared" si="26"/>
        <v>7.3249400000000005E-8</v>
      </c>
      <c r="T81" s="14">
        <f t="shared" si="26"/>
        <v>2.1205799999999997E-8</v>
      </c>
      <c r="U81" s="14">
        <f t="shared" si="26"/>
        <v>4.6857999999999997E-9</v>
      </c>
      <c r="V81" s="14">
        <f t="shared" si="26"/>
        <v>1.4681799999999997E-11</v>
      </c>
      <c r="W81" s="14">
        <f t="shared" si="26"/>
        <v>4.4920399999999995E-20</v>
      </c>
      <c r="X81" s="14">
        <f t="shared" si="26"/>
        <v>1.2362139999999999E-34</v>
      </c>
      <c r="Y81" s="14">
        <f t="shared" si="26"/>
        <v>0</v>
      </c>
      <c r="Z81" s="14">
        <f t="shared" si="26"/>
        <v>0</v>
      </c>
      <c r="AA81" s="14">
        <f t="shared" si="26"/>
        <v>0</v>
      </c>
      <c r="AB81" s="14">
        <f t="shared" si="26"/>
        <v>0</v>
      </c>
      <c r="AC81" s="14">
        <f t="shared" si="26"/>
        <v>0</v>
      </c>
      <c r="AD81" s="14">
        <f t="shared" si="26"/>
        <v>0</v>
      </c>
      <c r="AE81" s="14">
        <f t="shared" si="26"/>
        <v>0</v>
      </c>
      <c r="AF81" s="14">
        <f t="shared" si="26"/>
        <v>0</v>
      </c>
      <c r="AG81" s="14">
        <f t="shared" si="26"/>
        <v>0</v>
      </c>
      <c r="AH81" s="14">
        <f t="shared" si="26"/>
        <v>0</v>
      </c>
      <c r="AI81" s="14">
        <f t="shared" si="26"/>
        <v>0</v>
      </c>
      <c r="AJ81" s="14">
        <f t="shared" si="26"/>
        <v>0</v>
      </c>
      <c r="AK81" s="14">
        <f t="shared" si="26"/>
        <v>0</v>
      </c>
      <c r="AL81" s="14">
        <f t="shared" si="26"/>
        <v>0</v>
      </c>
    </row>
    <row r="82" spans="1:38" ht="21" hidden="1" customHeight="1" outlineLevel="1" thickBot="1" x14ac:dyDescent="0.4">
      <c r="A82" s="5">
        <f t="shared" si="25"/>
        <v>0</v>
      </c>
      <c r="B82" s="5">
        <f t="shared" si="25"/>
        <v>0</v>
      </c>
      <c r="C82" s="5">
        <f t="shared" si="25"/>
        <v>0</v>
      </c>
      <c r="D82" s="5">
        <f t="shared" si="25"/>
        <v>1</v>
      </c>
      <c r="E82" s="6" t="str">
        <f t="shared" si="21"/>
        <v>*Ga[1]</v>
      </c>
      <c r="F82" s="14">
        <f t="shared" ref="F82:AL82" si="27">F6*$C$78</f>
        <v>0</v>
      </c>
      <c r="G82" s="14">
        <f t="shared" si="27"/>
        <v>0</v>
      </c>
      <c r="H82" s="14">
        <f t="shared" si="27"/>
        <v>0</v>
      </c>
      <c r="I82" s="14">
        <f t="shared" si="27"/>
        <v>0</v>
      </c>
      <c r="J82" s="14">
        <f t="shared" si="27"/>
        <v>0</v>
      </c>
      <c r="K82" s="14">
        <f t="shared" si="27"/>
        <v>0</v>
      </c>
      <c r="L82" s="14">
        <f t="shared" si="27"/>
        <v>0</v>
      </c>
      <c r="M82" s="14">
        <f t="shared" si="27"/>
        <v>0</v>
      </c>
      <c r="N82" s="14">
        <f t="shared" si="27"/>
        <v>0</v>
      </c>
      <c r="O82" s="14">
        <f t="shared" si="27"/>
        <v>0</v>
      </c>
      <c r="P82" s="14">
        <f t="shared" si="27"/>
        <v>0</v>
      </c>
      <c r="Q82" s="14">
        <f t="shared" si="27"/>
        <v>0</v>
      </c>
      <c r="R82" s="14">
        <f t="shared" si="27"/>
        <v>0</v>
      </c>
      <c r="S82" s="14">
        <f t="shared" si="27"/>
        <v>0</v>
      </c>
      <c r="T82" s="14">
        <f t="shared" si="27"/>
        <v>0</v>
      </c>
      <c r="U82" s="14">
        <f t="shared" si="27"/>
        <v>0</v>
      </c>
      <c r="V82" s="14">
        <f t="shared" si="27"/>
        <v>0</v>
      </c>
      <c r="W82" s="14">
        <f t="shared" si="27"/>
        <v>0</v>
      </c>
      <c r="X82" s="14">
        <f t="shared" si="27"/>
        <v>0</v>
      </c>
      <c r="Y82" s="14">
        <f t="shared" si="27"/>
        <v>0</v>
      </c>
      <c r="Z82" s="14">
        <f t="shared" si="27"/>
        <v>2.7005999999999998E-31</v>
      </c>
      <c r="AA82" s="14">
        <f t="shared" si="27"/>
        <v>5.31104E-24</v>
      </c>
      <c r="AB82" s="14">
        <f t="shared" si="27"/>
        <v>2.7707399999999995E-16</v>
      </c>
      <c r="AC82" s="14">
        <f t="shared" si="27"/>
        <v>6.2459599999999998E-9</v>
      </c>
      <c r="AD82" s="14">
        <f t="shared" si="27"/>
        <v>3.8061799999999997E-3</v>
      </c>
      <c r="AE82" s="14">
        <f t="shared" si="27"/>
        <v>6.6193399999999986E-2</v>
      </c>
      <c r="AF82" s="14">
        <f t="shared" si="27"/>
        <v>0.10286219999999999</v>
      </c>
      <c r="AG82" s="14">
        <f t="shared" si="27"/>
        <v>0.16728599999999999</v>
      </c>
      <c r="AH82" s="14">
        <f t="shared" si="27"/>
        <v>0.20167000000000002</v>
      </c>
      <c r="AI82" s="14">
        <f t="shared" si="27"/>
        <v>0.20934199999999997</v>
      </c>
      <c r="AJ82" s="14">
        <f t="shared" si="27"/>
        <v>0.21387799999999998</v>
      </c>
      <c r="AK82" s="14">
        <f t="shared" si="27"/>
        <v>0.21683199999999997</v>
      </c>
      <c r="AL82" s="14">
        <f t="shared" si="27"/>
        <v>0.22229199999999999</v>
      </c>
    </row>
    <row r="83" spans="1:38" ht="21" hidden="1" customHeight="1" outlineLevel="1" thickBot="1" x14ac:dyDescent="0.4">
      <c r="A83" s="5">
        <f t="shared" si="25"/>
        <v>0</v>
      </c>
      <c r="B83" s="5">
        <f t="shared" si="25"/>
        <v>0</v>
      </c>
      <c r="C83" s="5">
        <f t="shared" si="25"/>
        <v>0</v>
      </c>
      <c r="D83" s="5">
        <f t="shared" si="25"/>
        <v>1</v>
      </c>
      <c r="E83" s="6" t="str">
        <f t="shared" si="21"/>
        <v>Ga</v>
      </c>
      <c r="F83" s="14">
        <f t="shared" ref="F83:AL83" si="28">F7*$C$78</f>
        <v>0</v>
      </c>
      <c r="G83" s="14">
        <f t="shared" si="28"/>
        <v>0</v>
      </c>
      <c r="H83" s="14">
        <f t="shared" si="28"/>
        <v>0</v>
      </c>
      <c r="I83" s="14">
        <f t="shared" si="28"/>
        <v>0</v>
      </c>
      <c r="J83" s="14">
        <f t="shared" si="28"/>
        <v>0</v>
      </c>
      <c r="K83" s="14">
        <f t="shared" si="28"/>
        <v>0</v>
      </c>
      <c r="L83" s="14">
        <f t="shared" si="28"/>
        <v>5.3649399999999996E-36</v>
      </c>
      <c r="M83" s="14">
        <f t="shared" si="28"/>
        <v>3.13418E-34</v>
      </c>
      <c r="N83" s="14">
        <f t="shared" si="28"/>
        <v>1.382906E-32</v>
      </c>
      <c r="O83" s="14">
        <f t="shared" si="28"/>
        <v>4.7412399999999998E-31</v>
      </c>
      <c r="P83" s="14">
        <f t="shared" si="28"/>
        <v>8.2926200000000005E-26</v>
      </c>
      <c r="Q83" s="14">
        <f t="shared" si="28"/>
        <v>1.1843719999999999E-21</v>
      </c>
      <c r="R83" s="14">
        <f t="shared" si="28"/>
        <v>9.5993799999999987E-21</v>
      </c>
      <c r="S83" s="14">
        <f t="shared" si="28"/>
        <v>7.0296799999999986E-20</v>
      </c>
      <c r="T83" s="14">
        <f t="shared" si="28"/>
        <v>4.68636E-19</v>
      </c>
      <c r="U83" s="14">
        <f t="shared" si="28"/>
        <v>2.8632800000000001E-18</v>
      </c>
      <c r="V83" s="14">
        <f t="shared" si="28"/>
        <v>1.6127999999999999E-17</v>
      </c>
      <c r="W83" s="14">
        <f t="shared" si="28"/>
        <v>8.4195999999999998E-17</v>
      </c>
      <c r="X83" s="14">
        <f t="shared" si="28"/>
        <v>4.0921999999999997E-16</v>
      </c>
      <c r="Y83" s="14">
        <f t="shared" si="28"/>
        <v>1.8591999999999999E-15</v>
      </c>
      <c r="Z83" s="14">
        <f t="shared" si="28"/>
        <v>7.9238600000000001E-15</v>
      </c>
      <c r="AA83" s="14">
        <f t="shared" si="28"/>
        <v>3.1787E-14</v>
      </c>
      <c r="AB83" s="14">
        <f t="shared" si="28"/>
        <v>1.2037759999999999E-13</v>
      </c>
      <c r="AC83" s="14">
        <f t="shared" si="28"/>
        <v>4.3146599999999999E-13</v>
      </c>
      <c r="AD83" s="14">
        <f t="shared" si="28"/>
        <v>1.4380799999999999E-12</v>
      </c>
      <c r="AE83" s="14">
        <f t="shared" si="28"/>
        <v>3.1217199999999997E-12</v>
      </c>
      <c r="AF83" s="14">
        <f t="shared" si="28"/>
        <v>6.5661399999999993E-12</v>
      </c>
      <c r="AG83" s="14">
        <f t="shared" si="28"/>
        <v>1.342418E-11</v>
      </c>
      <c r="AH83" s="14">
        <f t="shared" si="28"/>
        <v>2.6719E-11</v>
      </c>
      <c r="AI83" s="14">
        <f t="shared" si="28"/>
        <v>5.1850399999999999E-11</v>
      </c>
      <c r="AJ83" s="14">
        <f t="shared" si="28"/>
        <v>9.8239399999999991E-11</v>
      </c>
      <c r="AK83" s="14">
        <f t="shared" si="28"/>
        <v>1.81944E-10</v>
      </c>
      <c r="AL83" s="14">
        <f t="shared" si="28"/>
        <v>1.7452399999999999E-9</v>
      </c>
    </row>
    <row r="84" spans="1:38" ht="21" hidden="1" customHeight="1" outlineLevel="1" thickBot="1" x14ac:dyDescent="0.4">
      <c r="A84" s="5">
        <f t="shared" si="25"/>
        <v>0</v>
      </c>
      <c r="B84" s="5">
        <f t="shared" si="25"/>
        <v>1</v>
      </c>
      <c r="C84" s="5">
        <f t="shared" si="25"/>
        <v>0</v>
      </c>
      <c r="D84" s="5">
        <f t="shared" si="25"/>
        <v>2</v>
      </c>
      <c r="E84" s="6" t="str">
        <f t="shared" si="21"/>
        <v>Ga2Se</v>
      </c>
      <c r="F84" s="14">
        <f t="shared" ref="F84:AL84" si="29">F8*$C$78</f>
        <v>0</v>
      </c>
      <c r="G84" s="14">
        <f t="shared" si="29"/>
        <v>0</v>
      </c>
      <c r="H84" s="14">
        <f t="shared" si="29"/>
        <v>0</v>
      </c>
      <c r="I84" s="14">
        <f t="shared" si="29"/>
        <v>5.9264800000000001E-36</v>
      </c>
      <c r="J84" s="14">
        <f t="shared" si="29"/>
        <v>8.4737799999999993E-34</v>
      </c>
      <c r="K84" s="14">
        <f t="shared" si="29"/>
        <v>8.7001599999999992E-32</v>
      </c>
      <c r="L84" s="14">
        <f t="shared" si="29"/>
        <v>6.4195599999999987E-30</v>
      </c>
      <c r="M84" s="14">
        <f t="shared" si="29"/>
        <v>3.49636E-28</v>
      </c>
      <c r="N84" s="14">
        <f t="shared" si="29"/>
        <v>1.44788E-26</v>
      </c>
      <c r="O84" s="14">
        <f t="shared" si="29"/>
        <v>4.6858E-25</v>
      </c>
      <c r="P84" s="14">
        <f t="shared" si="29"/>
        <v>6.7912599999999996E-20</v>
      </c>
      <c r="Q84" s="14">
        <f t="shared" si="29"/>
        <v>8.262519999999999E-16</v>
      </c>
      <c r="R84" s="14">
        <f t="shared" si="29"/>
        <v>6.3841399999999996E-15</v>
      </c>
      <c r="S84" s="14">
        <f t="shared" si="29"/>
        <v>4.4114E-14</v>
      </c>
      <c r="T84" s="14">
        <f t="shared" si="29"/>
        <v>2.7278999999999999E-13</v>
      </c>
      <c r="U84" s="14">
        <f t="shared" si="29"/>
        <v>1.5041599999999999E-12</v>
      </c>
      <c r="V84" s="14">
        <f t="shared" si="29"/>
        <v>7.3298400000000002E-12</v>
      </c>
      <c r="W84" s="14">
        <f t="shared" si="29"/>
        <v>3.1194799999999996E-11</v>
      </c>
      <c r="X84" s="14">
        <f t="shared" si="29"/>
        <v>1.155364E-10</v>
      </c>
      <c r="Y84" s="14">
        <f t="shared" si="29"/>
        <v>3.7956799999999994E-10</v>
      </c>
      <c r="Z84" s="14">
        <f t="shared" si="29"/>
        <v>1.1413499999999998E-9</v>
      </c>
      <c r="AA84" s="14">
        <f t="shared" si="29"/>
        <v>3.2134199999999998E-9</v>
      </c>
      <c r="AB84" s="14">
        <f t="shared" si="29"/>
        <v>8.5644999999999987E-9</v>
      </c>
      <c r="AC84" s="14">
        <f t="shared" si="29"/>
        <v>2.1712599999999999E-8</v>
      </c>
      <c r="AD84" s="14">
        <f t="shared" si="29"/>
        <v>5.1091600000000003E-8</v>
      </c>
      <c r="AE84" s="14">
        <f t="shared" si="29"/>
        <v>6.4633799999999997E-8</v>
      </c>
      <c r="AF84" s="14">
        <f t="shared" si="29"/>
        <v>7.3586799999999998E-8</v>
      </c>
      <c r="AG84" s="14">
        <f t="shared" si="29"/>
        <v>7.9276399999999996E-8</v>
      </c>
      <c r="AH84" s="14">
        <f t="shared" si="29"/>
        <v>8.293319999999999E-8</v>
      </c>
      <c r="AI84" s="14">
        <f t="shared" si="29"/>
        <v>8.5294999999999997E-8</v>
      </c>
      <c r="AJ84" s="14">
        <f t="shared" si="29"/>
        <v>8.6748199999999988E-8</v>
      </c>
      <c r="AK84" s="14">
        <f t="shared" si="29"/>
        <v>8.748739999999999E-8</v>
      </c>
      <c r="AL84" s="14">
        <f t="shared" si="29"/>
        <v>8.4916999999999992E-8</v>
      </c>
    </row>
    <row r="85" spans="1:38" ht="21" hidden="1" customHeight="1" outlineLevel="1" thickBot="1" x14ac:dyDescent="0.4">
      <c r="A85" s="5">
        <f t="shared" si="25"/>
        <v>1</v>
      </c>
      <c r="B85" s="5">
        <f t="shared" si="25"/>
        <v>0</v>
      </c>
      <c r="C85" s="5">
        <f t="shared" si="25"/>
        <v>0</v>
      </c>
      <c r="D85" s="5">
        <f t="shared" si="25"/>
        <v>0</v>
      </c>
      <c r="E85" s="6" t="str">
        <f t="shared" si="21"/>
        <v>Ar</v>
      </c>
      <c r="F85" s="14">
        <f t="shared" ref="F85:AL85" si="30">F9*$C$78</f>
        <v>0.27999999999999997</v>
      </c>
      <c r="G85" s="14">
        <f t="shared" si="30"/>
        <v>0.27999999999999997</v>
      </c>
      <c r="H85" s="14">
        <f t="shared" si="30"/>
        <v>0.27999999999999997</v>
      </c>
      <c r="I85" s="14">
        <f t="shared" si="30"/>
        <v>0.27999999999999997</v>
      </c>
      <c r="J85" s="14">
        <f t="shared" si="30"/>
        <v>0.27999999999999997</v>
      </c>
      <c r="K85" s="14">
        <f t="shared" si="30"/>
        <v>0.27999999999999997</v>
      </c>
      <c r="L85" s="14">
        <f t="shared" si="30"/>
        <v>0.27999999999999997</v>
      </c>
      <c r="M85" s="14">
        <f t="shared" si="30"/>
        <v>0.27999999999999997</v>
      </c>
      <c r="N85" s="14">
        <f t="shared" si="30"/>
        <v>0.27999999999999997</v>
      </c>
      <c r="O85" s="14">
        <f t="shared" si="30"/>
        <v>0.27999999999999997</v>
      </c>
      <c r="P85" s="14">
        <f t="shared" si="30"/>
        <v>0.27999999999999997</v>
      </c>
      <c r="Q85" s="14">
        <f t="shared" si="30"/>
        <v>0.27999999999999997</v>
      </c>
      <c r="R85" s="14">
        <f t="shared" si="30"/>
        <v>0.27999999999999997</v>
      </c>
      <c r="S85" s="14">
        <f t="shared" si="30"/>
        <v>0.27999999999999997</v>
      </c>
      <c r="T85" s="14">
        <f t="shared" si="30"/>
        <v>0.27999999999999997</v>
      </c>
      <c r="U85" s="14">
        <f t="shared" si="30"/>
        <v>0.27999999999999997</v>
      </c>
      <c r="V85" s="14">
        <f t="shared" si="30"/>
        <v>0.27999999999999997</v>
      </c>
      <c r="W85" s="14">
        <f t="shared" si="30"/>
        <v>0.27999999999999997</v>
      </c>
      <c r="X85" s="14">
        <f t="shared" si="30"/>
        <v>0.27999999999999997</v>
      </c>
      <c r="Y85" s="14">
        <f t="shared" si="30"/>
        <v>0.27999999999999997</v>
      </c>
      <c r="Z85" s="14">
        <f t="shared" si="30"/>
        <v>0.27999999999999997</v>
      </c>
      <c r="AA85" s="14">
        <f t="shared" si="30"/>
        <v>0.27999999999999997</v>
      </c>
      <c r="AB85" s="14">
        <f t="shared" si="30"/>
        <v>0.27999999999999997</v>
      </c>
      <c r="AC85" s="14">
        <f t="shared" si="30"/>
        <v>0.27999999999999997</v>
      </c>
      <c r="AD85" s="14">
        <f t="shared" si="30"/>
        <v>0.27999999999999997</v>
      </c>
      <c r="AE85" s="14">
        <f t="shared" si="30"/>
        <v>0.27999999999999997</v>
      </c>
      <c r="AF85" s="14">
        <f t="shared" si="30"/>
        <v>0.27999999999999997</v>
      </c>
      <c r="AG85" s="14">
        <f t="shared" si="30"/>
        <v>0.27999999999999997</v>
      </c>
      <c r="AH85" s="14">
        <f t="shared" si="30"/>
        <v>0.27999999999999997</v>
      </c>
      <c r="AI85" s="14">
        <f t="shared" si="30"/>
        <v>0.27999999999999997</v>
      </c>
      <c r="AJ85" s="14">
        <f t="shared" si="30"/>
        <v>0.27999999999999997</v>
      </c>
      <c r="AK85" s="14">
        <f t="shared" si="30"/>
        <v>0.27999999999999997</v>
      </c>
      <c r="AL85" s="14">
        <f t="shared" si="30"/>
        <v>0.27999999999999997</v>
      </c>
    </row>
    <row r="86" spans="1:38" ht="21" hidden="1" customHeight="1" outlineLevel="1" thickBot="1" x14ac:dyDescent="0.4">
      <c r="A86" s="5">
        <f t="shared" si="25"/>
        <v>0</v>
      </c>
      <c r="B86" s="5">
        <f t="shared" si="25"/>
        <v>3</v>
      </c>
      <c r="C86" s="5">
        <f t="shared" si="25"/>
        <v>0</v>
      </c>
      <c r="D86" s="5">
        <f t="shared" si="25"/>
        <v>2</v>
      </c>
      <c r="E86" s="6" t="str">
        <f t="shared" si="21"/>
        <v>(1)Ga2Se3</v>
      </c>
      <c r="F86" s="14">
        <f t="shared" ref="F86:AL86" si="31">F10*$C$78</f>
        <v>0.14524999999999999</v>
      </c>
      <c r="G86" s="14">
        <f t="shared" si="31"/>
        <v>0.13438879999999997</v>
      </c>
      <c r="H86" s="14">
        <f t="shared" si="31"/>
        <v>0.14518</v>
      </c>
      <c r="I86" s="14">
        <f t="shared" si="31"/>
        <v>0.15835399999999999</v>
      </c>
      <c r="J86" s="14">
        <f t="shared" si="31"/>
        <v>0.17239599999999999</v>
      </c>
      <c r="K86" s="14">
        <f t="shared" si="31"/>
        <v>0.18503800000000001</v>
      </c>
      <c r="L86" s="14">
        <f t="shared" si="31"/>
        <v>0.19674199999999997</v>
      </c>
      <c r="M86" s="14">
        <f t="shared" si="31"/>
        <v>0.206318</v>
      </c>
      <c r="N86" s="14">
        <f t="shared" si="31"/>
        <v>0.20855799999999997</v>
      </c>
      <c r="O86" s="14">
        <f t="shared" si="31"/>
        <v>0.20844599999999999</v>
      </c>
      <c r="P86" s="14">
        <f t="shared" si="31"/>
        <v>0.21958999999999998</v>
      </c>
      <c r="Q86" s="14">
        <f t="shared" si="31"/>
        <v>0.21649599999999999</v>
      </c>
      <c r="R86" s="14">
        <f t="shared" si="31"/>
        <v>0.21152599999999999</v>
      </c>
      <c r="S86" s="14">
        <f t="shared" si="31"/>
        <v>0.20351799999999998</v>
      </c>
      <c r="T86" s="14">
        <f t="shared" si="31"/>
        <v>0.190666</v>
      </c>
      <c r="U86" s="14">
        <f t="shared" si="31"/>
        <v>0.17025399999999999</v>
      </c>
      <c r="V86" s="14">
        <f t="shared" si="31"/>
        <v>0.13899059999999999</v>
      </c>
      <c r="W86" s="14">
        <f t="shared" si="31"/>
        <v>9.6716200000000002E-2</v>
      </c>
      <c r="X86" s="14">
        <f t="shared" si="31"/>
        <v>5.33596E-2</v>
      </c>
      <c r="Y86" s="14">
        <f t="shared" si="31"/>
        <v>2.3532600000000001E-2</v>
      </c>
      <c r="Z86" s="14">
        <f t="shared" si="31"/>
        <v>9.1264599999999994E-3</v>
      </c>
      <c r="AA86" s="14">
        <f t="shared" si="31"/>
        <v>3.3959799999999994E-3</v>
      </c>
      <c r="AB86" s="14">
        <f t="shared" si="31"/>
        <v>1.2645639999999999E-3</v>
      </c>
      <c r="AC86" s="14">
        <f t="shared" si="31"/>
        <v>4.7818399999999993E-4</v>
      </c>
      <c r="AD86" s="14">
        <f t="shared" si="31"/>
        <v>1.83862E-4</v>
      </c>
      <c r="AE86" s="14">
        <f t="shared" si="31"/>
        <v>5.6544600000000001E-5</v>
      </c>
      <c r="AF86" s="14">
        <f t="shared" si="31"/>
        <v>1.376298E-5</v>
      </c>
      <c r="AG86" s="14">
        <f t="shared" si="31"/>
        <v>3.0514399999999995E-6</v>
      </c>
      <c r="AH86" s="14">
        <f t="shared" si="31"/>
        <v>6.6299799999999999E-7</v>
      </c>
      <c r="AI86" s="14">
        <f t="shared" si="31"/>
        <v>1.45614E-7</v>
      </c>
      <c r="AJ86" s="14">
        <f t="shared" si="31"/>
        <v>3.2615799999999995E-8</v>
      </c>
      <c r="AK86" s="14">
        <f t="shared" si="31"/>
        <v>7.4461799999999996E-9</v>
      </c>
      <c r="AL86" s="14">
        <f t="shared" si="31"/>
        <v>2.3995999999999996E-11</v>
      </c>
    </row>
    <row r="87" spans="1:38" ht="21" hidden="1" customHeight="1" outlineLevel="1" thickBot="1" x14ac:dyDescent="0.4">
      <c r="A87" s="5">
        <f t="shared" si="25"/>
        <v>0</v>
      </c>
      <c r="B87" s="5">
        <f t="shared" si="25"/>
        <v>1</v>
      </c>
      <c r="C87" s="5">
        <f t="shared" si="25"/>
        <v>0</v>
      </c>
      <c r="D87" s="5">
        <f t="shared" si="25"/>
        <v>2</v>
      </c>
      <c r="E87" s="6" t="str">
        <f t="shared" si="21"/>
        <v>(1)Ga2Se</v>
      </c>
      <c r="F87" s="14">
        <f t="shared" ref="F87:AL87" si="32">F11*$C$78</f>
        <v>2.1110599999999998E-8</v>
      </c>
      <c r="G87" s="14">
        <f t="shared" si="32"/>
        <v>2.4743599999999998E-8</v>
      </c>
      <c r="H87" s="14">
        <f t="shared" si="32"/>
        <v>4.4050999999999995E-8</v>
      </c>
      <c r="I87" s="14">
        <f t="shared" si="32"/>
        <v>1.235654E-7</v>
      </c>
      <c r="J87" s="14">
        <f t="shared" si="32"/>
        <v>3.8977399999999998E-7</v>
      </c>
      <c r="K87" s="14">
        <f t="shared" si="32"/>
        <v>1.1821459999999999E-6</v>
      </c>
      <c r="L87" s="14">
        <f t="shared" si="32"/>
        <v>3.3457199999999997E-6</v>
      </c>
      <c r="M87" s="14">
        <f t="shared" si="32"/>
        <v>8.7670799999999998E-6</v>
      </c>
      <c r="N87" s="14">
        <f t="shared" si="32"/>
        <v>2.0868399999999998E-5</v>
      </c>
      <c r="O87" s="14">
        <f t="shared" si="32"/>
        <v>4.6526199999999995E-5</v>
      </c>
      <c r="P87" s="14">
        <f t="shared" si="32"/>
        <v>7.7974399999999997E-4</v>
      </c>
      <c r="Q87" s="14">
        <f t="shared" si="32"/>
        <v>7.4709599999999996E-3</v>
      </c>
      <c r="R87" s="14">
        <f t="shared" si="32"/>
        <v>1.241548E-2</v>
      </c>
      <c r="S87" s="14">
        <f t="shared" si="32"/>
        <v>2.0368599999999997E-2</v>
      </c>
      <c r="T87" s="14">
        <f t="shared" si="32"/>
        <v>3.3111399999999992E-2</v>
      </c>
      <c r="U87" s="14">
        <f t="shared" si="32"/>
        <v>5.3337199999999994E-2</v>
      </c>
      <c r="V87" s="14">
        <f t="shared" si="32"/>
        <v>8.4201600000000001E-2</v>
      </c>
      <c r="W87" s="14">
        <f t="shared" si="32"/>
        <v>0.1257228</v>
      </c>
      <c r="X87" s="14">
        <f t="shared" si="32"/>
        <v>0.16778999999999999</v>
      </c>
      <c r="Y87" s="14">
        <f t="shared" si="32"/>
        <v>0.19570599999999999</v>
      </c>
      <c r="Z87" s="14">
        <f t="shared" si="32"/>
        <v>0.207564</v>
      </c>
      <c r="AA87" s="14">
        <f t="shared" si="32"/>
        <v>0.20995799999999998</v>
      </c>
      <c r="AB87" s="14">
        <f t="shared" si="32"/>
        <v>0.20777399999999996</v>
      </c>
      <c r="AC87" s="14">
        <f t="shared" si="32"/>
        <v>0.20308399999999999</v>
      </c>
      <c r="AD87" s="14">
        <f t="shared" si="32"/>
        <v>0.19109999999999999</v>
      </c>
      <c r="AE87" s="14">
        <f t="shared" si="32"/>
        <v>9.71558E-2</v>
      </c>
      <c r="AF87" s="14">
        <f t="shared" si="32"/>
        <v>4.5953599999999997E-2</v>
      </c>
      <c r="AG87" s="14">
        <f t="shared" si="32"/>
        <v>2.1228199999999999E-2</v>
      </c>
      <c r="AH87" s="14">
        <f t="shared" si="32"/>
        <v>9.8088199999999993E-3</v>
      </c>
      <c r="AI87" s="14">
        <f t="shared" si="32"/>
        <v>4.5711399999999996E-3</v>
      </c>
      <c r="AJ87" s="14">
        <f t="shared" si="32"/>
        <v>2.1470399999999998E-3</v>
      </c>
      <c r="AK87" s="14">
        <f t="shared" si="32"/>
        <v>1.01213E-3</v>
      </c>
      <c r="AL87" s="14">
        <f t="shared" si="32"/>
        <v>5.0426600000000003E-5</v>
      </c>
    </row>
    <row r="88" spans="1:38" ht="21" hidden="1" customHeight="1" outlineLevel="1" thickBot="1" x14ac:dyDescent="0.4">
      <c r="A88" s="5">
        <f t="shared" si="25"/>
        <v>0</v>
      </c>
      <c r="B88" s="5">
        <f t="shared" si="25"/>
        <v>0</v>
      </c>
      <c r="C88" s="5">
        <f t="shared" si="25"/>
        <v>0</v>
      </c>
      <c r="D88" s="5">
        <f t="shared" si="25"/>
        <v>1</v>
      </c>
      <c r="E88" s="6" t="str">
        <f t="shared" si="21"/>
        <v>(1)Ga</v>
      </c>
      <c r="F88" s="14">
        <f t="shared" ref="F88:AL88" si="33">F12*$C$78</f>
        <v>2.26128E-13</v>
      </c>
      <c r="G88" s="14">
        <f t="shared" si="33"/>
        <v>5.2750599999999991E-12</v>
      </c>
      <c r="H88" s="14">
        <f t="shared" si="33"/>
        <v>1.5498E-11</v>
      </c>
      <c r="I88" s="14">
        <f t="shared" si="33"/>
        <v>6.1595799999999992E-11</v>
      </c>
      <c r="J88" s="14">
        <f t="shared" si="33"/>
        <v>2.57586E-10</v>
      </c>
      <c r="K88" s="14">
        <f t="shared" si="33"/>
        <v>1.0086859999999999E-9</v>
      </c>
      <c r="L88" s="14">
        <f t="shared" si="33"/>
        <v>3.63216E-9</v>
      </c>
      <c r="M88" s="14">
        <f t="shared" si="33"/>
        <v>1.1974760000000001E-8</v>
      </c>
      <c r="N88" s="14">
        <f t="shared" si="33"/>
        <v>3.5506799999999997E-8</v>
      </c>
      <c r="O88" s="14">
        <f t="shared" si="33"/>
        <v>9.7691999999999986E-8</v>
      </c>
      <c r="P88" s="14">
        <f t="shared" si="33"/>
        <v>3.4718599999999999E-6</v>
      </c>
      <c r="Q88" s="14">
        <f t="shared" si="33"/>
        <v>6.2276199999999998E-5</v>
      </c>
      <c r="R88" s="14">
        <f t="shared" si="33"/>
        <v>1.197686E-4</v>
      </c>
      <c r="S88" s="14">
        <f t="shared" si="33"/>
        <v>2.2786399999999999E-4</v>
      </c>
      <c r="T88" s="14">
        <f t="shared" si="33"/>
        <v>4.3318799999999993E-4</v>
      </c>
      <c r="U88" s="14">
        <f t="shared" si="33"/>
        <v>8.3122199999999995E-4</v>
      </c>
      <c r="V88" s="14">
        <f t="shared" si="33"/>
        <v>1.61546E-3</v>
      </c>
      <c r="W88" s="14">
        <f t="shared" si="33"/>
        <v>3.1207399999999999E-3</v>
      </c>
      <c r="X88" s="14">
        <f t="shared" si="33"/>
        <v>5.7066800000000004E-3</v>
      </c>
      <c r="Y88" s="14">
        <f t="shared" si="33"/>
        <v>9.5115999999999985E-3</v>
      </c>
      <c r="Z88" s="14">
        <f t="shared" si="33"/>
        <v>1.4615999999999999E-2</v>
      </c>
      <c r="AA88" s="14">
        <f t="shared" si="33"/>
        <v>2.12982E-2</v>
      </c>
      <c r="AB88" s="14">
        <f t="shared" si="33"/>
        <v>2.9933399999999999E-2</v>
      </c>
      <c r="AC88" s="14">
        <f t="shared" si="33"/>
        <v>4.0868799999999997E-2</v>
      </c>
      <c r="AD88" s="14">
        <f t="shared" si="33"/>
        <v>5.3178999999999997E-2</v>
      </c>
      <c r="AE88" s="14">
        <f t="shared" si="33"/>
        <v>4.4736999999999992E-2</v>
      </c>
      <c r="AF88" s="14">
        <f t="shared" si="33"/>
        <v>3.7230199999999998E-2</v>
      </c>
      <c r="AG88" s="14">
        <f t="shared" si="33"/>
        <v>3.0690799999999997E-2</v>
      </c>
      <c r="AH88" s="14">
        <f t="shared" si="33"/>
        <v>2.5043200000000002E-2</v>
      </c>
      <c r="AI88" s="14">
        <f t="shared" si="33"/>
        <v>2.0169799999999998E-2</v>
      </c>
      <c r="AJ88" s="14">
        <f t="shared" si="33"/>
        <v>1.5950200000000001E-2</v>
      </c>
      <c r="AK88" s="14">
        <f t="shared" si="33"/>
        <v>1.2308659999999999E-2</v>
      </c>
      <c r="AL88" s="14">
        <f t="shared" si="33"/>
        <v>3.3234599999999999E-3</v>
      </c>
    </row>
    <row r="89" spans="1:38" ht="21" hidden="1" customHeight="1" outlineLevel="1" thickBot="1" x14ac:dyDescent="0.4">
      <c r="A89" s="5">
        <f t="shared" si="25"/>
        <v>0</v>
      </c>
      <c r="B89" s="5">
        <f t="shared" si="25"/>
        <v>1</v>
      </c>
      <c r="C89" s="5">
        <f t="shared" si="25"/>
        <v>0</v>
      </c>
      <c r="D89" s="5">
        <f t="shared" si="25"/>
        <v>0</v>
      </c>
      <c r="E89" s="6" t="str">
        <f t="shared" si="21"/>
        <v>(1)Se</v>
      </c>
      <c r="F89" s="14">
        <f t="shared" ref="F89:AL89" si="34">F13*$C$78</f>
        <v>2.9454599999999998E-19</v>
      </c>
      <c r="G89" s="14">
        <f t="shared" si="34"/>
        <v>3.7819599999999996E-15</v>
      </c>
      <c r="H89" s="14">
        <f t="shared" si="34"/>
        <v>1.98352E-14</v>
      </c>
      <c r="I89" s="14">
        <f t="shared" si="34"/>
        <v>7.0897399999999994E-14</v>
      </c>
      <c r="J89" s="14">
        <f t="shared" si="34"/>
        <v>2.0539399999999996E-13</v>
      </c>
      <c r="K89" s="14">
        <f t="shared" si="34"/>
        <v>5.2155599999999996E-13</v>
      </c>
      <c r="L89" s="14">
        <f t="shared" si="34"/>
        <v>1.2054699999999999E-12</v>
      </c>
      <c r="M89" s="14">
        <f t="shared" si="34"/>
        <v>2.5628399999999996E-12</v>
      </c>
      <c r="N89" s="14">
        <f t="shared" si="34"/>
        <v>4.9445199999999996E-12</v>
      </c>
      <c r="O89" s="14">
        <f t="shared" si="34"/>
        <v>8.9431999999999993E-12</v>
      </c>
      <c r="P89" s="14">
        <f t="shared" si="34"/>
        <v>7.4818799999999999E-11</v>
      </c>
      <c r="Q89" s="14">
        <f t="shared" si="34"/>
        <v>3.8596599999999998E-10</v>
      </c>
      <c r="R89" s="14">
        <f t="shared" si="34"/>
        <v>5.5028399999999992E-10</v>
      </c>
      <c r="S89" s="14">
        <f t="shared" si="34"/>
        <v>7.7516599999999989E-10</v>
      </c>
      <c r="T89" s="14">
        <f t="shared" si="34"/>
        <v>1.0829559999999999E-9</v>
      </c>
      <c r="U89" s="14">
        <f t="shared" si="34"/>
        <v>1.50094E-9</v>
      </c>
      <c r="V89" s="14">
        <f t="shared" si="34"/>
        <v>2.0420399999999997E-9</v>
      </c>
      <c r="W89" s="14">
        <f t="shared" si="34"/>
        <v>2.6332599999999997E-9</v>
      </c>
      <c r="X89" s="14">
        <f t="shared" si="34"/>
        <v>3.04556E-9</v>
      </c>
      <c r="Y89" s="14">
        <f t="shared" si="34"/>
        <v>3.0927400000000002E-9</v>
      </c>
      <c r="Z89" s="14">
        <f t="shared" si="34"/>
        <v>2.8723799999999995E-9</v>
      </c>
      <c r="AA89" s="14">
        <f t="shared" si="34"/>
        <v>2.562E-9</v>
      </c>
      <c r="AB89" s="14">
        <f t="shared" si="34"/>
        <v>2.2541399999999998E-9</v>
      </c>
      <c r="AC89" s="14">
        <f t="shared" si="34"/>
        <v>1.9774999999999998E-9</v>
      </c>
      <c r="AD89" s="14">
        <f t="shared" si="34"/>
        <v>1.7571399999999998E-9</v>
      </c>
      <c r="AE89" s="14">
        <f t="shared" si="34"/>
        <v>1.81916E-9</v>
      </c>
      <c r="AF89" s="14">
        <f t="shared" si="34"/>
        <v>1.7161199999999999E-9</v>
      </c>
      <c r="AG89" s="14">
        <f t="shared" si="34"/>
        <v>1.54616E-9</v>
      </c>
      <c r="AH89" s="14">
        <f t="shared" si="34"/>
        <v>1.3639359999999999E-9</v>
      </c>
      <c r="AI89" s="14">
        <f t="shared" si="34"/>
        <v>1.18937E-9</v>
      </c>
      <c r="AJ89" s="14">
        <f t="shared" si="34"/>
        <v>1.0255E-9</v>
      </c>
      <c r="AK89" s="14">
        <f t="shared" si="34"/>
        <v>8.7142999999999985E-10</v>
      </c>
      <c r="AL89" s="14">
        <f t="shared" si="34"/>
        <v>3.8886399999999997E-10</v>
      </c>
    </row>
    <row r="90" spans="1:38" ht="21" hidden="1" customHeight="1" outlineLevel="1" thickBot="1" x14ac:dyDescent="0.4">
      <c r="A90" s="5">
        <f t="shared" si="25"/>
        <v>0</v>
      </c>
      <c r="B90" s="5">
        <f t="shared" si="25"/>
        <v>1</v>
      </c>
      <c r="C90" s="5">
        <f t="shared" si="25"/>
        <v>0</v>
      </c>
      <c r="D90" s="5">
        <f t="shared" si="25"/>
        <v>0</v>
      </c>
      <c r="E90" s="6" t="str">
        <f t="shared" si="21"/>
        <v>(1)Se[a]</v>
      </c>
      <c r="F90" s="14">
        <f t="shared" ref="F90:AL90" si="35">F14*$C$78</f>
        <v>6.7888799999999996E-20</v>
      </c>
      <c r="G90" s="14">
        <f t="shared" si="35"/>
        <v>1.34183E-15</v>
      </c>
      <c r="H90" s="14">
        <f t="shared" si="35"/>
        <v>7.6544999999999985E-15</v>
      </c>
      <c r="I90" s="14">
        <f t="shared" si="35"/>
        <v>2.9546999999999995E-14</v>
      </c>
      <c r="J90" s="14">
        <f t="shared" si="35"/>
        <v>9.1858199999999995E-14</v>
      </c>
      <c r="K90" s="14">
        <f t="shared" si="35"/>
        <v>2.4893399999999997E-13</v>
      </c>
      <c r="L90" s="14">
        <f t="shared" si="35"/>
        <v>6.1097399999999996E-13</v>
      </c>
      <c r="M90" s="14">
        <f t="shared" si="35"/>
        <v>1.3732319999999999E-12</v>
      </c>
      <c r="N90" s="14">
        <f t="shared" si="35"/>
        <v>2.7896399999999994E-12</v>
      </c>
      <c r="O90" s="14">
        <f t="shared" si="35"/>
        <v>5.2938199999999993E-12</v>
      </c>
      <c r="P90" s="14">
        <f t="shared" si="35"/>
        <v>4.6030599999999993E-11</v>
      </c>
      <c r="Q90" s="14">
        <f t="shared" si="35"/>
        <v>2.2839599999999997E-10</v>
      </c>
      <c r="R90" s="14">
        <f t="shared" si="35"/>
        <v>3.2236399999999994E-10</v>
      </c>
      <c r="S90" s="14">
        <f t="shared" si="35"/>
        <v>4.4952600000000001E-10</v>
      </c>
      <c r="T90" s="14">
        <f t="shared" si="35"/>
        <v>6.2165599999999997E-10</v>
      </c>
      <c r="U90" s="14">
        <f t="shared" si="35"/>
        <v>8.5287999999999995E-10</v>
      </c>
      <c r="V90" s="14">
        <f t="shared" si="35"/>
        <v>1.1485599999999998E-9</v>
      </c>
      <c r="W90" s="14">
        <f t="shared" si="35"/>
        <v>1.4662200000000001E-9</v>
      </c>
      <c r="X90" s="14">
        <f t="shared" si="35"/>
        <v>1.6787399999999997E-9</v>
      </c>
      <c r="Y90" s="14">
        <f t="shared" si="35"/>
        <v>1.68784E-9</v>
      </c>
      <c r="Z90" s="14">
        <f t="shared" si="35"/>
        <v>1.5520399999999999E-9</v>
      </c>
      <c r="AA90" s="14">
        <f t="shared" si="35"/>
        <v>1.3707259999999998E-9</v>
      </c>
      <c r="AB90" s="14">
        <f t="shared" si="35"/>
        <v>1.194214E-9</v>
      </c>
      <c r="AC90" s="14">
        <f t="shared" si="35"/>
        <v>1.0375259999999998E-9</v>
      </c>
      <c r="AD90" s="14">
        <f t="shared" si="35"/>
        <v>9.1300999999999993E-10</v>
      </c>
      <c r="AE90" s="14">
        <f t="shared" si="35"/>
        <v>9.3624999999999995E-10</v>
      </c>
      <c r="AF90" s="14">
        <f t="shared" si="35"/>
        <v>8.7487399999999993E-10</v>
      </c>
      <c r="AG90" s="14">
        <f t="shared" si="35"/>
        <v>7.8078000000000007E-10</v>
      </c>
      <c r="AH90" s="14">
        <f t="shared" si="35"/>
        <v>6.8234599999999999E-10</v>
      </c>
      <c r="AI90" s="14">
        <f t="shared" si="35"/>
        <v>5.8949799999999996E-10</v>
      </c>
      <c r="AJ90" s="14">
        <f t="shared" si="35"/>
        <v>5.0360799999999996E-10</v>
      </c>
      <c r="AK90" s="14">
        <f t="shared" si="35"/>
        <v>4.2403199999999995E-10</v>
      </c>
      <c r="AL90" s="14">
        <f t="shared" si="35"/>
        <v>1.82462E-10</v>
      </c>
    </row>
    <row r="91" spans="1:38" ht="21" hidden="1" customHeight="1" outlineLevel="1" thickBot="1" x14ac:dyDescent="0.4">
      <c r="A91" s="5">
        <f t="shared" si="25"/>
        <v>0</v>
      </c>
      <c r="B91" s="5">
        <f t="shared" si="25"/>
        <v>1</v>
      </c>
      <c r="C91" s="5">
        <f t="shared" si="25"/>
        <v>0</v>
      </c>
      <c r="D91" s="5">
        <f t="shared" si="25"/>
        <v>0</v>
      </c>
      <c r="E91" s="6" t="str">
        <f t="shared" si="21"/>
        <v>(1)Se[m]</v>
      </c>
      <c r="F91" s="14">
        <f t="shared" ref="F91:AL91" si="36">F15*$C$78</f>
        <v>2.4806599999999999E-13</v>
      </c>
      <c r="G91" s="14">
        <f t="shared" si="36"/>
        <v>7.1475600000000001E-9</v>
      </c>
      <c r="H91" s="14">
        <f t="shared" si="36"/>
        <v>4.6390399999999996E-8</v>
      </c>
      <c r="I91" s="14">
        <f t="shared" si="36"/>
        <v>2.0550599999999999E-7</v>
      </c>
      <c r="J91" s="14">
        <f t="shared" si="36"/>
        <v>7.3820599999999993E-7</v>
      </c>
      <c r="K91" s="14">
        <f t="shared" si="36"/>
        <v>2.3241399999999997E-6</v>
      </c>
      <c r="L91" s="14">
        <f t="shared" si="36"/>
        <v>6.6551799999999997E-6</v>
      </c>
      <c r="M91" s="14">
        <f t="shared" si="36"/>
        <v>1.75098E-5</v>
      </c>
      <c r="N91" s="14">
        <f t="shared" si="36"/>
        <v>4.1747999999999994E-5</v>
      </c>
      <c r="O91" s="14">
        <f t="shared" si="36"/>
        <v>9.315739999999999E-5</v>
      </c>
      <c r="P91" s="14">
        <f t="shared" si="36"/>
        <v>1.56464E-3</v>
      </c>
      <c r="Q91" s="14">
        <f t="shared" si="36"/>
        <v>1.5034599999999999E-2</v>
      </c>
      <c r="R91" s="14">
        <f t="shared" si="36"/>
        <v>2.5010999999999999E-2</v>
      </c>
      <c r="S91" s="14">
        <f t="shared" si="36"/>
        <v>4.1080199999999997E-2</v>
      </c>
      <c r="T91" s="14">
        <f t="shared" si="36"/>
        <v>6.6872399999999999E-2</v>
      </c>
      <c r="U91" s="14">
        <f t="shared" si="36"/>
        <v>0.1079204</v>
      </c>
      <c r="V91" s="14">
        <f t="shared" si="36"/>
        <v>0.17082800000000001</v>
      </c>
      <c r="W91" s="14">
        <f t="shared" si="36"/>
        <v>0.25612999999999997</v>
      </c>
      <c r="X91" s="14">
        <f t="shared" si="36"/>
        <v>0.344134</v>
      </c>
      <c r="Y91" s="14">
        <f t="shared" si="36"/>
        <v>0.40569199999999994</v>
      </c>
      <c r="Z91" s="14">
        <f t="shared" si="36"/>
        <v>0.437052</v>
      </c>
      <c r="AA91" s="14">
        <f t="shared" si="36"/>
        <v>0.45186399999999993</v>
      </c>
      <c r="AB91" s="14">
        <f t="shared" si="36"/>
        <v>0.46043199999999995</v>
      </c>
      <c r="AC91" s="14">
        <f t="shared" si="36"/>
        <v>0.46747399999999995</v>
      </c>
      <c r="AD91" s="14">
        <f t="shared" si="36"/>
        <v>0.48033999999999999</v>
      </c>
      <c r="AE91" s="14">
        <f t="shared" si="36"/>
        <v>0.57467199999999996</v>
      </c>
      <c r="AF91" s="14">
        <f t="shared" si="36"/>
        <v>0.62600999999999996</v>
      </c>
      <c r="AG91" s="14">
        <f t="shared" si="36"/>
        <v>0.65076199999999995</v>
      </c>
      <c r="AH91" s="14">
        <f t="shared" si="36"/>
        <v>0.66191999999999995</v>
      </c>
      <c r="AI91" s="14">
        <f t="shared" si="36"/>
        <v>0.66505599999999998</v>
      </c>
      <c r="AJ91" s="14">
        <f t="shared" si="36"/>
        <v>0.66026799999999997</v>
      </c>
      <c r="AK91" s="14">
        <f t="shared" si="36"/>
        <v>0.64559599999999995</v>
      </c>
      <c r="AL91" s="14">
        <f t="shared" si="36"/>
        <v>0.50170400000000004</v>
      </c>
    </row>
    <row r="92" spans="1:38" ht="21" hidden="1" customHeight="1" outlineLevel="1" thickBot="1" x14ac:dyDescent="0.4">
      <c r="A92" s="5">
        <f t="shared" si="25"/>
        <v>0</v>
      </c>
      <c r="B92" s="5">
        <f t="shared" si="25"/>
        <v>0</v>
      </c>
      <c r="C92" s="5">
        <f t="shared" si="25"/>
        <v>0</v>
      </c>
      <c r="D92" s="5">
        <f t="shared" si="25"/>
        <v>1</v>
      </c>
      <c r="E92" s="6" t="str">
        <f t="shared" si="21"/>
        <v>(2)Ga[1]</v>
      </c>
      <c r="F92" s="14">
        <f t="shared" ref="F92:AL92" si="37">F16*$C$78</f>
        <v>0</v>
      </c>
      <c r="G92" s="14">
        <f t="shared" si="37"/>
        <v>0</v>
      </c>
      <c r="H92" s="14">
        <f t="shared" si="37"/>
        <v>0</v>
      </c>
      <c r="I92" s="14">
        <f t="shared" si="37"/>
        <v>0</v>
      </c>
      <c r="J92" s="14">
        <f t="shared" si="37"/>
        <v>0</v>
      </c>
      <c r="K92" s="14">
        <f t="shared" si="37"/>
        <v>0</v>
      </c>
      <c r="L92" s="14">
        <f t="shared" si="37"/>
        <v>0</v>
      </c>
      <c r="M92" s="14">
        <f t="shared" si="37"/>
        <v>0</v>
      </c>
      <c r="N92" s="14">
        <f t="shared" si="37"/>
        <v>0</v>
      </c>
      <c r="O92" s="14">
        <f t="shared" si="37"/>
        <v>0</v>
      </c>
      <c r="P92" s="14">
        <f t="shared" si="37"/>
        <v>0</v>
      </c>
      <c r="Q92" s="14">
        <f t="shared" si="37"/>
        <v>0</v>
      </c>
      <c r="R92" s="14">
        <f t="shared" si="37"/>
        <v>0</v>
      </c>
      <c r="S92" s="14">
        <f t="shared" si="37"/>
        <v>0</v>
      </c>
      <c r="T92" s="14">
        <f t="shared" si="37"/>
        <v>0</v>
      </c>
      <c r="U92" s="14">
        <f t="shared" si="37"/>
        <v>0</v>
      </c>
      <c r="V92" s="14">
        <f t="shared" si="37"/>
        <v>0</v>
      </c>
      <c r="W92" s="14">
        <f t="shared" si="37"/>
        <v>0</v>
      </c>
      <c r="X92" s="14">
        <f t="shared" si="37"/>
        <v>0</v>
      </c>
      <c r="Y92" s="14">
        <f t="shared" si="37"/>
        <v>0</v>
      </c>
      <c r="Z92" s="14">
        <f t="shared" si="37"/>
        <v>6.8791799999999999E-31</v>
      </c>
      <c r="AA92" s="14">
        <f t="shared" si="37"/>
        <v>1.3013839999999999E-23</v>
      </c>
      <c r="AB92" s="14">
        <f t="shared" si="37"/>
        <v>6.5490599999999986E-16</v>
      </c>
      <c r="AC92" s="14">
        <f t="shared" si="37"/>
        <v>1.4278599999999998E-8</v>
      </c>
      <c r="AD92" s="14">
        <f t="shared" si="37"/>
        <v>8.4380799999999988E-3</v>
      </c>
      <c r="AE92" s="14">
        <f t="shared" si="37"/>
        <v>0.142646</v>
      </c>
      <c r="AF92" s="14">
        <f t="shared" si="37"/>
        <v>0.21597799999999998</v>
      </c>
      <c r="AG92" s="14">
        <f t="shared" si="37"/>
        <v>0.207564</v>
      </c>
      <c r="AH92" s="14">
        <f t="shared" si="37"/>
        <v>0.20167000000000002</v>
      </c>
      <c r="AI92" s="14">
        <f t="shared" si="37"/>
        <v>0.20934199999999997</v>
      </c>
      <c r="AJ92" s="14">
        <f t="shared" si="37"/>
        <v>0.21387799999999998</v>
      </c>
      <c r="AK92" s="14">
        <f t="shared" si="37"/>
        <v>0.21683199999999997</v>
      </c>
      <c r="AL92" s="14">
        <f t="shared" si="37"/>
        <v>0.22229199999999999</v>
      </c>
    </row>
    <row r="93" spans="1:38" ht="21" hidden="1" customHeight="1" outlineLevel="1" thickBot="1" x14ac:dyDescent="0.4">
      <c r="A93" s="5">
        <f t="shared" si="25"/>
        <v>1</v>
      </c>
      <c r="B93" s="5">
        <f t="shared" si="25"/>
        <v>0</v>
      </c>
      <c r="C93" s="5">
        <f t="shared" si="25"/>
        <v>0</v>
      </c>
      <c r="D93" s="5">
        <f t="shared" si="25"/>
        <v>0</v>
      </c>
      <c r="E93" s="6" t="str">
        <f t="shared" si="21"/>
        <v>H (Ar)</v>
      </c>
      <c r="F93" s="14">
        <f t="shared" ref="F93:AL93" si="38">F17*$C$78</f>
        <v>-26.068000000000001</v>
      </c>
      <c r="G93" s="14">
        <f t="shared" si="38"/>
        <v>-26.081999999999997</v>
      </c>
      <c r="H93" s="14">
        <f t="shared" si="38"/>
        <v>-26.109999999999996</v>
      </c>
      <c r="I93" s="14">
        <f t="shared" si="38"/>
        <v>-26.138000000000002</v>
      </c>
      <c r="J93" s="14">
        <f t="shared" si="38"/>
        <v>-26.166</v>
      </c>
      <c r="K93" s="14">
        <f t="shared" si="38"/>
        <v>-26.207999999999998</v>
      </c>
      <c r="L93" s="14">
        <f t="shared" si="38"/>
        <v>-26.25</v>
      </c>
      <c r="M93" s="14">
        <f t="shared" si="38"/>
        <v>-26.292000000000002</v>
      </c>
      <c r="N93" s="14">
        <f t="shared" si="38"/>
        <v>-26.333999999999996</v>
      </c>
      <c r="O93" s="14">
        <f t="shared" si="38"/>
        <v>-26.375999999999998</v>
      </c>
      <c r="P93" s="14">
        <f t="shared" si="38"/>
        <v>-26.557999999999996</v>
      </c>
      <c r="Q93" s="14">
        <f t="shared" si="38"/>
        <v>-26.753999999999998</v>
      </c>
      <c r="R93" s="14">
        <f t="shared" si="38"/>
        <v>-26.795999999999999</v>
      </c>
      <c r="S93" s="14">
        <f t="shared" si="38"/>
        <v>-26.851999999999997</v>
      </c>
      <c r="T93" s="14">
        <f t="shared" si="38"/>
        <v>-26.893999999999998</v>
      </c>
      <c r="U93" s="14">
        <f t="shared" si="38"/>
        <v>-26.95</v>
      </c>
      <c r="V93" s="14">
        <f t="shared" si="38"/>
        <v>-26.992000000000001</v>
      </c>
      <c r="W93" s="14">
        <f t="shared" si="38"/>
        <v>-27.047999999999998</v>
      </c>
      <c r="X93" s="14">
        <f t="shared" si="38"/>
        <v>-27.09</v>
      </c>
      <c r="Y93" s="14">
        <f t="shared" si="38"/>
        <v>-27.131999999999998</v>
      </c>
      <c r="Z93" s="14">
        <f t="shared" si="38"/>
        <v>-27.188000000000002</v>
      </c>
      <c r="AA93" s="14">
        <f t="shared" si="38"/>
        <v>-27.229999999999997</v>
      </c>
      <c r="AB93" s="14">
        <f t="shared" si="38"/>
        <v>-27.271999999999998</v>
      </c>
      <c r="AC93" s="14">
        <f t="shared" si="38"/>
        <v>-27.314</v>
      </c>
      <c r="AD93" s="14">
        <f t="shared" si="38"/>
        <v>-27.37</v>
      </c>
      <c r="AE93" s="14">
        <f t="shared" si="38"/>
        <v>-27.411999999999995</v>
      </c>
      <c r="AF93" s="14">
        <f t="shared" si="38"/>
        <v>-27.453999999999997</v>
      </c>
      <c r="AG93" s="14">
        <f t="shared" si="38"/>
        <v>-27.495999999999999</v>
      </c>
      <c r="AH93" s="14">
        <f t="shared" si="38"/>
        <v>-27.538</v>
      </c>
      <c r="AI93" s="14">
        <f t="shared" si="38"/>
        <v>-27.58</v>
      </c>
      <c r="AJ93" s="14">
        <f t="shared" si="38"/>
        <v>-27.622</v>
      </c>
      <c r="AK93" s="14">
        <f t="shared" si="38"/>
        <v>-27.664000000000001</v>
      </c>
      <c r="AL93" s="14">
        <f t="shared" si="38"/>
        <v>-27.831999999999997</v>
      </c>
    </row>
    <row r="94" spans="1:38" ht="21" hidden="1" customHeight="1" outlineLevel="1" thickBot="1" x14ac:dyDescent="0.4">
      <c r="A94" s="5">
        <f t="shared" si="25"/>
        <v>0</v>
      </c>
      <c r="B94" s="5">
        <f t="shared" si="25"/>
        <v>0</v>
      </c>
      <c r="C94" s="5">
        <f t="shared" si="25"/>
        <v>0</v>
      </c>
      <c r="D94" s="5">
        <f t="shared" si="25"/>
        <v>1</v>
      </c>
      <c r="E94" s="6" t="str">
        <f t="shared" si="21"/>
        <v>H (Ga)</v>
      </c>
      <c r="F94" s="14">
        <f t="shared" ref="F94:AL94" si="39">F18*$C$78</f>
        <v>-44.926000000000002</v>
      </c>
      <c r="G94" s="14">
        <f t="shared" si="39"/>
        <v>-40.431999999999995</v>
      </c>
      <c r="H94" s="14">
        <f t="shared" si="39"/>
        <v>-39.059999999999995</v>
      </c>
      <c r="I94" s="14">
        <f t="shared" si="39"/>
        <v>-37.281999999999996</v>
      </c>
      <c r="J94" s="14">
        <f t="shared" si="39"/>
        <v>-35.448</v>
      </c>
      <c r="K94" s="14">
        <f t="shared" si="39"/>
        <v>-33.683999999999997</v>
      </c>
      <c r="L94" s="14">
        <f t="shared" si="39"/>
        <v>-32.031999999999996</v>
      </c>
      <c r="M94" s="14">
        <f t="shared" si="39"/>
        <v>-30.477999999999998</v>
      </c>
      <c r="N94" s="14">
        <f t="shared" si="39"/>
        <v>-29.021999999999998</v>
      </c>
      <c r="O94" s="14">
        <f t="shared" si="39"/>
        <v>-27.664000000000001</v>
      </c>
      <c r="P94" s="14">
        <f t="shared" si="39"/>
        <v>-22.945999999999998</v>
      </c>
      <c r="Q94" s="14">
        <f t="shared" si="39"/>
        <v>-19.123999999999999</v>
      </c>
      <c r="R94" s="14">
        <f t="shared" si="39"/>
        <v>-18.283999999999999</v>
      </c>
      <c r="S94" s="14">
        <f t="shared" si="39"/>
        <v>-17.471999999999998</v>
      </c>
      <c r="T94" s="14">
        <f t="shared" si="39"/>
        <v>-16.701999999999998</v>
      </c>
      <c r="U94" s="14">
        <f t="shared" si="39"/>
        <v>-15.959999999999999</v>
      </c>
      <c r="V94" s="14">
        <f t="shared" si="39"/>
        <v>-15.246</v>
      </c>
      <c r="W94" s="14">
        <f t="shared" si="39"/>
        <v>-14.559999999999999</v>
      </c>
      <c r="X94" s="14">
        <f t="shared" si="39"/>
        <v>-13.906199999999998</v>
      </c>
      <c r="Y94" s="14">
        <f t="shared" si="39"/>
        <v>-13.2776</v>
      </c>
      <c r="Z94" s="14">
        <f t="shared" si="39"/>
        <v>-12.674200000000001</v>
      </c>
      <c r="AA94" s="14">
        <f t="shared" si="39"/>
        <v>-12.096</v>
      </c>
      <c r="AB94" s="14">
        <f t="shared" si="39"/>
        <v>-11.542999999999997</v>
      </c>
      <c r="AC94" s="14">
        <f t="shared" si="39"/>
        <v>-11.0152</v>
      </c>
      <c r="AD94" s="14">
        <f t="shared" si="39"/>
        <v>-10.539199999999999</v>
      </c>
      <c r="AE94" s="14">
        <f t="shared" si="39"/>
        <v>-10.617599999999999</v>
      </c>
      <c r="AF94" s="14">
        <f t="shared" si="39"/>
        <v>-10.6974</v>
      </c>
      <c r="AG94" s="14">
        <f t="shared" si="39"/>
        <v>-10.774399999999998</v>
      </c>
      <c r="AH94" s="14">
        <f t="shared" si="39"/>
        <v>-10.8514</v>
      </c>
      <c r="AI94" s="14">
        <f t="shared" si="39"/>
        <v>-10.927</v>
      </c>
      <c r="AJ94" s="14">
        <f t="shared" si="39"/>
        <v>-11.001199999999999</v>
      </c>
      <c r="AK94" s="14">
        <f t="shared" si="39"/>
        <v>-11.074</v>
      </c>
      <c r="AL94" s="14">
        <f t="shared" si="39"/>
        <v>-11.352599999999999</v>
      </c>
    </row>
    <row r="95" spans="1:38" ht="21" hidden="1" customHeight="1" outlineLevel="1" thickBot="1" x14ac:dyDescent="0.4">
      <c r="A95" s="5">
        <f t="shared" si="25"/>
        <v>0</v>
      </c>
      <c r="B95" s="5">
        <f t="shared" si="25"/>
        <v>1</v>
      </c>
      <c r="C95" s="5">
        <f t="shared" si="25"/>
        <v>0</v>
      </c>
      <c r="D95" s="5">
        <f t="shared" si="25"/>
        <v>0</v>
      </c>
      <c r="E95" s="6" t="str">
        <f t="shared" si="21"/>
        <v>H (Se)</v>
      </c>
      <c r="F95" s="14">
        <f t="shared" ref="F95:AL95" si="40">F19*$C$78</f>
        <v>-64.176000000000002</v>
      </c>
      <c r="G95" s="14">
        <f t="shared" si="40"/>
        <v>-50.834000000000003</v>
      </c>
      <c r="H95" s="14">
        <f t="shared" si="40"/>
        <v>-48.65</v>
      </c>
      <c r="I95" s="14">
        <f t="shared" si="40"/>
        <v>-47.026000000000003</v>
      </c>
      <c r="J95" s="14">
        <f t="shared" si="40"/>
        <v>-45.695999999999998</v>
      </c>
      <c r="K95" s="14">
        <f t="shared" si="40"/>
        <v>-44.533999999999999</v>
      </c>
      <c r="L95" s="14">
        <f t="shared" si="40"/>
        <v>-43.497999999999998</v>
      </c>
      <c r="M95" s="14">
        <f t="shared" si="40"/>
        <v>-42.559999999999995</v>
      </c>
      <c r="N95" s="14">
        <f t="shared" si="40"/>
        <v>-41.705999999999996</v>
      </c>
      <c r="O95" s="14">
        <f t="shared" si="40"/>
        <v>-40.935999999999993</v>
      </c>
      <c r="P95" s="14">
        <f t="shared" si="40"/>
        <v>-38.457999999999998</v>
      </c>
      <c r="Q95" s="14">
        <f t="shared" si="40"/>
        <v>-36.735999999999997</v>
      </c>
      <c r="R95" s="14">
        <f t="shared" si="40"/>
        <v>-36.414000000000001</v>
      </c>
      <c r="S95" s="14">
        <f t="shared" si="40"/>
        <v>-36.133999999999993</v>
      </c>
      <c r="T95" s="14">
        <f t="shared" si="40"/>
        <v>-35.909999999999997</v>
      </c>
      <c r="U95" s="14">
        <f t="shared" si="40"/>
        <v>-35.755999999999993</v>
      </c>
      <c r="V95" s="14">
        <f t="shared" si="40"/>
        <v>-35.671999999999997</v>
      </c>
      <c r="W95" s="14">
        <f t="shared" si="40"/>
        <v>-35.699999999999996</v>
      </c>
      <c r="X95" s="14">
        <f t="shared" si="40"/>
        <v>-35.826000000000001</v>
      </c>
      <c r="Y95" s="14">
        <f t="shared" si="40"/>
        <v>-36.064</v>
      </c>
      <c r="Z95" s="14">
        <f t="shared" si="40"/>
        <v>-36.33</v>
      </c>
      <c r="AA95" s="14">
        <f t="shared" si="40"/>
        <v>-36.637999999999998</v>
      </c>
      <c r="AB95" s="14">
        <f t="shared" si="40"/>
        <v>-36.931999999999995</v>
      </c>
      <c r="AC95" s="14">
        <f t="shared" si="40"/>
        <v>-37.24</v>
      </c>
      <c r="AD95" s="14">
        <f t="shared" si="40"/>
        <v>-37.519999999999996</v>
      </c>
      <c r="AE95" s="14">
        <f t="shared" si="40"/>
        <v>-37.547999999999995</v>
      </c>
      <c r="AF95" s="14">
        <f t="shared" si="40"/>
        <v>-37.701999999999998</v>
      </c>
      <c r="AG95" s="14">
        <f t="shared" si="40"/>
        <v>-37.925999999999995</v>
      </c>
      <c r="AH95" s="14">
        <f t="shared" si="40"/>
        <v>-38.177999999999997</v>
      </c>
      <c r="AI95" s="14">
        <f t="shared" si="40"/>
        <v>-38.443999999999996</v>
      </c>
      <c r="AJ95" s="14">
        <f t="shared" si="40"/>
        <v>-38.709999999999994</v>
      </c>
      <c r="AK95" s="14">
        <f t="shared" si="40"/>
        <v>-38.99</v>
      </c>
      <c r="AL95" s="14">
        <f t="shared" si="40"/>
        <v>-40.067999999999998</v>
      </c>
    </row>
    <row r="96" spans="1:38" ht="21" hidden="1" customHeight="1" outlineLevel="1" thickBot="1" x14ac:dyDescent="0.4">
      <c r="A96" s="5">
        <f t="shared" si="25"/>
        <v>0</v>
      </c>
      <c r="B96" s="5">
        <f t="shared" si="25"/>
        <v>0</v>
      </c>
      <c r="C96" s="5">
        <f t="shared" si="25"/>
        <v>0</v>
      </c>
      <c r="D96" s="5">
        <f t="shared" si="25"/>
        <v>0</v>
      </c>
      <c r="E96" s="6">
        <f t="shared" si="21"/>
        <v>0</v>
      </c>
      <c r="F96" s="14">
        <f t="shared" ref="F96:AL96" si="41">F20*$C$78</f>
        <v>0</v>
      </c>
      <c r="G96" s="14">
        <f t="shared" si="41"/>
        <v>0</v>
      </c>
      <c r="H96" s="14">
        <f t="shared" si="41"/>
        <v>0</v>
      </c>
      <c r="I96" s="14">
        <f t="shared" si="41"/>
        <v>0</v>
      </c>
      <c r="J96" s="14">
        <f t="shared" si="41"/>
        <v>0</v>
      </c>
      <c r="K96" s="14">
        <f t="shared" si="41"/>
        <v>0</v>
      </c>
      <c r="L96" s="14">
        <f t="shared" si="41"/>
        <v>0</v>
      </c>
      <c r="M96" s="14">
        <f t="shared" si="41"/>
        <v>0</v>
      </c>
      <c r="N96" s="14">
        <f t="shared" si="41"/>
        <v>0</v>
      </c>
      <c r="O96" s="14">
        <f t="shared" si="41"/>
        <v>0</v>
      </c>
      <c r="P96" s="14">
        <f t="shared" si="41"/>
        <v>0</v>
      </c>
      <c r="Q96" s="14">
        <f t="shared" si="41"/>
        <v>0</v>
      </c>
      <c r="R96" s="14">
        <f t="shared" si="41"/>
        <v>0</v>
      </c>
      <c r="S96" s="14">
        <f t="shared" si="41"/>
        <v>0</v>
      </c>
      <c r="T96" s="14">
        <f t="shared" si="41"/>
        <v>0</v>
      </c>
      <c r="U96" s="14">
        <f t="shared" si="41"/>
        <v>0</v>
      </c>
      <c r="V96" s="14">
        <f t="shared" si="41"/>
        <v>0</v>
      </c>
      <c r="W96" s="14">
        <f t="shared" si="41"/>
        <v>0</v>
      </c>
      <c r="X96" s="14">
        <f t="shared" si="41"/>
        <v>0</v>
      </c>
      <c r="Y96" s="14">
        <f t="shared" si="41"/>
        <v>0</v>
      </c>
      <c r="Z96" s="14">
        <f t="shared" si="41"/>
        <v>0</v>
      </c>
      <c r="AA96" s="14">
        <f t="shared" si="41"/>
        <v>0</v>
      </c>
      <c r="AB96" s="14">
        <f t="shared" si="41"/>
        <v>0</v>
      </c>
      <c r="AC96" s="14">
        <f t="shared" si="41"/>
        <v>0</v>
      </c>
      <c r="AD96" s="14">
        <f t="shared" si="41"/>
        <v>0</v>
      </c>
      <c r="AE96" s="14">
        <f t="shared" si="41"/>
        <v>0</v>
      </c>
      <c r="AF96" s="14">
        <f t="shared" si="41"/>
        <v>0</v>
      </c>
      <c r="AG96" s="14">
        <f t="shared" si="41"/>
        <v>0</v>
      </c>
      <c r="AH96" s="14">
        <f t="shared" si="41"/>
        <v>0</v>
      </c>
      <c r="AI96" s="14">
        <f t="shared" si="41"/>
        <v>0</v>
      </c>
      <c r="AJ96" s="14">
        <f t="shared" si="41"/>
        <v>0</v>
      </c>
      <c r="AK96" s="14">
        <f t="shared" si="41"/>
        <v>0</v>
      </c>
      <c r="AL96" s="14">
        <f t="shared" si="41"/>
        <v>0</v>
      </c>
    </row>
    <row r="97" spans="1:54" ht="21" hidden="1" customHeight="1" outlineLevel="1" thickBot="1" x14ac:dyDescent="0.4">
      <c r="A97" s="5">
        <f t="shared" ref="A97:D109" si="42">A63</f>
        <v>0</v>
      </c>
      <c r="B97" s="5">
        <f t="shared" si="42"/>
        <v>0</v>
      </c>
      <c r="C97" s="5">
        <f t="shared" si="42"/>
        <v>0</v>
      </c>
      <c r="D97" s="5">
        <f t="shared" si="42"/>
        <v>0</v>
      </c>
      <c r="E97" s="6">
        <f t="shared" si="21"/>
        <v>0</v>
      </c>
      <c r="F97" s="14">
        <f t="shared" ref="F97:AL97" si="43">F21*$C$78</f>
        <v>0</v>
      </c>
      <c r="G97" s="14">
        <f t="shared" si="43"/>
        <v>0</v>
      </c>
      <c r="H97" s="14">
        <f t="shared" si="43"/>
        <v>0</v>
      </c>
      <c r="I97" s="14">
        <f t="shared" si="43"/>
        <v>0</v>
      </c>
      <c r="J97" s="14">
        <f t="shared" si="43"/>
        <v>0</v>
      </c>
      <c r="K97" s="14">
        <f t="shared" si="43"/>
        <v>0</v>
      </c>
      <c r="L97" s="14">
        <f t="shared" si="43"/>
        <v>0</v>
      </c>
      <c r="M97" s="14">
        <f t="shared" si="43"/>
        <v>0</v>
      </c>
      <c r="N97" s="14">
        <f t="shared" si="43"/>
        <v>0</v>
      </c>
      <c r="O97" s="14">
        <f t="shared" si="43"/>
        <v>0</v>
      </c>
      <c r="P97" s="14">
        <f t="shared" si="43"/>
        <v>0</v>
      </c>
      <c r="Q97" s="14">
        <f t="shared" si="43"/>
        <v>0</v>
      </c>
      <c r="R97" s="14">
        <f t="shared" si="43"/>
        <v>0</v>
      </c>
      <c r="S97" s="14">
        <f t="shared" si="43"/>
        <v>0</v>
      </c>
      <c r="T97" s="14">
        <f t="shared" si="43"/>
        <v>0</v>
      </c>
      <c r="U97" s="14">
        <f t="shared" si="43"/>
        <v>0</v>
      </c>
      <c r="V97" s="14">
        <f t="shared" si="43"/>
        <v>0</v>
      </c>
      <c r="W97" s="14">
        <f t="shared" si="43"/>
        <v>0</v>
      </c>
      <c r="X97" s="14">
        <f t="shared" si="43"/>
        <v>0</v>
      </c>
      <c r="Y97" s="14">
        <f t="shared" si="43"/>
        <v>0</v>
      </c>
      <c r="Z97" s="14">
        <f t="shared" si="43"/>
        <v>0</v>
      </c>
      <c r="AA97" s="14">
        <f t="shared" si="43"/>
        <v>0</v>
      </c>
      <c r="AB97" s="14">
        <f t="shared" si="43"/>
        <v>0</v>
      </c>
      <c r="AC97" s="14">
        <f t="shared" si="43"/>
        <v>0</v>
      </c>
      <c r="AD97" s="14">
        <f t="shared" si="43"/>
        <v>0</v>
      </c>
      <c r="AE97" s="14">
        <f t="shared" si="43"/>
        <v>0</v>
      </c>
      <c r="AF97" s="14">
        <f t="shared" si="43"/>
        <v>0</v>
      </c>
      <c r="AG97" s="14">
        <f t="shared" si="43"/>
        <v>0</v>
      </c>
      <c r="AH97" s="14">
        <f t="shared" si="43"/>
        <v>0</v>
      </c>
      <c r="AI97" s="14">
        <f t="shared" si="43"/>
        <v>0</v>
      </c>
      <c r="AJ97" s="14">
        <f t="shared" si="43"/>
        <v>0</v>
      </c>
      <c r="AK97" s="14">
        <f t="shared" si="43"/>
        <v>0</v>
      </c>
      <c r="AL97" s="14">
        <f t="shared" si="43"/>
        <v>0</v>
      </c>
    </row>
    <row r="98" spans="1:54" ht="21" hidden="1" customHeight="1" outlineLevel="1" thickBot="1" x14ac:dyDescent="0.4">
      <c r="A98" s="5">
        <f t="shared" si="42"/>
        <v>0</v>
      </c>
      <c r="B98" s="5">
        <f t="shared" si="42"/>
        <v>0</v>
      </c>
      <c r="C98" s="5">
        <f t="shared" si="42"/>
        <v>0</v>
      </c>
      <c r="D98" s="5">
        <f t="shared" si="42"/>
        <v>0</v>
      </c>
      <c r="E98" s="6">
        <f t="shared" si="21"/>
        <v>0</v>
      </c>
      <c r="F98" s="14">
        <f t="shared" ref="F98:AL98" si="44">F22*$C$78</f>
        <v>0</v>
      </c>
      <c r="G98" s="14">
        <f t="shared" si="44"/>
        <v>0</v>
      </c>
      <c r="H98" s="14">
        <f t="shared" si="44"/>
        <v>0</v>
      </c>
      <c r="I98" s="14">
        <f t="shared" si="44"/>
        <v>0</v>
      </c>
      <c r="J98" s="14">
        <f t="shared" si="44"/>
        <v>0</v>
      </c>
      <c r="K98" s="14">
        <f t="shared" si="44"/>
        <v>0</v>
      </c>
      <c r="L98" s="14">
        <f t="shared" si="44"/>
        <v>0</v>
      </c>
      <c r="M98" s="14">
        <f t="shared" si="44"/>
        <v>0</v>
      </c>
      <c r="N98" s="14">
        <f t="shared" si="44"/>
        <v>0</v>
      </c>
      <c r="O98" s="14">
        <f t="shared" si="44"/>
        <v>0</v>
      </c>
      <c r="P98" s="14">
        <f t="shared" si="44"/>
        <v>0</v>
      </c>
      <c r="Q98" s="14">
        <f t="shared" si="44"/>
        <v>0</v>
      </c>
      <c r="R98" s="14">
        <f t="shared" si="44"/>
        <v>0</v>
      </c>
      <c r="S98" s="14">
        <f t="shared" si="44"/>
        <v>0</v>
      </c>
      <c r="T98" s="14">
        <f t="shared" si="44"/>
        <v>0</v>
      </c>
      <c r="U98" s="14">
        <f t="shared" si="44"/>
        <v>0</v>
      </c>
      <c r="V98" s="14">
        <f t="shared" si="44"/>
        <v>0</v>
      </c>
      <c r="W98" s="14">
        <f t="shared" si="44"/>
        <v>0</v>
      </c>
      <c r="X98" s="14">
        <f t="shared" si="44"/>
        <v>0</v>
      </c>
      <c r="Y98" s="14">
        <f t="shared" si="44"/>
        <v>0</v>
      </c>
      <c r="Z98" s="14">
        <f t="shared" si="44"/>
        <v>0</v>
      </c>
      <c r="AA98" s="14">
        <f t="shared" si="44"/>
        <v>0</v>
      </c>
      <c r="AB98" s="14">
        <f t="shared" si="44"/>
        <v>0</v>
      </c>
      <c r="AC98" s="14">
        <f t="shared" si="44"/>
        <v>0</v>
      </c>
      <c r="AD98" s="14">
        <f t="shared" si="44"/>
        <v>0</v>
      </c>
      <c r="AE98" s="14">
        <f t="shared" si="44"/>
        <v>0</v>
      </c>
      <c r="AF98" s="14">
        <f t="shared" si="44"/>
        <v>0</v>
      </c>
      <c r="AG98" s="14">
        <f t="shared" si="44"/>
        <v>0</v>
      </c>
      <c r="AH98" s="14">
        <f t="shared" si="44"/>
        <v>0</v>
      </c>
      <c r="AI98" s="14">
        <f t="shared" si="44"/>
        <v>0</v>
      </c>
      <c r="AJ98" s="14">
        <f t="shared" si="44"/>
        <v>0</v>
      </c>
      <c r="AK98" s="14">
        <f t="shared" si="44"/>
        <v>0</v>
      </c>
      <c r="AL98" s="14">
        <f t="shared" si="44"/>
        <v>0</v>
      </c>
    </row>
    <row r="99" spans="1:54" ht="21" hidden="1" customHeight="1" outlineLevel="1" thickBot="1" x14ac:dyDescent="0.4">
      <c r="A99" s="5">
        <f t="shared" si="42"/>
        <v>0</v>
      </c>
      <c r="B99" s="5">
        <f t="shared" si="42"/>
        <v>0</v>
      </c>
      <c r="C99" s="5">
        <f t="shared" si="42"/>
        <v>0</v>
      </c>
      <c r="D99" s="5">
        <f t="shared" si="42"/>
        <v>0</v>
      </c>
      <c r="E99" s="6">
        <f t="shared" si="21"/>
        <v>0</v>
      </c>
      <c r="F99" s="14">
        <f t="shared" ref="F99:AL99" si="45">F23*$C$78</f>
        <v>0</v>
      </c>
      <c r="G99" s="14">
        <f t="shared" si="45"/>
        <v>0</v>
      </c>
      <c r="H99" s="14">
        <f t="shared" si="45"/>
        <v>0</v>
      </c>
      <c r="I99" s="14">
        <f t="shared" si="45"/>
        <v>0</v>
      </c>
      <c r="J99" s="14">
        <f t="shared" si="45"/>
        <v>0</v>
      </c>
      <c r="K99" s="14">
        <f t="shared" si="45"/>
        <v>0</v>
      </c>
      <c r="L99" s="14">
        <f t="shared" si="45"/>
        <v>0</v>
      </c>
      <c r="M99" s="14">
        <f t="shared" si="45"/>
        <v>0</v>
      </c>
      <c r="N99" s="14">
        <f t="shared" si="45"/>
        <v>0</v>
      </c>
      <c r="O99" s="14">
        <f t="shared" si="45"/>
        <v>0</v>
      </c>
      <c r="P99" s="14">
        <f t="shared" si="45"/>
        <v>0</v>
      </c>
      <c r="Q99" s="14">
        <f t="shared" si="45"/>
        <v>0</v>
      </c>
      <c r="R99" s="14">
        <f t="shared" si="45"/>
        <v>0</v>
      </c>
      <c r="S99" s="14">
        <f t="shared" si="45"/>
        <v>0</v>
      </c>
      <c r="T99" s="14">
        <f t="shared" si="45"/>
        <v>0</v>
      </c>
      <c r="U99" s="14">
        <f t="shared" si="45"/>
        <v>0</v>
      </c>
      <c r="V99" s="14">
        <f t="shared" si="45"/>
        <v>0</v>
      </c>
      <c r="W99" s="14">
        <f t="shared" si="45"/>
        <v>0</v>
      </c>
      <c r="X99" s="14">
        <f t="shared" si="45"/>
        <v>0</v>
      </c>
      <c r="Y99" s="14">
        <f t="shared" si="45"/>
        <v>0</v>
      </c>
      <c r="Z99" s="14">
        <f t="shared" si="45"/>
        <v>0</v>
      </c>
      <c r="AA99" s="14">
        <f t="shared" si="45"/>
        <v>0</v>
      </c>
      <c r="AB99" s="14">
        <f t="shared" si="45"/>
        <v>0</v>
      </c>
      <c r="AC99" s="14">
        <f t="shared" si="45"/>
        <v>0</v>
      </c>
      <c r="AD99" s="14">
        <f t="shared" si="45"/>
        <v>0</v>
      </c>
      <c r="AE99" s="14">
        <f t="shared" si="45"/>
        <v>0</v>
      </c>
      <c r="AF99" s="14">
        <f t="shared" si="45"/>
        <v>0</v>
      </c>
      <c r="AG99" s="14">
        <f t="shared" si="45"/>
        <v>0</v>
      </c>
      <c r="AH99" s="14">
        <f t="shared" si="45"/>
        <v>0</v>
      </c>
      <c r="AI99" s="14">
        <f t="shared" si="45"/>
        <v>0</v>
      </c>
      <c r="AJ99" s="14">
        <f t="shared" si="45"/>
        <v>0</v>
      </c>
      <c r="AK99" s="14">
        <f t="shared" si="45"/>
        <v>0</v>
      </c>
      <c r="AL99" s="14">
        <f t="shared" si="45"/>
        <v>0</v>
      </c>
    </row>
    <row r="100" spans="1:54" ht="21" hidden="1" customHeight="1" outlineLevel="1" thickBot="1" x14ac:dyDescent="0.4">
      <c r="A100" s="5">
        <f t="shared" si="42"/>
        <v>0</v>
      </c>
      <c r="B100" s="5">
        <f t="shared" si="42"/>
        <v>0</v>
      </c>
      <c r="C100" s="5">
        <f t="shared" si="42"/>
        <v>0</v>
      </c>
      <c r="D100" s="5">
        <f t="shared" si="42"/>
        <v>0</v>
      </c>
      <c r="E100" s="6">
        <f t="shared" si="21"/>
        <v>0</v>
      </c>
      <c r="F100" s="14">
        <f t="shared" ref="F100:AL100" si="46">F24*$C$78</f>
        <v>0</v>
      </c>
      <c r="G100" s="14">
        <f t="shared" si="46"/>
        <v>0</v>
      </c>
      <c r="H100" s="14">
        <f t="shared" si="46"/>
        <v>0</v>
      </c>
      <c r="I100" s="14">
        <f t="shared" si="46"/>
        <v>0</v>
      </c>
      <c r="J100" s="14">
        <f t="shared" si="46"/>
        <v>0</v>
      </c>
      <c r="K100" s="14">
        <f t="shared" si="46"/>
        <v>0</v>
      </c>
      <c r="L100" s="14">
        <f t="shared" si="46"/>
        <v>0</v>
      </c>
      <c r="M100" s="14">
        <f t="shared" si="46"/>
        <v>0</v>
      </c>
      <c r="N100" s="14">
        <f t="shared" si="46"/>
        <v>0</v>
      </c>
      <c r="O100" s="14">
        <f t="shared" si="46"/>
        <v>0</v>
      </c>
      <c r="P100" s="14">
        <f t="shared" si="46"/>
        <v>0</v>
      </c>
      <c r="Q100" s="14">
        <f t="shared" si="46"/>
        <v>0</v>
      </c>
      <c r="R100" s="14">
        <f t="shared" si="46"/>
        <v>0</v>
      </c>
      <c r="S100" s="14">
        <f t="shared" si="46"/>
        <v>0</v>
      </c>
      <c r="T100" s="14">
        <f t="shared" si="46"/>
        <v>0</v>
      </c>
      <c r="U100" s="14">
        <f t="shared" si="46"/>
        <v>0</v>
      </c>
      <c r="V100" s="14">
        <f t="shared" si="46"/>
        <v>0</v>
      </c>
      <c r="W100" s="14">
        <f t="shared" si="46"/>
        <v>0</v>
      </c>
      <c r="X100" s="14">
        <f t="shared" si="46"/>
        <v>0</v>
      </c>
      <c r="Y100" s="14">
        <f t="shared" si="46"/>
        <v>0</v>
      </c>
      <c r="Z100" s="14">
        <f t="shared" si="46"/>
        <v>0</v>
      </c>
      <c r="AA100" s="14">
        <f t="shared" si="46"/>
        <v>0</v>
      </c>
      <c r="AB100" s="14">
        <f t="shared" si="46"/>
        <v>0</v>
      </c>
      <c r="AC100" s="14">
        <f t="shared" si="46"/>
        <v>0</v>
      </c>
      <c r="AD100" s="14">
        <f t="shared" si="46"/>
        <v>0</v>
      </c>
      <c r="AE100" s="14">
        <f t="shared" si="46"/>
        <v>0</v>
      </c>
      <c r="AF100" s="14">
        <f t="shared" si="46"/>
        <v>0</v>
      </c>
      <c r="AG100" s="14">
        <f t="shared" si="46"/>
        <v>0</v>
      </c>
      <c r="AH100" s="14">
        <f t="shared" si="46"/>
        <v>0</v>
      </c>
      <c r="AI100" s="14">
        <f t="shared" si="46"/>
        <v>0</v>
      </c>
      <c r="AJ100" s="14">
        <f t="shared" si="46"/>
        <v>0</v>
      </c>
      <c r="AK100" s="14">
        <f t="shared" si="46"/>
        <v>0</v>
      </c>
      <c r="AL100" s="14">
        <f t="shared" si="46"/>
        <v>0</v>
      </c>
    </row>
    <row r="101" spans="1:54" ht="21" hidden="1" customHeight="1" outlineLevel="1" thickBot="1" x14ac:dyDescent="0.4">
      <c r="A101" s="5">
        <f t="shared" si="42"/>
        <v>0</v>
      </c>
      <c r="B101" s="5">
        <f t="shared" si="42"/>
        <v>0</v>
      </c>
      <c r="C101" s="5">
        <f t="shared" si="42"/>
        <v>0</v>
      </c>
      <c r="D101" s="5">
        <f t="shared" si="42"/>
        <v>0</v>
      </c>
      <c r="E101" s="6">
        <f t="shared" si="21"/>
        <v>0</v>
      </c>
      <c r="F101" s="14">
        <f t="shared" ref="F101:AL101" si="47">F25*$C$78</f>
        <v>0</v>
      </c>
      <c r="G101" s="14">
        <f t="shared" si="47"/>
        <v>0</v>
      </c>
      <c r="H101" s="14">
        <f t="shared" si="47"/>
        <v>0</v>
      </c>
      <c r="I101" s="14">
        <f t="shared" si="47"/>
        <v>0</v>
      </c>
      <c r="J101" s="14">
        <f t="shared" si="47"/>
        <v>0</v>
      </c>
      <c r="K101" s="14">
        <f t="shared" si="47"/>
        <v>0</v>
      </c>
      <c r="L101" s="14">
        <f t="shared" si="47"/>
        <v>0</v>
      </c>
      <c r="M101" s="14">
        <f t="shared" si="47"/>
        <v>0</v>
      </c>
      <c r="N101" s="14">
        <f t="shared" si="47"/>
        <v>0</v>
      </c>
      <c r="O101" s="14">
        <f t="shared" si="47"/>
        <v>0</v>
      </c>
      <c r="P101" s="14">
        <f t="shared" si="47"/>
        <v>0</v>
      </c>
      <c r="Q101" s="14">
        <f t="shared" si="47"/>
        <v>0</v>
      </c>
      <c r="R101" s="14">
        <f t="shared" si="47"/>
        <v>0</v>
      </c>
      <c r="S101" s="14">
        <f t="shared" si="47"/>
        <v>0</v>
      </c>
      <c r="T101" s="14">
        <f t="shared" si="47"/>
        <v>0</v>
      </c>
      <c r="U101" s="14">
        <f t="shared" si="47"/>
        <v>0</v>
      </c>
      <c r="V101" s="14">
        <f t="shared" si="47"/>
        <v>0</v>
      </c>
      <c r="W101" s="14">
        <f t="shared" si="47"/>
        <v>0</v>
      </c>
      <c r="X101" s="14">
        <f t="shared" si="47"/>
        <v>0</v>
      </c>
      <c r="Y101" s="14">
        <f t="shared" si="47"/>
        <v>0</v>
      </c>
      <c r="Z101" s="14">
        <f t="shared" si="47"/>
        <v>0</v>
      </c>
      <c r="AA101" s="14">
        <f t="shared" si="47"/>
        <v>0</v>
      </c>
      <c r="AB101" s="14">
        <f t="shared" si="47"/>
        <v>0</v>
      </c>
      <c r="AC101" s="14">
        <f t="shared" si="47"/>
        <v>0</v>
      </c>
      <c r="AD101" s="14">
        <f t="shared" si="47"/>
        <v>0</v>
      </c>
      <c r="AE101" s="14">
        <f t="shared" si="47"/>
        <v>0</v>
      </c>
      <c r="AF101" s="14">
        <f t="shared" si="47"/>
        <v>0</v>
      </c>
      <c r="AG101" s="14">
        <f t="shared" si="47"/>
        <v>0</v>
      </c>
      <c r="AH101" s="14">
        <f t="shared" si="47"/>
        <v>0</v>
      </c>
      <c r="AI101" s="14">
        <f t="shared" si="47"/>
        <v>0</v>
      </c>
      <c r="AJ101" s="14">
        <f t="shared" si="47"/>
        <v>0</v>
      </c>
      <c r="AK101" s="14">
        <f t="shared" si="47"/>
        <v>0</v>
      </c>
      <c r="AL101" s="14">
        <f t="shared" si="47"/>
        <v>0</v>
      </c>
    </row>
    <row r="102" spans="1:54" ht="21" hidden="1" customHeight="1" outlineLevel="1" thickBot="1" x14ac:dyDescent="0.4">
      <c r="A102" s="5">
        <f t="shared" si="42"/>
        <v>0</v>
      </c>
      <c r="B102" s="5">
        <f t="shared" si="42"/>
        <v>0</v>
      </c>
      <c r="C102" s="5">
        <f t="shared" si="42"/>
        <v>0</v>
      </c>
      <c r="D102" s="5">
        <f t="shared" si="42"/>
        <v>0</v>
      </c>
      <c r="E102" s="6">
        <f t="shared" si="21"/>
        <v>0</v>
      </c>
      <c r="F102" s="14">
        <f t="shared" ref="F102:AL102" si="48">F26*$C$78</f>
        <v>0</v>
      </c>
      <c r="G102" s="14">
        <f t="shared" si="48"/>
        <v>0</v>
      </c>
      <c r="H102" s="14">
        <f t="shared" si="48"/>
        <v>0</v>
      </c>
      <c r="I102" s="14">
        <f t="shared" si="48"/>
        <v>0</v>
      </c>
      <c r="J102" s="14">
        <f t="shared" si="48"/>
        <v>0</v>
      </c>
      <c r="K102" s="14">
        <f t="shared" si="48"/>
        <v>0</v>
      </c>
      <c r="L102" s="14">
        <f t="shared" si="48"/>
        <v>0</v>
      </c>
      <c r="M102" s="14">
        <f t="shared" si="48"/>
        <v>0</v>
      </c>
      <c r="N102" s="14">
        <f t="shared" si="48"/>
        <v>0</v>
      </c>
      <c r="O102" s="14">
        <f t="shared" si="48"/>
        <v>0</v>
      </c>
      <c r="P102" s="14">
        <f t="shared" si="48"/>
        <v>0</v>
      </c>
      <c r="Q102" s="14">
        <f t="shared" si="48"/>
        <v>0</v>
      </c>
      <c r="R102" s="14">
        <f t="shared" si="48"/>
        <v>0</v>
      </c>
      <c r="S102" s="14">
        <f t="shared" si="48"/>
        <v>0</v>
      </c>
      <c r="T102" s="14">
        <f t="shared" si="48"/>
        <v>0</v>
      </c>
      <c r="U102" s="14">
        <f t="shared" si="48"/>
        <v>0</v>
      </c>
      <c r="V102" s="14">
        <f t="shared" si="48"/>
        <v>0</v>
      </c>
      <c r="W102" s="14">
        <f t="shared" si="48"/>
        <v>0</v>
      </c>
      <c r="X102" s="14">
        <f t="shared" si="48"/>
        <v>0</v>
      </c>
      <c r="Y102" s="14">
        <f t="shared" si="48"/>
        <v>0</v>
      </c>
      <c r="Z102" s="14">
        <f t="shared" si="48"/>
        <v>0</v>
      </c>
      <c r="AA102" s="14">
        <f t="shared" si="48"/>
        <v>0</v>
      </c>
      <c r="AB102" s="14">
        <f t="shared" si="48"/>
        <v>0</v>
      </c>
      <c r="AC102" s="14">
        <f t="shared" si="48"/>
        <v>0</v>
      </c>
      <c r="AD102" s="14">
        <f t="shared" si="48"/>
        <v>0</v>
      </c>
      <c r="AE102" s="14">
        <f t="shared" si="48"/>
        <v>0</v>
      </c>
      <c r="AF102" s="14">
        <f t="shared" si="48"/>
        <v>0</v>
      </c>
      <c r="AG102" s="14">
        <f t="shared" si="48"/>
        <v>0</v>
      </c>
      <c r="AH102" s="14">
        <f t="shared" si="48"/>
        <v>0</v>
      </c>
      <c r="AI102" s="14">
        <f t="shared" si="48"/>
        <v>0</v>
      </c>
      <c r="AJ102" s="14">
        <f t="shared" si="48"/>
        <v>0</v>
      </c>
      <c r="AK102" s="14">
        <f t="shared" si="48"/>
        <v>0</v>
      </c>
      <c r="AL102" s="14">
        <f t="shared" si="48"/>
        <v>0</v>
      </c>
    </row>
    <row r="103" spans="1:54" ht="21" hidden="1" customHeight="1" outlineLevel="1" thickBot="1" x14ac:dyDescent="0.4">
      <c r="A103" s="5">
        <f t="shared" si="42"/>
        <v>0</v>
      </c>
      <c r="B103" s="5">
        <f t="shared" si="42"/>
        <v>0</v>
      </c>
      <c r="C103" s="5">
        <f t="shared" si="42"/>
        <v>0</v>
      </c>
      <c r="D103" s="5">
        <f t="shared" si="42"/>
        <v>0</v>
      </c>
      <c r="E103" s="6">
        <f t="shared" si="21"/>
        <v>0</v>
      </c>
      <c r="F103" s="14">
        <f t="shared" ref="F103:AL103" si="49">F27*$C$78</f>
        <v>0</v>
      </c>
      <c r="G103" s="14">
        <f t="shared" si="49"/>
        <v>0</v>
      </c>
      <c r="H103" s="14">
        <f t="shared" si="49"/>
        <v>0</v>
      </c>
      <c r="I103" s="14">
        <f t="shared" si="49"/>
        <v>0</v>
      </c>
      <c r="J103" s="14">
        <f t="shared" si="49"/>
        <v>0</v>
      </c>
      <c r="K103" s="14">
        <f t="shared" si="49"/>
        <v>0</v>
      </c>
      <c r="L103" s="14">
        <f t="shared" si="49"/>
        <v>0</v>
      </c>
      <c r="M103" s="14">
        <f t="shared" si="49"/>
        <v>0</v>
      </c>
      <c r="N103" s="14">
        <f t="shared" si="49"/>
        <v>0</v>
      </c>
      <c r="O103" s="14">
        <f t="shared" si="49"/>
        <v>0</v>
      </c>
      <c r="P103" s="14">
        <f t="shared" si="49"/>
        <v>0</v>
      </c>
      <c r="Q103" s="14">
        <f t="shared" si="49"/>
        <v>0</v>
      </c>
      <c r="R103" s="14">
        <f t="shared" si="49"/>
        <v>0</v>
      </c>
      <c r="S103" s="14">
        <f t="shared" si="49"/>
        <v>0</v>
      </c>
      <c r="T103" s="14">
        <f t="shared" si="49"/>
        <v>0</v>
      </c>
      <c r="U103" s="14">
        <f t="shared" si="49"/>
        <v>0</v>
      </c>
      <c r="V103" s="14">
        <f t="shared" si="49"/>
        <v>0</v>
      </c>
      <c r="W103" s="14">
        <f t="shared" si="49"/>
        <v>0</v>
      </c>
      <c r="X103" s="14">
        <f t="shared" si="49"/>
        <v>0</v>
      </c>
      <c r="Y103" s="14">
        <f t="shared" si="49"/>
        <v>0</v>
      </c>
      <c r="Z103" s="14">
        <f t="shared" si="49"/>
        <v>0</v>
      </c>
      <c r="AA103" s="14">
        <f t="shared" si="49"/>
        <v>0</v>
      </c>
      <c r="AB103" s="14">
        <f t="shared" si="49"/>
        <v>0</v>
      </c>
      <c r="AC103" s="14">
        <f t="shared" si="49"/>
        <v>0</v>
      </c>
      <c r="AD103" s="14">
        <f t="shared" si="49"/>
        <v>0</v>
      </c>
      <c r="AE103" s="14">
        <f t="shared" si="49"/>
        <v>0</v>
      </c>
      <c r="AF103" s="14">
        <f t="shared" si="49"/>
        <v>0</v>
      </c>
      <c r="AG103" s="14">
        <f t="shared" si="49"/>
        <v>0</v>
      </c>
      <c r="AH103" s="14">
        <f t="shared" si="49"/>
        <v>0</v>
      </c>
      <c r="AI103" s="14">
        <f t="shared" si="49"/>
        <v>0</v>
      </c>
      <c r="AJ103" s="14">
        <f t="shared" si="49"/>
        <v>0</v>
      </c>
      <c r="AK103" s="14">
        <f t="shared" si="49"/>
        <v>0</v>
      </c>
      <c r="AL103" s="14">
        <f t="shared" si="49"/>
        <v>0</v>
      </c>
    </row>
    <row r="104" spans="1:54" ht="21" hidden="1" customHeight="1" outlineLevel="1" thickBot="1" x14ac:dyDescent="0.4">
      <c r="A104" s="5">
        <f t="shared" si="42"/>
        <v>0</v>
      </c>
      <c r="B104" s="5">
        <f t="shared" si="42"/>
        <v>0</v>
      </c>
      <c r="C104" s="5">
        <f t="shared" si="42"/>
        <v>0</v>
      </c>
      <c r="D104" s="5">
        <f t="shared" si="42"/>
        <v>0</v>
      </c>
      <c r="E104" s="6">
        <f t="shared" si="21"/>
        <v>0</v>
      </c>
      <c r="F104" s="14">
        <f t="shared" ref="F104:AL104" si="50">F28*$C$78</f>
        <v>0</v>
      </c>
      <c r="G104" s="14">
        <f t="shared" si="50"/>
        <v>0</v>
      </c>
      <c r="H104" s="14">
        <f t="shared" si="50"/>
        <v>0</v>
      </c>
      <c r="I104" s="14">
        <f t="shared" si="50"/>
        <v>0</v>
      </c>
      <c r="J104" s="14">
        <f t="shared" si="50"/>
        <v>0</v>
      </c>
      <c r="K104" s="14">
        <f t="shared" si="50"/>
        <v>0</v>
      </c>
      <c r="L104" s="14">
        <f t="shared" si="50"/>
        <v>0</v>
      </c>
      <c r="M104" s="14">
        <f t="shared" si="50"/>
        <v>0</v>
      </c>
      <c r="N104" s="14">
        <f t="shared" si="50"/>
        <v>0</v>
      </c>
      <c r="O104" s="14">
        <f t="shared" si="50"/>
        <v>0</v>
      </c>
      <c r="P104" s="14">
        <f t="shared" si="50"/>
        <v>0</v>
      </c>
      <c r="Q104" s="14">
        <f t="shared" si="50"/>
        <v>0</v>
      </c>
      <c r="R104" s="14">
        <f t="shared" si="50"/>
        <v>0</v>
      </c>
      <c r="S104" s="14">
        <f t="shared" si="50"/>
        <v>0</v>
      </c>
      <c r="T104" s="14">
        <f t="shared" si="50"/>
        <v>0</v>
      </c>
      <c r="U104" s="14">
        <f t="shared" si="50"/>
        <v>0</v>
      </c>
      <c r="V104" s="14">
        <f t="shared" si="50"/>
        <v>0</v>
      </c>
      <c r="W104" s="14">
        <f t="shared" si="50"/>
        <v>0</v>
      </c>
      <c r="X104" s="14">
        <f t="shared" si="50"/>
        <v>0</v>
      </c>
      <c r="Y104" s="14">
        <f t="shared" si="50"/>
        <v>0</v>
      </c>
      <c r="Z104" s="14">
        <f t="shared" si="50"/>
        <v>0</v>
      </c>
      <c r="AA104" s="14">
        <f t="shared" si="50"/>
        <v>0</v>
      </c>
      <c r="AB104" s="14">
        <f t="shared" si="50"/>
        <v>0</v>
      </c>
      <c r="AC104" s="14">
        <f t="shared" si="50"/>
        <v>0</v>
      </c>
      <c r="AD104" s="14">
        <f t="shared" si="50"/>
        <v>0</v>
      </c>
      <c r="AE104" s="14">
        <f t="shared" si="50"/>
        <v>0</v>
      </c>
      <c r="AF104" s="14">
        <f t="shared" si="50"/>
        <v>0</v>
      </c>
      <c r="AG104" s="14">
        <f t="shared" si="50"/>
        <v>0</v>
      </c>
      <c r="AH104" s="14">
        <f t="shared" si="50"/>
        <v>0</v>
      </c>
      <c r="AI104" s="14">
        <f t="shared" si="50"/>
        <v>0</v>
      </c>
      <c r="AJ104" s="14">
        <f t="shared" si="50"/>
        <v>0</v>
      </c>
      <c r="AK104" s="14">
        <f t="shared" si="50"/>
        <v>0</v>
      </c>
      <c r="AL104" s="14">
        <f t="shared" si="50"/>
        <v>0</v>
      </c>
    </row>
    <row r="105" spans="1:54" ht="21" hidden="1" customHeight="1" outlineLevel="1" thickBot="1" x14ac:dyDescent="0.4">
      <c r="A105" s="5">
        <f t="shared" si="42"/>
        <v>0</v>
      </c>
      <c r="B105" s="5">
        <f t="shared" si="42"/>
        <v>0</v>
      </c>
      <c r="C105" s="5">
        <f t="shared" si="42"/>
        <v>0</v>
      </c>
      <c r="D105" s="5">
        <f t="shared" si="42"/>
        <v>0</v>
      </c>
      <c r="E105" s="6">
        <f t="shared" si="21"/>
        <v>0</v>
      </c>
      <c r="F105" s="14">
        <f t="shared" ref="F105:AL105" si="51">F29*$C$78</f>
        <v>0</v>
      </c>
      <c r="G105" s="14">
        <f t="shared" si="51"/>
        <v>0</v>
      </c>
      <c r="H105" s="14">
        <f t="shared" si="51"/>
        <v>0</v>
      </c>
      <c r="I105" s="14">
        <f t="shared" si="51"/>
        <v>0</v>
      </c>
      <c r="J105" s="14">
        <f t="shared" si="51"/>
        <v>0</v>
      </c>
      <c r="K105" s="14">
        <f t="shared" si="51"/>
        <v>0</v>
      </c>
      <c r="L105" s="14">
        <f t="shared" si="51"/>
        <v>0</v>
      </c>
      <c r="M105" s="14">
        <f t="shared" si="51"/>
        <v>0</v>
      </c>
      <c r="N105" s="14">
        <f t="shared" si="51"/>
        <v>0</v>
      </c>
      <c r="O105" s="14">
        <f t="shared" si="51"/>
        <v>0</v>
      </c>
      <c r="P105" s="14">
        <f t="shared" si="51"/>
        <v>0</v>
      </c>
      <c r="Q105" s="14">
        <f t="shared" si="51"/>
        <v>0</v>
      </c>
      <c r="R105" s="14">
        <f t="shared" si="51"/>
        <v>0</v>
      </c>
      <c r="S105" s="14">
        <f t="shared" si="51"/>
        <v>0</v>
      </c>
      <c r="T105" s="14">
        <f t="shared" si="51"/>
        <v>0</v>
      </c>
      <c r="U105" s="14">
        <f t="shared" si="51"/>
        <v>0</v>
      </c>
      <c r="V105" s="14">
        <f t="shared" si="51"/>
        <v>0</v>
      </c>
      <c r="W105" s="14">
        <f t="shared" si="51"/>
        <v>0</v>
      </c>
      <c r="X105" s="14">
        <f t="shared" si="51"/>
        <v>0</v>
      </c>
      <c r="Y105" s="14">
        <f t="shared" si="51"/>
        <v>0</v>
      </c>
      <c r="Z105" s="14">
        <f t="shared" si="51"/>
        <v>0</v>
      </c>
      <c r="AA105" s="14">
        <f t="shared" si="51"/>
        <v>0</v>
      </c>
      <c r="AB105" s="14">
        <f t="shared" si="51"/>
        <v>0</v>
      </c>
      <c r="AC105" s="14">
        <f t="shared" si="51"/>
        <v>0</v>
      </c>
      <c r="AD105" s="14">
        <f t="shared" si="51"/>
        <v>0</v>
      </c>
      <c r="AE105" s="14">
        <f t="shared" si="51"/>
        <v>0</v>
      </c>
      <c r="AF105" s="14">
        <f t="shared" si="51"/>
        <v>0</v>
      </c>
      <c r="AG105" s="14">
        <f t="shared" si="51"/>
        <v>0</v>
      </c>
      <c r="AH105" s="14">
        <f t="shared" si="51"/>
        <v>0</v>
      </c>
      <c r="AI105" s="14">
        <f t="shared" si="51"/>
        <v>0</v>
      </c>
      <c r="AJ105" s="14">
        <f t="shared" si="51"/>
        <v>0</v>
      </c>
      <c r="AK105" s="14">
        <f t="shared" si="51"/>
        <v>0</v>
      </c>
      <c r="AL105" s="14">
        <f t="shared" si="51"/>
        <v>0</v>
      </c>
    </row>
    <row r="106" spans="1:54" ht="21" hidden="1" customHeight="1" outlineLevel="1" thickBot="1" x14ac:dyDescent="0.4">
      <c r="A106" s="5">
        <f t="shared" si="42"/>
        <v>0</v>
      </c>
      <c r="B106" s="5">
        <f t="shared" si="42"/>
        <v>0</v>
      </c>
      <c r="C106" s="5">
        <f t="shared" si="42"/>
        <v>0</v>
      </c>
      <c r="D106" s="5">
        <f t="shared" si="42"/>
        <v>0</v>
      </c>
      <c r="E106" s="6">
        <f t="shared" si="21"/>
        <v>0</v>
      </c>
      <c r="F106" s="14">
        <f t="shared" ref="F106:AL106" si="52">F30*$C$78</f>
        <v>0</v>
      </c>
      <c r="G106" s="14">
        <f t="shared" si="52"/>
        <v>0</v>
      </c>
      <c r="H106" s="14">
        <f t="shared" si="52"/>
        <v>0</v>
      </c>
      <c r="I106" s="14">
        <f t="shared" si="52"/>
        <v>0</v>
      </c>
      <c r="J106" s="14">
        <f t="shared" si="52"/>
        <v>0</v>
      </c>
      <c r="K106" s="14">
        <f t="shared" si="52"/>
        <v>0</v>
      </c>
      <c r="L106" s="14">
        <f t="shared" si="52"/>
        <v>0</v>
      </c>
      <c r="M106" s="14">
        <f t="shared" si="52"/>
        <v>0</v>
      </c>
      <c r="N106" s="14">
        <f t="shared" si="52"/>
        <v>0</v>
      </c>
      <c r="O106" s="14">
        <f t="shared" si="52"/>
        <v>0</v>
      </c>
      <c r="P106" s="14">
        <f t="shared" si="52"/>
        <v>0</v>
      </c>
      <c r="Q106" s="14">
        <f t="shared" si="52"/>
        <v>0</v>
      </c>
      <c r="R106" s="14">
        <f t="shared" si="52"/>
        <v>0</v>
      </c>
      <c r="S106" s="14">
        <f t="shared" si="52"/>
        <v>0</v>
      </c>
      <c r="T106" s="14">
        <f t="shared" si="52"/>
        <v>0</v>
      </c>
      <c r="U106" s="14">
        <f t="shared" si="52"/>
        <v>0</v>
      </c>
      <c r="V106" s="14">
        <f t="shared" si="52"/>
        <v>0</v>
      </c>
      <c r="W106" s="14">
        <f t="shared" si="52"/>
        <v>0</v>
      </c>
      <c r="X106" s="14">
        <f t="shared" si="52"/>
        <v>0</v>
      </c>
      <c r="Y106" s="14">
        <f t="shared" si="52"/>
        <v>0</v>
      </c>
      <c r="Z106" s="14">
        <f t="shared" si="52"/>
        <v>0</v>
      </c>
      <c r="AA106" s="14">
        <f t="shared" si="52"/>
        <v>0</v>
      </c>
      <c r="AB106" s="14">
        <f t="shared" si="52"/>
        <v>0</v>
      </c>
      <c r="AC106" s="14">
        <f t="shared" si="52"/>
        <v>0</v>
      </c>
      <c r="AD106" s="14">
        <f t="shared" si="52"/>
        <v>0</v>
      </c>
      <c r="AE106" s="14">
        <f t="shared" si="52"/>
        <v>0</v>
      </c>
      <c r="AF106" s="14">
        <f t="shared" si="52"/>
        <v>0</v>
      </c>
      <c r="AG106" s="14">
        <f t="shared" si="52"/>
        <v>0</v>
      </c>
      <c r="AH106" s="14">
        <f t="shared" si="52"/>
        <v>0</v>
      </c>
      <c r="AI106" s="14">
        <f t="shared" si="52"/>
        <v>0</v>
      </c>
      <c r="AJ106" s="14">
        <f t="shared" si="52"/>
        <v>0</v>
      </c>
      <c r="AK106" s="14">
        <f t="shared" si="52"/>
        <v>0</v>
      </c>
      <c r="AL106" s="14">
        <f t="shared" si="52"/>
        <v>0</v>
      </c>
    </row>
    <row r="107" spans="1:54" ht="21" hidden="1" customHeight="1" outlineLevel="1" thickBot="1" x14ac:dyDescent="0.4">
      <c r="A107" s="5">
        <f t="shared" si="42"/>
        <v>0</v>
      </c>
      <c r="B107" s="5">
        <f t="shared" si="42"/>
        <v>0</v>
      </c>
      <c r="C107" s="5">
        <f t="shared" si="42"/>
        <v>0</v>
      </c>
      <c r="D107" s="5">
        <f t="shared" si="42"/>
        <v>0</v>
      </c>
      <c r="E107" s="6">
        <f t="shared" si="21"/>
        <v>0</v>
      </c>
      <c r="F107" s="14">
        <f t="shared" ref="F107:AL107" si="53">F31*$C$78</f>
        <v>0</v>
      </c>
      <c r="G107" s="14">
        <f t="shared" si="53"/>
        <v>0</v>
      </c>
      <c r="H107" s="14">
        <f t="shared" si="53"/>
        <v>0</v>
      </c>
      <c r="I107" s="14">
        <f t="shared" si="53"/>
        <v>0</v>
      </c>
      <c r="J107" s="14">
        <f t="shared" si="53"/>
        <v>0</v>
      </c>
      <c r="K107" s="14">
        <f t="shared" si="53"/>
        <v>0</v>
      </c>
      <c r="L107" s="14">
        <f t="shared" si="53"/>
        <v>0</v>
      </c>
      <c r="M107" s="14">
        <f t="shared" si="53"/>
        <v>0</v>
      </c>
      <c r="N107" s="14">
        <f t="shared" si="53"/>
        <v>0</v>
      </c>
      <c r="O107" s="14">
        <f t="shared" si="53"/>
        <v>0</v>
      </c>
      <c r="P107" s="14">
        <f t="shared" si="53"/>
        <v>0</v>
      </c>
      <c r="Q107" s="14">
        <f t="shared" si="53"/>
        <v>0</v>
      </c>
      <c r="R107" s="14">
        <f t="shared" si="53"/>
        <v>0</v>
      </c>
      <c r="S107" s="14">
        <f t="shared" si="53"/>
        <v>0</v>
      </c>
      <c r="T107" s="14">
        <f t="shared" si="53"/>
        <v>0</v>
      </c>
      <c r="U107" s="14">
        <f t="shared" si="53"/>
        <v>0</v>
      </c>
      <c r="V107" s="14">
        <f t="shared" si="53"/>
        <v>0</v>
      </c>
      <c r="W107" s="14">
        <f t="shared" si="53"/>
        <v>0</v>
      </c>
      <c r="X107" s="14">
        <f t="shared" si="53"/>
        <v>0</v>
      </c>
      <c r="Y107" s="14">
        <f t="shared" si="53"/>
        <v>0</v>
      </c>
      <c r="Z107" s="14">
        <f t="shared" si="53"/>
        <v>0</v>
      </c>
      <c r="AA107" s="14">
        <f t="shared" si="53"/>
        <v>0</v>
      </c>
      <c r="AB107" s="14">
        <f t="shared" si="53"/>
        <v>0</v>
      </c>
      <c r="AC107" s="14">
        <f t="shared" si="53"/>
        <v>0</v>
      </c>
      <c r="AD107" s="14">
        <f t="shared" si="53"/>
        <v>0</v>
      </c>
      <c r="AE107" s="14">
        <f t="shared" si="53"/>
        <v>0</v>
      </c>
      <c r="AF107" s="14">
        <f t="shared" si="53"/>
        <v>0</v>
      </c>
      <c r="AG107" s="14">
        <f t="shared" si="53"/>
        <v>0</v>
      </c>
      <c r="AH107" s="14">
        <f t="shared" si="53"/>
        <v>0</v>
      </c>
      <c r="AI107" s="14">
        <f t="shared" si="53"/>
        <v>0</v>
      </c>
      <c r="AJ107" s="14">
        <f t="shared" si="53"/>
        <v>0</v>
      </c>
      <c r="AK107" s="14">
        <f t="shared" si="53"/>
        <v>0</v>
      </c>
      <c r="AL107" s="14">
        <f t="shared" si="53"/>
        <v>0</v>
      </c>
    </row>
    <row r="108" spans="1:54" ht="21" hidden="1" customHeight="1" outlineLevel="1" thickBot="1" x14ac:dyDescent="0.4">
      <c r="A108" s="5">
        <f t="shared" si="42"/>
        <v>0</v>
      </c>
      <c r="B108" s="5">
        <f t="shared" si="42"/>
        <v>0</v>
      </c>
      <c r="C108" s="5">
        <f t="shared" si="42"/>
        <v>0</v>
      </c>
      <c r="D108" s="5">
        <f t="shared" si="42"/>
        <v>0</v>
      </c>
      <c r="E108" s="6">
        <f t="shared" si="21"/>
        <v>0</v>
      </c>
      <c r="F108" s="14">
        <f t="shared" ref="F108:AL108" si="54">F32*$C$78</f>
        <v>0</v>
      </c>
      <c r="G108" s="14">
        <f t="shared" si="54"/>
        <v>0</v>
      </c>
      <c r="H108" s="14">
        <f t="shared" si="54"/>
        <v>0</v>
      </c>
      <c r="I108" s="14">
        <f t="shared" si="54"/>
        <v>0</v>
      </c>
      <c r="J108" s="14">
        <f t="shared" si="54"/>
        <v>0</v>
      </c>
      <c r="K108" s="14">
        <f t="shared" si="54"/>
        <v>0</v>
      </c>
      <c r="L108" s="14">
        <f t="shared" si="54"/>
        <v>0</v>
      </c>
      <c r="M108" s="14">
        <f t="shared" si="54"/>
        <v>0</v>
      </c>
      <c r="N108" s="14">
        <f t="shared" si="54"/>
        <v>0</v>
      </c>
      <c r="O108" s="14">
        <f t="shared" si="54"/>
        <v>0</v>
      </c>
      <c r="P108" s="14">
        <f t="shared" si="54"/>
        <v>0</v>
      </c>
      <c r="Q108" s="14">
        <f t="shared" si="54"/>
        <v>0</v>
      </c>
      <c r="R108" s="14">
        <f t="shared" si="54"/>
        <v>0</v>
      </c>
      <c r="S108" s="14">
        <f t="shared" si="54"/>
        <v>0</v>
      </c>
      <c r="T108" s="14">
        <f t="shared" si="54"/>
        <v>0</v>
      </c>
      <c r="U108" s="14">
        <f t="shared" si="54"/>
        <v>0</v>
      </c>
      <c r="V108" s="14">
        <f t="shared" si="54"/>
        <v>0</v>
      </c>
      <c r="W108" s="14">
        <f t="shared" si="54"/>
        <v>0</v>
      </c>
      <c r="X108" s="14">
        <f t="shared" si="54"/>
        <v>0</v>
      </c>
      <c r="Y108" s="14">
        <f t="shared" si="54"/>
        <v>0</v>
      </c>
      <c r="Z108" s="14">
        <f t="shared" si="54"/>
        <v>0</v>
      </c>
      <c r="AA108" s="14">
        <f t="shared" si="54"/>
        <v>0</v>
      </c>
      <c r="AB108" s="14">
        <f t="shared" si="54"/>
        <v>0</v>
      </c>
      <c r="AC108" s="14">
        <f t="shared" si="54"/>
        <v>0</v>
      </c>
      <c r="AD108" s="14">
        <f t="shared" si="54"/>
        <v>0</v>
      </c>
      <c r="AE108" s="14">
        <f t="shared" si="54"/>
        <v>0</v>
      </c>
      <c r="AF108" s="14">
        <f t="shared" si="54"/>
        <v>0</v>
      </c>
      <c r="AG108" s="14">
        <f t="shared" si="54"/>
        <v>0</v>
      </c>
      <c r="AH108" s="14">
        <f t="shared" si="54"/>
        <v>0</v>
      </c>
      <c r="AI108" s="14">
        <f t="shared" si="54"/>
        <v>0</v>
      </c>
      <c r="AJ108" s="14">
        <f t="shared" si="54"/>
        <v>0</v>
      </c>
      <c r="AK108" s="14">
        <f t="shared" si="54"/>
        <v>0</v>
      </c>
      <c r="AL108" s="14">
        <f t="shared" si="54"/>
        <v>0</v>
      </c>
    </row>
    <row r="109" spans="1:54" ht="21" hidden="1" customHeight="1" outlineLevel="1" thickBot="1" x14ac:dyDescent="0.4">
      <c r="A109" s="5">
        <f t="shared" si="42"/>
        <v>0</v>
      </c>
      <c r="B109" s="5">
        <f t="shared" si="42"/>
        <v>0</v>
      </c>
      <c r="C109" s="5">
        <f t="shared" si="42"/>
        <v>0</v>
      </c>
      <c r="D109" s="5">
        <f t="shared" si="42"/>
        <v>0</v>
      </c>
      <c r="E109" s="6">
        <f t="shared" si="21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</row>
    <row r="111" spans="1:54" ht="21" customHeight="1" collapsed="1" x14ac:dyDescent="0.35"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</row>
    <row r="112" spans="1:54" ht="21" customHeight="1" thickBot="1" x14ac:dyDescent="0.45">
      <c r="A112" s="75"/>
      <c r="B112" s="75"/>
      <c r="C112" s="75"/>
      <c r="D112" s="75"/>
      <c r="E112" s="74" t="s">
        <v>24</v>
      </c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</row>
    <row r="113" spans="1:38" ht="21" customHeight="1" outlineLevel="1" thickTop="1" thickBot="1" x14ac:dyDescent="0.4">
      <c r="A113" s="92" t="s">
        <v>10</v>
      </c>
      <c r="B113" s="93"/>
      <c r="C113" s="23" t="s">
        <v>11</v>
      </c>
      <c r="D113" s="15" t="s">
        <v>12</v>
      </c>
      <c r="E113" s="15"/>
      <c r="F113" s="4">
        <f t="shared" ref="F113:AL113" si="55">F3</f>
        <v>273.10000000000002</v>
      </c>
      <c r="G113" s="4">
        <f t="shared" si="55"/>
        <v>339.2</v>
      </c>
      <c r="H113" s="4">
        <f t="shared" si="55"/>
        <v>355.7</v>
      </c>
      <c r="I113" s="4">
        <f t="shared" si="55"/>
        <v>372.3</v>
      </c>
      <c r="J113" s="4">
        <f t="shared" si="55"/>
        <v>388.8</v>
      </c>
      <c r="K113" s="4">
        <f t="shared" si="55"/>
        <v>405.3</v>
      </c>
      <c r="L113" s="4">
        <f t="shared" si="55"/>
        <v>421.8</v>
      </c>
      <c r="M113" s="4">
        <f t="shared" si="55"/>
        <v>438.3</v>
      </c>
      <c r="N113" s="4">
        <f t="shared" si="55"/>
        <v>454.9</v>
      </c>
      <c r="O113" s="4">
        <f t="shared" si="55"/>
        <v>471.4</v>
      </c>
      <c r="P113" s="4">
        <f t="shared" si="55"/>
        <v>537.5</v>
      </c>
      <c r="Q113" s="4">
        <f t="shared" si="55"/>
        <v>603.5</v>
      </c>
      <c r="R113" s="4">
        <f t="shared" si="55"/>
        <v>620.1</v>
      </c>
      <c r="S113" s="4">
        <f t="shared" si="55"/>
        <v>636.6</v>
      </c>
      <c r="T113" s="4">
        <f t="shared" si="55"/>
        <v>653.1</v>
      </c>
      <c r="U113" s="4">
        <f t="shared" si="55"/>
        <v>669.6</v>
      </c>
      <c r="V113" s="4">
        <f t="shared" si="55"/>
        <v>686.1</v>
      </c>
      <c r="W113" s="4">
        <f t="shared" si="55"/>
        <v>702.7</v>
      </c>
      <c r="X113" s="4">
        <f t="shared" si="55"/>
        <v>719.2</v>
      </c>
      <c r="Y113" s="4">
        <f t="shared" si="55"/>
        <v>735.7</v>
      </c>
      <c r="Z113" s="4">
        <f t="shared" si="55"/>
        <v>752.2</v>
      </c>
      <c r="AA113" s="4">
        <f t="shared" si="55"/>
        <v>768.7</v>
      </c>
      <c r="AB113" s="4">
        <f t="shared" si="55"/>
        <v>785.2</v>
      </c>
      <c r="AC113" s="4">
        <f t="shared" si="55"/>
        <v>801.8</v>
      </c>
      <c r="AD113" s="4">
        <f t="shared" si="55"/>
        <v>818.3</v>
      </c>
      <c r="AE113" s="4">
        <f t="shared" si="55"/>
        <v>834.8</v>
      </c>
      <c r="AF113" s="4">
        <f t="shared" si="55"/>
        <v>851.3</v>
      </c>
      <c r="AG113" s="4">
        <f t="shared" si="55"/>
        <v>867.8</v>
      </c>
      <c r="AH113" s="4">
        <f t="shared" si="55"/>
        <v>884.4</v>
      </c>
      <c r="AI113" s="4">
        <f t="shared" si="55"/>
        <v>900.9</v>
      </c>
      <c r="AJ113" s="4">
        <f t="shared" si="55"/>
        <v>917.4</v>
      </c>
      <c r="AK113" s="4">
        <f t="shared" si="55"/>
        <v>933.9</v>
      </c>
      <c r="AL113" s="4">
        <f t="shared" si="55"/>
        <v>1000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MIN(MIN(F114:AL116),MIN(F41:AL41))</f>
        <v>-144.84974640394375</v>
      </c>
      <c r="C114" s="24">
        <f>COUNTA(E114:E121)+1</f>
        <v>7</v>
      </c>
      <c r="E114" s="17" t="s">
        <v>35</v>
      </c>
      <c r="F114" s="14">
        <f ca="1">F$113*$B$2*SUMPRODUCT(F$86:F$91,F$52:F$57)/1000</f>
        <v>-66.524238437323788</v>
      </c>
      <c r="G114" s="14">
        <f t="shared" ref="G114:AL114" ca="1" si="56">G$113*$B$2*SUMPRODUCT(G$86:G$91,G$52:G$57)/1000</f>
        <v>-63.177822593286649</v>
      </c>
      <c r="H114" s="14">
        <f t="shared" ca="1" si="56"/>
        <v>-68.719909371707544</v>
      </c>
      <c r="I114" s="14">
        <f t="shared" ca="1" si="56"/>
        <v>-75.502936256745443</v>
      </c>
      <c r="J114" s="14">
        <f t="shared" ca="1" si="56"/>
        <v>-82.792772985960198</v>
      </c>
      <c r="K114" s="14">
        <f t="shared" ca="1" si="56"/>
        <v>-89.511661389662422</v>
      </c>
      <c r="L114" s="14">
        <f t="shared" ca="1" si="56"/>
        <v>-95.888874546355908</v>
      </c>
      <c r="M114" s="14">
        <f t="shared" ca="1" si="56"/>
        <v>-101.31172666183532</v>
      </c>
      <c r="N114" s="14">
        <f t="shared" ca="1" si="56"/>
        <v>-103.21189213869063</v>
      </c>
      <c r="O114" s="14">
        <f t="shared" ca="1" si="56"/>
        <v>-103.97763849084627</v>
      </c>
      <c r="P114" s="14">
        <f t="shared" ca="1" si="56"/>
        <v>-113.44483990679146</v>
      </c>
      <c r="Q114" s="14">
        <f t="shared" ca="1" si="56"/>
        <v>-119.18651192307553</v>
      </c>
      <c r="R114" s="14">
        <f t="shared" ca="1" si="56"/>
        <v>-120.28403672836572</v>
      </c>
      <c r="S114" s="14">
        <f t="shared" ca="1" si="56"/>
        <v>-121.39755885536466</v>
      </c>
      <c r="T114" s="14">
        <f t="shared" ca="1" si="56"/>
        <v>-122.61842145129933</v>
      </c>
      <c r="U114" s="14">
        <f t="shared" ca="1" si="56"/>
        <v>-123.98985472010641</v>
      </c>
      <c r="V114" s="14">
        <f t="shared" ca="1" si="56"/>
        <v>-125.50822302070037</v>
      </c>
      <c r="W114" s="14">
        <f t="shared" ca="1" si="56"/>
        <v>-127.34074962421668</v>
      </c>
      <c r="X114" s="14">
        <f t="shared" ca="1" si="56"/>
        <v>-129.44205277070211</v>
      </c>
      <c r="Y114" s="14">
        <f t="shared" ca="1" si="56"/>
        <v>-131.87798692299933</v>
      </c>
      <c r="Z114" s="14">
        <f t="shared" ca="1" si="56"/>
        <v>-134.4270404744455</v>
      </c>
      <c r="AA114" s="14">
        <f t="shared" ca="1" si="56"/>
        <v>-137.14107665960938</v>
      </c>
      <c r="AB114" s="14">
        <f t="shared" ca="1" si="56"/>
        <v>-139.84926868771808</v>
      </c>
      <c r="AC114" s="14">
        <f t="shared" ca="1" si="56"/>
        <v>-142.66326262037674</v>
      </c>
      <c r="AD114" s="14">
        <f t="shared" ca="1" si="56"/>
        <v>-144.84974640394375</v>
      </c>
      <c r="AE114" s="14">
        <f t="shared" ca="1" si="56"/>
        <v>-137.68594590145116</v>
      </c>
      <c r="AF114" s="14">
        <f t="shared" ca="1" si="56"/>
        <v>-135.07939608860727</v>
      </c>
      <c r="AG114" s="14">
        <f t="shared" ca="1" si="56"/>
        <v>-135.41321833089575</v>
      </c>
      <c r="AH114" s="14">
        <f t="shared" ca="1" si="56"/>
        <v>-137.24483574789161</v>
      </c>
      <c r="AI114" s="14">
        <f t="shared" ca="1" si="56"/>
        <v>-139.44942884604427</v>
      </c>
      <c r="AJ114" s="14">
        <f t="shared" ca="1" si="56"/>
        <v>-140.921091455755</v>
      </c>
      <c r="AK114" s="14">
        <f t="shared" ca="1" si="56"/>
        <v>-140.71115042135636</v>
      </c>
      <c r="AL114" s="14">
        <f t="shared" ca="1" si="56"/>
        <v>-119.62885525202798</v>
      </c>
    </row>
    <row r="115" spans="1:38" ht="21" customHeight="1" outlineLevel="1" thickBot="1" x14ac:dyDescent="0.4">
      <c r="A115" s="22">
        <f>$A$114</f>
        <v>700</v>
      </c>
      <c r="B115" s="51">
        <f ca="1">MAX(MAX(F114:AL116),MAX(F41:AL41))</f>
        <v>0</v>
      </c>
      <c r="C115" s="25">
        <f xml:space="preserve"> COUNTIF(F113:AL113,"&lt;&gt;"&amp;0)</f>
        <v>33</v>
      </c>
      <c r="E115" s="17" t="s">
        <v>128</v>
      </c>
      <c r="F115" s="14">
        <f ca="1">F$113*$B$2*SUMPRODUCT(F$92,F$58)/1000</f>
        <v>0</v>
      </c>
      <c r="G115" s="14">
        <f t="shared" ref="G115:AL115" ca="1" si="57">G$113*$B$2*SUMPRODUCT(G$92,G$58)/1000</f>
        <v>0</v>
      </c>
      <c r="H115" s="14">
        <f t="shared" ca="1" si="57"/>
        <v>0</v>
      </c>
      <c r="I115" s="14">
        <f t="shared" ca="1" si="57"/>
        <v>0</v>
      </c>
      <c r="J115" s="14">
        <f t="shared" ca="1" si="57"/>
        <v>0</v>
      </c>
      <c r="K115" s="14">
        <f t="shared" ca="1" si="57"/>
        <v>0</v>
      </c>
      <c r="L115" s="14">
        <f t="shared" ca="1" si="57"/>
        <v>0</v>
      </c>
      <c r="M115" s="14">
        <f t="shared" ca="1" si="57"/>
        <v>0</v>
      </c>
      <c r="N115" s="14">
        <f t="shared" ca="1" si="57"/>
        <v>0</v>
      </c>
      <c r="O115" s="14">
        <f t="shared" ca="1" si="57"/>
        <v>0</v>
      </c>
      <c r="P115" s="14">
        <f t="shared" ca="1" si="57"/>
        <v>0</v>
      </c>
      <c r="Q115" s="14">
        <f t="shared" ca="1" si="57"/>
        <v>0</v>
      </c>
      <c r="R115" s="14">
        <f t="shared" ca="1" si="57"/>
        <v>0</v>
      </c>
      <c r="S115" s="14">
        <f t="shared" ca="1" si="57"/>
        <v>0</v>
      </c>
      <c r="T115" s="14">
        <f t="shared" ca="1" si="57"/>
        <v>0</v>
      </c>
      <c r="U115" s="14">
        <f t="shared" ca="1" si="57"/>
        <v>0</v>
      </c>
      <c r="V115" s="14">
        <f t="shared" ca="1" si="57"/>
        <v>0</v>
      </c>
      <c r="W115" s="14">
        <f t="shared" ca="1" si="57"/>
        <v>0</v>
      </c>
      <c r="X115" s="14">
        <f t="shared" ca="1" si="57"/>
        <v>0</v>
      </c>
      <c r="Y115" s="14">
        <f t="shared" ca="1" si="57"/>
        <v>0</v>
      </c>
      <c r="Z115" s="14">
        <f t="shared" ca="1" si="57"/>
        <v>-3.8949210630860059E-29</v>
      </c>
      <c r="AA115" s="14">
        <f t="shared" ca="1" si="57"/>
        <v>-7.1864138579716236E-22</v>
      </c>
      <c r="AB115" s="14">
        <f t="shared" ca="1" si="57"/>
        <v>-3.5252186400523626E-14</v>
      </c>
      <c r="AC115" s="14">
        <f t="shared" ca="1" si="57"/>
        <v>-7.4894886726923923E-7</v>
      </c>
      <c r="AD115" s="14">
        <f t="shared" ca="1" si="57"/>
        <v>-0.43218723727238434</v>
      </c>
      <c r="AE115" s="14">
        <f t="shared" ca="1" si="57"/>
        <v>-7.508903106193574</v>
      </c>
      <c r="AF115" s="14">
        <f t="shared" ca="1" si="57"/>
        <v>-11.680958633079147</v>
      </c>
      <c r="AG115" s="14">
        <f t="shared" ca="1" si="57"/>
        <v>-11.525847628952967</v>
      </c>
      <c r="AH115" s="14">
        <f t="shared" ca="1" si="57"/>
        <v>-11.494336490975648</v>
      </c>
      <c r="AI115" s="14">
        <f t="shared" ca="1" si="57"/>
        <v>-12.238889139922943</v>
      </c>
      <c r="AJ115" s="14">
        <f t="shared" ca="1" si="57"/>
        <v>-12.819556838043926</v>
      </c>
      <c r="AK115" s="14">
        <f t="shared" ca="1" si="57"/>
        <v>-13.317919092567935</v>
      </c>
      <c r="AL115" s="14">
        <f t="shared" ca="1" si="57"/>
        <v>-14.987433576905998</v>
      </c>
    </row>
    <row r="116" spans="1:38" ht="21" customHeight="1" outlineLevel="1" thickBot="1" x14ac:dyDescent="0.4">
      <c r="E116" s="17" t="s">
        <v>14</v>
      </c>
      <c r="F116" s="14">
        <f ca="1">F$113*$B$2*SUMPRODUCT(F$83:F$84,F$49:F$50)/1000</f>
        <v>0</v>
      </c>
      <c r="G116" s="14">
        <f t="shared" ref="G116:AL116" ca="1" si="58">G$113*$B$2*SUMPRODUCT(G$83:G$84,G$49:G$50)/1000</f>
        <v>0</v>
      </c>
      <c r="H116" s="14">
        <f t="shared" ca="1" si="58"/>
        <v>0</v>
      </c>
      <c r="I116" s="14">
        <f t="shared" ca="1" si="58"/>
        <v>-1.5932936298267198E-33</v>
      </c>
      <c r="J116" s="14">
        <f t="shared" ca="1" si="58"/>
        <v>-2.2812889395083562E-31</v>
      </c>
      <c r="K116" s="14">
        <f t="shared" ca="1" si="58"/>
        <v>-2.343418175241521E-29</v>
      </c>
      <c r="L116" s="14">
        <f t="shared" ca="1" si="58"/>
        <v>-1.7297323852041183E-27</v>
      </c>
      <c r="M116" s="14">
        <f t="shared" ca="1" si="58"/>
        <v>-9.4211368475307221E-26</v>
      </c>
      <c r="N116" s="14">
        <f t="shared" ca="1" si="58"/>
        <v>-3.9018415843241926E-24</v>
      </c>
      <c r="O116" s="14">
        <f t="shared" ca="1" si="58"/>
        <v>-1.2628316506139485E-22</v>
      </c>
      <c r="P116" s="14">
        <f t="shared" ca="1" si="58"/>
        <v>-1.8286145003866433E-17</v>
      </c>
      <c r="Q116" s="14">
        <f t="shared" ca="1" si="58"/>
        <v>-2.2205812218787624E-13</v>
      </c>
      <c r="R116" s="14">
        <f t="shared" ca="1" si="58"/>
        <v>-1.715884929042013E-12</v>
      </c>
      <c r="S116" s="14">
        <f t="shared" ca="1" si="58"/>
        <v>-1.1854590167565043E-11</v>
      </c>
      <c r="T116" s="14">
        <f t="shared" ca="1" si="58"/>
        <v>-7.3339403497599454E-11</v>
      </c>
      <c r="U116" s="14">
        <f t="shared" ca="1" si="58"/>
        <v>-4.0481114341007377E-10</v>
      </c>
      <c r="V116" s="14">
        <f t="shared" ca="1" si="58"/>
        <v>-1.9761139735965782E-9</v>
      </c>
      <c r="W116" s="14">
        <f t="shared" ca="1" si="58"/>
        <v>-8.4385834799568181E-9</v>
      </c>
      <c r="X116" s="14">
        <f t="shared" ca="1" si="58"/>
        <v>-3.1404812159307993E-8</v>
      </c>
      <c r="Y116" s="14">
        <f t="shared" ca="1" si="58"/>
        <v>-1.0384997958746489E-7</v>
      </c>
      <c r="Z116" s="14">
        <f t="shared" ca="1" si="58"/>
        <v>-3.1448069668858864E-7</v>
      </c>
      <c r="AA116" s="14">
        <f t="shared" ca="1" si="58"/>
        <v>-8.923827077957167E-7</v>
      </c>
      <c r="AB116" s="14">
        <f t="shared" ca="1" si="58"/>
        <v>-2.3970279595149384E-6</v>
      </c>
      <c r="AC116" s="14">
        <f t="shared" ca="1" si="58"/>
        <v>-6.1280944121311998E-6</v>
      </c>
      <c r="AD116" s="14">
        <f t="shared" ca="1" si="58"/>
        <v>-1.4549836500282901E-5</v>
      </c>
      <c r="AE116" s="14">
        <f t="shared" ca="1" si="58"/>
        <v>-1.8836805145900523E-5</v>
      </c>
      <c r="AF116" s="14">
        <f t="shared" ca="1" si="58"/>
        <v>-2.1986780093604113E-5</v>
      </c>
      <c r="AG116" s="14">
        <f t="shared" ca="1" si="58"/>
        <v>-2.4300655054572435E-5</v>
      </c>
      <c r="AH116" s="14">
        <f t="shared" ca="1" si="58"/>
        <v>-2.6085442463684772E-5</v>
      </c>
      <c r="AI116" s="14">
        <f t="shared" ca="1" si="58"/>
        <v>-2.7520670422231782E-5</v>
      </c>
      <c r="AJ116" s="14">
        <f t="shared" ca="1" si="58"/>
        <v>-2.8700788031822206E-5</v>
      </c>
      <c r="AK116" s="14">
        <f t="shared" ca="1" si="58"/>
        <v>-2.9677600148453046E-5</v>
      </c>
      <c r="AL116" s="14">
        <f t="shared" ca="1" si="58"/>
        <v>-3.1775197035086821E-5</v>
      </c>
    </row>
    <row r="117" spans="1:38" ht="21" customHeight="1" outlineLevel="1" thickBot="1" x14ac:dyDescent="0.4">
      <c r="E117" s="17" t="s">
        <v>36</v>
      </c>
      <c r="F117" s="14">
        <f ca="1">F116+F114</f>
        <v>-66.524238437323788</v>
      </c>
      <c r="G117" s="14">
        <f t="shared" ref="G117:AL117" ca="1" si="59">G116+G114</f>
        <v>-63.177822593286649</v>
      </c>
      <c r="H117" s="14">
        <f t="shared" ca="1" si="59"/>
        <v>-68.719909371707544</v>
      </c>
      <c r="I117" s="14">
        <f t="shared" ca="1" si="59"/>
        <v>-75.502936256745443</v>
      </c>
      <c r="J117" s="14">
        <f t="shared" ca="1" si="59"/>
        <v>-82.792772985960198</v>
      </c>
      <c r="K117" s="14">
        <f t="shared" ca="1" si="59"/>
        <v>-89.511661389662422</v>
      </c>
      <c r="L117" s="14">
        <f t="shared" ca="1" si="59"/>
        <v>-95.888874546355908</v>
      </c>
      <c r="M117" s="14">
        <f t="shared" ca="1" si="59"/>
        <v>-101.31172666183532</v>
      </c>
      <c r="N117" s="14">
        <f t="shared" ca="1" si="59"/>
        <v>-103.21189213869063</v>
      </c>
      <c r="O117" s="14">
        <f t="shared" ca="1" si="59"/>
        <v>-103.97763849084627</v>
      </c>
      <c r="P117" s="14">
        <f t="shared" ca="1" si="59"/>
        <v>-113.44483990679146</v>
      </c>
      <c r="Q117" s="14">
        <f t="shared" ca="1" si="59"/>
        <v>-119.18651192307576</v>
      </c>
      <c r="R117" s="14">
        <f t="shared" ca="1" si="59"/>
        <v>-120.28403672836744</v>
      </c>
      <c r="S117" s="14">
        <f t="shared" ca="1" si="59"/>
        <v>-121.39755885537652</v>
      </c>
      <c r="T117" s="14">
        <f t="shared" ca="1" si="59"/>
        <v>-122.61842145137267</v>
      </c>
      <c r="U117" s="14">
        <f t="shared" ca="1" si="59"/>
        <v>-123.98985472051122</v>
      </c>
      <c r="V117" s="14">
        <f t="shared" ca="1" si="59"/>
        <v>-125.50822302267649</v>
      </c>
      <c r="W117" s="14">
        <f t="shared" ca="1" si="59"/>
        <v>-127.34074963265527</v>
      </c>
      <c r="X117" s="14">
        <f t="shared" ca="1" si="59"/>
        <v>-129.44205280210693</v>
      </c>
      <c r="Y117" s="14">
        <f t="shared" ca="1" si="59"/>
        <v>-131.8779870268493</v>
      </c>
      <c r="Z117" s="14">
        <f t="shared" ca="1" si="59"/>
        <v>-134.42704078892621</v>
      </c>
      <c r="AA117" s="14">
        <f t="shared" ca="1" si="59"/>
        <v>-137.14107755199208</v>
      </c>
      <c r="AB117" s="14">
        <f t="shared" ca="1" si="59"/>
        <v>-139.84927108474605</v>
      </c>
      <c r="AC117" s="14">
        <f t="shared" ca="1" si="59"/>
        <v>-142.66326874847115</v>
      </c>
      <c r="AD117" s="14">
        <f t="shared" ca="1" si="59"/>
        <v>-144.84976095378025</v>
      </c>
      <c r="AE117" s="14">
        <f t="shared" ca="1" si="59"/>
        <v>-137.6859647382563</v>
      </c>
      <c r="AF117" s="14">
        <f t="shared" ca="1" si="59"/>
        <v>-135.07941807538737</v>
      </c>
      <c r="AG117" s="14">
        <f t="shared" ca="1" si="59"/>
        <v>-135.41324263155079</v>
      </c>
      <c r="AH117" s="14">
        <f t="shared" ca="1" si="59"/>
        <v>-137.24486183333408</v>
      </c>
      <c r="AI117" s="14">
        <f t="shared" ca="1" si="59"/>
        <v>-139.44945636671468</v>
      </c>
      <c r="AJ117" s="14">
        <f t="shared" ca="1" si="59"/>
        <v>-140.92112015654303</v>
      </c>
      <c r="AK117" s="14">
        <f t="shared" ca="1" si="59"/>
        <v>-140.7111800989565</v>
      </c>
      <c r="AL117" s="14">
        <f t="shared" ca="1" si="59"/>
        <v>-119.62888702722501</v>
      </c>
    </row>
    <row r="118" spans="1:38" ht="21" customHeight="1" outlineLevel="1" thickBot="1" x14ac:dyDescent="0.4">
      <c r="E118" s="17" t="s">
        <v>129</v>
      </c>
      <c r="F118" s="14">
        <f ca="1">F116+F115</f>
        <v>0</v>
      </c>
      <c r="G118" s="14">
        <f t="shared" ref="G118:AL118" ca="1" si="60">G116+G115</f>
        <v>0</v>
      </c>
      <c r="H118" s="14">
        <f t="shared" ca="1" si="60"/>
        <v>0</v>
      </c>
      <c r="I118" s="14">
        <f t="shared" ca="1" si="60"/>
        <v>-1.5932936298267198E-33</v>
      </c>
      <c r="J118" s="14">
        <f t="shared" ca="1" si="60"/>
        <v>-2.2812889395083562E-31</v>
      </c>
      <c r="K118" s="14">
        <f t="shared" ca="1" si="60"/>
        <v>-2.343418175241521E-29</v>
      </c>
      <c r="L118" s="14">
        <f t="shared" ca="1" si="60"/>
        <v>-1.7297323852041183E-27</v>
      </c>
      <c r="M118" s="14">
        <f t="shared" ca="1" si="60"/>
        <v>-9.4211368475307221E-26</v>
      </c>
      <c r="N118" s="14">
        <f t="shared" ca="1" si="60"/>
        <v>-3.9018415843241926E-24</v>
      </c>
      <c r="O118" s="14">
        <f t="shared" ca="1" si="60"/>
        <v>-1.2628316506139485E-22</v>
      </c>
      <c r="P118" s="14">
        <f t="shared" ca="1" si="60"/>
        <v>-1.8286145003866433E-17</v>
      </c>
      <c r="Q118" s="14">
        <f t="shared" ca="1" si="60"/>
        <v>-2.2205812218787624E-13</v>
      </c>
      <c r="R118" s="14">
        <f t="shared" ca="1" si="60"/>
        <v>-1.715884929042013E-12</v>
      </c>
      <c r="S118" s="14">
        <f t="shared" ca="1" si="60"/>
        <v>-1.1854590167565043E-11</v>
      </c>
      <c r="T118" s="14">
        <f t="shared" ca="1" si="60"/>
        <v>-7.3339403497599454E-11</v>
      </c>
      <c r="U118" s="14">
        <f t="shared" ca="1" si="60"/>
        <v>-4.0481114341007377E-10</v>
      </c>
      <c r="V118" s="14">
        <f t="shared" ca="1" si="60"/>
        <v>-1.9761139735965782E-9</v>
      </c>
      <c r="W118" s="14">
        <f t="shared" ca="1" si="60"/>
        <v>-8.4385834799568181E-9</v>
      </c>
      <c r="X118" s="14">
        <f t="shared" ca="1" si="60"/>
        <v>-3.1404812159307993E-8</v>
      </c>
      <c r="Y118" s="14">
        <f t="shared" ca="1" si="60"/>
        <v>-1.0384997958746489E-7</v>
      </c>
      <c r="Z118" s="14">
        <f t="shared" ca="1" si="60"/>
        <v>-3.1448069668858864E-7</v>
      </c>
      <c r="AA118" s="14">
        <f t="shared" ca="1" si="60"/>
        <v>-8.9238270779571744E-7</v>
      </c>
      <c r="AB118" s="14">
        <f t="shared" ca="1" si="60"/>
        <v>-2.3970279947671249E-6</v>
      </c>
      <c r="AC118" s="14">
        <f t="shared" ca="1" si="60"/>
        <v>-6.8770432794004394E-6</v>
      </c>
      <c r="AD118" s="14">
        <f t="shared" ca="1" si="60"/>
        <v>-0.43220178710888463</v>
      </c>
      <c r="AE118" s="14">
        <f t="shared" ca="1" si="60"/>
        <v>-7.50892194299872</v>
      </c>
      <c r="AF118" s="14">
        <f t="shared" ca="1" si="60"/>
        <v>-11.680980619859241</v>
      </c>
      <c r="AG118" s="14">
        <f t="shared" ca="1" si="60"/>
        <v>-11.525871929608021</v>
      </c>
      <c r="AH118" s="14">
        <f t="shared" ca="1" si="60"/>
        <v>-11.494362576418112</v>
      </c>
      <c r="AI118" s="14">
        <f t="shared" ca="1" si="60"/>
        <v>-12.238916660593365</v>
      </c>
      <c r="AJ118" s="14">
        <f t="shared" ca="1" si="60"/>
        <v>-12.819585538831959</v>
      </c>
      <c r="AK118" s="14">
        <f t="shared" ca="1" si="60"/>
        <v>-13.317948770168083</v>
      </c>
      <c r="AL118" s="14">
        <f t="shared" ca="1" si="60"/>
        <v>-14.987465352103033</v>
      </c>
    </row>
    <row r="119" spans="1:38" ht="21" customHeight="1" outlineLevel="1" x14ac:dyDescent="0.35">
      <c r="E119" s="112" t="s">
        <v>130</v>
      </c>
      <c r="F119" s="14">
        <f ca="1">F114+F115+F116</f>
        <v>-66.524238437323788</v>
      </c>
      <c r="G119" s="14">
        <f t="shared" ref="G119:AL119" ca="1" si="61">G114+G115+G116</f>
        <v>-63.177822593286649</v>
      </c>
      <c r="H119" s="14">
        <f t="shared" ca="1" si="61"/>
        <v>-68.719909371707544</v>
      </c>
      <c r="I119" s="14">
        <f t="shared" ca="1" si="61"/>
        <v>-75.502936256745443</v>
      </c>
      <c r="J119" s="14">
        <f t="shared" ca="1" si="61"/>
        <v>-82.792772985960198</v>
      </c>
      <c r="K119" s="14">
        <f t="shared" ca="1" si="61"/>
        <v>-89.511661389662422</v>
      </c>
      <c r="L119" s="14">
        <f t="shared" ca="1" si="61"/>
        <v>-95.888874546355908</v>
      </c>
      <c r="M119" s="14">
        <f t="shared" ca="1" si="61"/>
        <v>-101.31172666183532</v>
      </c>
      <c r="N119" s="14">
        <f t="shared" ca="1" si="61"/>
        <v>-103.21189213869063</v>
      </c>
      <c r="O119" s="14">
        <f t="shared" ca="1" si="61"/>
        <v>-103.97763849084627</v>
      </c>
      <c r="P119" s="14">
        <f t="shared" ca="1" si="61"/>
        <v>-113.44483990679146</v>
      </c>
      <c r="Q119" s="14">
        <f t="shared" ca="1" si="61"/>
        <v>-119.18651192307576</v>
      </c>
      <c r="R119" s="14">
        <f t="shared" ca="1" si="61"/>
        <v>-120.28403672836744</v>
      </c>
      <c r="S119" s="14">
        <f t="shared" ca="1" si="61"/>
        <v>-121.39755885537652</v>
      </c>
      <c r="T119" s="14">
        <f t="shared" ca="1" si="61"/>
        <v>-122.61842145137267</v>
      </c>
      <c r="U119" s="14">
        <f t="shared" ca="1" si="61"/>
        <v>-123.98985472051122</v>
      </c>
      <c r="V119" s="14">
        <f t="shared" ca="1" si="61"/>
        <v>-125.50822302267649</v>
      </c>
      <c r="W119" s="14">
        <f t="shared" ca="1" si="61"/>
        <v>-127.34074963265527</v>
      </c>
      <c r="X119" s="14">
        <f t="shared" ca="1" si="61"/>
        <v>-129.44205280210693</v>
      </c>
      <c r="Y119" s="14">
        <f t="shared" ca="1" si="61"/>
        <v>-131.8779870268493</v>
      </c>
      <c r="Z119" s="14">
        <f t="shared" ca="1" si="61"/>
        <v>-134.42704078892621</v>
      </c>
      <c r="AA119" s="14">
        <f t="shared" ca="1" si="61"/>
        <v>-137.14107755199208</v>
      </c>
      <c r="AB119" s="14">
        <f t="shared" ca="1" si="61"/>
        <v>-139.84927108474608</v>
      </c>
      <c r="AC119" s="14">
        <f t="shared" ca="1" si="61"/>
        <v>-142.66326949742003</v>
      </c>
      <c r="AD119" s="14">
        <f t="shared" ca="1" si="61"/>
        <v>-145.28194819105263</v>
      </c>
      <c r="AE119" s="14">
        <f t="shared" ca="1" si="61"/>
        <v>-145.19486784444987</v>
      </c>
      <c r="AF119" s="14">
        <f t="shared" ca="1" si="61"/>
        <v>-146.76037670846651</v>
      </c>
      <c r="AG119" s="14">
        <f t="shared" ca="1" si="61"/>
        <v>-146.93909026050375</v>
      </c>
      <c r="AH119" s="14">
        <f t="shared" ca="1" si="61"/>
        <v>-148.73919832430974</v>
      </c>
      <c r="AI119" s="14">
        <f t="shared" ca="1" si="61"/>
        <v>-151.68834550663763</v>
      </c>
      <c r="AJ119" s="14">
        <f t="shared" ca="1" si="61"/>
        <v>-153.74067699458695</v>
      </c>
      <c r="AK119" s="14">
        <f t="shared" ca="1" si="61"/>
        <v>-154.02909919152444</v>
      </c>
      <c r="AL119" s="14">
        <f t="shared" ca="1" si="61"/>
        <v>-134.616320604131</v>
      </c>
    </row>
    <row r="120" spans="1:38" ht="21" customHeight="1" outlineLevel="1" thickBot="1" x14ac:dyDescent="0.4"/>
    <row r="121" spans="1:38" ht="21" customHeight="1" outlineLevel="1" thickBot="1" x14ac:dyDescent="0.4">
      <c r="E121" s="18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355.7</v>
      </c>
      <c r="I122" s="4">
        <f ca="1"/>
        <v>372.3</v>
      </c>
      <c r="J122" s="4">
        <f ca="1"/>
        <v>388.8</v>
      </c>
      <c r="K122" s="4">
        <f ca="1"/>
        <v>405.3</v>
      </c>
      <c r="L122" s="4">
        <f ca="1"/>
        <v>421.8</v>
      </c>
      <c r="M122" s="4">
        <f ca="1"/>
        <v>438.3</v>
      </c>
      <c r="N122" s="4">
        <f ca="1"/>
        <v>454.9</v>
      </c>
      <c r="O122" s="4">
        <f ca="1"/>
        <v>471.4</v>
      </c>
      <c r="P122" s="4">
        <f ca="1"/>
        <v>537.5</v>
      </c>
      <c r="Q122" s="4">
        <f ca="1"/>
        <v>603.5</v>
      </c>
      <c r="R122" s="4">
        <f ca="1"/>
        <v>620.1</v>
      </c>
      <c r="S122" s="4">
        <f ca="1"/>
        <v>636.6</v>
      </c>
      <c r="T122" s="20">
        <f ca="1"/>
        <v>653.1</v>
      </c>
      <c r="U122" s="65">
        <f ca="1"/>
        <v>669.6</v>
      </c>
      <c r="V122" s="66">
        <f ca="1"/>
        <v>686.1</v>
      </c>
      <c r="W122" s="68">
        <f ca="1"/>
        <v>702.7</v>
      </c>
      <c r="X122" s="62">
        <f ca="1"/>
        <v>719.2</v>
      </c>
      <c r="Y122" s="4">
        <f ca="1"/>
        <v>735.7</v>
      </c>
      <c r="Z122" s="4">
        <f ca="1"/>
        <v>752.2</v>
      </c>
      <c r="AA122" s="4">
        <f ca="1"/>
        <v>768.7</v>
      </c>
      <c r="AB122" s="4">
        <f ca="1"/>
        <v>785.2</v>
      </c>
      <c r="AC122" s="4">
        <f ca="1"/>
        <v>801.8</v>
      </c>
      <c r="AD122" s="4">
        <f ca="1"/>
        <v>818.3</v>
      </c>
      <c r="AE122" s="4">
        <f ca="1"/>
        <v>834.8</v>
      </c>
      <c r="AF122" s="4">
        <f ca="1"/>
        <v>851.3</v>
      </c>
      <c r="AG122" s="4">
        <f ca="1"/>
        <v>867.8</v>
      </c>
      <c r="AH122" s="4">
        <f ca="1"/>
        <v>884.4</v>
      </c>
      <c r="AI122" s="4">
        <f ca="1"/>
        <v>900.9</v>
      </c>
      <c r="AJ122" s="4">
        <f ca="1"/>
        <v>917.4</v>
      </c>
      <c r="AK122" s="4">
        <f ca="1"/>
        <v>933.9</v>
      </c>
      <c r="AL122" s="4">
        <f ca="1"/>
        <v>1000</v>
      </c>
    </row>
    <row r="123" spans="1:38" ht="21" customHeight="1" outlineLevel="1" thickTop="1" thickBot="1" x14ac:dyDescent="0.4">
      <c r="E123" s="17" t="str">
        <f ca="1"/>
        <v xml:space="preserve">Раствор 1(тв): </v>
      </c>
      <c r="F123" s="55">
        <f ca="1"/>
        <v>-66.524238437323788</v>
      </c>
      <c r="G123" s="55">
        <f ca="1"/>
        <v>-63.177822593286649</v>
      </c>
      <c r="H123" s="55">
        <f ca="1"/>
        <v>-68.719909371707544</v>
      </c>
      <c r="I123" s="55">
        <f ca="1"/>
        <v>-75.502936256745443</v>
      </c>
      <c r="J123" s="55">
        <f ca="1"/>
        <v>-82.792772985960198</v>
      </c>
      <c r="K123" s="55">
        <f ca="1"/>
        <v>-89.511661389662422</v>
      </c>
      <c r="L123" s="55">
        <f ca="1"/>
        <v>-95.888874546355908</v>
      </c>
      <c r="M123" s="55">
        <f ca="1"/>
        <v>-101.31172666183532</v>
      </c>
      <c r="N123" s="55">
        <f ca="1"/>
        <v>-103.21189213869063</v>
      </c>
      <c r="O123" s="55">
        <f ca="1"/>
        <v>-103.97763849084627</v>
      </c>
      <c r="P123" s="55">
        <f ca="1"/>
        <v>-113.44483990679146</v>
      </c>
      <c r="Q123" s="55">
        <f ca="1"/>
        <v>-119.18651192307553</v>
      </c>
      <c r="R123" s="55">
        <f ca="1"/>
        <v>-120.28403672836572</v>
      </c>
      <c r="S123" s="55">
        <f ca="1"/>
        <v>-121.39755885536466</v>
      </c>
      <c r="T123" s="55">
        <f ca="1"/>
        <v>-122.61842145129933</v>
      </c>
      <c r="U123" s="55">
        <f ca="1"/>
        <v>-123.98985472010641</v>
      </c>
      <c r="V123" s="55">
        <f ca="1"/>
        <v>-125.50822302070037</v>
      </c>
      <c r="W123" s="55">
        <f ca="1"/>
        <v>-127.34074962421668</v>
      </c>
      <c r="X123" s="55">
        <f ca="1"/>
        <v>-129.44205277070211</v>
      </c>
      <c r="Y123" s="55">
        <f ca="1"/>
        <v>-131.87798692299933</v>
      </c>
      <c r="Z123" s="55">
        <f ca="1"/>
        <v>-134.4270404744455</v>
      </c>
      <c r="AA123" s="55">
        <f ca="1"/>
        <v>-137.14107665960938</v>
      </c>
      <c r="AB123" s="55">
        <f ca="1"/>
        <v>-139.84926868771808</v>
      </c>
      <c r="AC123" s="55">
        <f ca="1"/>
        <v>-142.66326262037674</v>
      </c>
      <c r="AD123" s="55">
        <f ca="1"/>
        <v>-144.84974640394375</v>
      </c>
      <c r="AE123" s="55">
        <f ca="1"/>
        <v>-137.68594590145116</v>
      </c>
      <c r="AF123" s="55">
        <f ca="1"/>
        <v>-135.07939608860727</v>
      </c>
      <c r="AG123" s="55">
        <f ca="1"/>
        <v>-135.41321833089575</v>
      </c>
      <c r="AH123" s="55">
        <f ca="1"/>
        <v>-137.24483574789161</v>
      </c>
      <c r="AI123" s="55">
        <f ca="1"/>
        <v>-139.44942884604427</v>
      </c>
      <c r="AJ123" s="55">
        <f ca="1"/>
        <v>-140.921091455755</v>
      </c>
      <c r="AK123" s="55">
        <f ca="1"/>
        <v>-140.71115042135636</v>
      </c>
      <c r="AL123" s="55">
        <f ca="1"/>
        <v>-119.62885525202798</v>
      </c>
    </row>
    <row r="124" spans="1:38" ht="21" customHeight="1" outlineLevel="1" thickBot="1" x14ac:dyDescent="0.4">
      <c r="E124" s="17" t="str">
        <f ca="1"/>
        <v xml:space="preserve">Раствор 2 (жид): </v>
      </c>
      <c r="F124" s="55">
        <f ca="1"/>
        <v>0</v>
      </c>
      <c r="G124" s="55">
        <f ca="1"/>
        <v>0</v>
      </c>
      <c r="H124" s="55">
        <f ca="1"/>
        <v>0</v>
      </c>
      <c r="I124" s="55">
        <f ca="1"/>
        <v>0</v>
      </c>
      <c r="J124" s="55">
        <f ca="1"/>
        <v>0</v>
      </c>
      <c r="K124" s="55">
        <f ca="1"/>
        <v>0</v>
      </c>
      <c r="L124" s="55">
        <f ca="1"/>
        <v>0</v>
      </c>
      <c r="M124" s="55">
        <f ca="1"/>
        <v>0</v>
      </c>
      <c r="N124" s="55">
        <f ca="1"/>
        <v>0</v>
      </c>
      <c r="O124" s="55">
        <f ca="1"/>
        <v>0</v>
      </c>
      <c r="P124" s="55">
        <f ca="1"/>
        <v>0</v>
      </c>
      <c r="Q124" s="55">
        <f ca="1"/>
        <v>0</v>
      </c>
      <c r="R124" s="55">
        <f ca="1"/>
        <v>0</v>
      </c>
      <c r="S124" s="55">
        <f ca="1"/>
        <v>0</v>
      </c>
      <c r="T124" s="55">
        <f ca="1"/>
        <v>0</v>
      </c>
      <c r="U124" s="55">
        <f ca="1"/>
        <v>0</v>
      </c>
      <c r="V124" s="55">
        <f ca="1"/>
        <v>0</v>
      </c>
      <c r="W124" s="55">
        <f ca="1"/>
        <v>0</v>
      </c>
      <c r="X124" s="55">
        <f ca="1"/>
        <v>0</v>
      </c>
      <c r="Y124" s="55">
        <f ca="1"/>
        <v>0</v>
      </c>
      <c r="Z124" s="55">
        <f ca="1"/>
        <v>-3.8949210630860059E-29</v>
      </c>
      <c r="AA124" s="55">
        <f ca="1"/>
        <v>-7.1864138579716236E-22</v>
      </c>
      <c r="AB124" s="55">
        <f ca="1"/>
        <v>-3.5252186400523626E-14</v>
      </c>
      <c r="AC124" s="55">
        <f ca="1"/>
        <v>-7.4894886726923923E-7</v>
      </c>
      <c r="AD124" s="55">
        <f ca="1"/>
        <v>-0.43218723727238434</v>
      </c>
      <c r="AE124" s="55">
        <f ca="1"/>
        <v>-7.508903106193574</v>
      </c>
      <c r="AF124" s="55">
        <f ca="1"/>
        <v>-11.680958633079147</v>
      </c>
      <c r="AG124" s="55">
        <f ca="1"/>
        <v>-11.525847628952967</v>
      </c>
      <c r="AH124" s="55">
        <f ca="1"/>
        <v>-11.494336490975648</v>
      </c>
      <c r="AI124" s="55">
        <f ca="1"/>
        <v>-12.238889139922943</v>
      </c>
      <c r="AJ124" s="55">
        <f ca="1"/>
        <v>-12.819556838043926</v>
      </c>
      <c r="AK124" s="55">
        <f ca="1"/>
        <v>-13.317919092567935</v>
      </c>
      <c r="AL124" s="55">
        <f ca="1"/>
        <v>-14.987433576905998</v>
      </c>
    </row>
    <row r="125" spans="1:38" ht="21" customHeight="1" outlineLevel="1" thickBot="1" x14ac:dyDescent="0.4">
      <c r="E125" s="17" t="str">
        <f ca="1"/>
        <v xml:space="preserve">Газовая без Ar: </v>
      </c>
      <c r="F125" s="55">
        <f ca="1"/>
        <v>0</v>
      </c>
      <c r="G125" s="55">
        <f ca="1"/>
        <v>0</v>
      </c>
      <c r="H125" s="55">
        <f ca="1"/>
        <v>0</v>
      </c>
      <c r="I125" s="55">
        <f ca="1"/>
        <v>-1.5932936298267198E-33</v>
      </c>
      <c r="J125" s="55">
        <f ca="1"/>
        <v>-2.2812889395083562E-31</v>
      </c>
      <c r="K125" s="55">
        <f ca="1"/>
        <v>-2.343418175241521E-29</v>
      </c>
      <c r="L125" s="55">
        <f ca="1"/>
        <v>-1.7297323852041183E-27</v>
      </c>
      <c r="M125" s="55">
        <f ca="1"/>
        <v>-9.4211368475307221E-26</v>
      </c>
      <c r="N125" s="55">
        <f ca="1"/>
        <v>-3.9018415843241926E-24</v>
      </c>
      <c r="O125" s="55">
        <f ca="1"/>
        <v>-1.2628316506139485E-22</v>
      </c>
      <c r="P125" s="55">
        <f ca="1"/>
        <v>-1.8286145003866433E-17</v>
      </c>
      <c r="Q125" s="55">
        <f ca="1"/>
        <v>-2.2205812218787624E-13</v>
      </c>
      <c r="R125" s="55">
        <f ca="1"/>
        <v>-1.715884929042013E-12</v>
      </c>
      <c r="S125" s="55">
        <f ca="1"/>
        <v>-1.1854590167565043E-11</v>
      </c>
      <c r="T125" s="55">
        <f ca="1"/>
        <v>-7.3339403497599454E-11</v>
      </c>
      <c r="U125" s="55">
        <f ca="1"/>
        <v>-4.0481114341007377E-10</v>
      </c>
      <c r="V125" s="55">
        <f ca="1"/>
        <v>-1.9761139735965782E-9</v>
      </c>
      <c r="W125" s="55">
        <f ca="1"/>
        <v>-8.4385834799568181E-9</v>
      </c>
      <c r="X125" s="55">
        <f ca="1"/>
        <v>-3.1404812159307993E-8</v>
      </c>
      <c r="Y125" s="55">
        <f ca="1"/>
        <v>-1.0384997958746489E-7</v>
      </c>
      <c r="Z125" s="55">
        <f ca="1"/>
        <v>-3.1448069668858864E-7</v>
      </c>
      <c r="AA125" s="55">
        <f ca="1"/>
        <v>-8.923827077957167E-7</v>
      </c>
      <c r="AB125" s="55">
        <f ca="1"/>
        <v>-2.3970279595149384E-6</v>
      </c>
      <c r="AC125" s="55">
        <f ca="1"/>
        <v>-6.1280944121311998E-6</v>
      </c>
      <c r="AD125" s="55">
        <f ca="1"/>
        <v>-1.4549836500282901E-5</v>
      </c>
      <c r="AE125" s="55">
        <f ca="1"/>
        <v>-1.8836805145900523E-5</v>
      </c>
      <c r="AF125" s="55">
        <f ca="1"/>
        <v>-2.1986780093604113E-5</v>
      </c>
      <c r="AG125" s="55">
        <f ca="1"/>
        <v>-2.4300655054572435E-5</v>
      </c>
      <c r="AH125" s="55">
        <f ca="1"/>
        <v>-2.6085442463684772E-5</v>
      </c>
      <c r="AI125" s="55">
        <f ca="1"/>
        <v>-2.7520670422231782E-5</v>
      </c>
      <c r="AJ125" s="55">
        <f ca="1"/>
        <v>-2.8700788031822206E-5</v>
      </c>
      <c r="AK125" s="55">
        <f ca="1"/>
        <v>-2.9677600148453046E-5</v>
      </c>
      <c r="AL125" s="55">
        <f ca="1"/>
        <v>-3.1775197035086821E-5</v>
      </c>
    </row>
    <row r="126" spans="1:38" ht="21" customHeight="1" outlineLevel="1" thickBot="1" x14ac:dyDescent="0.4">
      <c r="E126" s="17" t="str">
        <f ca="1"/>
        <v xml:space="preserve">Раствор 1 + газовая без Ar: </v>
      </c>
      <c r="F126" s="55">
        <f ca="1"/>
        <v>-66.524238437323788</v>
      </c>
      <c r="G126" s="55">
        <f ca="1"/>
        <v>-63.177822593286649</v>
      </c>
      <c r="H126" s="55">
        <f ca="1"/>
        <v>-68.719909371707544</v>
      </c>
      <c r="I126" s="55">
        <f ca="1"/>
        <v>-75.502936256745443</v>
      </c>
      <c r="J126" s="55">
        <f ca="1"/>
        <v>-82.792772985960198</v>
      </c>
      <c r="K126" s="55">
        <f ca="1"/>
        <v>-89.511661389662422</v>
      </c>
      <c r="L126" s="55">
        <f ca="1"/>
        <v>-95.888874546355908</v>
      </c>
      <c r="M126" s="55">
        <f ca="1"/>
        <v>-101.31172666183532</v>
      </c>
      <c r="N126" s="55">
        <f ca="1"/>
        <v>-103.21189213869063</v>
      </c>
      <c r="O126" s="55">
        <f ca="1"/>
        <v>-103.97763849084627</v>
      </c>
      <c r="P126" s="55">
        <f ca="1"/>
        <v>-113.44483990679146</v>
      </c>
      <c r="Q126" s="55">
        <f ca="1"/>
        <v>-119.18651192307576</v>
      </c>
      <c r="R126" s="55">
        <f ca="1"/>
        <v>-120.28403672836744</v>
      </c>
      <c r="S126" s="55">
        <f ca="1"/>
        <v>-121.39755885537652</v>
      </c>
      <c r="T126" s="55">
        <f ca="1"/>
        <v>-122.61842145137267</v>
      </c>
      <c r="U126" s="55">
        <f ca="1"/>
        <v>-123.98985472051122</v>
      </c>
      <c r="V126" s="55">
        <f ca="1"/>
        <v>-125.50822302267649</v>
      </c>
      <c r="W126" s="55">
        <f ca="1"/>
        <v>-127.34074963265527</v>
      </c>
      <c r="X126" s="55">
        <f ca="1"/>
        <v>-129.44205280210693</v>
      </c>
      <c r="Y126" s="55">
        <f ca="1"/>
        <v>-131.8779870268493</v>
      </c>
      <c r="Z126" s="55">
        <f ca="1"/>
        <v>-134.42704078892621</v>
      </c>
      <c r="AA126" s="55">
        <f ca="1"/>
        <v>-137.14107755199208</v>
      </c>
      <c r="AB126" s="55">
        <f ca="1"/>
        <v>-139.84927108474605</v>
      </c>
      <c r="AC126" s="55">
        <f ca="1"/>
        <v>-142.66326874847115</v>
      </c>
      <c r="AD126" s="55">
        <f ca="1"/>
        <v>-144.84976095378025</v>
      </c>
      <c r="AE126" s="55">
        <f ca="1"/>
        <v>-137.6859647382563</v>
      </c>
      <c r="AF126" s="55">
        <f ca="1"/>
        <v>-135.07941807538737</v>
      </c>
      <c r="AG126" s="55">
        <f ca="1"/>
        <v>-135.41324263155079</v>
      </c>
      <c r="AH126" s="55">
        <f ca="1"/>
        <v>-137.24486183333408</v>
      </c>
      <c r="AI126" s="55">
        <f ca="1"/>
        <v>-139.44945636671468</v>
      </c>
      <c r="AJ126" s="55">
        <f ca="1"/>
        <v>-140.92112015654303</v>
      </c>
      <c r="AK126" s="55">
        <f ca="1"/>
        <v>-140.7111800989565</v>
      </c>
      <c r="AL126" s="55">
        <f ca="1"/>
        <v>-119.62888702722501</v>
      </c>
    </row>
    <row r="127" spans="1:38" ht="21" customHeight="1" outlineLevel="1" thickBot="1" x14ac:dyDescent="0.4">
      <c r="E127" s="17" t="str">
        <f ca="1"/>
        <v xml:space="preserve">Раствор 2 + газовая без Ar: </v>
      </c>
      <c r="F127" s="55">
        <f ca="1"/>
        <v>0</v>
      </c>
      <c r="G127" s="55">
        <f ca="1"/>
        <v>0</v>
      </c>
      <c r="H127" s="55">
        <f ca="1"/>
        <v>0</v>
      </c>
      <c r="I127" s="55">
        <f ca="1"/>
        <v>-1.5932936298267198E-33</v>
      </c>
      <c r="J127" s="55">
        <f ca="1"/>
        <v>-2.2812889395083562E-31</v>
      </c>
      <c r="K127" s="55">
        <f ca="1"/>
        <v>-2.343418175241521E-29</v>
      </c>
      <c r="L127" s="55">
        <f ca="1"/>
        <v>-1.7297323852041183E-27</v>
      </c>
      <c r="M127" s="55">
        <f ca="1"/>
        <v>-9.4211368475307221E-26</v>
      </c>
      <c r="N127" s="55">
        <f ca="1"/>
        <v>-3.9018415843241926E-24</v>
      </c>
      <c r="O127" s="55">
        <f ca="1"/>
        <v>-1.2628316506139485E-22</v>
      </c>
      <c r="P127" s="55">
        <f ca="1"/>
        <v>-1.8286145003866433E-17</v>
      </c>
      <c r="Q127" s="55">
        <f ca="1"/>
        <v>-2.2205812218787624E-13</v>
      </c>
      <c r="R127" s="55">
        <f ca="1"/>
        <v>-1.715884929042013E-12</v>
      </c>
      <c r="S127" s="55">
        <f ca="1"/>
        <v>-1.1854590167565043E-11</v>
      </c>
      <c r="T127" s="55">
        <f ca="1"/>
        <v>-7.3339403497599454E-11</v>
      </c>
      <c r="U127" s="55">
        <f ca="1"/>
        <v>-4.0481114341007377E-10</v>
      </c>
      <c r="V127" s="55">
        <f ca="1"/>
        <v>-1.9761139735965782E-9</v>
      </c>
      <c r="W127" s="55">
        <f ca="1"/>
        <v>-8.4385834799568181E-9</v>
      </c>
      <c r="X127" s="55">
        <f ca="1"/>
        <v>-3.1404812159307993E-8</v>
      </c>
      <c r="Y127" s="55">
        <f ca="1"/>
        <v>-1.0384997958746489E-7</v>
      </c>
      <c r="Z127" s="55">
        <f ca="1"/>
        <v>-3.1448069668858864E-7</v>
      </c>
      <c r="AA127" s="55">
        <f ca="1"/>
        <v>-8.9238270779571744E-7</v>
      </c>
      <c r="AB127" s="55">
        <f ca="1"/>
        <v>-2.3970279947671249E-6</v>
      </c>
      <c r="AC127" s="55">
        <f ca="1"/>
        <v>-6.8770432794004394E-6</v>
      </c>
      <c r="AD127" s="55">
        <f ca="1"/>
        <v>-0.43220178710888463</v>
      </c>
      <c r="AE127" s="55">
        <f ca="1"/>
        <v>-7.50892194299872</v>
      </c>
      <c r="AF127" s="55">
        <f ca="1"/>
        <v>-11.680980619859241</v>
      </c>
      <c r="AG127" s="55">
        <f ca="1"/>
        <v>-11.525871929608021</v>
      </c>
      <c r="AH127" s="55">
        <f ca="1"/>
        <v>-11.494362576418112</v>
      </c>
      <c r="AI127" s="55">
        <f ca="1"/>
        <v>-12.238916660593365</v>
      </c>
      <c r="AJ127" s="55">
        <f ca="1"/>
        <v>-12.819585538831959</v>
      </c>
      <c r="AK127" s="55">
        <f ca="1"/>
        <v>-13.317948770168083</v>
      </c>
      <c r="AL127" s="55">
        <f ca="1"/>
        <v>-14.987465352103033</v>
      </c>
    </row>
    <row r="128" spans="1:38" ht="21" customHeight="1" outlineLevel="1" thickBot="1" x14ac:dyDescent="0.4">
      <c r="E128" s="17" t="str">
        <f ca="1"/>
        <v>Р1+Р2+газ без Ar</v>
      </c>
      <c r="F128" s="55">
        <f ca="1"/>
        <v>-66.524238437323788</v>
      </c>
      <c r="G128" s="55">
        <f ca="1"/>
        <v>-63.177822593286649</v>
      </c>
      <c r="H128" s="55">
        <f ca="1"/>
        <v>-68.719909371707544</v>
      </c>
      <c r="I128" s="55">
        <f ca="1"/>
        <v>-75.502936256745443</v>
      </c>
      <c r="J128" s="55">
        <f ca="1"/>
        <v>-82.792772985960198</v>
      </c>
      <c r="K128" s="55">
        <f ca="1"/>
        <v>-89.511661389662422</v>
      </c>
      <c r="L128" s="55">
        <f ca="1"/>
        <v>-95.888874546355908</v>
      </c>
      <c r="M128" s="55">
        <f ca="1"/>
        <v>-101.31172666183532</v>
      </c>
      <c r="N128" s="55">
        <f ca="1"/>
        <v>-103.21189213869063</v>
      </c>
      <c r="O128" s="55">
        <f ca="1"/>
        <v>-103.97763849084627</v>
      </c>
      <c r="P128" s="55">
        <f ca="1"/>
        <v>-113.44483990679146</v>
      </c>
      <c r="Q128" s="55">
        <f ca="1"/>
        <v>-119.18651192307576</v>
      </c>
      <c r="R128" s="55">
        <f ca="1"/>
        <v>-120.28403672836744</v>
      </c>
      <c r="S128" s="55">
        <f ca="1"/>
        <v>-121.39755885537652</v>
      </c>
      <c r="T128" s="55">
        <f ca="1"/>
        <v>-122.61842145137267</v>
      </c>
      <c r="U128" s="55">
        <f ca="1"/>
        <v>-123.98985472051122</v>
      </c>
      <c r="V128" s="55">
        <f ca="1"/>
        <v>-125.50822302267649</v>
      </c>
      <c r="W128" s="55">
        <f ca="1"/>
        <v>-127.34074963265527</v>
      </c>
      <c r="X128" s="55">
        <f ca="1"/>
        <v>-129.44205280210693</v>
      </c>
      <c r="Y128" s="55">
        <f ca="1"/>
        <v>-131.8779870268493</v>
      </c>
      <c r="Z128" s="55">
        <f ca="1"/>
        <v>-134.42704078892621</v>
      </c>
      <c r="AA128" s="55">
        <f ca="1"/>
        <v>-137.14107755199208</v>
      </c>
      <c r="AB128" s="55">
        <f ca="1"/>
        <v>-139.84927108474608</v>
      </c>
      <c r="AC128" s="55">
        <f ca="1"/>
        <v>-142.66326949742003</v>
      </c>
      <c r="AD128" s="55">
        <f ca="1"/>
        <v>-145.28194819105263</v>
      </c>
      <c r="AE128" s="55">
        <f ca="1"/>
        <v>-145.19486784444987</v>
      </c>
      <c r="AF128" s="55">
        <f ca="1"/>
        <v>-146.76037670846651</v>
      </c>
      <c r="AG128" s="55">
        <f ca="1"/>
        <v>-146.93909026050375</v>
      </c>
      <c r="AH128" s="55">
        <f ca="1"/>
        <v>-148.73919832430974</v>
      </c>
      <c r="AI128" s="55">
        <f ca="1"/>
        <v>-151.68834550663763</v>
      </c>
      <c r="AJ128" s="55">
        <f ca="1"/>
        <v>-153.74067699458695</v>
      </c>
      <c r="AK128" s="55">
        <f ca="1"/>
        <v>-154.02909919152444</v>
      </c>
      <c r="AL128" s="55">
        <f ca="1"/>
        <v>-134.616320604131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13:B113"/>
    <mergeCell ref="A1:BB1"/>
  </mergeCells>
  <conditionalFormatting sqref="A4:D33">
    <cfRule type="cellIs" dxfId="12" priority="66" operator="equal">
      <formula>0</formula>
    </cfRule>
  </conditionalFormatting>
  <conditionalFormatting sqref="A80:D109">
    <cfRule type="cellIs" dxfId="11" priority="64" operator="equal">
      <formula>0</formula>
    </cfRule>
  </conditionalFormatting>
  <conditionalFormatting sqref="F32:AL32">
    <cfRule type="colorScale" priority="52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50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2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AK7">
    <cfRule type="colorScale" priority="25">
      <colorScale>
        <cfvo type="min"/>
        <cfvo type="max"/>
        <color rgb="FFFFEF9C"/>
        <color rgb="FF63BE7B"/>
      </colorScale>
    </cfRule>
  </conditionalFormatting>
  <conditionalFormatting sqref="F4:AK4">
    <cfRule type="colorScale" priority="24">
      <colorScale>
        <cfvo type="min"/>
        <cfvo type="max"/>
        <color rgb="FFFFEF9C"/>
        <color rgb="FF63BE7B"/>
      </colorScale>
    </cfRule>
  </conditionalFormatting>
  <conditionalFormatting sqref="F5:AK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AK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AK8">
    <cfRule type="colorScale" priority="19">
      <colorScale>
        <cfvo type="min"/>
        <cfvo type="max"/>
        <color rgb="FFFFEF9C"/>
        <color rgb="FF63BE7B"/>
      </colorScale>
    </cfRule>
    <cfRule type="colorScale" priority="26">
      <colorScale>
        <cfvo type="min"/>
        <cfvo type="max"/>
        <color rgb="FFFFEF9C"/>
        <color rgb="FF63BE7B"/>
      </colorScale>
    </cfRule>
  </conditionalFormatting>
  <conditionalFormatting sqref="F9:AK9">
    <cfRule type="colorScale" priority="18">
      <colorScale>
        <cfvo type="min"/>
        <cfvo type="max"/>
        <color rgb="FFFFEF9C"/>
        <color rgb="FF63BE7B"/>
      </colorScale>
    </cfRule>
    <cfRule type="colorScale" priority="27">
      <colorScale>
        <cfvo type="min"/>
        <cfvo type="max"/>
        <color rgb="FFFFEF9C"/>
        <color rgb="FF63BE7B"/>
      </colorScale>
    </cfRule>
  </conditionalFormatting>
  <conditionalFormatting sqref="F10:AK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AK11">
    <cfRule type="colorScale" priority="16">
      <colorScale>
        <cfvo type="min"/>
        <cfvo type="max"/>
        <color rgb="FFFFEF9C"/>
        <color rgb="FF63BE7B"/>
      </colorScale>
    </cfRule>
    <cfRule type="colorScale" priority="29">
      <colorScale>
        <cfvo type="min"/>
        <cfvo type="max"/>
        <color rgb="FFFFEF9C"/>
        <color rgb="FF63BE7B"/>
      </colorScale>
    </cfRule>
  </conditionalFormatting>
  <conditionalFormatting sqref="F12:AK12">
    <cfRule type="colorScale" priority="15">
      <colorScale>
        <cfvo type="min"/>
        <cfvo type="max"/>
        <color rgb="FFFFEF9C"/>
        <color rgb="FF63BE7B"/>
      </colorScale>
    </cfRule>
    <cfRule type="colorScale" priority="30">
      <colorScale>
        <cfvo type="min"/>
        <cfvo type="max"/>
        <color rgb="FFFFEF9C"/>
        <color rgb="FF63BE7B"/>
      </colorScale>
    </cfRule>
  </conditionalFormatting>
  <conditionalFormatting sqref="F13:AK13">
    <cfRule type="colorScale" priority="14">
      <colorScale>
        <cfvo type="min"/>
        <cfvo type="max"/>
        <color rgb="FFFFEF9C"/>
        <color rgb="FF63BE7B"/>
      </colorScale>
    </cfRule>
    <cfRule type="colorScale" priority="31">
      <colorScale>
        <cfvo type="min"/>
        <cfvo type="max"/>
        <color rgb="FFFFEF9C"/>
        <color rgb="FF63BE7B"/>
      </colorScale>
    </cfRule>
  </conditionalFormatting>
  <conditionalFormatting sqref="F14:AK14">
    <cfRule type="colorScale" priority="13">
      <colorScale>
        <cfvo type="min"/>
        <cfvo type="max"/>
        <color rgb="FFFFEF9C"/>
        <color rgb="FF63BE7B"/>
      </colorScale>
    </cfRule>
    <cfRule type="colorScale" priority="32">
      <colorScale>
        <cfvo type="min"/>
        <cfvo type="max"/>
        <color rgb="FFFFEF9C"/>
        <color rgb="FF63BE7B"/>
      </colorScale>
    </cfRule>
  </conditionalFormatting>
  <conditionalFormatting sqref="F15:AK15">
    <cfRule type="colorScale" priority="12">
      <colorScale>
        <cfvo type="min"/>
        <cfvo type="max"/>
        <color rgb="FFFFEF9C"/>
        <color rgb="FF63BE7B"/>
      </colorScale>
    </cfRule>
    <cfRule type="colorScale" priority="33">
      <colorScale>
        <cfvo type="min"/>
        <cfvo type="max"/>
        <color rgb="FFFFEF9C"/>
        <color rgb="FF63BE7B"/>
      </colorScale>
    </cfRule>
  </conditionalFormatting>
  <conditionalFormatting sqref="F16:AK16">
    <cfRule type="colorScale" priority="11">
      <colorScale>
        <cfvo type="min"/>
        <cfvo type="max"/>
        <color rgb="FFFFEF9C"/>
        <color rgb="FF63BE7B"/>
      </colorScale>
    </cfRule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AK17">
    <cfRule type="colorScale" priority="10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AK18">
    <cfRule type="colorScale" priority="9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AK19">
    <cfRule type="colorScale" priority="8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10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19D5A7E-518A-40C7-85F9-06AF713815A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ALL!F29:AK29</xm:f>
              <xm:sqref>AL29</xm:sqref>
            </x14:sparkline>
            <x14:sparkline>
              <xm:f>ALL!F30:AK30</xm:f>
              <xm:sqref>AL30</xm:sqref>
            </x14:sparkline>
            <x14:sparkline>
              <xm:f>ALL!F31:AK31</xm:f>
              <xm:sqref>AL31</xm:sqref>
            </x14:sparkline>
            <x14:sparkline>
              <xm:f>ALL!F32:AK32</xm:f>
              <xm:sqref>AL32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BB136"/>
  <sheetViews>
    <sheetView topLeftCell="A21" zoomScale="85" zoomScaleNormal="85" zoomScaleSheetLayoutView="25" workbookViewId="0">
      <selection activeCell="D42" sqref="D42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7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95" t="s">
        <v>0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</row>
    <row r="2" spans="1:54" ht="21" customHeight="1" thickBot="1" x14ac:dyDescent="0.45">
      <c r="A2" s="85">
        <f>Values!B1</f>
        <v>700</v>
      </c>
      <c r="B2" s="86">
        <v>8.3145000000000007</v>
      </c>
      <c r="C2" s="75"/>
      <c r="D2" s="75"/>
      <c r="E2" s="74" t="s">
        <v>20</v>
      </c>
      <c r="F2" s="75"/>
      <c r="G2" s="74"/>
      <c r="H2" s="74"/>
      <c r="I2" s="74"/>
      <c r="J2" s="74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8"/>
      <c r="W2" s="79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80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7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0</v>
      </c>
      <c r="C4" s="44">
        <f t="shared" si="0"/>
        <v>0</v>
      </c>
      <c r="D4" s="44">
        <f t="shared" si="0"/>
        <v>0</v>
      </c>
      <c r="E4" s="6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9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0</v>
      </c>
      <c r="C5" s="44">
        <f t="shared" si="0"/>
        <v>0</v>
      </c>
      <c r="D5" s="44">
        <f t="shared" si="0"/>
        <v>0</v>
      </c>
      <c r="E5" s="6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0</v>
      </c>
      <c r="C6" s="44">
        <f t="shared" si="0"/>
        <v>0</v>
      </c>
      <c r="D6" s="44">
        <f t="shared" si="0"/>
        <v>0</v>
      </c>
      <c r="E6" s="6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0</v>
      </c>
      <c r="C7" s="44">
        <f t="shared" si="0"/>
        <v>0</v>
      </c>
      <c r="D7" s="44">
        <f t="shared" si="0"/>
        <v>0</v>
      </c>
      <c r="E7" s="6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0</v>
      </c>
      <c r="C8" s="44">
        <f t="shared" si="0"/>
        <v>0</v>
      </c>
      <c r="D8" s="44">
        <f t="shared" si="0"/>
        <v>0</v>
      </c>
      <c r="E8" s="6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0</v>
      </c>
      <c r="C9" s="44">
        <f t="shared" si="0"/>
        <v>0</v>
      </c>
      <c r="D9" s="44">
        <f t="shared" si="0"/>
        <v>0</v>
      </c>
      <c r="E9" s="6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0</v>
      </c>
      <c r="C10" s="44">
        <f t="shared" si="0"/>
        <v>0</v>
      </c>
      <c r="D10" s="44">
        <f t="shared" si="0"/>
        <v>0</v>
      </c>
      <c r="E10" s="6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0</v>
      </c>
      <c r="C11" s="44">
        <f t="shared" si="0"/>
        <v>0</v>
      </c>
      <c r="D11" s="44">
        <f t="shared" si="0"/>
        <v>0</v>
      </c>
      <c r="E11" s="6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0</v>
      </c>
      <c r="C12" s="44">
        <f t="shared" si="0"/>
        <v>0</v>
      </c>
      <c r="D12" s="44">
        <f t="shared" si="0"/>
        <v>0</v>
      </c>
      <c r="E12" s="6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0</v>
      </c>
      <c r="C13" s="44">
        <f t="shared" si="0"/>
        <v>0</v>
      </c>
      <c r="D13" s="44">
        <f t="shared" si="0"/>
        <v>0</v>
      </c>
      <c r="E13" s="6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0</v>
      </c>
      <c r="B14" s="44">
        <f t="shared" si="0"/>
        <v>0</v>
      </c>
      <c r="C14" s="44">
        <f t="shared" si="0"/>
        <v>0</v>
      </c>
      <c r="D14" s="44">
        <f t="shared" si="0"/>
        <v>0</v>
      </c>
      <c r="E14" s="6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0</v>
      </c>
      <c r="C15" s="44">
        <f t="shared" si="0"/>
        <v>0</v>
      </c>
      <c r="D15" s="44">
        <f t="shared" si="0"/>
        <v>0</v>
      </c>
      <c r="E15" s="6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0</v>
      </c>
      <c r="C16" s="44">
        <f t="shared" si="0"/>
        <v>0</v>
      </c>
      <c r="D16" s="44">
        <f t="shared" si="0"/>
        <v>0</v>
      </c>
      <c r="E16" s="6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0</v>
      </c>
      <c r="C17" s="44">
        <f t="shared" si="0"/>
        <v>0</v>
      </c>
      <c r="D17" s="44">
        <f t="shared" si="0"/>
        <v>0</v>
      </c>
      <c r="E17" s="6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0</v>
      </c>
      <c r="C18" s="44">
        <f t="shared" si="0"/>
        <v>0</v>
      </c>
      <c r="D18" s="44">
        <f t="shared" si="0"/>
        <v>0</v>
      </c>
      <c r="E18" s="6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0</v>
      </c>
      <c r="C19" s="44">
        <f t="shared" si="0"/>
        <v>0</v>
      </c>
      <c r="D19" s="44">
        <f t="shared" si="0"/>
        <v>0</v>
      </c>
      <c r="E19" s="6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0</v>
      </c>
      <c r="C20" s="44">
        <f t="shared" si="1"/>
        <v>0</v>
      </c>
      <c r="D20" s="44">
        <f t="shared" si="1"/>
        <v>0</v>
      </c>
      <c r="E20" s="6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0</v>
      </c>
      <c r="C21" s="44">
        <f t="shared" si="1"/>
        <v>0</v>
      </c>
      <c r="D21" s="44">
        <f t="shared" si="1"/>
        <v>0</v>
      </c>
      <c r="E21" s="48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3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2"/>
        <v>0</v>
      </c>
      <c r="B33" s="44">
        <f t="shared" si="2"/>
        <v>0</v>
      </c>
      <c r="C33" s="44">
        <f t="shared" si="2"/>
        <v>0</v>
      </c>
      <c r="D33" s="44">
        <f t="shared" si="2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 t="e">
        <f t="shared" ref="D34:D37" si="3">MATCH(C34,$E$4:$E$33)</f>
        <v>#N/A</v>
      </c>
      <c r="E34" s="11" t="e">
        <f ca="1">OFFSET($E$3:$AL$3,$D34,0)</f>
        <v>#N/A</v>
      </c>
      <c r="F34" s="14" t="e">
        <f t="shared" ref="F34:AL37" ca="1" si="4">OFFSET($E$3:$AL$3,$D34,0)</f>
        <v>#N/A</v>
      </c>
      <c r="G34" s="14" t="e">
        <f t="shared" ca="1" si="4"/>
        <v>#N/A</v>
      </c>
      <c r="H34" s="14" t="e">
        <f t="shared" ca="1" si="4"/>
        <v>#N/A</v>
      </c>
      <c r="I34" s="14" t="e">
        <f t="shared" ca="1" si="4"/>
        <v>#N/A</v>
      </c>
      <c r="J34" s="14" t="e">
        <f t="shared" ca="1" si="4"/>
        <v>#N/A</v>
      </c>
      <c r="K34" s="14" t="e">
        <f t="shared" ca="1" si="4"/>
        <v>#N/A</v>
      </c>
      <c r="L34" s="14" t="e">
        <f t="shared" ca="1" si="4"/>
        <v>#N/A</v>
      </c>
      <c r="M34" s="14" t="e">
        <f t="shared" ca="1" si="4"/>
        <v>#N/A</v>
      </c>
      <c r="N34" s="14" t="e">
        <f t="shared" ca="1" si="4"/>
        <v>#N/A</v>
      </c>
      <c r="O34" s="14" t="e">
        <f t="shared" ca="1" si="4"/>
        <v>#N/A</v>
      </c>
      <c r="P34" s="14" t="e">
        <f t="shared" ca="1" si="4"/>
        <v>#N/A</v>
      </c>
      <c r="Q34" s="14" t="e">
        <f t="shared" ca="1" si="4"/>
        <v>#N/A</v>
      </c>
      <c r="R34" s="14" t="e">
        <f t="shared" ca="1" si="4"/>
        <v>#N/A</v>
      </c>
      <c r="S34" s="14" t="e">
        <f t="shared" ca="1" si="4"/>
        <v>#N/A</v>
      </c>
      <c r="T34" s="14" t="e">
        <f t="shared" ca="1" si="4"/>
        <v>#N/A</v>
      </c>
      <c r="U34" s="14" t="e">
        <f t="shared" ca="1" si="4"/>
        <v>#N/A</v>
      </c>
      <c r="V34" s="14" t="e">
        <f t="shared" ca="1" si="4"/>
        <v>#N/A</v>
      </c>
      <c r="W34" s="14" t="e">
        <f t="shared" ca="1" si="4"/>
        <v>#N/A</v>
      </c>
      <c r="X34" s="14" t="e">
        <f t="shared" ca="1" si="4"/>
        <v>#N/A</v>
      </c>
      <c r="Y34" s="14" t="e">
        <f t="shared" ca="1" si="4"/>
        <v>#N/A</v>
      </c>
      <c r="Z34" s="14" t="e">
        <f t="shared" ca="1" si="4"/>
        <v>#N/A</v>
      </c>
      <c r="AA34" s="14" t="e">
        <f t="shared" ca="1" si="4"/>
        <v>#N/A</v>
      </c>
      <c r="AB34" s="14" t="e">
        <f t="shared" ca="1" si="4"/>
        <v>#N/A</v>
      </c>
      <c r="AC34" s="14" t="e">
        <f t="shared" ca="1" si="4"/>
        <v>#N/A</v>
      </c>
      <c r="AD34" s="14" t="e">
        <f t="shared" ca="1" si="4"/>
        <v>#N/A</v>
      </c>
      <c r="AE34" s="14" t="e">
        <f t="shared" ca="1" si="4"/>
        <v>#N/A</v>
      </c>
      <c r="AF34" s="14" t="e">
        <f t="shared" ca="1" si="4"/>
        <v>#N/A</v>
      </c>
      <c r="AG34" s="14" t="e">
        <f t="shared" ca="1" si="4"/>
        <v>#N/A</v>
      </c>
      <c r="AH34" s="14" t="e">
        <f t="shared" ca="1" si="4"/>
        <v>#N/A</v>
      </c>
      <c r="AI34" s="14" t="e">
        <f t="shared" ca="1" si="4"/>
        <v>#N/A</v>
      </c>
      <c r="AJ34" s="14" t="e">
        <f t="shared" ca="1" si="4"/>
        <v>#N/A</v>
      </c>
      <c r="AK34" s="14" t="e">
        <f t="shared" ca="1" si="4"/>
        <v>#N/A</v>
      </c>
      <c r="AL34" s="14" t="e">
        <f t="shared" ca="1" si="4"/>
        <v>#N/A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 t="e">
        <f t="shared" si="3"/>
        <v>#N/A</v>
      </c>
      <c r="E35" s="11" t="e">
        <f t="shared" ref="E35:E37" ca="1" si="5">OFFSET($E$3:$AL$3,$D35,0)</f>
        <v>#N/A</v>
      </c>
      <c r="F35" s="14" t="e">
        <f t="shared" ca="1" si="4"/>
        <v>#N/A</v>
      </c>
      <c r="G35" s="14" t="e">
        <f t="shared" ca="1" si="4"/>
        <v>#N/A</v>
      </c>
      <c r="H35" s="14" t="e">
        <f t="shared" ca="1" si="4"/>
        <v>#N/A</v>
      </c>
      <c r="I35" s="14" t="e">
        <f t="shared" ca="1" si="4"/>
        <v>#N/A</v>
      </c>
      <c r="J35" s="14" t="e">
        <f t="shared" ca="1" si="4"/>
        <v>#N/A</v>
      </c>
      <c r="K35" s="14" t="e">
        <f t="shared" ca="1" si="4"/>
        <v>#N/A</v>
      </c>
      <c r="L35" s="14" t="e">
        <f t="shared" ca="1" si="4"/>
        <v>#N/A</v>
      </c>
      <c r="M35" s="14" t="e">
        <f t="shared" ca="1" si="4"/>
        <v>#N/A</v>
      </c>
      <c r="N35" s="14" t="e">
        <f t="shared" ca="1" si="4"/>
        <v>#N/A</v>
      </c>
      <c r="O35" s="14" t="e">
        <f t="shared" ca="1" si="4"/>
        <v>#N/A</v>
      </c>
      <c r="P35" s="14" t="e">
        <f t="shared" ca="1" si="4"/>
        <v>#N/A</v>
      </c>
      <c r="Q35" s="14" t="e">
        <f t="shared" ca="1" si="4"/>
        <v>#N/A</v>
      </c>
      <c r="R35" s="14" t="e">
        <f t="shared" ca="1" si="4"/>
        <v>#N/A</v>
      </c>
      <c r="S35" s="14" t="e">
        <f t="shared" ca="1" si="4"/>
        <v>#N/A</v>
      </c>
      <c r="T35" s="14" t="e">
        <f t="shared" ca="1" si="4"/>
        <v>#N/A</v>
      </c>
      <c r="U35" s="14" t="e">
        <f t="shared" ca="1" si="4"/>
        <v>#N/A</v>
      </c>
      <c r="V35" s="14" t="e">
        <f t="shared" ca="1" si="4"/>
        <v>#N/A</v>
      </c>
      <c r="W35" s="14" t="e">
        <f t="shared" ca="1" si="4"/>
        <v>#N/A</v>
      </c>
      <c r="X35" s="14" t="e">
        <f t="shared" ca="1" si="4"/>
        <v>#N/A</v>
      </c>
      <c r="Y35" s="14" t="e">
        <f t="shared" ca="1" si="4"/>
        <v>#N/A</v>
      </c>
      <c r="Z35" s="14" t="e">
        <f t="shared" ca="1" si="4"/>
        <v>#N/A</v>
      </c>
      <c r="AA35" s="14" t="e">
        <f t="shared" ca="1" si="4"/>
        <v>#N/A</v>
      </c>
      <c r="AB35" s="14" t="e">
        <f t="shared" ca="1" si="4"/>
        <v>#N/A</v>
      </c>
      <c r="AC35" s="14" t="e">
        <f t="shared" ca="1" si="4"/>
        <v>#N/A</v>
      </c>
      <c r="AD35" s="14" t="e">
        <f t="shared" ca="1" si="4"/>
        <v>#N/A</v>
      </c>
      <c r="AE35" s="14" t="e">
        <f t="shared" ca="1" si="4"/>
        <v>#N/A</v>
      </c>
      <c r="AF35" s="14" t="e">
        <f t="shared" ca="1" si="4"/>
        <v>#N/A</v>
      </c>
      <c r="AG35" s="14" t="e">
        <f t="shared" ca="1" si="4"/>
        <v>#N/A</v>
      </c>
      <c r="AH35" s="14" t="e">
        <f t="shared" ca="1" si="4"/>
        <v>#N/A</v>
      </c>
      <c r="AI35" s="14" t="e">
        <f t="shared" ca="1" si="4"/>
        <v>#N/A</v>
      </c>
      <c r="AJ35" s="14" t="e">
        <f t="shared" ca="1" si="4"/>
        <v>#N/A</v>
      </c>
      <c r="AK35" s="14" t="e">
        <f t="shared" ca="1" si="4"/>
        <v>#N/A</v>
      </c>
      <c r="AL35" s="14" t="e">
        <f t="shared" ca="1" si="4"/>
        <v>#N/A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 t="e">
        <f t="shared" si="3"/>
        <v>#N/A</v>
      </c>
      <c r="E36" s="11" t="e">
        <f t="shared" ca="1" si="5"/>
        <v>#N/A</v>
      </c>
      <c r="F36" s="14" t="e">
        <f t="shared" ca="1" si="4"/>
        <v>#N/A</v>
      </c>
      <c r="G36" s="14" t="e">
        <f t="shared" ca="1" si="4"/>
        <v>#N/A</v>
      </c>
      <c r="H36" s="14" t="e">
        <f t="shared" ca="1" si="4"/>
        <v>#N/A</v>
      </c>
      <c r="I36" s="14" t="e">
        <f t="shared" ca="1" si="4"/>
        <v>#N/A</v>
      </c>
      <c r="J36" s="14" t="e">
        <f t="shared" ca="1" si="4"/>
        <v>#N/A</v>
      </c>
      <c r="K36" s="14" t="e">
        <f t="shared" ca="1" si="4"/>
        <v>#N/A</v>
      </c>
      <c r="L36" s="14" t="e">
        <f t="shared" ca="1" si="4"/>
        <v>#N/A</v>
      </c>
      <c r="M36" s="14" t="e">
        <f t="shared" ca="1" si="4"/>
        <v>#N/A</v>
      </c>
      <c r="N36" s="14" t="e">
        <f t="shared" ca="1" si="4"/>
        <v>#N/A</v>
      </c>
      <c r="O36" s="14" t="e">
        <f t="shared" ca="1" si="4"/>
        <v>#N/A</v>
      </c>
      <c r="P36" s="14" t="e">
        <f t="shared" ca="1" si="4"/>
        <v>#N/A</v>
      </c>
      <c r="Q36" s="14" t="e">
        <f t="shared" ca="1" si="4"/>
        <v>#N/A</v>
      </c>
      <c r="R36" s="14" t="e">
        <f t="shared" ca="1" si="4"/>
        <v>#N/A</v>
      </c>
      <c r="S36" s="14" t="e">
        <f t="shared" ca="1" si="4"/>
        <v>#N/A</v>
      </c>
      <c r="T36" s="14" t="e">
        <f t="shared" ca="1" si="4"/>
        <v>#N/A</v>
      </c>
      <c r="U36" s="14" t="e">
        <f t="shared" ca="1" si="4"/>
        <v>#N/A</v>
      </c>
      <c r="V36" s="14" t="e">
        <f t="shared" ca="1" si="4"/>
        <v>#N/A</v>
      </c>
      <c r="W36" s="14" t="e">
        <f t="shared" ca="1" si="4"/>
        <v>#N/A</v>
      </c>
      <c r="X36" s="14" t="e">
        <f t="shared" ca="1" si="4"/>
        <v>#N/A</v>
      </c>
      <c r="Y36" s="14" t="e">
        <f t="shared" ca="1" si="4"/>
        <v>#N/A</v>
      </c>
      <c r="Z36" s="14" t="e">
        <f t="shared" ca="1" si="4"/>
        <v>#N/A</v>
      </c>
      <c r="AA36" s="14" t="e">
        <f t="shared" ca="1" si="4"/>
        <v>#N/A</v>
      </c>
      <c r="AB36" s="14" t="e">
        <f t="shared" ca="1" si="4"/>
        <v>#N/A</v>
      </c>
      <c r="AC36" s="14" t="e">
        <f t="shared" ca="1" si="4"/>
        <v>#N/A</v>
      </c>
      <c r="AD36" s="14" t="e">
        <f t="shared" ca="1" si="4"/>
        <v>#N/A</v>
      </c>
      <c r="AE36" s="14" t="e">
        <f t="shared" ca="1" si="4"/>
        <v>#N/A</v>
      </c>
      <c r="AF36" s="14" t="e">
        <f t="shared" ca="1" si="4"/>
        <v>#N/A</v>
      </c>
      <c r="AG36" s="14" t="e">
        <f t="shared" ca="1" si="4"/>
        <v>#N/A</v>
      </c>
      <c r="AH36" s="14" t="e">
        <f t="shared" ca="1" si="4"/>
        <v>#N/A</v>
      </c>
      <c r="AI36" s="14" t="e">
        <f t="shared" ca="1" si="4"/>
        <v>#N/A</v>
      </c>
      <c r="AJ36" s="14" t="e">
        <f t="shared" ca="1" si="4"/>
        <v>#N/A</v>
      </c>
      <c r="AK36" s="14" t="e">
        <f t="shared" ca="1" si="4"/>
        <v>#N/A</v>
      </c>
      <c r="AL36" s="14" t="e">
        <f t="shared" ca="1" si="4"/>
        <v>#N/A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 t="e">
        <f t="shared" si="3"/>
        <v>#N/A</v>
      </c>
      <c r="E37" s="11" t="e">
        <f t="shared" ca="1" si="5"/>
        <v>#N/A</v>
      </c>
      <c r="F37" s="14" t="e">
        <f t="shared" ca="1" si="4"/>
        <v>#N/A</v>
      </c>
      <c r="G37" s="14" t="e">
        <f t="shared" ca="1" si="4"/>
        <v>#N/A</v>
      </c>
      <c r="H37" s="14" t="e">
        <f t="shared" ca="1" si="4"/>
        <v>#N/A</v>
      </c>
      <c r="I37" s="14" t="e">
        <f t="shared" ca="1" si="4"/>
        <v>#N/A</v>
      </c>
      <c r="J37" s="14" t="e">
        <f t="shared" ca="1" si="4"/>
        <v>#N/A</v>
      </c>
      <c r="K37" s="14" t="e">
        <f t="shared" ca="1" si="4"/>
        <v>#N/A</v>
      </c>
      <c r="L37" s="14" t="e">
        <f t="shared" ca="1" si="4"/>
        <v>#N/A</v>
      </c>
      <c r="M37" s="14" t="e">
        <f t="shared" ca="1" si="4"/>
        <v>#N/A</v>
      </c>
      <c r="N37" s="14" t="e">
        <f t="shared" ca="1" si="4"/>
        <v>#N/A</v>
      </c>
      <c r="O37" s="14" t="e">
        <f t="shared" ca="1" si="4"/>
        <v>#N/A</v>
      </c>
      <c r="P37" s="14" t="e">
        <f t="shared" ca="1" si="4"/>
        <v>#N/A</v>
      </c>
      <c r="Q37" s="14" t="e">
        <f t="shared" ca="1" si="4"/>
        <v>#N/A</v>
      </c>
      <c r="R37" s="14" t="e">
        <f t="shared" ca="1" si="4"/>
        <v>#N/A</v>
      </c>
      <c r="S37" s="14" t="e">
        <f t="shared" ca="1" si="4"/>
        <v>#N/A</v>
      </c>
      <c r="T37" s="14" t="e">
        <f t="shared" ca="1" si="4"/>
        <v>#N/A</v>
      </c>
      <c r="U37" s="14" t="e">
        <f t="shared" ca="1" si="4"/>
        <v>#N/A</v>
      </c>
      <c r="V37" s="14" t="e">
        <f t="shared" ca="1" si="4"/>
        <v>#N/A</v>
      </c>
      <c r="W37" s="14" t="e">
        <f t="shared" ca="1" si="4"/>
        <v>#N/A</v>
      </c>
      <c r="X37" s="14" t="e">
        <f t="shared" ca="1" si="4"/>
        <v>#N/A</v>
      </c>
      <c r="Y37" s="14" t="e">
        <f t="shared" ca="1" si="4"/>
        <v>#N/A</v>
      </c>
      <c r="Z37" s="14" t="e">
        <f t="shared" ca="1" si="4"/>
        <v>#N/A</v>
      </c>
      <c r="AA37" s="14" t="e">
        <f t="shared" ca="1" si="4"/>
        <v>#N/A</v>
      </c>
      <c r="AB37" s="14" t="e">
        <f t="shared" ca="1" si="4"/>
        <v>#N/A</v>
      </c>
      <c r="AC37" s="14" t="e">
        <f t="shared" ca="1" si="4"/>
        <v>#N/A</v>
      </c>
      <c r="AD37" s="14" t="e">
        <f t="shared" ca="1" si="4"/>
        <v>#N/A</v>
      </c>
      <c r="AE37" s="14" t="e">
        <f t="shared" ca="1" si="4"/>
        <v>#N/A</v>
      </c>
      <c r="AF37" s="14" t="e">
        <f t="shared" ca="1" si="4"/>
        <v>#N/A</v>
      </c>
      <c r="AG37" s="14" t="e">
        <f t="shared" ca="1" si="4"/>
        <v>#N/A</v>
      </c>
      <c r="AH37" s="14" t="e">
        <f t="shared" ca="1" si="4"/>
        <v>#N/A</v>
      </c>
      <c r="AI37" s="14" t="e">
        <f t="shared" ca="1" si="4"/>
        <v>#N/A</v>
      </c>
      <c r="AJ37" s="14" t="e">
        <f t="shared" ca="1" si="4"/>
        <v>#N/A</v>
      </c>
      <c r="AK37" s="14" t="e">
        <f t="shared" ca="1" si="4"/>
        <v>#N/A</v>
      </c>
      <c r="AL37" s="14" t="e">
        <f t="shared" ca="1" si="4"/>
        <v>#N/A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81" t="s">
        <v>8</v>
      </c>
      <c r="B39" s="82"/>
      <c r="C39" s="82"/>
      <c r="D39" s="83"/>
      <c r="E39" s="74" t="s">
        <v>21</v>
      </c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</row>
    <row r="40" spans="1:54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AL40" si="6">G3</f>
        <v>0</v>
      </c>
      <c r="H40" s="8">
        <f t="shared" si="6"/>
        <v>0</v>
      </c>
      <c r="I40" s="8">
        <f t="shared" si="6"/>
        <v>0</v>
      </c>
      <c r="J40" s="8">
        <f t="shared" si="6"/>
        <v>0</v>
      </c>
      <c r="K40" s="8">
        <f t="shared" si="6"/>
        <v>0</v>
      </c>
      <c r="L40" s="8">
        <f t="shared" si="6"/>
        <v>0</v>
      </c>
      <c r="M40" s="8">
        <f t="shared" si="6"/>
        <v>0</v>
      </c>
      <c r="N40" s="8">
        <f t="shared" si="6"/>
        <v>0</v>
      </c>
      <c r="O40" s="8">
        <f t="shared" si="6"/>
        <v>0</v>
      </c>
      <c r="P40" s="8">
        <f t="shared" si="6"/>
        <v>0</v>
      </c>
      <c r="Q40" s="8">
        <f t="shared" si="6"/>
        <v>0</v>
      </c>
      <c r="R40" s="8">
        <f t="shared" si="6"/>
        <v>0</v>
      </c>
      <c r="S40" s="8">
        <f t="shared" si="6"/>
        <v>0</v>
      </c>
      <c r="T40" s="8">
        <f t="shared" si="6"/>
        <v>0</v>
      </c>
      <c r="U40" s="8">
        <f t="shared" si="6"/>
        <v>0</v>
      </c>
      <c r="V40" s="8">
        <f t="shared" si="6"/>
        <v>0</v>
      </c>
      <c r="W40" s="8">
        <f t="shared" si="6"/>
        <v>0</v>
      </c>
      <c r="X40" s="8">
        <f t="shared" si="6"/>
        <v>0</v>
      </c>
      <c r="Y40" s="8">
        <f t="shared" si="6"/>
        <v>0</v>
      </c>
      <c r="Z40" s="8">
        <f t="shared" si="6"/>
        <v>0</v>
      </c>
      <c r="AA40" s="8">
        <f t="shared" si="6"/>
        <v>0</v>
      </c>
      <c r="AB40" s="8">
        <f t="shared" si="6"/>
        <v>0</v>
      </c>
      <c r="AC40" s="8">
        <f t="shared" si="6"/>
        <v>0</v>
      </c>
      <c r="AD40" s="8">
        <f t="shared" si="6"/>
        <v>0</v>
      </c>
      <c r="AE40" s="8">
        <f t="shared" si="6"/>
        <v>0</v>
      </c>
      <c r="AF40" s="8">
        <f t="shared" si="6"/>
        <v>0</v>
      </c>
      <c r="AG40" s="8">
        <f t="shared" si="6"/>
        <v>0</v>
      </c>
      <c r="AH40" s="8">
        <f t="shared" si="6"/>
        <v>0</v>
      </c>
      <c r="AI40" s="8">
        <f t="shared" si="6"/>
        <v>0</v>
      </c>
      <c r="AJ40" s="8">
        <f t="shared" si="6"/>
        <v>0</v>
      </c>
      <c r="AK40" s="8">
        <f t="shared" si="6"/>
        <v>0</v>
      </c>
      <c r="AL40" s="8">
        <f t="shared" si="6"/>
        <v>0</v>
      </c>
    </row>
    <row r="41" spans="1:54" ht="21" customHeight="1" outlineLevel="1" thickTop="1" x14ac:dyDescent="0.35">
      <c r="A41" s="9">
        <f>Values!D3/Values!$D$3</f>
        <v>1</v>
      </c>
      <c r="B41" s="9">
        <f>Values!E3/Values!$D$3</f>
        <v>0</v>
      </c>
      <c r="C41" s="9">
        <f>Values!F3/Values!$D$3</f>
        <v>0.16</v>
      </c>
      <c r="D41" s="9">
        <f>Values!G3/Values!$D$3</f>
        <v>0.24</v>
      </c>
      <c r="E41" s="9">
        <f>SUM(A41:D41)</f>
        <v>1.4</v>
      </c>
      <c r="F41" s="10" t="e">
        <f t="shared" ref="F41:AL41" ca="1" si="7">($B$41*H.Ge+$C$41*H.Ga+$D$41*H.Se)*F$40*$B$2/1000</f>
        <v>#N/A</v>
      </c>
      <c r="G41" s="10" t="e">
        <f t="shared" ca="1" si="7"/>
        <v>#N/A</v>
      </c>
      <c r="H41" s="10" t="e">
        <f t="shared" ca="1" si="7"/>
        <v>#N/A</v>
      </c>
      <c r="I41" s="10" t="e">
        <f t="shared" ca="1" si="7"/>
        <v>#N/A</v>
      </c>
      <c r="J41" s="10" t="e">
        <f t="shared" ca="1" si="7"/>
        <v>#N/A</v>
      </c>
      <c r="K41" s="10" t="e">
        <f t="shared" ca="1" si="7"/>
        <v>#N/A</v>
      </c>
      <c r="L41" s="10" t="e">
        <f t="shared" ca="1" si="7"/>
        <v>#N/A</v>
      </c>
      <c r="M41" s="10" t="e">
        <f t="shared" ca="1" si="7"/>
        <v>#N/A</v>
      </c>
      <c r="N41" s="10" t="e">
        <f t="shared" ca="1" si="7"/>
        <v>#N/A</v>
      </c>
      <c r="O41" s="10" t="e">
        <f t="shared" ca="1" si="7"/>
        <v>#N/A</v>
      </c>
      <c r="P41" s="10" t="e">
        <f t="shared" ca="1" si="7"/>
        <v>#N/A</v>
      </c>
      <c r="Q41" s="10" t="e">
        <f t="shared" ca="1" si="7"/>
        <v>#N/A</v>
      </c>
      <c r="R41" s="10" t="e">
        <f t="shared" ca="1" si="7"/>
        <v>#N/A</v>
      </c>
      <c r="S41" s="10" t="e">
        <f t="shared" ca="1" si="7"/>
        <v>#N/A</v>
      </c>
      <c r="T41" s="10" t="e">
        <f t="shared" ca="1" si="7"/>
        <v>#N/A</v>
      </c>
      <c r="U41" s="10" t="e">
        <f t="shared" ca="1" si="7"/>
        <v>#N/A</v>
      </c>
      <c r="V41" s="10" t="e">
        <f t="shared" ca="1" si="7"/>
        <v>#N/A</v>
      </c>
      <c r="W41" s="10" t="e">
        <f t="shared" ca="1" si="7"/>
        <v>#N/A</v>
      </c>
      <c r="X41" s="10" t="e">
        <f t="shared" ca="1" si="7"/>
        <v>#N/A</v>
      </c>
      <c r="Y41" s="10" t="e">
        <f t="shared" ca="1" si="7"/>
        <v>#N/A</v>
      </c>
      <c r="Z41" s="10" t="e">
        <f t="shared" ca="1" si="7"/>
        <v>#N/A</v>
      </c>
      <c r="AA41" s="10" t="e">
        <f t="shared" ca="1" si="7"/>
        <v>#N/A</v>
      </c>
      <c r="AB41" s="10" t="e">
        <f t="shared" ca="1" si="7"/>
        <v>#N/A</v>
      </c>
      <c r="AC41" s="10" t="e">
        <f t="shared" ca="1" si="7"/>
        <v>#N/A</v>
      </c>
      <c r="AD41" s="10" t="e">
        <f t="shared" ca="1" si="7"/>
        <v>#N/A</v>
      </c>
      <c r="AE41" s="10" t="e">
        <f t="shared" ca="1" si="7"/>
        <v>#N/A</v>
      </c>
      <c r="AF41" s="10" t="e">
        <f t="shared" ca="1" si="7"/>
        <v>#N/A</v>
      </c>
      <c r="AG41" s="10" t="e">
        <f t="shared" ca="1" si="7"/>
        <v>#N/A</v>
      </c>
      <c r="AH41" s="10" t="e">
        <f t="shared" ca="1" si="7"/>
        <v>#N/A</v>
      </c>
      <c r="AI41" s="10" t="e">
        <f t="shared" ca="1" si="7"/>
        <v>#N/A</v>
      </c>
      <c r="AJ41" s="10" t="e">
        <f t="shared" ca="1" si="7"/>
        <v>#N/A</v>
      </c>
      <c r="AK41" s="10" t="e">
        <f t="shared" ca="1" si="7"/>
        <v>#N/A</v>
      </c>
      <c r="AL41" s="10" t="e">
        <f t="shared" ca="1" si="7"/>
        <v>#N/A</v>
      </c>
    </row>
    <row r="42" spans="1:54" ht="176.25" customHeight="1" outlineLevel="1" x14ac:dyDescent="0.35">
      <c r="U42" s="55"/>
      <c r="V42" s="55"/>
      <c r="W42" s="55"/>
    </row>
    <row r="43" spans="1:54" ht="21" customHeight="1" x14ac:dyDescent="0.35">
      <c r="U43" s="55"/>
      <c r="V43" s="55"/>
      <c r="W43" s="55"/>
    </row>
    <row r="44" spans="1:54" ht="21" customHeight="1" x14ac:dyDescent="0.4">
      <c r="A44" s="75"/>
      <c r="B44" s="75"/>
      <c r="C44" s="75"/>
      <c r="D44" s="75"/>
      <c r="E44" s="74" t="s">
        <v>22</v>
      </c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</row>
    <row r="45" spans="1:54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AL45" si="8">E3</f>
        <v>0</v>
      </c>
      <c r="F45" s="3">
        <f t="shared" si="8"/>
        <v>0</v>
      </c>
      <c r="G45" s="3">
        <f t="shared" si="8"/>
        <v>0</v>
      </c>
      <c r="H45" s="3">
        <f t="shared" si="8"/>
        <v>0</v>
      </c>
      <c r="I45" s="3">
        <f t="shared" si="8"/>
        <v>0</v>
      </c>
      <c r="J45" s="3">
        <f t="shared" si="8"/>
        <v>0</v>
      </c>
      <c r="K45" s="3">
        <f t="shared" si="8"/>
        <v>0</v>
      </c>
      <c r="L45" s="3">
        <f t="shared" si="8"/>
        <v>0</v>
      </c>
      <c r="M45" s="3">
        <f t="shared" si="8"/>
        <v>0</v>
      </c>
      <c r="N45" s="3">
        <f t="shared" si="8"/>
        <v>0</v>
      </c>
      <c r="O45" s="3">
        <f t="shared" si="8"/>
        <v>0</v>
      </c>
      <c r="P45" s="3">
        <f t="shared" si="8"/>
        <v>0</v>
      </c>
      <c r="Q45" s="3">
        <f t="shared" si="8"/>
        <v>0</v>
      </c>
      <c r="R45" s="3">
        <f t="shared" si="8"/>
        <v>0</v>
      </c>
      <c r="S45" s="3">
        <f t="shared" si="8"/>
        <v>0</v>
      </c>
      <c r="T45" s="3">
        <f t="shared" si="8"/>
        <v>0</v>
      </c>
      <c r="U45" s="3">
        <f t="shared" si="8"/>
        <v>0</v>
      </c>
      <c r="V45" s="3">
        <f t="shared" si="8"/>
        <v>0</v>
      </c>
      <c r="W45" s="3">
        <f t="shared" si="8"/>
        <v>0</v>
      </c>
      <c r="X45" s="3">
        <f t="shared" si="8"/>
        <v>0</v>
      </c>
      <c r="Y45" s="3">
        <f t="shared" si="8"/>
        <v>0</v>
      </c>
      <c r="Z45" s="3">
        <f t="shared" si="8"/>
        <v>0</v>
      </c>
      <c r="AA45" s="3">
        <f t="shared" si="8"/>
        <v>0</v>
      </c>
      <c r="AB45" s="3">
        <f t="shared" si="8"/>
        <v>0</v>
      </c>
      <c r="AC45" s="3">
        <f t="shared" si="8"/>
        <v>0</v>
      </c>
      <c r="AD45" s="3">
        <f t="shared" si="8"/>
        <v>0</v>
      </c>
      <c r="AE45" s="3">
        <f t="shared" si="8"/>
        <v>0</v>
      </c>
      <c r="AF45" s="3">
        <f t="shared" si="8"/>
        <v>0</v>
      </c>
      <c r="AG45" s="3">
        <f t="shared" si="8"/>
        <v>0</v>
      </c>
      <c r="AH45" s="3">
        <f t="shared" si="8"/>
        <v>0</v>
      </c>
      <c r="AI45" s="3">
        <f t="shared" si="8"/>
        <v>0</v>
      </c>
      <c r="AJ45" s="3">
        <f t="shared" si="8"/>
        <v>0</v>
      </c>
      <c r="AK45" s="3">
        <f t="shared" si="8"/>
        <v>0</v>
      </c>
      <c r="AL45" s="3">
        <f t="shared" si="8"/>
        <v>0</v>
      </c>
    </row>
    <row r="46" spans="1:54" ht="21" hidden="1" customHeight="1" outlineLevel="1" thickTop="1" thickBot="1" x14ac:dyDescent="0.4">
      <c r="A46" s="5">
        <f t="shared" ref="A46:E55" si="9">A4</f>
        <v>0</v>
      </c>
      <c r="B46" s="5">
        <f t="shared" si="9"/>
        <v>0</v>
      </c>
      <c r="C46" s="5">
        <f t="shared" si="9"/>
        <v>0</v>
      </c>
      <c r="D46" s="5">
        <f t="shared" si="9"/>
        <v>0</v>
      </c>
      <c r="E46" s="6">
        <f t="shared" si="9"/>
        <v>0</v>
      </c>
      <c r="F46" s="14" t="e">
        <f t="shared" ref="F46:U55" ca="1" si="10">$A46*H.Ar + $B46*H.Se + $C46*H.Ge + $D46*H.Ga</f>
        <v>#N/A</v>
      </c>
      <c r="G46" s="14" t="e">
        <f t="shared" ca="1" si="10"/>
        <v>#N/A</v>
      </c>
      <c r="H46" s="14" t="e">
        <f t="shared" ca="1" si="10"/>
        <v>#N/A</v>
      </c>
      <c r="I46" s="14" t="e">
        <f t="shared" ca="1" si="10"/>
        <v>#N/A</v>
      </c>
      <c r="J46" s="14" t="e">
        <f t="shared" ca="1" si="10"/>
        <v>#N/A</v>
      </c>
      <c r="K46" s="14" t="e">
        <f t="shared" ca="1" si="10"/>
        <v>#N/A</v>
      </c>
      <c r="L46" s="14" t="e">
        <f t="shared" ca="1" si="10"/>
        <v>#N/A</v>
      </c>
      <c r="M46" s="14" t="e">
        <f t="shared" ca="1" si="10"/>
        <v>#N/A</v>
      </c>
      <c r="N46" s="14" t="e">
        <f t="shared" ca="1" si="10"/>
        <v>#N/A</v>
      </c>
      <c r="O46" s="14" t="e">
        <f t="shared" ca="1" si="10"/>
        <v>#N/A</v>
      </c>
      <c r="P46" s="14" t="e">
        <f t="shared" ca="1" si="10"/>
        <v>#N/A</v>
      </c>
      <c r="Q46" s="14" t="e">
        <f t="shared" ca="1" si="10"/>
        <v>#N/A</v>
      </c>
      <c r="R46" s="14" t="e">
        <f t="shared" ca="1" si="10"/>
        <v>#N/A</v>
      </c>
      <c r="S46" s="14" t="e">
        <f t="shared" ca="1" si="10"/>
        <v>#N/A</v>
      </c>
      <c r="T46" s="14" t="e">
        <f t="shared" ca="1" si="10"/>
        <v>#N/A</v>
      </c>
      <c r="U46" s="14" t="e">
        <f t="shared" ca="1" si="10"/>
        <v>#N/A</v>
      </c>
      <c r="V46" s="14" t="e">
        <f t="shared" ref="V46:AL46" ca="1" si="11">$A46*H.Ar + $B46*H.Se + $C46*H.Ge + $D46*H.Ga</f>
        <v>#N/A</v>
      </c>
      <c r="W46" s="14" t="e">
        <f t="shared" ca="1" si="11"/>
        <v>#N/A</v>
      </c>
      <c r="X46" s="14" t="e">
        <f t="shared" ca="1" si="11"/>
        <v>#N/A</v>
      </c>
      <c r="Y46" s="14" t="e">
        <f t="shared" ca="1" si="11"/>
        <v>#N/A</v>
      </c>
      <c r="Z46" s="14" t="e">
        <f t="shared" ca="1" si="11"/>
        <v>#N/A</v>
      </c>
      <c r="AA46" s="14" t="e">
        <f t="shared" ca="1" si="11"/>
        <v>#N/A</v>
      </c>
      <c r="AB46" s="14" t="e">
        <f t="shared" ca="1" si="11"/>
        <v>#N/A</v>
      </c>
      <c r="AC46" s="14" t="e">
        <f t="shared" ca="1" si="11"/>
        <v>#N/A</v>
      </c>
      <c r="AD46" s="14" t="e">
        <f t="shared" ca="1" si="11"/>
        <v>#N/A</v>
      </c>
      <c r="AE46" s="14" t="e">
        <f t="shared" ca="1" si="11"/>
        <v>#N/A</v>
      </c>
      <c r="AF46" s="14" t="e">
        <f t="shared" ca="1" si="11"/>
        <v>#N/A</v>
      </c>
      <c r="AG46" s="14" t="e">
        <f t="shared" ca="1" si="11"/>
        <v>#N/A</v>
      </c>
      <c r="AH46" s="14" t="e">
        <f t="shared" ca="1" si="11"/>
        <v>#N/A</v>
      </c>
      <c r="AI46" s="14" t="e">
        <f t="shared" ca="1" si="11"/>
        <v>#N/A</v>
      </c>
      <c r="AJ46" s="14" t="e">
        <f t="shared" ca="1" si="11"/>
        <v>#N/A</v>
      </c>
      <c r="AK46" s="14" t="e">
        <f t="shared" ca="1" si="11"/>
        <v>#N/A</v>
      </c>
      <c r="AL46" s="14" t="e">
        <f t="shared" ca="1" si="11"/>
        <v>#N/A</v>
      </c>
    </row>
    <row r="47" spans="1:54" ht="21" hidden="1" customHeight="1" outlineLevel="1" thickBot="1" x14ac:dyDescent="0.4">
      <c r="A47" s="5">
        <f t="shared" si="9"/>
        <v>0</v>
      </c>
      <c r="B47" s="5">
        <f t="shared" si="9"/>
        <v>0</v>
      </c>
      <c r="C47" s="5">
        <f t="shared" si="9"/>
        <v>0</v>
      </c>
      <c r="D47" s="5">
        <f t="shared" si="9"/>
        <v>0</v>
      </c>
      <c r="E47" s="6">
        <f t="shared" si="9"/>
        <v>0</v>
      </c>
      <c r="F47" s="14" t="e">
        <f t="shared" ca="1" si="10"/>
        <v>#N/A</v>
      </c>
      <c r="G47" s="14" t="e">
        <f t="shared" ref="G47:AL54" ca="1" si="12">$A47*H.Ar + $B47*H.Se + $C47*H.Ge + $D47*H.Ga</f>
        <v>#N/A</v>
      </c>
      <c r="H47" s="14" t="e">
        <f t="shared" ca="1" si="12"/>
        <v>#N/A</v>
      </c>
      <c r="I47" s="14" t="e">
        <f t="shared" ca="1" si="12"/>
        <v>#N/A</v>
      </c>
      <c r="J47" s="14" t="e">
        <f t="shared" ca="1" si="12"/>
        <v>#N/A</v>
      </c>
      <c r="K47" s="14" t="e">
        <f t="shared" ca="1" si="12"/>
        <v>#N/A</v>
      </c>
      <c r="L47" s="14" t="e">
        <f t="shared" ca="1" si="12"/>
        <v>#N/A</v>
      </c>
      <c r="M47" s="14" t="e">
        <f t="shared" ca="1" si="12"/>
        <v>#N/A</v>
      </c>
      <c r="N47" s="14" t="e">
        <f t="shared" ca="1" si="12"/>
        <v>#N/A</v>
      </c>
      <c r="O47" s="14" t="e">
        <f t="shared" ca="1" si="12"/>
        <v>#N/A</v>
      </c>
      <c r="P47" s="14" t="e">
        <f t="shared" ca="1" si="12"/>
        <v>#N/A</v>
      </c>
      <c r="Q47" s="14" t="e">
        <f t="shared" ca="1" si="12"/>
        <v>#N/A</v>
      </c>
      <c r="R47" s="14" t="e">
        <f t="shared" ca="1" si="12"/>
        <v>#N/A</v>
      </c>
      <c r="S47" s="14" t="e">
        <f t="shared" ca="1" si="12"/>
        <v>#N/A</v>
      </c>
      <c r="T47" s="14" t="e">
        <f t="shared" ca="1" si="12"/>
        <v>#N/A</v>
      </c>
      <c r="U47" s="14" t="e">
        <f t="shared" ca="1" si="12"/>
        <v>#N/A</v>
      </c>
      <c r="V47" s="14" t="e">
        <f t="shared" ca="1" si="12"/>
        <v>#N/A</v>
      </c>
      <c r="W47" s="14" t="e">
        <f t="shared" ca="1" si="12"/>
        <v>#N/A</v>
      </c>
      <c r="X47" s="14" t="e">
        <f t="shared" ca="1" si="12"/>
        <v>#N/A</v>
      </c>
      <c r="Y47" s="14" t="e">
        <f t="shared" ca="1" si="12"/>
        <v>#N/A</v>
      </c>
      <c r="Z47" s="14" t="e">
        <f t="shared" ca="1" si="12"/>
        <v>#N/A</v>
      </c>
      <c r="AA47" s="14" t="e">
        <f t="shared" ca="1" si="12"/>
        <v>#N/A</v>
      </c>
      <c r="AB47" s="14" t="e">
        <f t="shared" ca="1" si="12"/>
        <v>#N/A</v>
      </c>
      <c r="AC47" s="14" t="e">
        <f t="shared" ca="1" si="12"/>
        <v>#N/A</v>
      </c>
      <c r="AD47" s="14" t="e">
        <f t="shared" ca="1" si="12"/>
        <v>#N/A</v>
      </c>
      <c r="AE47" s="14" t="e">
        <f t="shared" ca="1" si="12"/>
        <v>#N/A</v>
      </c>
      <c r="AF47" s="14" t="e">
        <f t="shared" ca="1" si="12"/>
        <v>#N/A</v>
      </c>
      <c r="AG47" s="14" t="e">
        <f t="shared" ca="1" si="12"/>
        <v>#N/A</v>
      </c>
      <c r="AH47" s="14" t="e">
        <f t="shared" ca="1" si="12"/>
        <v>#N/A</v>
      </c>
      <c r="AI47" s="14" t="e">
        <f t="shared" ca="1" si="12"/>
        <v>#N/A</v>
      </c>
      <c r="AJ47" s="14" t="e">
        <f t="shared" ca="1" si="12"/>
        <v>#N/A</v>
      </c>
      <c r="AK47" s="14" t="e">
        <f t="shared" ca="1" si="12"/>
        <v>#N/A</v>
      </c>
      <c r="AL47" s="14" t="e">
        <f t="shared" ca="1" si="12"/>
        <v>#N/A</v>
      </c>
    </row>
    <row r="48" spans="1:54" ht="21" hidden="1" customHeight="1" outlineLevel="1" thickBot="1" x14ac:dyDescent="0.4">
      <c r="A48" s="5">
        <f t="shared" si="9"/>
        <v>0</v>
      </c>
      <c r="B48" s="5">
        <f t="shared" si="9"/>
        <v>0</v>
      </c>
      <c r="C48" s="5">
        <f t="shared" si="9"/>
        <v>0</v>
      </c>
      <c r="D48" s="5">
        <f t="shared" si="9"/>
        <v>0</v>
      </c>
      <c r="E48" s="6">
        <f t="shared" si="9"/>
        <v>0</v>
      </c>
      <c r="F48" s="14" t="e">
        <f t="shared" ca="1" si="10"/>
        <v>#N/A</v>
      </c>
      <c r="G48" s="14" t="e">
        <f t="shared" ca="1" si="12"/>
        <v>#N/A</v>
      </c>
      <c r="H48" s="14" t="e">
        <f t="shared" ca="1" si="12"/>
        <v>#N/A</v>
      </c>
      <c r="I48" s="14" t="e">
        <f t="shared" ca="1" si="12"/>
        <v>#N/A</v>
      </c>
      <c r="J48" s="14" t="e">
        <f t="shared" ca="1" si="12"/>
        <v>#N/A</v>
      </c>
      <c r="K48" s="14" t="e">
        <f t="shared" ca="1" si="12"/>
        <v>#N/A</v>
      </c>
      <c r="L48" s="14" t="e">
        <f t="shared" ca="1" si="12"/>
        <v>#N/A</v>
      </c>
      <c r="M48" s="14" t="e">
        <f t="shared" ca="1" si="12"/>
        <v>#N/A</v>
      </c>
      <c r="N48" s="14" t="e">
        <f t="shared" ca="1" si="12"/>
        <v>#N/A</v>
      </c>
      <c r="O48" s="14" t="e">
        <f t="shared" ca="1" si="12"/>
        <v>#N/A</v>
      </c>
      <c r="P48" s="14" t="e">
        <f t="shared" ca="1" si="12"/>
        <v>#N/A</v>
      </c>
      <c r="Q48" s="14" t="e">
        <f t="shared" ca="1" si="12"/>
        <v>#N/A</v>
      </c>
      <c r="R48" s="14" t="e">
        <f t="shared" ca="1" si="12"/>
        <v>#N/A</v>
      </c>
      <c r="S48" s="14" t="e">
        <f t="shared" ca="1" si="12"/>
        <v>#N/A</v>
      </c>
      <c r="T48" s="14" t="e">
        <f t="shared" ca="1" si="12"/>
        <v>#N/A</v>
      </c>
      <c r="U48" s="14" t="e">
        <f t="shared" ca="1" si="12"/>
        <v>#N/A</v>
      </c>
      <c r="V48" s="14" t="e">
        <f t="shared" ca="1" si="12"/>
        <v>#N/A</v>
      </c>
      <c r="W48" s="14" t="e">
        <f t="shared" ca="1" si="12"/>
        <v>#N/A</v>
      </c>
      <c r="X48" s="14" t="e">
        <f t="shared" ca="1" si="12"/>
        <v>#N/A</v>
      </c>
      <c r="Y48" s="14" t="e">
        <f t="shared" ca="1" si="12"/>
        <v>#N/A</v>
      </c>
      <c r="Z48" s="14" t="e">
        <f t="shared" ca="1" si="12"/>
        <v>#N/A</v>
      </c>
      <c r="AA48" s="14" t="e">
        <f t="shared" ca="1" si="12"/>
        <v>#N/A</v>
      </c>
      <c r="AB48" s="14" t="e">
        <f t="shared" ca="1" si="12"/>
        <v>#N/A</v>
      </c>
      <c r="AC48" s="14" t="e">
        <f t="shared" ca="1" si="12"/>
        <v>#N/A</v>
      </c>
      <c r="AD48" s="14" t="e">
        <f t="shared" ca="1" si="12"/>
        <v>#N/A</v>
      </c>
      <c r="AE48" s="14" t="e">
        <f t="shared" ca="1" si="12"/>
        <v>#N/A</v>
      </c>
      <c r="AF48" s="14" t="e">
        <f t="shared" ca="1" si="12"/>
        <v>#N/A</v>
      </c>
      <c r="AG48" s="14" t="e">
        <f t="shared" ca="1" si="12"/>
        <v>#N/A</v>
      </c>
      <c r="AH48" s="14" t="e">
        <f t="shared" ca="1" si="12"/>
        <v>#N/A</v>
      </c>
      <c r="AI48" s="14" t="e">
        <f t="shared" ca="1" si="12"/>
        <v>#N/A</v>
      </c>
      <c r="AJ48" s="14" t="e">
        <f t="shared" ca="1" si="12"/>
        <v>#N/A</v>
      </c>
      <c r="AK48" s="14" t="e">
        <f t="shared" ca="1" si="12"/>
        <v>#N/A</v>
      </c>
      <c r="AL48" s="14" t="e">
        <f t="shared" ca="1" si="12"/>
        <v>#N/A</v>
      </c>
    </row>
    <row r="49" spans="1:38" ht="21" hidden="1" customHeight="1" outlineLevel="1" thickBot="1" x14ac:dyDescent="0.4">
      <c r="A49" s="5">
        <f t="shared" si="9"/>
        <v>0</v>
      </c>
      <c r="B49" s="5">
        <f t="shared" si="9"/>
        <v>0</v>
      </c>
      <c r="C49" s="5">
        <f t="shared" si="9"/>
        <v>0</v>
      </c>
      <c r="D49" s="5">
        <f t="shared" si="9"/>
        <v>0</v>
      </c>
      <c r="E49" s="6">
        <f t="shared" si="9"/>
        <v>0</v>
      </c>
      <c r="F49" s="14" t="e">
        <f t="shared" ca="1" si="10"/>
        <v>#N/A</v>
      </c>
      <c r="G49" s="14" t="e">
        <f t="shared" ca="1" si="12"/>
        <v>#N/A</v>
      </c>
      <c r="H49" s="14" t="e">
        <f t="shared" ca="1" si="12"/>
        <v>#N/A</v>
      </c>
      <c r="I49" s="14" t="e">
        <f t="shared" ca="1" si="12"/>
        <v>#N/A</v>
      </c>
      <c r="J49" s="14" t="e">
        <f t="shared" ca="1" si="12"/>
        <v>#N/A</v>
      </c>
      <c r="K49" s="14" t="e">
        <f t="shared" ca="1" si="12"/>
        <v>#N/A</v>
      </c>
      <c r="L49" s="14" t="e">
        <f t="shared" ca="1" si="12"/>
        <v>#N/A</v>
      </c>
      <c r="M49" s="14" t="e">
        <f t="shared" ca="1" si="12"/>
        <v>#N/A</v>
      </c>
      <c r="N49" s="14" t="e">
        <f t="shared" ca="1" si="12"/>
        <v>#N/A</v>
      </c>
      <c r="O49" s="14" t="e">
        <f t="shared" ca="1" si="12"/>
        <v>#N/A</v>
      </c>
      <c r="P49" s="14" t="e">
        <f t="shared" ca="1" si="12"/>
        <v>#N/A</v>
      </c>
      <c r="Q49" s="14" t="e">
        <f t="shared" ca="1" si="12"/>
        <v>#N/A</v>
      </c>
      <c r="R49" s="14" t="e">
        <f t="shared" ca="1" si="12"/>
        <v>#N/A</v>
      </c>
      <c r="S49" s="14" t="e">
        <f t="shared" ca="1" si="12"/>
        <v>#N/A</v>
      </c>
      <c r="T49" s="14" t="e">
        <f t="shared" ca="1" si="12"/>
        <v>#N/A</v>
      </c>
      <c r="U49" s="14" t="e">
        <f t="shared" ca="1" si="12"/>
        <v>#N/A</v>
      </c>
      <c r="V49" s="14" t="e">
        <f t="shared" ca="1" si="12"/>
        <v>#N/A</v>
      </c>
      <c r="W49" s="14" t="e">
        <f t="shared" ca="1" si="12"/>
        <v>#N/A</v>
      </c>
      <c r="X49" s="14" t="e">
        <f t="shared" ca="1" si="12"/>
        <v>#N/A</v>
      </c>
      <c r="Y49" s="14" t="e">
        <f t="shared" ca="1" si="12"/>
        <v>#N/A</v>
      </c>
      <c r="Z49" s="14" t="e">
        <f t="shared" ca="1" si="12"/>
        <v>#N/A</v>
      </c>
      <c r="AA49" s="14" t="e">
        <f t="shared" ca="1" si="12"/>
        <v>#N/A</v>
      </c>
      <c r="AB49" s="14" t="e">
        <f t="shared" ca="1" si="12"/>
        <v>#N/A</v>
      </c>
      <c r="AC49" s="14" t="e">
        <f t="shared" ca="1" si="12"/>
        <v>#N/A</v>
      </c>
      <c r="AD49" s="14" t="e">
        <f t="shared" ca="1" si="12"/>
        <v>#N/A</v>
      </c>
      <c r="AE49" s="14" t="e">
        <f t="shared" ca="1" si="12"/>
        <v>#N/A</v>
      </c>
      <c r="AF49" s="14" t="e">
        <f t="shared" ca="1" si="12"/>
        <v>#N/A</v>
      </c>
      <c r="AG49" s="14" t="e">
        <f t="shared" ca="1" si="12"/>
        <v>#N/A</v>
      </c>
      <c r="AH49" s="14" t="e">
        <f t="shared" ca="1" si="12"/>
        <v>#N/A</v>
      </c>
      <c r="AI49" s="14" t="e">
        <f t="shared" ca="1" si="12"/>
        <v>#N/A</v>
      </c>
      <c r="AJ49" s="14" t="e">
        <f t="shared" ca="1" si="12"/>
        <v>#N/A</v>
      </c>
      <c r="AK49" s="14" t="e">
        <f t="shared" ca="1" si="12"/>
        <v>#N/A</v>
      </c>
      <c r="AL49" s="14" t="e">
        <f t="shared" ca="1" si="12"/>
        <v>#N/A</v>
      </c>
    </row>
    <row r="50" spans="1:38" ht="21" hidden="1" customHeight="1" outlineLevel="1" thickBot="1" x14ac:dyDescent="0.4">
      <c r="A50" s="5">
        <f t="shared" si="9"/>
        <v>0</v>
      </c>
      <c r="B50" s="5">
        <f t="shared" si="9"/>
        <v>0</v>
      </c>
      <c r="C50" s="5">
        <f t="shared" si="9"/>
        <v>0</v>
      </c>
      <c r="D50" s="5">
        <f t="shared" si="9"/>
        <v>0</v>
      </c>
      <c r="E50" s="6">
        <f t="shared" si="9"/>
        <v>0</v>
      </c>
      <c r="F50" s="14" t="e">
        <f t="shared" ca="1" si="10"/>
        <v>#N/A</v>
      </c>
      <c r="G50" s="14" t="e">
        <f t="shared" ca="1" si="12"/>
        <v>#N/A</v>
      </c>
      <c r="H50" s="14" t="e">
        <f t="shared" ca="1" si="12"/>
        <v>#N/A</v>
      </c>
      <c r="I50" s="14" t="e">
        <f t="shared" ca="1" si="12"/>
        <v>#N/A</v>
      </c>
      <c r="J50" s="14" t="e">
        <f t="shared" ca="1" si="12"/>
        <v>#N/A</v>
      </c>
      <c r="K50" s="14" t="e">
        <f t="shared" ca="1" si="12"/>
        <v>#N/A</v>
      </c>
      <c r="L50" s="14" t="e">
        <f t="shared" ca="1" si="12"/>
        <v>#N/A</v>
      </c>
      <c r="M50" s="14" t="e">
        <f t="shared" ca="1" si="12"/>
        <v>#N/A</v>
      </c>
      <c r="N50" s="14" t="e">
        <f t="shared" ca="1" si="12"/>
        <v>#N/A</v>
      </c>
      <c r="O50" s="14" t="e">
        <f t="shared" ca="1" si="12"/>
        <v>#N/A</v>
      </c>
      <c r="P50" s="14" t="e">
        <f t="shared" ca="1" si="12"/>
        <v>#N/A</v>
      </c>
      <c r="Q50" s="14" t="e">
        <f t="shared" ca="1" si="12"/>
        <v>#N/A</v>
      </c>
      <c r="R50" s="14" t="e">
        <f t="shared" ca="1" si="12"/>
        <v>#N/A</v>
      </c>
      <c r="S50" s="14" t="e">
        <f t="shared" ca="1" si="12"/>
        <v>#N/A</v>
      </c>
      <c r="T50" s="14" t="e">
        <f t="shared" ca="1" si="12"/>
        <v>#N/A</v>
      </c>
      <c r="U50" s="14" t="e">
        <f t="shared" ca="1" si="12"/>
        <v>#N/A</v>
      </c>
      <c r="V50" s="14" t="e">
        <f t="shared" ca="1" si="12"/>
        <v>#N/A</v>
      </c>
      <c r="W50" s="14" t="e">
        <f t="shared" ca="1" si="12"/>
        <v>#N/A</v>
      </c>
      <c r="X50" s="14" t="e">
        <f t="shared" ca="1" si="12"/>
        <v>#N/A</v>
      </c>
      <c r="Y50" s="14" t="e">
        <f t="shared" ca="1" si="12"/>
        <v>#N/A</v>
      </c>
      <c r="Z50" s="14" t="e">
        <f t="shared" ca="1" si="12"/>
        <v>#N/A</v>
      </c>
      <c r="AA50" s="14" t="e">
        <f t="shared" ca="1" si="12"/>
        <v>#N/A</v>
      </c>
      <c r="AB50" s="14" t="e">
        <f t="shared" ca="1" si="12"/>
        <v>#N/A</v>
      </c>
      <c r="AC50" s="14" t="e">
        <f t="shared" ca="1" si="12"/>
        <v>#N/A</v>
      </c>
      <c r="AD50" s="14" t="e">
        <f t="shared" ca="1" si="12"/>
        <v>#N/A</v>
      </c>
      <c r="AE50" s="14" t="e">
        <f t="shared" ca="1" si="12"/>
        <v>#N/A</v>
      </c>
      <c r="AF50" s="14" t="e">
        <f t="shared" ca="1" si="12"/>
        <v>#N/A</v>
      </c>
      <c r="AG50" s="14" t="e">
        <f t="shared" ca="1" si="12"/>
        <v>#N/A</v>
      </c>
      <c r="AH50" s="14" t="e">
        <f t="shared" ca="1" si="12"/>
        <v>#N/A</v>
      </c>
      <c r="AI50" s="14" t="e">
        <f t="shared" ca="1" si="12"/>
        <v>#N/A</v>
      </c>
      <c r="AJ50" s="14" t="e">
        <f t="shared" ca="1" si="12"/>
        <v>#N/A</v>
      </c>
      <c r="AK50" s="14" t="e">
        <f t="shared" ca="1" si="12"/>
        <v>#N/A</v>
      </c>
      <c r="AL50" s="14" t="e">
        <f t="shared" ca="1" si="12"/>
        <v>#N/A</v>
      </c>
    </row>
    <row r="51" spans="1:38" ht="21" hidden="1" customHeight="1" outlineLevel="1" thickBot="1" x14ac:dyDescent="0.4">
      <c r="A51" s="5">
        <f t="shared" si="9"/>
        <v>0</v>
      </c>
      <c r="B51" s="5">
        <f t="shared" si="9"/>
        <v>0</v>
      </c>
      <c r="C51" s="5">
        <f t="shared" si="9"/>
        <v>0</v>
      </c>
      <c r="D51" s="5">
        <f t="shared" si="9"/>
        <v>0</v>
      </c>
      <c r="E51" s="6">
        <f t="shared" si="9"/>
        <v>0</v>
      </c>
      <c r="F51" s="14" t="e">
        <f t="shared" ca="1" si="10"/>
        <v>#N/A</v>
      </c>
      <c r="G51" s="14" t="e">
        <f t="shared" ca="1" si="12"/>
        <v>#N/A</v>
      </c>
      <c r="H51" s="14" t="e">
        <f t="shared" ca="1" si="12"/>
        <v>#N/A</v>
      </c>
      <c r="I51" s="14" t="e">
        <f t="shared" ca="1" si="12"/>
        <v>#N/A</v>
      </c>
      <c r="J51" s="14" t="e">
        <f t="shared" ca="1" si="12"/>
        <v>#N/A</v>
      </c>
      <c r="K51" s="14" t="e">
        <f t="shared" ca="1" si="12"/>
        <v>#N/A</v>
      </c>
      <c r="L51" s="14" t="e">
        <f t="shared" ca="1" si="12"/>
        <v>#N/A</v>
      </c>
      <c r="M51" s="14" t="e">
        <f t="shared" ca="1" si="12"/>
        <v>#N/A</v>
      </c>
      <c r="N51" s="14" t="e">
        <f t="shared" ca="1" si="12"/>
        <v>#N/A</v>
      </c>
      <c r="O51" s="14" t="e">
        <f t="shared" ca="1" si="12"/>
        <v>#N/A</v>
      </c>
      <c r="P51" s="14" t="e">
        <f t="shared" ca="1" si="12"/>
        <v>#N/A</v>
      </c>
      <c r="Q51" s="14" t="e">
        <f t="shared" ca="1" si="12"/>
        <v>#N/A</v>
      </c>
      <c r="R51" s="14" t="e">
        <f t="shared" ca="1" si="12"/>
        <v>#N/A</v>
      </c>
      <c r="S51" s="14" t="e">
        <f t="shared" ca="1" si="12"/>
        <v>#N/A</v>
      </c>
      <c r="T51" s="14" t="e">
        <f t="shared" ca="1" si="12"/>
        <v>#N/A</v>
      </c>
      <c r="U51" s="14" t="e">
        <f t="shared" ca="1" si="12"/>
        <v>#N/A</v>
      </c>
      <c r="V51" s="14" t="e">
        <f t="shared" ca="1" si="12"/>
        <v>#N/A</v>
      </c>
      <c r="W51" s="14" t="e">
        <f t="shared" ca="1" si="12"/>
        <v>#N/A</v>
      </c>
      <c r="X51" s="14" t="e">
        <f t="shared" ca="1" si="12"/>
        <v>#N/A</v>
      </c>
      <c r="Y51" s="14" t="e">
        <f t="shared" ca="1" si="12"/>
        <v>#N/A</v>
      </c>
      <c r="Z51" s="14" t="e">
        <f t="shared" ca="1" si="12"/>
        <v>#N/A</v>
      </c>
      <c r="AA51" s="14" t="e">
        <f t="shared" ca="1" si="12"/>
        <v>#N/A</v>
      </c>
      <c r="AB51" s="14" t="e">
        <f t="shared" ca="1" si="12"/>
        <v>#N/A</v>
      </c>
      <c r="AC51" s="14" t="e">
        <f t="shared" ca="1" si="12"/>
        <v>#N/A</v>
      </c>
      <c r="AD51" s="14" t="e">
        <f t="shared" ca="1" si="12"/>
        <v>#N/A</v>
      </c>
      <c r="AE51" s="14" t="e">
        <f t="shared" ca="1" si="12"/>
        <v>#N/A</v>
      </c>
      <c r="AF51" s="14" t="e">
        <f t="shared" ca="1" si="12"/>
        <v>#N/A</v>
      </c>
      <c r="AG51" s="14" t="e">
        <f t="shared" ca="1" si="12"/>
        <v>#N/A</v>
      </c>
      <c r="AH51" s="14" t="e">
        <f t="shared" ca="1" si="12"/>
        <v>#N/A</v>
      </c>
      <c r="AI51" s="14" t="e">
        <f t="shared" ca="1" si="12"/>
        <v>#N/A</v>
      </c>
      <c r="AJ51" s="14" t="e">
        <f t="shared" ca="1" si="12"/>
        <v>#N/A</v>
      </c>
      <c r="AK51" s="14" t="e">
        <f t="shared" ca="1" si="12"/>
        <v>#N/A</v>
      </c>
      <c r="AL51" s="14" t="e">
        <f t="shared" ca="1" si="12"/>
        <v>#N/A</v>
      </c>
    </row>
    <row r="52" spans="1:38" ht="21" hidden="1" customHeight="1" outlineLevel="1" thickBot="1" x14ac:dyDescent="0.4">
      <c r="A52" s="5">
        <f t="shared" si="9"/>
        <v>0</v>
      </c>
      <c r="B52" s="5">
        <f t="shared" si="9"/>
        <v>0</v>
      </c>
      <c r="C52" s="5">
        <f t="shared" si="9"/>
        <v>0</v>
      </c>
      <c r="D52" s="5">
        <f t="shared" si="9"/>
        <v>0</v>
      </c>
      <c r="E52" s="6">
        <f t="shared" si="9"/>
        <v>0</v>
      </c>
      <c r="F52" s="14" t="e">
        <f t="shared" ca="1" si="10"/>
        <v>#N/A</v>
      </c>
      <c r="G52" s="14" t="e">
        <f t="shared" ca="1" si="12"/>
        <v>#N/A</v>
      </c>
      <c r="H52" s="14" t="e">
        <f t="shared" ca="1" si="12"/>
        <v>#N/A</v>
      </c>
      <c r="I52" s="14" t="e">
        <f t="shared" ca="1" si="12"/>
        <v>#N/A</v>
      </c>
      <c r="J52" s="14" t="e">
        <f t="shared" ca="1" si="12"/>
        <v>#N/A</v>
      </c>
      <c r="K52" s="14" t="e">
        <f t="shared" ca="1" si="12"/>
        <v>#N/A</v>
      </c>
      <c r="L52" s="14" t="e">
        <f t="shared" ca="1" si="12"/>
        <v>#N/A</v>
      </c>
      <c r="M52" s="14" t="e">
        <f t="shared" ca="1" si="12"/>
        <v>#N/A</v>
      </c>
      <c r="N52" s="14" t="e">
        <f t="shared" ca="1" si="12"/>
        <v>#N/A</v>
      </c>
      <c r="O52" s="14" t="e">
        <f t="shared" ca="1" si="12"/>
        <v>#N/A</v>
      </c>
      <c r="P52" s="14" t="e">
        <f t="shared" ca="1" si="12"/>
        <v>#N/A</v>
      </c>
      <c r="Q52" s="14" t="e">
        <f t="shared" ca="1" si="12"/>
        <v>#N/A</v>
      </c>
      <c r="R52" s="14" t="e">
        <f t="shared" ca="1" si="12"/>
        <v>#N/A</v>
      </c>
      <c r="S52" s="14" t="e">
        <f t="shared" ca="1" si="12"/>
        <v>#N/A</v>
      </c>
      <c r="T52" s="14" t="e">
        <f t="shared" ca="1" si="12"/>
        <v>#N/A</v>
      </c>
      <c r="U52" s="14" t="e">
        <f t="shared" ca="1" si="12"/>
        <v>#N/A</v>
      </c>
      <c r="V52" s="14" t="e">
        <f t="shared" ca="1" si="12"/>
        <v>#N/A</v>
      </c>
      <c r="W52" s="14" t="e">
        <f t="shared" ca="1" si="12"/>
        <v>#N/A</v>
      </c>
      <c r="X52" s="14" t="e">
        <f t="shared" ca="1" si="12"/>
        <v>#N/A</v>
      </c>
      <c r="Y52" s="14" t="e">
        <f t="shared" ca="1" si="12"/>
        <v>#N/A</v>
      </c>
      <c r="Z52" s="14" t="e">
        <f t="shared" ca="1" si="12"/>
        <v>#N/A</v>
      </c>
      <c r="AA52" s="14" t="e">
        <f t="shared" ca="1" si="12"/>
        <v>#N/A</v>
      </c>
      <c r="AB52" s="14" t="e">
        <f t="shared" ca="1" si="12"/>
        <v>#N/A</v>
      </c>
      <c r="AC52" s="14" t="e">
        <f t="shared" ca="1" si="12"/>
        <v>#N/A</v>
      </c>
      <c r="AD52" s="14" t="e">
        <f t="shared" ca="1" si="12"/>
        <v>#N/A</v>
      </c>
      <c r="AE52" s="14" t="e">
        <f t="shared" ca="1" si="12"/>
        <v>#N/A</v>
      </c>
      <c r="AF52" s="14" t="e">
        <f t="shared" ca="1" si="12"/>
        <v>#N/A</v>
      </c>
      <c r="AG52" s="14" t="e">
        <f t="shared" ca="1" si="12"/>
        <v>#N/A</v>
      </c>
      <c r="AH52" s="14" t="e">
        <f t="shared" ca="1" si="12"/>
        <v>#N/A</v>
      </c>
      <c r="AI52" s="14" t="e">
        <f t="shared" ca="1" si="12"/>
        <v>#N/A</v>
      </c>
      <c r="AJ52" s="14" t="e">
        <f t="shared" ca="1" si="12"/>
        <v>#N/A</v>
      </c>
      <c r="AK52" s="14" t="e">
        <f t="shared" ca="1" si="12"/>
        <v>#N/A</v>
      </c>
      <c r="AL52" s="14" t="e">
        <f t="shared" ca="1" si="12"/>
        <v>#N/A</v>
      </c>
    </row>
    <row r="53" spans="1:38" ht="21" hidden="1" customHeight="1" outlineLevel="1" thickBot="1" x14ac:dyDescent="0.4">
      <c r="A53" s="5">
        <f t="shared" si="9"/>
        <v>0</v>
      </c>
      <c r="B53" s="5">
        <f t="shared" si="9"/>
        <v>0</v>
      </c>
      <c r="C53" s="5">
        <f t="shared" si="9"/>
        <v>0</v>
      </c>
      <c r="D53" s="5">
        <f t="shared" si="9"/>
        <v>0</v>
      </c>
      <c r="E53" s="6">
        <f t="shared" si="9"/>
        <v>0</v>
      </c>
      <c r="F53" s="14" t="e">
        <f t="shared" ca="1" si="10"/>
        <v>#N/A</v>
      </c>
      <c r="G53" s="14" t="e">
        <f t="shared" ca="1" si="12"/>
        <v>#N/A</v>
      </c>
      <c r="H53" s="14" t="e">
        <f t="shared" ca="1" si="12"/>
        <v>#N/A</v>
      </c>
      <c r="I53" s="14" t="e">
        <f t="shared" ca="1" si="12"/>
        <v>#N/A</v>
      </c>
      <c r="J53" s="14" t="e">
        <f t="shared" ca="1" si="12"/>
        <v>#N/A</v>
      </c>
      <c r="K53" s="14" t="e">
        <f t="shared" ca="1" si="12"/>
        <v>#N/A</v>
      </c>
      <c r="L53" s="14" t="e">
        <f t="shared" ca="1" si="12"/>
        <v>#N/A</v>
      </c>
      <c r="M53" s="14" t="e">
        <f t="shared" ca="1" si="12"/>
        <v>#N/A</v>
      </c>
      <c r="N53" s="14" t="e">
        <f t="shared" ca="1" si="12"/>
        <v>#N/A</v>
      </c>
      <c r="O53" s="14" t="e">
        <f t="shared" ca="1" si="12"/>
        <v>#N/A</v>
      </c>
      <c r="P53" s="14" t="e">
        <f t="shared" ca="1" si="12"/>
        <v>#N/A</v>
      </c>
      <c r="Q53" s="14" t="e">
        <f t="shared" ca="1" si="12"/>
        <v>#N/A</v>
      </c>
      <c r="R53" s="14" t="e">
        <f t="shared" ca="1" si="12"/>
        <v>#N/A</v>
      </c>
      <c r="S53" s="14" t="e">
        <f t="shared" ca="1" si="12"/>
        <v>#N/A</v>
      </c>
      <c r="T53" s="14" t="e">
        <f t="shared" ca="1" si="12"/>
        <v>#N/A</v>
      </c>
      <c r="U53" s="14" t="e">
        <f t="shared" ca="1" si="12"/>
        <v>#N/A</v>
      </c>
      <c r="V53" s="14" t="e">
        <f t="shared" ca="1" si="12"/>
        <v>#N/A</v>
      </c>
      <c r="W53" s="14" t="e">
        <f t="shared" ca="1" si="12"/>
        <v>#N/A</v>
      </c>
      <c r="X53" s="14" t="e">
        <f t="shared" ca="1" si="12"/>
        <v>#N/A</v>
      </c>
      <c r="Y53" s="14" t="e">
        <f t="shared" ca="1" si="12"/>
        <v>#N/A</v>
      </c>
      <c r="Z53" s="14" t="e">
        <f t="shared" ca="1" si="12"/>
        <v>#N/A</v>
      </c>
      <c r="AA53" s="14" t="e">
        <f t="shared" ca="1" si="12"/>
        <v>#N/A</v>
      </c>
      <c r="AB53" s="14" t="e">
        <f t="shared" ca="1" si="12"/>
        <v>#N/A</v>
      </c>
      <c r="AC53" s="14" t="e">
        <f t="shared" ca="1" si="12"/>
        <v>#N/A</v>
      </c>
      <c r="AD53" s="14" t="e">
        <f t="shared" ca="1" si="12"/>
        <v>#N/A</v>
      </c>
      <c r="AE53" s="14" t="e">
        <f t="shared" ca="1" si="12"/>
        <v>#N/A</v>
      </c>
      <c r="AF53" s="14" t="e">
        <f t="shared" ca="1" si="12"/>
        <v>#N/A</v>
      </c>
      <c r="AG53" s="14" t="e">
        <f t="shared" ca="1" si="12"/>
        <v>#N/A</v>
      </c>
      <c r="AH53" s="14" t="e">
        <f t="shared" ca="1" si="12"/>
        <v>#N/A</v>
      </c>
      <c r="AI53" s="14" t="e">
        <f t="shared" ca="1" si="12"/>
        <v>#N/A</v>
      </c>
      <c r="AJ53" s="14" t="e">
        <f t="shared" ca="1" si="12"/>
        <v>#N/A</v>
      </c>
      <c r="AK53" s="14" t="e">
        <f t="shared" ca="1" si="12"/>
        <v>#N/A</v>
      </c>
      <c r="AL53" s="14" t="e">
        <f t="shared" ca="1" si="12"/>
        <v>#N/A</v>
      </c>
    </row>
    <row r="54" spans="1:38" ht="21" hidden="1" customHeight="1" outlineLevel="1" thickBot="1" x14ac:dyDescent="0.4">
      <c r="A54" s="5">
        <f t="shared" si="9"/>
        <v>0</v>
      </c>
      <c r="B54" s="5">
        <f t="shared" si="9"/>
        <v>0</v>
      </c>
      <c r="C54" s="5">
        <f t="shared" si="9"/>
        <v>0</v>
      </c>
      <c r="D54" s="5">
        <f t="shared" si="9"/>
        <v>0</v>
      </c>
      <c r="E54" s="6">
        <f t="shared" si="9"/>
        <v>0</v>
      </c>
      <c r="F54" s="14" t="e">
        <f t="shared" ca="1" si="10"/>
        <v>#N/A</v>
      </c>
      <c r="G54" s="14" t="e">
        <f t="shared" ca="1" si="12"/>
        <v>#N/A</v>
      </c>
      <c r="H54" s="14" t="e">
        <f t="shared" ca="1" si="12"/>
        <v>#N/A</v>
      </c>
      <c r="I54" s="14" t="e">
        <f t="shared" ca="1" si="12"/>
        <v>#N/A</v>
      </c>
      <c r="J54" s="14" t="e">
        <f t="shared" ca="1" si="12"/>
        <v>#N/A</v>
      </c>
      <c r="K54" s="14" t="e">
        <f t="shared" ca="1" si="12"/>
        <v>#N/A</v>
      </c>
      <c r="L54" s="14" t="e">
        <f t="shared" ca="1" si="12"/>
        <v>#N/A</v>
      </c>
      <c r="M54" s="14" t="e">
        <f t="shared" ca="1" si="12"/>
        <v>#N/A</v>
      </c>
      <c r="N54" s="14" t="e">
        <f t="shared" ca="1" si="12"/>
        <v>#N/A</v>
      </c>
      <c r="O54" s="14" t="e">
        <f t="shared" ca="1" si="12"/>
        <v>#N/A</v>
      </c>
      <c r="P54" s="14" t="e">
        <f t="shared" ca="1" si="12"/>
        <v>#N/A</v>
      </c>
      <c r="Q54" s="14" t="e">
        <f t="shared" ca="1" si="12"/>
        <v>#N/A</v>
      </c>
      <c r="R54" s="14" t="e">
        <f t="shared" ca="1" si="12"/>
        <v>#N/A</v>
      </c>
      <c r="S54" s="14" t="e">
        <f t="shared" ca="1" si="12"/>
        <v>#N/A</v>
      </c>
      <c r="T54" s="14" t="e">
        <f t="shared" ca="1" si="12"/>
        <v>#N/A</v>
      </c>
      <c r="U54" s="14" t="e">
        <f t="shared" ref="U54:AL54" ca="1" si="13">$A54*H.Ar + $B54*H.Se + $C54*H.Ge + $D54*H.Ga</f>
        <v>#N/A</v>
      </c>
      <c r="V54" s="14" t="e">
        <f t="shared" ca="1" si="13"/>
        <v>#N/A</v>
      </c>
      <c r="W54" s="14" t="e">
        <f t="shared" ca="1" si="13"/>
        <v>#N/A</v>
      </c>
      <c r="X54" s="14" t="e">
        <f t="shared" ca="1" si="13"/>
        <v>#N/A</v>
      </c>
      <c r="Y54" s="14" t="e">
        <f t="shared" ca="1" si="13"/>
        <v>#N/A</v>
      </c>
      <c r="Z54" s="14" t="e">
        <f t="shared" ca="1" si="13"/>
        <v>#N/A</v>
      </c>
      <c r="AA54" s="14" t="e">
        <f t="shared" ca="1" si="13"/>
        <v>#N/A</v>
      </c>
      <c r="AB54" s="14" t="e">
        <f t="shared" ca="1" si="13"/>
        <v>#N/A</v>
      </c>
      <c r="AC54" s="14" t="e">
        <f t="shared" ca="1" si="13"/>
        <v>#N/A</v>
      </c>
      <c r="AD54" s="14" t="e">
        <f t="shared" ca="1" si="13"/>
        <v>#N/A</v>
      </c>
      <c r="AE54" s="14" t="e">
        <f t="shared" ca="1" si="13"/>
        <v>#N/A</v>
      </c>
      <c r="AF54" s="14" t="e">
        <f t="shared" ca="1" si="13"/>
        <v>#N/A</v>
      </c>
      <c r="AG54" s="14" t="e">
        <f t="shared" ca="1" si="13"/>
        <v>#N/A</v>
      </c>
      <c r="AH54" s="14" t="e">
        <f t="shared" ca="1" si="13"/>
        <v>#N/A</v>
      </c>
      <c r="AI54" s="14" t="e">
        <f t="shared" ca="1" si="13"/>
        <v>#N/A</v>
      </c>
      <c r="AJ54" s="14" t="e">
        <f t="shared" ca="1" si="13"/>
        <v>#N/A</v>
      </c>
      <c r="AK54" s="14" t="e">
        <f t="shared" ca="1" si="13"/>
        <v>#N/A</v>
      </c>
      <c r="AL54" s="14" t="e">
        <f t="shared" ca="1" si="13"/>
        <v>#N/A</v>
      </c>
    </row>
    <row r="55" spans="1:38" ht="21" hidden="1" customHeight="1" outlineLevel="1" thickBot="1" x14ac:dyDescent="0.4">
      <c r="A55" s="5">
        <f t="shared" si="9"/>
        <v>0</v>
      </c>
      <c r="B55" s="5">
        <f t="shared" si="9"/>
        <v>0</v>
      </c>
      <c r="C55" s="5">
        <f t="shared" si="9"/>
        <v>0</v>
      </c>
      <c r="D55" s="5">
        <f t="shared" si="9"/>
        <v>0</v>
      </c>
      <c r="E55" s="6">
        <f t="shared" si="9"/>
        <v>0</v>
      </c>
      <c r="F55" s="14" t="e">
        <f t="shared" ca="1" si="10"/>
        <v>#N/A</v>
      </c>
      <c r="G55" s="14" t="e">
        <f t="shared" ref="G55:AL62" ca="1" si="14">$A55*H.Ar + $B55*H.Se + $C55*H.Ge + $D55*H.Ga</f>
        <v>#N/A</v>
      </c>
      <c r="H55" s="14" t="e">
        <f t="shared" ca="1" si="14"/>
        <v>#N/A</v>
      </c>
      <c r="I55" s="14" t="e">
        <f t="shared" ca="1" si="14"/>
        <v>#N/A</v>
      </c>
      <c r="J55" s="14" t="e">
        <f t="shared" ca="1" si="14"/>
        <v>#N/A</v>
      </c>
      <c r="K55" s="14" t="e">
        <f t="shared" ca="1" si="14"/>
        <v>#N/A</v>
      </c>
      <c r="L55" s="14" t="e">
        <f t="shared" ca="1" si="14"/>
        <v>#N/A</v>
      </c>
      <c r="M55" s="14" t="e">
        <f t="shared" ca="1" si="14"/>
        <v>#N/A</v>
      </c>
      <c r="N55" s="14" t="e">
        <f t="shared" ca="1" si="14"/>
        <v>#N/A</v>
      </c>
      <c r="O55" s="14" t="e">
        <f t="shared" ca="1" si="14"/>
        <v>#N/A</v>
      </c>
      <c r="P55" s="14" t="e">
        <f t="shared" ca="1" si="14"/>
        <v>#N/A</v>
      </c>
      <c r="Q55" s="14" t="e">
        <f t="shared" ca="1" si="14"/>
        <v>#N/A</v>
      </c>
      <c r="R55" s="14" t="e">
        <f t="shared" ca="1" si="14"/>
        <v>#N/A</v>
      </c>
      <c r="S55" s="14" t="e">
        <f t="shared" ca="1" si="14"/>
        <v>#N/A</v>
      </c>
      <c r="T55" s="14" t="e">
        <f t="shared" ca="1" si="14"/>
        <v>#N/A</v>
      </c>
      <c r="U55" s="14" t="e">
        <f t="shared" ca="1" si="14"/>
        <v>#N/A</v>
      </c>
      <c r="V55" s="14" t="e">
        <f t="shared" ca="1" si="14"/>
        <v>#N/A</v>
      </c>
      <c r="W55" s="14" t="e">
        <f t="shared" ca="1" si="14"/>
        <v>#N/A</v>
      </c>
      <c r="X55" s="14" t="e">
        <f t="shared" ca="1" si="14"/>
        <v>#N/A</v>
      </c>
      <c r="Y55" s="14" t="e">
        <f t="shared" ca="1" si="14"/>
        <v>#N/A</v>
      </c>
      <c r="Z55" s="14" t="e">
        <f t="shared" ca="1" si="14"/>
        <v>#N/A</v>
      </c>
      <c r="AA55" s="14" t="e">
        <f t="shared" ca="1" si="14"/>
        <v>#N/A</v>
      </c>
      <c r="AB55" s="14" t="e">
        <f t="shared" ca="1" si="14"/>
        <v>#N/A</v>
      </c>
      <c r="AC55" s="14" t="e">
        <f t="shared" ca="1" si="14"/>
        <v>#N/A</v>
      </c>
      <c r="AD55" s="14" t="e">
        <f t="shared" ca="1" si="14"/>
        <v>#N/A</v>
      </c>
      <c r="AE55" s="14" t="e">
        <f t="shared" ca="1" si="14"/>
        <v>#N/A</v>
      </c>
      <c r="AF55" s="14" t="e">
        <f t="shared" ca="1" si="14"/>
        <v>#N/A</v>
      </c>
      <c r="AG55" s="14" t="e">
        <f t="shared" ca="1" si="14"/>
        <v>#N/A</v>
      </c>
      <c r="AH55" s="14" t="e">
        <f t="shared" ca="1" si="14"/>
        <v>#N/A</v>
      </c>
      <c r="AI55" s="14" t="e">
        <f t="shared" ca="1" si="14"/>
        <v>#N/A</v>
      </c>
      <c r="AJ55" s="14" t="e">
        <f t="shared" ca="1" si="14"/>
        <v>#N/A</v>
      </c>
      <c r="AK55" s="14" t="e">
        <f t="shared" ca="1" si="14"/>
        <v>#N/A</v>
      </c>
      <c r="AL55" s="14" t="e">
        <f t="shared" ca="1" si="14"/>
        <v>#N/A</v>
      </c>
    </row>
    <row r="56" spans="1:38" ht="21" hidden="1" customHeight="1" outlineLevel="1" thickBot="1" x14ac:dyDescent="0.4">
      <c r="A56" s="5">
        <f t="shared" ref="A56:E65" si="15">A14</f>
        <v>0</v>
      </c>
      <c r="B56" s="5">
        <f t="shared" si="15"/>
        <v>0</v>
      </c>
      <c r="C56" s="5">
        <f t="shared" si="15"/>
        <v>0</v>
      </c>
      <c r="D56" s="5">
        <f t="shared" si="15"/>
        <v>0</v>
      </c>
      <c r="E56" s="6">
        <f t="shared" si="15"/>
        <v>0</v>
      </c>
      <c r="F56" s="14" t="e">
        <f t="shared" ref="F56:U65" ca="1" si="16">$A56*H.Ar + $B56*H.Se + $C56*H.Ge + $D56*H.Ga</f>
        <v>#N/A</v>
      </c>
      <c r="G56" s="14" t="e">
        <f t="shared" ca="1" si="16"/>
        <v>#N/A</v>
      </c>
      <c r="H56" s="14" t="e">
        <f t="shared" ca="1" si="16"/>
        <v>#N/A</v>
      </c>
      <c r="I56" s="14" t="e">
        <f t="shared" ca="1" si="16"/>
        <v>#N/A</v>
      </c>
      <c r="J56" s="14" t="e">
        <f t="shared" ca="1" si="16"/>
        <v>#N/A</v>
      </c>
      <c r="K56" s="14" t="e">
        <f t="shared" ca="1" si="16"/>
        <v>#N/A</v>
      </c>
      <c r="L56" s="14" t="e">
        <f t="shared" ca="1" si="16"/>
        <v>#N/A</v>
      </c>
      <c r="M56" s="14" t="e">
        <f t="shared" ca="1" si="16"/>
        <v>#N/A</v>
      </c>
      <c r="N56" s="14" t="e">
        <f t="shared" ca="1" si="16"/>
        <v>#N/A</v>
      </c>
      <c r="O56" s="14" t="e">
        <f t="shared" ca="1" si="16"/>
        <v>#N/A</v>
      </c>
      <c r="P56" s="14" t="e">
        <f t="shared" ca="1" si="16"/>
        <v>#N/A</v>
      </c>
      <c r="Q56" s="14" t="e">
        <f t="shared" ca="1" si="16"/>
        <v>#N/A</v>
      </c>
      <c r="R56" s="14" t="e">
        <f t="shared" ca="1" si="16"/>
        <v>#N/A</v>
      </c>
      <c r="S56" s="14" t="e">
        <f t="shared" ca="1" si="16"/>
        <v>#N/A</v>
      </c>
      <c r="T56" s="14" t="e">
        <f t="shared" ca="1" si="16"/>
        <v>#N/A</v>
      </c>
      <c r="U56" s="14" t="e">
        <f t="shared" ca="1" si="16"/>
        <v>#N/A</v>
      </c>
      <c r="V56" s="14" t="e">
        <f t="shared" ca="1" si="14"/>
        <v>#N/A</v>
      </c>
      <c r="W56" s="14" t="e">
        <f t="shared" ca="1" si="14"/>
        <v>#N/A</v>
      </c>
      <c r="X56" s="14" t="e">
        <f t="shared" ca="1" si="14"/>
        <v>#N/A</v>
      </c>
      <c r="Y56" s="14" t="e">
        <f t="shared" ca="1" si="14"/>
        <v>#N/A</v>
      </c>
      <c r="Z56" s="14" t="e">
        <f t="shared" ca="1" si="14"/>
        <v>#N/A</v>
      </c>
      <c r="AA56" s="14" t="e">
        <f t="shared" ca="1" si="14"/>
        <v>#N/A</v>
      </c>
      <c r="AB56" s="14" t="e">
        <f t="shared" ca="1" si="14"/>
        <v>#N/A</v>
      </c>
      <c r="AC56" s="14" t="e">
        <f t="shared" ca="1" si="14"/>
        <v>#N/A</v>
      </c>
      <c r="AD56" s="14" t="e">
        <f t="shared" ca="1" si="14"/>
        <v>#N/A</v>
      </c>
      <c r="AE56" s="14" t="e">
        <f t="shared" ca="1" si="14"/>
        <v>#N/A</v>
      </c>
      <c r="AF56" s="14" t="e">
        <f t="shared" ca="1" si="14"/>
        <v>#N/A</v>
      </c>
      <c r="AG56" s="14" t="e">
        <f t="shared" ca="1" si="14"/>
        <v>#N/A</v>
      </c>
      <c r="AH56" s="14" t="e">
        <f t="shared" ca="1" si="14"/>
        <v>#N/A</v>
      </c>
      <c r="AI56" s="14" t="e">
        <f t="shared" ca="1" si="14"/>
        <v>#N/A</v>
      </c>
      <c r="AJ56" s="14" t="e">
        <f t="shared" ca="1" si="14"/>
        <v>#N/A</v>
      </c>
      <c r="AK56" s="14" t="e">
        <f t="shared" ca="1" si="14"/>
        <v>#N/A</v>
      </c>
      <c r="AL56" s="14" t="e">
        <f t="shared" ca="1" si="14"/>
        <v>#N/A</v>
      </c>
    </row>
    <row r="57" spans="1:38" ht="21" hidden="1" customHeight="1" outlineLevel="1" thickBot="1" x14ac:dyDescent="0.4">
      <c r="A57" s="5">
        <f t="shared" si="15"/>
        <v>0</v>
      </c>
      <c r="B57" s="5">
        <f t="shared" si="15"/>
        <v>0</v>
      </c>
      <c r="C57" s="5">
        <f t="shared" si="15"/>
        <v>0</v>
      </c>
      <c r="D57" s="5">
        <f t="shared" si="15"/>
        <v>0</v>
      </c>
      <c r="E57" s="6">
        <f t="shared" si="15"/>
        <v>0</v>
      </c>
      <c r="F57" s="14" t="e">
        <f t="shared" ca="1" si="16"/>
        <v>#N/A</v>
      </c>
      <c r="G57" s="14" t="e">
        <f t="shared" ca="1" si="14"/>
        <v>#N/A</v>
      </c>
      <c r="H57" s="14" t="e">
        <f t="shared" ca="1" si="14"/>
        <v>#N/A</v>
      </c>
      <c r="I57" s="14" t="e">
        <f t="shared" ca="1" si="14"/>
        <v>#N/A</v>
      </c>
      <c r="J57" s="14" t="e">
        <f t="shared" ca="1" si="14"/>
        <v>#N/A</v>
      </c>
      <c r="K57" s="14" t="e">
        <f t="shared" ca="1" si="14"/>
        <v>#N/A</v>
      </c>
      <c r="L57" s="14" t="e">
        <f t="shared" ca="1" si="14"/>
        <v>#N/A</v>
      </c>
      <c r="M57" s="14" t="e">
        <f t="shared" ca="1" si="14"/>
        <v>#N/A</v>
      </c>
      <c r="N57" s="14" t="e">
        <f t="shared" ca="1" si="14"/>
        <v>#N/A</v>
      </c>
      <c r="O57" s="14" t="e">
        <f t="shared" ca="1" si="14"/>
        <v>#N/A</v>
      </c>
      <c r="P57" s="14" t="e">
        <f t="shared" ca="1" si="14"/>
        <v>#N/A</v>
      </c>
      <c r="Q57" s="14" t="e">
        <f t="shared" ca="1" si="14"/>
        <v>#N/A</v>
      </c>
      <c r="R57" s="14" t="e">
        <f t="shared" ca="1" si="14"/>
        <v>#N/A</v>
      </c>
      <c r="S57" s="14" t="e">
        <f t="shared" ca="1" si="14"/>
        <v>#N/A</v>
      </c>
      <c r="T57" s="14" t="e">
        <f t="shared" ca="1" si="14"/>
        <v>#N/A</v>
      </c>
      <c r="U57" s="14" t="e">
        <f t="shared" ca="1" si="14"/>
        <v>#N/A</v>
      </c>
      <c r="V57" s="14" t="e">
        <f t="shared" ca="1" si="14"/>
        <v>#N/A</v>
      </c>
      <c r="W57" s="14" t="e">
        <f t="shared" ca="1" si="14"/>
        <v>#N/A</v>
      </c>
      <c r="X57" s="14" t="e">
        <f t="shared" ca="1" si="14"/>
        <v>#N/A</v>
      </c>
      <c r="Y57" s="14" t="e">
        <f t="shared" ca="1" si="14"/>
        <v>#N/A</v>
      </c>
      <c r="Z57" s="14" t="e">
        <f t="shared" ca="1" si="14"/>
        <v>#N/A</v>
      </c>
      <c r="AA57" s="14" t="e">
        <f t="shared" ca="1" si="14"/>
        <v>#N/A</v>
      </c>
      <c r="AB57" s="14" t="e">
        <f t="shared" ca="1" si="14"/>
        <v>#N/A</v>
      </c>
      <c r="AC57" s="14" t="e">
        <f t="shared" ca="1" si="14"/>
        <v>#N/A</v>
      </c>
      <c r="AD57" s="14" t="e">
        <f t="shared" ca="1" si="14"/>
        <v>#N/A</v>
      </c>
      <c r="AE57" s="14" t="e">
        <f t="shared" ca="1" si="14"/>
        <v>#N/A</v>
      </c>
      <c r="AF57" s="14" t="e">
        <f t="shared" ca="1" si="14"/>
        <v>#N/A</v>
      </c>
      <c r="AG57" s="14" t="e">
        <f t="shared" ca="1" si="14"/>
        <v>#N/A</v>
      </c>
      <c r="AH57" s="14" t="e">
        <f t="shared" ca="1" si="14"/>
        <v>#N/A</v>
      </c>
      <c r="AI57" s="14" t="e">
        <f t="shared" ca="1" si="14"/>
        <v>#N/A</v>
      </c>
      <c r="AJ57" s="14" t="e">
        <f t="shared" ca="1" si="14"/>
        <v>#N/A</v>
      </c>
      <c r="AK57" s="14" t="e">
        <f t="shared" ca="1" si="14"/>
        <v>#N/A</v>
      </c>
      <c r="AL57" s="14" t="e">
        <f t="shared" ca="1" si="14"/>
        <v>#N/A</v>
      </c>
    </row>
    <row r="58" spans="1:38" ht="21" hidden="1" customHeight="1" outlineLevel="1" thickBot="1" x14ac:dyDescent="0.4">
      <c r="A58" s="5">
        <f t="shared" si="15"/>
        <v>0</v>
      </c>
      <c r="B58" s="5">
        <f t="shared" si="15"/>
        <v>0</v>
      </c>
      <c r="C58" s="5">
        <f t="shared" si="15"/>
        <v>0</v>
      </c>
      <c r="D58" s="5">
        <f t="shared" si="15"/>
        <v>0</v>
      </c>
      <c r="E58" s="6">
        <f t="shared" si="15"/>
        <v>0</v>
      </c>
      <c r="F58" s="14" t="e">
        <f t="shared" ca="1" si="16"/>
        <v>#N/A</v>
      </c>
      <c r="G58" s="14" t="e">
        <f t="shared" ca="1" si="14"/>
        <v>#N/A</v>
      </c>
      <c r="H58" s="14" t="e">
        <f t="shared" ca="1" si="14"/>
        <v>#N/A</v>
      </c>
      <c r="I58" s="14" t="e">
        <f t="shared" ca="1" si="14"/>
        <v>#N/A</v>
      </c>
      <c r="J58" s="14" t="e">
        <f t="shared" ca="1" si="14"/>
        <v>#N/A</v>
      </c>
      <c r="K58" s="14" t="e">
        <f t="shared" ca="1" si="14"/>
        <v>#N/A</v>
      </c>
      <c r="L58" s="14" t="e">
        <f t="shared" ca="1" si="14"/>
        <v>#N/A</v>
      </c>
      <c r="M58" s="14" t="e">
        <f t="shared" ca="1" si="14"/>
        <v>#N/A</v>
      </c>
      <c r="N58" s="14" t="e">
        <f t="shared" ca="1" si="14"/>
        <v>#N/A</v>
      </c>
      <c r="O58" s="14" t="e">
        <f t="shared" ca="1" si="14"/>
        <v>#N/A</v>
      </c>
      <c r="P58" s="14" t="e">
        <f t="shared" ca="1" si="14"/>
        <v>#N/A</v>
      </c>
      <c r="Q58" s="14" t="e">
        <f t="shared" ca="1" si="14"/>
        <v>#N/A</v>
      </c>
      <c r="R58" s="14" t="e">
        <f t="shared" ca="1" si="14"/>
        <v>#N/A</v>
      </c>
      <c r="S58" s="14" t="e">
        <f t="shared" ca="1" si="14"/>
        <v>#N/A</v>
      </c>
      <c r="T58" s="14" t="e">
        <f t="shared" ca="1" si="14"/>
        <v>#N/A</v>
      </c>
      <c r="U58" s="14" t="e">
        <f t="shared" ca="1" si="14"/>
        <v>#N/A</v>
      </c>
      <c r="V58" s="14" t="e">
        <f t="shared" ca="1" si="14"/>
        <v>#N/A</v>
      </c>
      <c r="W58" s="14" t="e">
        <f t="shared" ca="1" si="14"/>
        <v>#N/A</v>
      </c>
      <c r="X58" s="14" t="e">
        <f t="shared" ca="1" si="14"/>
        <v>#N/A</v>
      </c>
      <c r="Y58" s="14" t="e">
        <f t="shared" ca="1" si="14"/>
        <v>#N/A</v>
      </c>
      <c r="Z58" s="14" t="e">
        <f t="shared" ca="1" si="14"/>
        <v>#N/A</v>
      </c>
      <c r="AA58" s="14" t="e">
        <f t="shared" ca="1" si="14"/>
        <v>#N/A</v>
      </c>
      <c r="AB58" s="14" t="e">
        <f t="shared" ca="1" si="14"/>
        <v>#N/A</v>
      </c>
      <c r="AC58" s="14" t="e">
        <f t="shared" ca="1" si="14"/>
        <v>#N/A</v>
      </c>
      <c r="AD58" s="14" t="e">
        <f t="shared" ca="1" si="14"/>
        <v>#N/A</v>
      </c>
      <c r="AE58" s="14" t="e">
        <f t="shared" ca="1" si="14"/>
        <v>#N/A</v>
      </c>
      <c r="AF58" s="14" t="e">
        <f t="shared" ca="1" si="14"/>
        <v>#N/A</v>
      </c>
      <c r="AG58" s="14" t="e">
        <f t="shared" ca="1" si="14"/>
        <v>#N/A</v>
      </c>
      <c r="AH58" s="14" t="e">
        <f t="shared" ca="1" si="14"/>
        <v>#N/A</v>
      </c>
      <c r="AI58" s="14" t="e">
        <f t="shared" ca="1" si="14"/>
        <v>#N/A</v>
      </c>
      <c r="AJ58" s="14" t="e">
        <f t="shared" ca="1" si="14"/>
        <v>#N/A</v>
      </c>
      <c r="AK58" s="14" t="e">
        <f t="shared" ca="1" si="14"/>
        <v>#N/A</v>
      </c>
      <c r="AL58" s="14" t="e">
        <f t="shared" ca="1" si="14"/>
        <v>#N/A</v>
      </c>
    </row>
    <row r="59" spans="1:38" ht="21" hidden="1" customHeight="1" outlineLevel="1" thickBot="1" x14ac:dyDescent="0.4">
      <c r="A59" s="5">
        <f t="shared" si="15"/>
        <v>0</v>
      </c>
      <c r="B59" s="5">
        <f t="shared" si="15"/>
        <v>0</v>
      </c>
      <c r="C59" s="5">
        <f t="shared" si="15"/>
        <v>0</v>
      </c>
      <c r="D59" s="5">
        <f t="shared" si="15"/>
        <v>0</v>
      </c>
      <c r="E59" s="6">
        <f t="shared" si="15"/>
        <v>0</v>
      </c>
      <c r="F59" s="14" t="e">
        <f t="shared" ca="1" si="16"/>
        <v>#N/A</v>
      </c>
      <c r="G59" s="14" t="e">
        <f t="shared" ca="1" si="14"/>
        <v>#N/A</v>
      </c>
      <c r="H59" s="14" t="e">
        <f t="shared" ca="1" si="14"/>
        <v>#N/A</v>
      </c>
      <c r="I59" s="14" t="e">
        <f t="shared" ca="1" si="14"/>
        <v>#N/A</v>
      </c>
      <c r="J59" s="14" t="e">
        <f t="shared" ca="1" si="14"/>
        <v>#N/A</v>
      </c>
      <c r="K59" s="14" t="e">
        <f t="shared" ca="1" si="14"/>
        <v>#N/A</v>
      </c>
      <c r="L59" s="14" t="e">
        <f t="shared" ca="1" si="14"/>
        <v>#N/A</v>
      </c>
      <c r="M59" s="14" t="e">
        <f t="shared" ca="1" si="14"/>
        <v>#N/A</v>
      </c>
      <c r="N59" s="14" t="e">
        <f t="shared" ca="1" si="14"/>
        <v>#N/A</v>
      </c>
      <c r="O59" s="14" t="e">
        <f t="shared" ca="1" si="14"/>
        <v>#N/A</v>
      </c>
      <c r="P59" s="14" t="e">
        <f t="shared" ca="1" si="14"/>
        <v>#N/A</v>
      </c>
      <c r="Q59" s="14" t="e">
        <f t="shared" ca="1" si="14"/>
        <v>#N/A</v>
      </c>
      <c r="R59" s="14" t="e">
        <f t="shared" ca="1" si="14"/>
        <v>#N/A</v>
      </c>
      <c r="S59" s="14" t="e">
        <f t="shared" ca="1" si="14"/>
        <v>#N/A</v>
      </c>
      <c r="T59" s="14" t="e">
        <f t="shared" ca="1" si="14"/>
        <v>#N/A</v>
      </c>
      <c r="U59" s="14" t="e">
        <f t="shared" ca="1" si="14"/>
        <v>#N/A</v>
      </c>
      <c r="V59" s="14" t="e">
        <f t="shared" ca="1" si="14"/>
        <v>#N/A</v>
      </c>
      <c r="W59" s="14" t="e">
        <f t="shared" ca="1" si="14"/>
        <v>#N/A</v>
      </c>
      <c r="X59" s="14" t="e">
        <f t="shared" ca="1" si="14"/>
        <v>#N/A</v>
      </c>
      <c r="Y59" s="14" t="e">
        <f t="shared" ca="1" si="14"/>
        <v>#N/A</v>
      </c>
      <c r="Z59" s="14" t="e">
        <f t="shared" ca="1" si="14"/>
        <v>#N/A</v>
      </c>
      <c r="AA59" s="14" t="e">
        <f t="shared" ca="1" si="14"/>
        <v>#N/A</v>
      </c>
      <c r="AB59" s="14" t="e">
        <f t="shared" ca="1" si="14"/>
        <v>#N/A</v>
      </c>
      <c r="AC59" s="14" t="e">
        <f t="shared" ca="1" si="14"/>
        <v>#N/A</v>
      </c>
      <c r="AD59" s="14" t="e">
        <f t="shared" ca="1" si="14"/>
        <v>#N/A</v>
      </c>
      <c r="AE59" s="14" t="e">
        <f t="shared" ca="1" si="14"/>
        <v>#N/A</v>
      </c>
      <c r="AF59" s="14" t="e">
        <f t="shared" ca="1" si="14"/>
        <v>#N/A</v>
      </c>
      <c r="AG59" s="14" t="e">
        <f t="shared" ca="1" si="14"/>
        <v>#N/A</v>
      </c>
      <c r="AH59" s="14" t="e">
        <f t="shared" ca="1" si="14"/>
        <v>#N/A</v>
      </c>
      <c r="AI59" s="14" t="e">
        <f t="shared" ca="1" si="14"/>
        <v>#N/A</v>
      </c>
      <c r="AJ59" s="14" t="e">
        <f t="shared" ca="1" si="14"/>
        <v>#N/A</v>
      </c>
      <c r="AK59" s="14" t="e">
        <f t="shared" ca="1" si="14"/>
        <v>#N/A</v>
      </c>
      <c r="AL59" s="14" t="e">
        <f t="shared" ca="1" si="14"/>
        <v>#N/A</v>
      </c>
    </row>
    <row r="60" spans="1:38" ht="21" hidden="1" customHeight="1" outlineLevel="1" thickBot="1" x14ac:dyDescent="0.4">
      <c r="A60" s="5">
        <f t="shared" si="15"/>
        <v>0</v>
      </c>
      <c r="B60" s="5">
        <f t="shared" si="15"/>
        <v>0</v>
      </c>
      <c r="C60" s="5">
        <f t="shared" si="15"/>
        <v>0</v>
      </c>
      <c r="D60" s="5">
        <f t="shared" si="15"/>
        <v>0</v>
      </c>
      <c r="E60" s="6">
        <f t="shared" si="15"/>
        <v>0</v>
      </c>
      <c r="F60" s="14" t="e">
        <f t="shared" ca="1" si="16"/>
        <v>#N/A</v>
      </c>
      <c r="G60" s="14" t="e">
        <f t="shared" ca="1" si="14"/>
        <v>#N/A</v>
      </c>
      <c r="H60" s="14" t="e">
        <f t="shared" ca="1" si="14"/>
        <v>#N/A</v>
      </c>
      <c r="I60" s="14" t="e">
        <f t="shared" ca="1" si="14"/>
        <v>#N/A</v>
      </c>
      <c r="J60" s="14" t="e">
        <f t="shared" ca="1" si="14"/>
        <v>#N/A</v>
      </c>
      <c r="K60" s="14" t="e">
        <f t="shared" ca="1" si="14"/>
        <v>#N/A</v>
      </c>
      <c r="L60" s="14" t="e">
        <f t="shared" ca="1" si="14"/>
        <v>#N/A</v>
      </c>
      <c r="M60" s="14" t="e">
        <f t="shared" ca="1" si="14"/>
        <v>#N/A</v>
      </c>
      <c r="N60" s="14" t="e">
        <f t="shared" ca="1" si="14"/>
        <v>#N/A</v>
      </c>
      <c r="O60" s="14" t="e">
        <f t="shared" ca="1" si="14"/>
        <v>#N/A</v>
      </c>
      <c r="P60" s="14" t="e">
        <f t="shared" ca="1" si="14"/>
        <v>#N/A</v>
      </c>
      <c r="Q60" s="14" t="e">
        <f t="shared" ca="1" si="14"/>
        <v>#N/A</v>
      </c>
      <c r="R60" s="14" t="e">
        <f t="shared" ca="1" si="14"/>
        <v>#N/A</v>
      </c>
      <c r="S60" s="14" t="e">
        <f t="shared" ca="1" si="14"/>
        <v>#N/A</v>
      </c>
      <c r="T60" s="14" t="e">
        <f t="shared" ca="1" si="14"/>
        <v>#N/A</v>
      </c>
      <c r="U60" s="14" t="e">
        <f t="shared" ca="1" si="14"/>
        <v>#N/A</v>
      </c>
      <c r="V60" s="14" t="e">
        <f t="shared" ca="1" si="14"/>
        <v>#N/A</v>
      </c>
      <c r="W60" s="14" t="e">
        <f t="shared" ca="1" si="14"/>
        <v>#N/A</v>
      </c>
      <c r="X60" s="14" t="e">
        <f t="shared" ca="1" si="14"/>
        <v>#N/A</v>
      </c>
      <c r="Y60" s="14" t="e">
        <f t="shared" ca="1" si="14"/>
        <v>#N/A</v>
      </c>
      <c r="Z60" s="14" t="e">
        <f t="shared" ca="1" si="14"/>
        <v>#N/A</v>
      </c>
      <c r="AA60" s="14" t="e">
        <f t="shared" ca="1" si="14"/>
        <v>#N/A</v>
      </c>
      <c r="AB60" s="14" t="e">
        <f t="shared" ca="1" si="14"/>
        <v>#N/A</v>
      </c>
      <c r="AC60" s="14" t="e">
        <f t="shared" ca="1" si="14"/>
        <v>#N/A</v>
      </c>
      <c r="AD60" s="14" t="e">
        <f t="shared" ca="1" si="14"/>
        <v>#N/A</v>
      </c>
      <c r="AE60" s="14" t="e">
        <f t="shared" ca="1" si="14"/>
        <v>#N/A</v>
      </c>
      <c r="AF60" s="14" t="e">
        <f t="shared" ca="1" si="14"/>
        <v>#N/A</v>
      </c>
      <c r="AG60" s="14" t="e">
        <f t="shared" ca="1" si="14"/>
        <v>#N/A</v>
      </c>
      <c r="AH60" s="14" t="e">
        <f t="shared" ca="1" si="14"/>
        <v>#N/A</v>
      </c>
      <c r="AI60" s="14" t="e">
        <f t="shared" ca="1" si="14"/>
        <v>#N/A</v>
      </c>
      <c r="AJ60" s="14" t="e">
        <f t="shared" ca="1" si="14"/>
        <v>#N/A</v>
      </c>
      <c r="AK60" s="14" t="e">
        <f t="shared" ca="1" si="14"/>
        <v>#N/A</v>
      </c>
      <c r="AL60" s="14" t="e">
        <f t="shared" ca="1" si="14"/>
        <v>#N/A</v>
      </c>
    </row>
    <row r="61" spans="1:38" ht="21" hidden="1" customHeight="1" outlineLevel="1" thickBot="1" x14ac:dyDescent="0.4">
      <c r="A61" s="5">
        <f t="shared" si="15"/>
        <v>0</v>
      </c>
      <c r="B61" s="5">
        <f t="shared" si="15"/>
        <v>0</v>
      </c>
      <c r="C61" s="5">
        <f t="shared" si="15"/>
        <v>0</v>
      </c>
      <c r="D61" s="5">
        <f t="shared" si="15"/>
        <v>0</v>
      </c>
      <c r="E61" s="6">
        <f t="shared" si="15"/>
        <v>0</v>
      </c>
      <c r="F61" s="14" t="e">
        <f t="shared" ca="1" si="16"/>
        <v>#N/A</v>
      </c>
      <c r="G61" s="14" t="e">
        <f t="shared" ca="1" si="14"/>
        <v>#N/A</v>
      </c>
      <c r="H61" s="14" t="e">
        <f t="shared" ca="1" si="14"/>
        <v>#N/A</v>
      </c>
      <c r="I61" s="14" t="e">
        <f t="shared" ca="1" si="14"/>
        <v>#N/A</v>
      </c>
      <c r="J61" s="14" t="e">
        <f t="shared" ca="1" si="14"/>
        <v>#N/A</v>
      </c>
      <c r="K61" s="14" t="e">
        <f t="shared" ca="1" si="14"/>
        <v>#N/A</v>
      </c>
      <c r="L61" s="14" t="e">
        <f t="shared" ca="1" si="14"/>
        <v>#N/A</v>
      </c>
      <c r="M61" s="14" t="e">
        <f t="shared" ca="1" si="14"/>
        <v>#N/A</v>
      </c>
      <c r="N61" s="14" t="e">
        <f t="shared" ca="1" si="14"/>
        <v>#N/A</v>
      </c>
      <c r="O61" s="14" t="e">
        <f t="shared" ca="1" si="14"/>
        <v>#N/A</v>
      </c>
      <c r="P61" s="14" t="e">
        <f t="shared" ca="1" si="14"/>
        <v>#N/A</v>
      </c>
      <c r="Q61" s="14" t="e">
        <f t="shared" ca="1" si="14"/>
        <v>#N/A</v>
      </c>
      <c r="R61" s="14" t="e">
        <f t="shared" ca="1" si="14"/>
        <v>#N/A</v>
      </c>
      <c r="S61" s="14" t="e">
        <f t="shared" ca="1" si="14"/>
        <v>#N/A</v>
      </c>
      <c r="T61" s="14" t="e">
        <f t="shared" ca="1" si="14"/>
        <v>#N/A</v>
      </c>
      <c r="U61" s="14" t="e">
        <f t="shared" ca="1" si="14"/>
        <v>#N/A</v>
      </c>
      <c r="V61" s="14" t="e">
        <f t="shared" ca="1" si="14"/>
        <v>#N/A</v>
      </c>
      <c r="W61" s="14" t="e">
        <f t="shared" ca="1" si="14"/>
        <v>#N/A</v>
      </c>
      <c r="X61" s="14" t="e">
        <f t="shared" ca="1" si="14"/>
        <v>#N/A</v>
      </c>
      <c r="Y61" s="14" t="e">
        <f t="shared" ca="1" si="14"/>
        <v>#N/A</v>
      </c>
      <c r="Z61" s="14" t="e">
        <f t="shared" ca="1" si="14"/>
        <v>#N/A</v>
      </c>
      <c r="AA61" s="14" t="e">
        <f t="shared" ca="1" si="14"/>
        <v>#N/A</v>
      </c>
      <c r="AB61" s="14" t="e">
        <f t="shared" ca="1" si="14"/>
        <v>#N/A</v>
      </c>
      <c r="AC61" s="14" t="e">
        <f t="shared" ca="1" si="14"/>
        <v>#N/A</v>
      </c>
      <c r="AD61" s="14" t="e">
        <f t="shared" ca="1" si="14"/>
        <v>#N/A</v>
      </c>
      <c r="AE61" s="14" t="e">
        <f t="shared" ca="1" si="14"/>
        <v>#N/A</v>
      </c>
      <c r="AF61" s="14" t="e">
        <f t="shared" ca="1" si="14"/>
        <v>#N/A</v>
      </c>
      <c r="AG61" s="14" t="e">
        <f t="shared" ca="1" si="14"/>
        <v>#N/A</v>
      </c>
      <c r="AH61" s="14" t="e">
        <f t="shared" ca="1" si="14"/>
        <v>#N/A</v>
      </c>
      <c r="AI61" s="14" t="e">
        <f t="shared" ca="1" si="14"/>
        <v>#N/A</v>
      </c>
      <c r="AJ61" s="14" t="e">
        <f t="shared" ca="1" si="14"/>
        <v>#N/A</v>
      </c>
      <c r="AK61" s="14" t="e">
        <f t="shared" ca="1" si="14"/>
        <v>#N/A</v>
      </c>
      <c r="AL61" s="14" t="e">
        <f t="shared" ca="1" si="14"/>
        <v>#N/A</v>
      </c>
    </row>
    <row r="62" spans="1:38" ht="21" hidden="1" customHeight="1" outlineLevel="1" thickBot="1" x14ac:dyDescent="0.4">
      <c r="A62" s="5">
        <f t="shared" si="15"/>
        <v>0</v>
      </c>
      <c r="B62" s="5">
        <f t="shared" si="15"/>
        <v>0</v>
      </c>
      <c r="C62" s="5">
        <f t="shared" si="15"/>
        <v>0</v>
      </c>
      <c r="D62" s="5">
        <f t="shared" si="15"/>
        <v>0</v>
      </c>
      <c r="E62" s="6">
        <f t="shared" si="15"/>
        <v>0</v>
      </c>
      <c r="F62" s="14" t="e">
        <f t="shared" ca="1" si="16"/>
        <v>#N/A</v>
      </c>
      <c r="G62" s="14" t="e">
        <f t="shared" ca="1" si="14"/>
        <v>#N/A</v>
      </c>
      <c r="H62" s="14" t="e">
        <f t="shared" ca="1" si="14"/>
        <v>#N/A</v>
      </c>
      <c r="I62" s="14" t="e">
        <f t="shared" ca="1" si="14"/>
        <v>#N/A</v>
      </c>
      <c r="J62" s="14" t="e">
        <f t="shared" ca="1" si="14"/>
        <v>#N/A</v>
      </c>
      <c r="K62" s="14" t="e">
        <f t="shared" ca="1" si="14"/>
        <v>#N/A</v>
      </c>
      <c r="L62" s="14" t="e">
        <f t="shared" ca="1" si="14"/>
        <v>#N/A</v>
      </c>
      <c r="M62" s="14" t="e">
        <f t="shared" ca="1" si="14"/>
        <v>#N/A</v>
      </c>
      <c r="N62" s="14" t="e">
        <f t="shared" ca="1" si="14"/>
        <v>#N/A</v>
      </c>
      <c r="O62" s="14" t="e">
        <f t="shared" ca="1" si="14"/>
        <v>#N/A</v>
      </c>
      <c r="P62" s="14" t="e">
        <f t="shared" ca="1" si="14"/>
        <v>#N/A</v>
      </c>
      <c r="Q62" s="14" t="e">
        <f t="shared" ca="1" si="14"/>
        <v>#N/A</v>
      </c>
      <c r="R62" s="14" t="e">
        <f t="shared" ca="1" si="14"/>
        <v>#N/A</v>
      </c>
      <c r="S62" s="14" t="e">
        <f t="shared" ca="1" si="14"/>
        <v>#N/A</v>
      </c>
      <c r="T62" s="14" t="e">
        <f t="shared" ca="1" si="14"/>
        <v>#N/A</v>
      </c>
      <c r="U62" s="14" t="e">
        <f t="shared" ca="1" si="14"/>
        <v>#N/A</v>
      </c>
      <c r="V62" s="14" t="e">
        <f t="shared" ca="1" si="14"/>
        <v>#N/A</v>
      </c>
      <c r="W62" s="14" t="e">
        <f t="shared" ca="1" si="14"/>
        <v>#N/A</v>
      </c>
      <c r="X62" s="14" t="e">
        <f t="shared" ca="1" si="14"/>
        <v>#N/A</v>
      </c>
      <c r="Y62" s="14" t="e">
        <f t="shared" ca="1" si="14"/>
        <v>#N/A</v>
      </c>
      <c r="Z62" s="14" t="e">
        <f t="shared" ca="1" si="14"/>
        <v>#N/A</v>
      </c>
      <c r="AA62" s="14" t="e">
        <f t="shared" ca="1" si="14"/>
        <v>#N/A</v>
      </c>
      <c r="AB62" s="14" t="e">
        <f t="shared" ca="1" si="14"/>
        <v>#N/A</v>
      </c>
      <c r="AC62" s="14" t="e">
        <f t="shared" ca="1" si="14"/>
        <v>#N/A</v>
      </c>
      <c r="AD62" s="14" t="e">
        <f t="shared" ca="1" si="14"/>
        <v>#N/A</v>
      </c>
      <c r="AE62" s="14" t="e">
        <f t="shared" ca="1" si="14"/>
        <v>#N/A</v>
      </c>
      <c r="AF62" s="14" t="e">
        <f t="shared" ca="1" si="14"/>
        <v>#N/A</v>
      </c>
      <c r="AG62" s="14" t="e">
        <f t="shared" ca="1" si="14"/>
        <v>#N/A</v>
      </c>
      <c r="AH62" s="14" t="e">
        <f t="shared" ca="1" si="14"/>
        <v>#N/A</v>
      </c>
      <c r="AI62" s="14" t="e">
        <f t="shared" ref="AI62:AL62" ca="1" si="17">$A62*H.Ar + $B62*H.Se + $C62*H.Ge + $D62*H.Ga</f>
        <v>#N/A</v>
      </c>
      <c r="AJ62" s="14" t="e">
        <f t="shared" ca="1" si="17"/>
        <v>#N/A</v>
      </c>
      <c r="AK62" s="14" t="e">
        <f t="shared" ca="1" si="17"/>
        <v>#N/A</v>
      </c>
      <c r="AL62" s="14" t="e">
        <f t="shared" ca="1" si="17"/>
        <v>#N/A</v>
      </c>
    </row>
    <row r="63" spans="1:38" ht="21" hidden="1" customHeight="1" outlineLevel="1" thickBot="1" x14ac:dyDescent="0.4">
      <c r="A63" s="5">
        <f t="shared" si="15"/>
        <v>0</v>
      </c>
      <c r="B63" s="5">
        <f t="shared" si="15"/>
        <v>0</v>
      </c>
      <c r="C63" s="5">
        <f t="shared" si="15"/>
        <v>0</v>
      </c>
      <c r="D63" s="5">
        <f t="shared" si="15"/>
        <v>0</v>
      </c>
      <c r="E63" s="6">
        <f t="shared" si="15"/>
        <v>0</v>
      </c>
      <c r="F63" s="14" t="e">
        <f t="shared" ca="1" si="16"/>
        <v>#N/A</v>
      </c>
      <c r="G63" s="14" t="e">
        <f t="shared" ref="G63:AL71" ca="1" si="18">$A63*H.Ar + $B63*H.Se + $C63*H.Ge + $D63*H.Ga</f>
        <v>#N/A</v>
      </c>
      <c r="H63" s="14" t="e">
        <f t="shared" ca="1" si="18"/>
        <v>#N/A</v>
      </c>
      <c r="I63" s="14" t="e">
        <f t="shared" ca="1" si="18"/>
        <v>#N/A</v>
      </c>
      <c r="J63" s="14" t="e">
        <f t="shared" ca="1" si="18"/>
        <v>#N/A</v>
      </c>
      <c r="K63" s="14" t="e">
        <f t="shared" ca="1" si="18"/>
        <v>#N/A</v>
      </c>
      <c r="L63" s="14" t="e">
        <f t="shared" ca="1" si="18"/>
        <v>#N/A</v>
      </c>
      <c r="M63" s="14" t="e">
        <f t="shared" ca="1" si="18"/>
        <v>#N/A</v>
      </c>
      <c r="N63" s="14" t="e">
        <f t="shared" ca="1" si="18"/>
        <v>#N/A</v>
      </c>
      <c r="O63" s="14" t="e">
        <f t="shared" ca="1" si="18"/>
        <v>#N/A</v>
      </c>
      <c r="P63" s="14" t="e">
        <f t="shared" ca="1" si="18"/>
        <v>#N/A</v>
      </c>
      <c r="Q63" s="14" t="e">
        <f t="shared" ca="1" si="18"/>
        <v>#N/A</v>
      </c>
      <c r="R63" s="14" t="e">
        <f t="shared" ca="1" si="18"/>
        <v>#N/A</v>
      </c>
      <c r="S63" s="14" t="e">
        <f t="shared" ca="1" si="18"/>
        <v>#N/A</v>
      </c>
      <c r="T63" s="14" t="e">
        <f t="shared" ca="1" si="18"/>
        <v>#N/A</v>
      </c>
      <c r="U63" s="14" t="e">
        <f t="shared" ca="1" si="18"/>
        <v>#N/A</v>
      </c>
      <c r="V63" s="14" t="e">
        <f t="shared" ca="1" si="18"/>
        <v>#N/A</v>
      </c>
      <c r="W63" s="14" t="e">
        <f t="shared" ca="1" si="18"/>
        <v>#N/A</v>
      </c>
      <c r="X63" s="14" t="e">
        <f t="shared" ca="1" si="18"/>
        <v>#N/A</v>
      </c>
      <c r="Y63" s="14" t="e">
        <f t="shared" ca="1" si="18"/>
        <v>#N/A</v>
      </c>
      <c r="Z63" s="14" t="e">
        <f t="shared" ca="1" si="18"/>
        <v>#N/A</v>
      </c>
      <c r="AA63" s="14" t="e">
        <f t="shared" ca="1" si="18"/>
        <v>#N/A</v>
      </c>
      <c r="AB63" s="14" t="e">
        <f t="shared" ca="1" si="18"/>
        <v>#N/A</v>
      </c>
      <c r="AC63" s="14" t="e">
        <f t="shared" ca="1" si="18"/>
        <v>#N/A</v>
      </c>
      <c r="AD63" s="14" t="e">
        <f t="shared" ca="1" si="18"/>
        <v>#N/A</v>
      </c>
      <c r="AE63" s="14" t="e">
        <f t="shared" ca="1" si="18"/>
        <v>#N/A</v>
      </c>
      <c r="AF63" s="14" t="e">
        <f t="shared" ca="1" si="18"/>
        <v>#N/A</v>
      </c>
      <c r="AG63" s="14" t="e">
        <f t="shared" ca="1" si="18"/>
        <v>#N/A</v>
      </c>
      <c r="AH63" s="14" t="e">
        <f t="shared" ca="1" si="18"/>
        <v>#N/A</v>
      </c>
      <c r="AI63" s="14" t="e">
        <f t="shared" ca="1" si="18"/>
        <v>#N/A</v>
      </c>
      <c r="AJ63" s="14" t="e">
        <f t="shared" ca="1" si="18"/>
        <v>#N/A</v>
      </c>
      <c r="AK63" s="14" t="e">
        <f t="shared" ca="1" si="18"/>
        <v>#N/A</v>
      </c>
      <c r="AL63" s="14" t="e">
        <f t="shared" ca="1" si="18"/>
        <v>#N/A</v>
      </c>
    </row>
    <row r="64" spans="1:38" ht="21" hidden="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 t="e">
        <f t="shared" ca="1" si="16"/>
        <v>#N/A</v>
      </c>
      <c r="G64" s="14" t="e">
        <f t="shared" ca="1" si="18"/>
        <v>#N/A</v>
      </c>
      <c r="H64" s="14" t="e">
        <f t="shared" ca="1" si="18"/>
        <v>#N/A</v>
      </c>
      <c r="I64" s="14" t="e">
        <f t="shared" ca="1" si="18"/>
        <v>#N/A</v>
      </c>
      <c r="J64" s="14" t="e">
        <f t="shared" ca="1" si="18"/>
        <v>#N/A</v>
      </c>
      <c r="K64" s="14" t="e">
        <f t="shared" ca="1" si="18"/>
        <v>#N/A</v>
      </c>
      <c r="L64" s="14" t="e">
        <f t="shared" ca="1" si="18"/>
        <v>#N/A</v>
      </c>
      <c r="M64" s="14" t="e">
        <f t="shared" ca="1" si="18"/>
        <v>#N/A</v>
      </c>
      <c r="N64" s="14" t="e">
        <f t="shared" ca="1" si="18"/>
        <v>#N/A</v>
      </c>
      <c r="O64" s="14" t="e">
        <f t="shared" ca="1" si="18"/>
        <v>#N/A</v>
      </c>
      <c r="P64" s="14" t="e">
        <f t="shared" ca="1" si="18"/>
        <v>#N/A</v>
      </c>
      <c r="Q64" s="14" t="e">
        <f t="shared" ca="1" si="18"/>
        <v>#N/A</v>
      </c>
      <c r="R64" s="14" t="e">
        <f t="shared" ca="1" si="18"/>
        <v>#N/A</v>
      </c>
      <c r="S64" s="14" t="e">
        <f t="shared" ca="1" si="18"/>
        <v>#N/A</v>
      </c>
      <c r="T64" s="14" t="e">
        <f t="shared" ca="1" si="18"/>
        <v>#N/A</v>
      </c>
      <c r="U64" s="14" t="e">
        <f t="shared" ca="1" si="18"/>
        <v>#N/A</v>
      </c>
      <c r="V64" s="14" t="e">
        <f t="shared" ca="1" si="18"/>
        <v>#N/A</v>
      </c>
      <c r="W64" s="14" t="e">
        <f t="shared" ca="1" si="18"/>
        <v>#N/A</v>
      </c>
      <c r="X64" s="14" t="e">
        <f t="shared" ca="1" si="18"/>
        <v>#N/A</v>
      </c>
      <c r="Y64" s="14" t="e">
        <f t="shared" ca="1" si="18"/>
        <v>#N/A</v>
      </c>
      <c r="Z64" s="14" t="e">
        <f t="shared" ca="1" si="18"/>
        <v>#N/A</v>
      </c>
      <c r="AA64" s="14" t="e">
        <f t="shared" ca="1" si="18"/>
        <v>#N/A</v>
      </c>
      <c r="AB64" s="14" t="e">
        <f t="shared" ca="1" si="18"/>
        <v>#N/A</v>
      </c>
      <c r="AC64" s="14" t="e">
        <f t="shared" ca="1" si="18"/>
        <v>#N/A</v>
      </c>
      <c r="AD64" s="14" t="e">
        <f t="shared" ca="1" si="18"/>
        <v>#N/A</v>
      </c>
      <c r="AE64" s="14" t="e">
        <f t="shared" ca="1" si="18"/>
        <v>#N/A</v>
      </c>
      <c r="AF64" s="14" t="e">
        <f t="shared" ca="1" si="18"/>
        <v>#N/A</v>
      </c>
      <c r="AG64" s="14" t="e">
        <f t="shared" ca="1" si="18"/>
        <v>#N/A</v>
      </c>
      <c r="AH64" s="14" t="e">
        <f t="shared" ca="1" si="18"/>
        <v>#N/A</v>
      </c>
      <c r="AI64" s="14" t="e">
        <f t="shared" ca="1" si="18"/>
        <v>#N/A</v>
      </c>
      <c r="AJ64" s="14" t="e">
        <f t="shared" ca="1" si="18"/>
        <v>#N/A</v>
      </c>
      <c r="AK64" s="14" t="e">
        <f t="shared" ca="1" si="18"/>
        <v>#N/A</v>
      </c>
      <c r="AL64" s="14" t="e">
        <f t="shared" ca="1" si="18"/>
        <v>#N/A</v>
      </c>
    </row>
    <row r="65" spans="1:54" ht="21" hidden="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 t="e">
        <f t="shared" ca="1" si="16"/>
        <v>#N/A</v>
      </c>
      <c r="G65" s="14" t="e">
        <f t="shared" ca="1" si="18"/>
        <v>#N/A</v>
      </c>
      <c r="H65" s="14" t="e">
        <f t="shared" ca="1" si="18"/>
        <v>#N/A</v>
      </c>
      <c r="I65" s="14" t="e">
        <f t="shared" ca="1" si="18"/>
        <v>#N/A</v>
      </c>
      <c r="J65" s="14" t="e">
        <f t="shared" ca="1" si="18"/>
        <v>#N/A</v>
      </c>
      <c r="K65" s="14" t="e">
        <f t="shared" ca="1" si="18"/>
        <v>#N/A</v>
      </c>
      <c r="L65" s="14" t="e">
        <f t="shared" ca="1" si="18"/>
        <v>#N/A</v>
      </c>
      <c r="M65" s="14" t="e">
        <f t="shared" ca="1" si="18"/>
        <v>#N/A</v>
      </c>
      <c r="N65" s="14" t="e">
        <f t="shared" ca="1" si="18"/>
        <v>#N/A</v>
      </c>
      <c r="O65" s="14" t="e">
        <f t="shared" ca="1" si="18"/>
        <v>#N/A</v>
      </c>
      <c r="P65" s="14" t="e">
        <f t="shared" ca="1" si="18"/>
        <v>#N/A</v>
      </c>
      <c r="Q65" s="14" t="e">
        <f t="shared" ca="1" si="18"/>
        <v>#N/A</v>
      </c>
      <c r="R65" s="14" t="e">
        <f t="shared" ca="1" si="18"/>
        <v>#N/A</v>
      </c>
      <c r="S65" s="14" t="e">
        <f t="shared" ca="1" si="18"/>
        <v>#N/A</v>
      </c>
      <c r="T65" s="14" t="e">
        <f t="shared" ca="1" si="18"/>
        <v>#N/A</v>
      </c>
      <c r="U65" s="14" t="e">
        <f t="shared" ca="1" si="18"/>
        <v>#N/A</v>
      </c>
      <c r="V65" s="14" t="e">
        <f t="shared" ca="1" si="18"/>
        <v>#N/A</v>
      </c>
      <c r="W65" s="14" t="e">
        <f t="shared" ca="1" si="18"/>
        <v>#N/A</v>
      </c>
      <c r="X65" s="14" t="e">
        <f t="shared" ca="1" si="18"/>
        <v>#N/A</v>
      </c>
      <c r="Y65" s="14" t="e">
        <f t="shared" ca="1" si="18"/>
        <v>#N/A</v>
      </c>
      <c r="Z65" s="14" t="e">
        <f t="shared" ca="1" si="18"/>
        <v>#N/A</v>
      </c>
      <c r="AA65" s="14" t="e">
        <f t="shared" ca="1" si="18"/>
        <v>#N/A</v>
      </c>
      <c r="AB65" s="14" t="e">
        <f t="shared" ca="1" si="18"/>
        <v>#N/A</v>
      </c>
      <c r="AC65" s="14" t="e">
        <f t="shared" ca="1" si="18"/>
        <v>#N/A</v>
      </c>
      <c r="AD65" s="14" t="e">
        <f t="shared" ca="1" si="18"/>
        <v>#N/A</v>
      </c>
      <c r="AE65" s="14" t="e">
        <f t="shared" ca="1" si="18"/>
        <v>#N/A</v>
      </c>
      <c r="AF65" s="14" t="e">
        <f t="shared" ca="1" si="18"/>
        <v>#N/A</v>
      </c>
      <c r="AG65" s="14" t="e">
        <f t="shared" ca="1" si="18"/>
        <v>#N/A</v>
      </c>
      <c r="AH65" s="14" t="e">
        <f t="shared" ca="1" si="18"/>
        <v>#N/A</v>
      </c>
      <c r="AI65" s="14" t="e">
        <f t="shared" ca="1" si="18"/>
        <v>#N/A</v>
      </c>
      <c r="AJ65" s="14" t="e">
        <f t="shared" ca="1" si="18"/>
        <v>#N/A</v>
      </c>
      <c r="AK65" s="14" t="e">
        <f t="shared" ca="1" si="18"/>
        <v>#N/A</v>
      </c>
      <c r="AL65" s="14" t="e">
        <f t="shared" ca="1" si="18"/>
        <v>#N/A</v>
      </c>
    </row>
    <row r="66" spans="1:54" ht="21" hidden="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 t="e">
        <f t="shared" ref="F66:U74" ca="1" si="20">$A66*H.Ar + $B66*H.Se + $C66*H.Ge + $D66*H.Ga</f>
        <v>#N/A</v>
      </c>
      <c r="G66" s="14" t="e">
        <f t="shared" ca="1" si="20"/>
        <v>#N/A</v>
      </c>
      <c r="H66" s="14" t="e">
        <f t="shared" ca="1" si="20"/>
        <v>#N/A</v>
      </c>
      <c r="I66" s="14" t="e">
        <f t="shared" ca="1" si="20"/>
        <v>#N/A</v>
      </c>
      <c r="J66" s="14" t="e">
        <f t="shared" ca="1" si="20"/>
        <v>#N/A</v>
      </c>
      <c r="K66" s="14" t="e">
        <f t="shared" ca="1" si="20"/>
        <v>#N/A</v>
      </c>
      <c r="L66" s="14" t="e">
        <f t="shared" ca="1" si="20"/>
        <v>#N/A</v>
      </c>
      <c r="M66" s="14" t="e">
        <f t="shared" ca="1" si="20"/>
        <v>#N/A</v>
      </c>
      <c r="N66" s="14" t="e">
        <f t="shared" ca="1" si="20"/>
        <v>#N/A</v>
      </c>
      <c r="O66" s="14" t="e">
        <f t="shared" ca="1" si="20"/>
        <v>#N/A</v>
      </c>
      <c r="P66" s="14" t="e">
        <f t="shared" ca="1" si="20"/>
        <v>#N/A</v>
      </c>
      <c r="Q66" s="14" t="e">
        <f t="shared" ca="1" si="20"/>
        <v>#N/A</v>
      </c>
      <c r="R66" s="14" t="e">
        <f t="shared" ca="1" si="20"/>
        <v>#N/A</v>
      </c>
      <c r="S66" s="14" t="e">
        <f t="shared" ca="1" si="20"/>
        <v>#N/A</v>
      </c>
      <c r="T66" s="14" t="e">
        <f t="shared" ca="1" si="20"/>
        <v>#N/A</v>
      </c>
      <c r="U66" s="14" t="e">
        <f t="shared" ca="1" si="20"/>
        <v>#N/A</v>
      </c>
      <c r="V66" s="14" t="e">
        <f t="shared" ca="1" si="18"/>
        <v>#N/A</v>
      </c>
      <c r="W66" s="14" t="e">
        <f t="shared" ca="1" si="18"/>
        <v>#N/A</v>
      </c>
      <c r="X66" s="14" t="e">
        <f t="shared" ca="1" si="18"/>
        <v>#N/A</v>
      </c>
      <c r="Y66" s="14" t="e">
        <f t="shared" ca="1" si="18"/>
        <v>#N/A</v>
      </c>
      <c r="Z66" s="14" t="e">
        <f t="shared" ca="1" si="18"/>
        <v>#N/A</v>
      </c>
      <c r="AA66" s="14" t="e">
        <f t="shared" ca="1" si="18"/>
        <v>#N/A</v>
      </c>
      <c r="AB66" s="14" t="e">
        <f t="shared" ca="1" si="18"/>
        <v>#N/A</v>
      </c>
      <c r="AC66" s="14" t="e">
        <f t="shared" ca="1" si="18"/>
        <v>#N/A</v>
      </c>
      <c r="AD66" s="14" t="e">
        <f t="shared" ca="1" si="18"/>
        <v>#N/A</v>
      </c>
      <c r="AE66" s="14" t="e">
        <f t="shared" ca="1" si="18"/>
        <v>#N/A</v>
      </c>
      <c r="AF66" s="14" t="e">
        <f t="shared" ca="1" si="18"/>
        <v>#N/A</v>
      </c>
      <c r="AG66" s="14" t="e">
        <f t="shared" ca="1" si="18"/>
        <v>#N/A</v>
      </c>
      <c r="AH66" s="14" t="e">
        <f t="shared" ca="1" si="18"/>
        <v>#N/A</v>
      </c>
      <c r="AI66" s="14" t="e">
        <f t="shared" ca="1" si="18"/>
        <v>#N/A</v>
      </c>
      <c r="AJ66" s="14" t="e">
        <f t="shared" ca="1" si="18"/>
        <v>#N/A</v>
      </c>
      <c r="AK66" s="14" t="e">
        <f t="shared" ca="1" si="18"/>
        <v>#N/A</v>
      </c>
      <c r="AL66" s="14" t="e">
        <f t="shared" ca="1" si="18"/>
        <v>#N/A</v>
      </c>
    </row>
    <row r="67" spans="1:54" ht="21" hidden="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 t="e">
        <f t="shared" ca="1" si="20"/>
        <v>#N/A</v>
      </c>
      <c r="G67" s="14" t="e">
        <f t="shared" ca="1" si="18"/>
        <v>#N/A</v>
      </c>
      <c r="H67" s="14" t="e">
        <f t="shared" ca="1" si="18"/>
        <v>#N/A</v>
      </c>
      <c r="I67" s="14" t="e">
        <f t="shared" ca="1" si="18"/>
        <v>#N/A</v>
      </c>
      <c r="J67" s="14" t="e">
        <f t="shared" ca="1" si="18"/>
        <v>#N/A</v>
      </c>
      <c r="K67" s="14" t="e">
        <f t="shared" ca="1" si="18"/>
        <v>#N/A</v>
      </c>
      <c r="L67" s="14" t="e">
        <f t="shared" ca="1" si="18"/>
        <v>#N/A</v>
      </c>
      <c r="M67" s="14" t="e">
        <f t="shared" ca="1" si="18"/>
        <v>#N/A</v>
      </c>
      <c r="N67" s="14" t="e">
        <f t="shared" ca="1" si="18"/>
        <v>#N/A</v>
      </c>
      <c r="O67" s="14" t="e">
        <f t="shared" ca="1" si="18"/>
        <v>#N/A</v>
      </c>
      <c r="P67" s="14" t="e">
        <f t="shared" ca="1" si="18"/>
        <v>#N/A</v>
      </c>
      <c r="Q67" s="14" t="e">
        <f t="shared" ca="1" si="18"/>
        <v>#N/A</v>
      </c>
      <c r="R67" s="14" t="e">
        <f t="shared" ca="1" si="18"/>
        <v>#N/A</v>
      </c>
      <c r="S67" s="14" t="e">
        <f t="shared" ca="1" si="18"/>
        <v>#N/A</v>
      </c>
      <c r="T67" s="14" t="e">
        <f t="shared" ca="1" si="18"/>
        <v>#N/A</v>
      </c>
      <c r="U67" s="14" t="e">
        <f t="shared" ca="1" si="18"/>
        <v>#N/A</v>
      </c>
      <c r="V67" s="14" t="e">
        <f t="shared" ca="1" si="18"/>
        <v>#N/A</v>
      </c>
      <c r="W67" s="14" t="e">
        <f t="shared" ca="1" si="18"/>
        <v>#N/A</v>
      </c>
      <c r="X67" s="14" t="e">
        <f t="shared" ca="1" si="18"/>
        <v>#N/A</v>
      </c>
      <c r="Y67" s="14" t="e">
        <f t="shared" ca="1" si="18"/>
        <v>#N/A</v>
      </c>
      <c r="Z67" s="14" t="e">
        <f t="shared" ca="1" si="18"/>
        <v>#N/A</v>
      </c>
      <c r="AA67" s="14" t="e">
        <f t="shared" ca="1" si="18"/>
        <v>#N/A</v>
      </c>
      <c r="AB67" s="14" t="e">
        <f t="shared" ca="1" si="18"/>
        <v>#N/A</v>
      </c>
      <c r="AC67" s="14" t="e">
        <f t="shared" ca="1" si="18"/>
        <v>#N/A</v>
      </c>
      <c r="AD67" s="14" t="e">
        <f t="shared" ca="1" si="18"/>
        <v>#N/A</v>
      </c>
      <c r="AE67" s="14" t="e">
        <f t="shared" ca="1" si="18"/>
        <v>#N/A</v>
      </c>
      <c r="AF67" s="14" t="e">
        <f t="shared" ca="1" si="18"/>
        <v>#N/A</v>
      </c>
      <c r="AG67" s="14" t="e">
        <f t="shared" ca="1" si="18"/>
        <v>#N/A</v>
      </c>
      <c r="AH67" s="14" t="e">
        <f t="shared" ca="1" si="18"/>
        <v>#N/A</v>
      </c>
      <c r="AI67" s="14" t="e">
        <f t="shared" ca="1" si="18"/>
        <v>#N/A</v>
      </c>
      <c r="AJ67" s="14" t="e">
        <f t="shared" ca="1" si="18"/>
        <v>#N/A</v>
      </c>
      <c r="AK67" s="14" t="e">
        <f t="shared" ca="1" si="18"/>
        <v>#N/A</v>
      </c>
      <c r="AL67" s="14" t="e">
        <f t="shared" ca="1" si="18"/>
        <v>#N/A</v>
      </c>
    </row>
    <row r="68" spans="1:54" ht="21" hidden="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 t="e">
        <f t="shared" ca="1" si="20"/>
        <v>#N/A</v>
      </c>
      <c r="G68" s="14" t="e">
        <f t="shared" ca="1" si="18"/>
        <v>#N/A</v>
      </c>
      <c r="H68" s="14" t="e">
        <f t="shared" ca="1" si="18"/>
        <v>#N/A</v>
      </c>
      <c r="I68" s="14" t="e">
        <f t="shared" ca="1" si="18"/>
        <v>#N/A</v>
      </c>
      <c r="J68" s="14" t="e">
        <f t="shared" ca="1" si="18"/>
        <v>#N/A</v>
      </c>
      <c r="K68" s="14" t="e">
        <f t="shared" ca="1" si="18"/>
        <v>#N/A</v>
      </c>
      <c r="L68" s="14" t="e">
        <f t="shared" ca="1" si="18"/>
        <v>#N/A</v>
      </c>
      <c r="M68" s="14" t="e">
        <f t="shared" ca="1" si="18"/>
        <v>#N/A</v>
      </c>
      <c r="N68" s="14" t="e">
        <f t="shared" ca="1" si="18"/>
        <v>#N/A</v>
      </c>
      <c r="O68" s="14" t="e">
        <f t="shared" ca="1" si="18"/>
        <v>#N/A</v>
      </c>
      <c r="P68" s="14" t="e">
        <f t="shared" ca="1" si="18"/>
        <v>#N/A</v>
      </c>
      <c r="Q68" s="14" t="e">
        <f t="shared" ca="1" si="18"/>
        <v>#N/A</v>
      </c>
      <c r="R68" s="14" t="e">
        <f t="shared" ca="1" si="18"/>
        <v>#N/A</v>
      </c>
      <c r="S68" s="14" t="e">
        <f t="shared" ca="1" si="18"/>
        <v>#N/A</v>
      </c>
      <c r="T68" s="14" t="e">
        <f t="shared" ca="1" si="18"/>
        <v>#N/A</v>
      </c>
      <c r="U68" s="14" t="e">
        <f t="shared" ca="1" si="18"/>
        <v>#N/A</v>
      </c>
      <c r="V68" s="14" t="e">
        <f t="shared" ca="1" si="18"/>
        <v>#N/A</v>
      </c>
      <c r="W68" s="14" t="e">
        <f t="shared" ca="1" si="18"/>
        <v>#N/A</v>
      </c>
      <c r="X68" s="14" t="e">
        <f t="shared" ca="1" si="18"/>
        <v>#N/A</v>
      </c>
      <c r="Y68" s="14" t="e">
        <f t="shared" ca="1" si="18"/>
        <v>#N/A</v>
      </c>
      <c r="Z68" s="14" t="e">
        <f t="shared" ca="1" si="18"/>
        <v>#N/A</v>
      </c>
      <c r="AA68" s="14" t="e">
        <f t="shared" ca="1" si="18"/>
        <v>#N/A</v>
      </c>
      <c r="AB68" s="14" t="e">
        <f t="shared" ca="1" si="18"/>
        <v>#N/A</v>
      </c>
      <c r="AC68" s="14" t="e">
        <f t="shared" ca="1" si="18"/>
        <v>#N/A</v>
      </c>
      <c r="AD68" s="14" t="e">
        <f t="shared" ca="1" si="18"/>
        <v>#N/A</v>
      </c>
      <c r="AE68" s="14" t="e">
        <f t="shared" ca="1" si="18"/>
        <v>#N/A</v>
      </c>
      <c r="AF68" s="14" t="e">
        <f t="shared" ca="1" si="18"/>
        <v>#N/A</v>
      </c>
      <c r="AG68" s="14" t="e">
        <f t="shared" ca="1" si="18"/>
        <v>#N/A</v>
      </c>
      <c r="AH68" s="14" t="e">
        <f t="shared" ca="1" si="18"/>
        <v>#N/A</v>
      </c>
      <c r="AI68" s="14" t="e">
        <f t="shared" ca="1" si="18"/>
        <v>#N/A</v>
      </c>
      <c r="AJ68" s="14" t="e">
        <f t="shared" ca="1" si="18"/>
        <v>#N/A</v>
      </c>
      <c r="AK68" s="14" t="e">
        <f t="shared" ca="1" si="18"/>
        <v>#N/A</v>
      </c>
      <c r="AL68" s="14" t="e">
        <f t="shared" ca="1" si="18"/>
        <v>#N/A</v>
      </c>
    </row>
    <row r="69" spans="1:54" ht="21" hidden="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 t="e">
        <f t="shared" ca="1" si="20"/>
        <v>#N/A</v>
      </c>
      <c r="G69" s="14" t="e">
        <f t="shared" ca="1" si="18"/>
        <v>#N/A</v>
      </c>
      <c r="H69" s="14" t="e">
        <f t="shared" ca="1" si="18"/>
        <v>#N/A</v>
      </c>
      <c r="I69" s="14" t="e">
        <f t="shared" ca="1" si="18"/>
        <v>#N/A</v>
      </c>
      <c r="J69" s="14" t="e">
        <f t="shared" ca="1" si="18"/>
        <v>#N/A</v>
      </c>
      <c r="K69" s="14" t="e">
        <f t="shared" ca="1" si="18"/>
        <v>#N/A</v>
      </c>
      <c r="L69" s="14" t="e">
        <f t="shared" ca="1" si="18"/>
        <v>#N/A</v>
      </c>
      <c r="M69" s="14" t="e">
        <f t="shared" ca="1" si="18"/>
        <v>#N/A</v>
      </c>
      <c r="N69" s="14" t="e">
        <f t="shared" ca="1" si="18"/>
        <v>#N/A</v>
      </c>
      <c r="O69" s="14" t="e">
        <f t="shared" ca="1" si="18"/>
        <v>#N/A</v>
      </c>
      <c r="P69" s="14" t="e">
        <f t="shared" ca="1" si="18"/>
        <v>#N/A</v>
      </c>
      <c r="Q69" s="14" t="e">
        <f t="shared" ca="1" si="18"/>
        <v>#N/A</v>
      </c>
      <c r="R69" s="14" t="e">
        <f t="shared" ca="1" si="18"/>
        <v>#N/A</v>
      </c>
      <c r="S69" s="14" t="e">
        <f t="shared" ca="1" si="18"/>
        <v>#N/A</v>
      </c>
      <c r="T69" s="14" t="e">
        <f t="shared" ca="1" si="18"/>
        <v>#N/A</v>
      </c>
      <c r="U69" s="14" t="e">
        <f t="shared" ca="1" si="18"/>
        <v>#N/A</v>
      </c>
      <c r="V69" s="14" t="e">
        <f t="shared" ca="1" si="18"/>
        <v>#N/A</v>
      </c>
      <c r="W69" s="14" t="e">
        <f t="shared" ca="1" si="18"/>
        <v>#N/A</v>
      </c>
      <c r="X69" s="14" t="e">
        <f t="shared" ca="1" si="18"/>
        <v>#N/A</v>
      </c>
      <c r="Y69" s="14" t="e">
        <f t="shared" ca="1" si="18"/>
        <v>#N/A</v>
      </c>
      <c r="Z69" s="14" t="e">
        <f t="shared" ca="1" si="18"/>
        <v>#N/A</v>
      </c>
      <c r="AA69" s="14" t="e">
        <f t="shared" ca="1" si="18"/>
        <v>#N/A</v>
      </c>
      <c r="AB69" s="14" t="e">
        <f t="shared" ca="1" si="18"/>
        <v>#N/A</v>
      </c>
      <c r="AC69" s="14" t="e">
        <f t="shared" ca="1" si="18"/>
        <v>#N/A</v>
      </c>
      <c r="AD69" s="14" t="e">
        <f t="shared" ca="1" si="18"/>
        <v>#N/A</v>
      </c>
      <c r="AE69" s="14" t="e">
        <f t="shared" ca="1" si="18"/>
        <v>#N/A</v>
      </c>
      <c r="AF69" s="14" t="e">
        <f t="shared" ca="1" si="18"/>
        <v>#N/A</v>
      </c>
      <c r="AG69" s="14" t="e">
        <f t="shared" ca="1" si="18"/>
        <v>#N/A</v>
      </c>
      <c r="AH69" s="14" t="e">
        <f t="shared" ca="1" si="18"/>
        <v>#N/A</v>
      </c>
      <c r="AI69" s="14" t="e">
        <f t="shared" ca="1" si="18"/>
        <v>#N/A</v>
      </c>
      <c r="AJ69" s="14" t="e">
        <f t="shared" ca="1" si="18"/>
        <v>#N/A</v>
      </c>
      <c r="AK69" s="14" t="e">
        <f t="shared" ca="1" si="18"/>
        <v>#N/A</v>
      </c>
      <c r="AL69" s="14" t="e">
        <f t="shared" ca="1" si="18"/>
        <v>#N/A</v>
      </c>
    </row>
    <row r="70" spans="1:54" ht="21" hidden="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 t="e">
        <f t="shared" ca="1" si="20"/>
        <v>#N/A</v>
      </c>
      <c r="G70" s="14" t="e">
        <f t="shared" ca="1" si="18"/>
        <v>#N/A</v>
      </c>
      <c r="H70" s="14" t="e">
        <f t="shared" ca="1" si="18"/>
        <v>#N/A</v>
      </c>
      <c r="I70" s="14" t="e">
        <f t="shared" ca="1" si="18"/>
        <v>#N/A</v>
      </c>
      <c r="J70" s="14" t="e">
        <f t="shared" ca="1" si="18"/>
        <v>#N/A</v>
      </c>
      <c r="K70" s="14" t="e">
        <f t="shared" ca="1" si="18"/>
        <v>#N/A</v>
      </c>
      <c r="L70" s="14" t="e">
        <f t="shared" ca="1" si="18"/>
        <v>#N/A</v>
      </c>
      <c r="M70" s="14" t="e">
        <f t="shared" ca="1" si="18"/>
        <v>#N/A</v>
      </c>
      <c r="N70" s="14" t="e">
        <f t="shared" ca="1" si="18"/>
        <v>#N/A</v>
      </c>
      <c r="O70" s="14" t="e">
        <f t="shared" ca="1" si="18"/>
        <v>#N/A</v>
      </c>
      <c r="P70" s="14" t="e">
        <f t="shared" ca="1" si="18"/>
        <v>#N/A</v>
      </c>
      <c r="Q70" s="14" t="e">
        <f t="shared" ca="1" si="18"/>
        <v>#N/A</v>
      </c>
      <c r="R70" s="14" t="e">
        <f t="shared" ca="1" si="18"/>
        <v>#N/A</v>
      </c>
      <c r="S70" s="14" t="e">
        <f t="shared" ca="1" si="18"/>
        <v>#N/A</v>
      </c>
      <c r="T70" s="14" t="e">
        <f t="shared" ca="1" si="18"/>
        <v>#N/A</v>
      </c>
      <c r="U70" s="14" t="e">
        <f t="shared" ca="1" si="18"/>
        <v>#N/A</v>
      </c>
      <c r="V70" s="14" t="e">
        <f t="shared" ca="1" si="18"/>
        <v>#N/A</v>
      </c>
      <c r="W70" s="14" t="e">
        <f t="shared" ca="1" si="18"/>
        <v>#N/A</v>
      </c>
      <c r="X70" s="14" t="e">
        <f t="shared" ca="1" si="18"/>
        <v>#N/A</v>
      </c>
      <c r="Y70" s="14" t="e">
        <f t="shared" ca="1" si="18"/>
        <v>#N/A</v>
      </c>
      <c r="Z70" s="14" t="e">
        <f t="shared" ca="1" si="18"/>
        <v>#N/A</v>
      </c>
      <c r="AA70" s="14" t="e">
        <f t="shared" ca="1" si="18"/>
        <v>#N/A</v>
      </c>
      <c r="AB70" s="14" t="e">
        <f t="shared" ca="1" si="18"/>
        <v>#N/A</v>
      </c>
      <c r="AC70" s="14" t="e">
        <f t="shared" ca="1" si="18"/>
        <v>#N/A</v>
      </c>
      <c r="AD70" s="14" t="e">
        <f t="shared" ca="1" si="18"/>
        <v>#N/A</v>
      </c>
      <c r="AE70" s="14" t="e">
        <f t="shared" ca="1" si="18"/>
        <v>#N/A</v>
      </c>
      <c r="AF70" s="14" t="e">
        <f t="shared" ca="1" si="18"/>
        <v>#N/A</v>
      </c>
      <c r="AG70" s="14" t="e">
        <f t="shared" ca="1" si="18"/>
        <v>#N/A</v>
      </c>
      <c r="AH70" s="14" t="e">
        <f t="shared" ca="1" si="18"/>
        <v>#N/A</v>
      </c>
      <c r="AI70" s="14" t="e">
        <f t="shared" ca="1" si="18"/>
        <v>#N/A</v>
      </c>
      <c r="AJ70" s="14" t="e">
        <f t="shared" ca="1" si="18"/>
        <v>#N/A</v>
      </c>
      <c r="AK70" s="14" t="e">
        <f t="shared" ca="1" si="18"/>
        <v>#N/A</v>
      </c>
      <c r="AL70" s="14" t="e">
        <f t="shared" ca="1" si="18"/>
        <v>#N/A</v>
      </c>
    </row>
    <row r="71" spans="1:54" ht="21" hidden="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 t="e">
        <f t="shared" ca="1" si="20"/>
        <v>#N/A</v>
      </c>
      <c r="G71" s="14" t="e">
        <f t="shared" ca="1" si="18"/>
        <v>#N/A</v>
      </c>
      <c r="H71" s="14" t="e">
        <f t="shared" ca="1" si="18"/>
        <v>#N/A</v>
      </c>
      <c r="I71" s="14" t="e">
        <f t="shared" ca="1" si="18"/>
        <v>#N/A</v>
      </c>
      <c r="J71" s="14" t="e">
        <f t="shared" ca="1" si="18"/>
        <v>#N/A</v>
      </c>
      <c r="K71" s="14" t="e">
        <f t="shared" ca="1" si="18"/>
        <v>#N/A</v>
      </c>
      <c r="L71" s="14" t="e">
        <f t="shared" ca="1" si="18"/>
        <v>#N/A</v>
      </c>
      <c r="M71" s="14" t="e">
        <f t="shared" ca="1" si="18"/>
        <v>#N/A</v>
      </c>
      <c r="N71" s="14" t="e">
        <f t="shared" ca="1" si="18"/>
        <v>#N/A</v>
      </c>
      <c r="O71" s="14" t="e">
        <f t="shared" ca="1" si="18"/>
        <v>#N/A</v>
      </c>
      <c r="P71" s="14" t="e">
        <f t="shared" ca="1" si="18"/>
        <v>#N/A</v>
      </c>
      <c r="Q71" s="14" t="e">
        <f t="shared" ref="Q71:AL71" ca="1" si="21">$A71*H.Ar + $B71*H.Se + $C71*H.Ge + $D71*H.Ga</f>
        <v>#N/A</v>
      </c>
      <c r="R71" s="14" t="e">
        <f t="shared" ca="1" si="21"/>
        <v>#N/A</v>
      </c>
      <c r="S71" s="14" t="e">
        <f t="shared" ca="1" si="21"/>
        <v>#N/A</v>
      </c>
      <c r="T71" s="14" t="e">
        <f t="shared" ca="1" si="21"/>
        <v>#N/A</v>
      </c>
      <c r="U71" s="14" t="e">
        <f t="shared" ca="1" si="21"/>
        <v>#N/A</v>
      </c>
      <c r="V71" s="14" t="e">
        <f t="shared" ca="1" si="21"/>
        <v>#N/A</v>
      </c>
      <c r="W71" s="14" t="e">
        <f t="shared" ca="1" si="21"/>
        <v>#N/A</v>
      </c>
      <c r="X71" s="14" t="e">
        <f t="shared" ca="1" si="21"/>
        <v>#N/A</v>
      </c>
      <c r="Y71" s="14" t="e">
        <f t="shared" ca="1" si="21"/>
        <v>#N/A</v>
      </c>
      <c r="Z71" s="14" t="e">
        <f t="shared" ca="1" si="21"/>
        <v>#N/A</v>
      </c>
      <c r="AA71" s="14" t="e">
        <f t="shared" ca="1" si="21"/>
        <v>#N/A</v>
      </c>
      <c r="AB71" s="14" t="e">
        <f t="shared" ca="1" si="21"/>
        <v>#N/A</v>
      </c>
      <c r="AC71" s="14" t="e">
        <f t="shared" ca="1" si="21"/>
        <v>#N/A</v>
      </c>
      <c r="AD71" s="14" t="e">
        <f t="shared" ca="1" si="21"/>
        <v>#N/A</v>
      </c>
      <c r="AE71" s="14" t="e">
        <f t="shared" ca="1" si="21"/>
        <v>#N/A</v>
      </c>
      <c r="AF71" s="14" t="e">
        <f t="shared" ca="1" si="21"/>
        <v>#N/A</v>
      </c>
      <c r="AG71" s="14" t="e">
        <f t="shared" ca="1" si="21"/>
        <v>#N/A</v>
      </c>
      <c r="AH71" s="14" t="e">
        <f t="shared" ca="1" si="21"/>
        <v>#N/A</v>
      </c>
      <c r="AI71" s="14" t="e">
        <f t="shared" ca="1" si="21"/>
        <v>#N/A</v>
      </c>
      <c r="AJ71" s="14" t="e">
        <f t="shared" ca="1" si="21"/>
        <v>#N/A</v>
      </c>
      <c r="AK71" s="14" t="e">
        <f t="shared" ca="1" si="21"/>
        <v>#N/A</v>
      </c>
      <c r="AL71" s="14" t="e">
        <f t="shared" ca="1" si="21"/>
        <v>#N/A</v>
      </c>
    </row>
    <row r="72" spans="1:54" ht="21" hidden="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 t="e">
        <f t="shared" ca="1" si="20"/>
        <v>#N/A</v>
      </c>
      <c r="G72" s="14" t="e">
        <f t="shared" ref="G72:AL74" ca="1" si="22">$A72*H.Ar + $B72*H.Se + $C72*H.Ge + $D72*H.Ga</f>
        <v>#N/A</v>
      </c>
      <c r="H72" s="14" t="e">
        <f t="shared" ca="1" si="22"/>
        <v>#N/A</v>
      </c>
      <c r="I72" s="14" t="e">
        <f t="shared" ca="1" si="22"/>
        <v>#N/A</v>
      </c>
      <c r="J72" s="14" t="e">
        <f t="shared" ca="1" si="22"/>
        <v>#N/A</v>
      </c>
      <c r="K72" s="14" t="e">
        <f t="shared" ca="1" si="22"/>
        <v>#N/A</v>
      </c>
      <c r="L72" s="14" t="e">
        <f t="shared" ca="1" si="22"/>
        <v>#N/A</v>
      </c>
      <c r="M72" s="14" t="e">
        <f t="shared" ca="1" si="22"/>
        <v>#N/A</v>
      </c>
      <c r="N72" s="14" t="e">
        <f t="shared" ca="1" si="22"/>
        <v>#N/A</v>
      </c>
      <c r="O72" s="14" t="e">
        <f t="shared" ca="1" si="22"/>
        <v>#N/A</v>
      </c>
      <c r="P72" s="14" t="e">
        <f t="shared" ca="1" si="22"/>
        <v>#N/A</v>
      </c>
      <c r="Q72" s="14" t="e">
        <f t="shared" ca="1" si="22"/>
        <v>#N/A</v>
      </c>
      <c r="R72" s="14" t="e">
        <f t="shared" ca="1" si="22"/>
        <v>#N/A</v>
      </c>
      <c r="S72" s="14" t="e">
        <f t="shared" ca="1" si="22"/>
        <v>#N/A</v>
      </c>
      <c r="T72" s="14" t="e">
        <f t="shared" ca="1" si="22"/>
        <v>#N/A</v>
      </c>
      <c r="U72" s="14" t="e">
        <f t="shared" ca="1" si="22"/>
        <v>#N/A</v>
      </c>
      <c r="V72" s="14" t="e">
        <f t="shared" ca="1" si="22"/>
        <v>#N/A</v>
      </c>
      <c r="W72" s="14" t="e">
        <f t="shared" ca="1" si="22"/>
        <v>#N/A</v>
      </c>
      <c r="X72" s="14" t="e">
        <f t="shared" ca="1" si="22"/>
        <v>#N/A</v>
      </c>
      <c r="Y72" s="14" t="e">
        <f t="shared" ca="1" si="22"/>
        <v>#N/A</v>
      </c>
      <c r="Z72" s="14" t="e">
        <f t="shared" ca="1" si="22"/>
        <v>#N/A</v>
      </c>
      <c r="AA72" s="14" t="e">
        <f t="shared" ca="1" si="22"/>
        <v>#N/A</v>
      </c>
      <c r="AB72" s="14" t="e">
        <f t="shared" ca="1" si="22"/>
        <v>#N/A</v>
      </c>
      <c r="AC72" s="14" t="e">
        <f t="shared" ca="1" si="22"/>
        <v>#N/A</v>
      </c>
      <c r="AD72" s="14" t="e">
        <f t="shared" ca="1" si="22"/>
        <v>#N/A</v>
      </c>
      <c r="AE72" s="14" t="e">
        <f t="shared" ca="1" si="22"/>
        <v>#N/A</v>
      </c>
      <c r="AF72" s="14" t="e">
        <f t="shared" ca="1" si="22"/>
        <v>#N/A</v>
      </c>
      <c r="AG72" s="14" t="e">
        <f t="shared" ca="1" si="22"/>
        <v>#N/A</v>
      </c>
      <c r="AH72" s="14" t="e">
        <f t="shared" ca="1" si="22"/>
        <v>#N/A</v>
      </c>
      <c r="AI72" s="14" t="e">
        <f t="shared" ca="1" si="22"/>
        <v>#N/A</v>
      </c>
      <c r="AJ72" s="14" t="e">
        <f t="shared" ca="1" si="22"/>
        <v>#N/A</v>
      </c>
      <c r="AK72" s="14" t="e">
        <f t="shared" ca="1" si="22"/>
        <v>#N/A</v>
      </c>
      <c r="AL72" s="14" t="e">
        <f t="shared" ca="1" si="22"/>
        <v>#N/A</v>
      </c>
    </row>
    <row r="73" spans="1:54" ht="21" hidden="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 t="e">
        <f t="shared" ca="1" si="20"/>
        <v>#N/A</v>
      </c>
      <c r="G73" s="14" t="e">
        <f t="shared" ca="1" si="22"/>
        <v>#N/A</v>
      </c>
      <c r="H73" s="14" t="e">
        <f t="shared" ca="1" si="22"/>
        <v>#N/A</v>
      </c>
      <c r="I73" s="14" t="e">
        <f t="shared" ca="1" si="22"/>
        <v>#N/A</v>
      </c>
      <c r="J73" s="14" t="e">
        <f t="shared" ca="1" si="22"/>
        <v>#N/A</v>
      </c>
      <c r="K73" s="14" t="e">
        <f t="shared" ca="1" si="22"/>
        <v>#N/A</v>
      </c>
      <c r="L73" s="14" t="e">
        <f t="shared" ca="1" si="22"/>
        <v>#N/A</v>
      </c>
      <c r="M73" s="14" t="e">
        <f t="shared" ca="1" si="22"/>
        <v>#N/A</v>
      </c>
      <c r="N73" s="14" t="e">
        <f t="shared" ca="1" si="22"/>
        <v>#N/A</v>
      </c>
      <c r="O73" s="14" t="e">
        <f t="shared" ca="1" si="22"/>
        <v>#N/A</v>
      </c>
      <c r="P73" s="14" t="e">
        <f t="shared" ca="1" si="22"/>
        <v>#N/A</v>
      </c>
      <c r="Q73" s="14" t="e">
        <f t="shared" ca="1" si="22"/>
        <v>#N/A</v>
      </c>
      <c r="R73" s="14" t="e">
        <f t="shared" ca="1" si="22"/>
        <v>#N/A</v>
      </c>
      <c r="S73" s="14" t="e">
        <f t="shared" ca="1" si="22"/>
        <v>#N/A</v>
      </c>
      <c r="T73" s="14" t="e">
        <f t="shared" ca="1" si="22"/>
        <v>#N/A</v>
      </c>
      <c r="U73" s="14" t="e">
        <f t="shared" ca="1" si="22"/>
        <v>#N/A</v>
      </c>
      <c r="V73" s="14" t="e">
        <f t="shared" ca="1" si="22"/>
        <v>#N/A</v>
      </c>
      <c r="W73" s="14" t="e">
        <f t="shared" ca="1" si="22"/>
        <v>#N/A</v>
      </c>
      <c r="X73" s="14" t="e">
        <f t="shared" ca="1" si="22"/>
        <v>#N/A</v>
      </c>
      <c r="Y73" s="14" t="e">
        <f t="shared" ca="1" si="22"/>
        <v>#N/A</v>
      </c>
      <c r="Z73" s="14" t="e">
        <f t="shared" ca="1" si="22"/>
        <v>#N/A</v>
      </c>
      <c r="AA73" s="14" t="e">
        <f t="shared" ca="1" si="22"/>
        <v>#N/A</v>
      </c>
      <c r="AB73" s="14" t="e">
        <f t="shared" ca="1" si="22"/>
        <v>#N/A</v>
      </c>
      <c r="AC73" s="14" t="e">
        <f t="shared" ca="1" si="22"/>
        <v>#N/A</v>
      </c>
      <c r="AD73" s="14" t="e">
        <f t="shared" ca="1" si="22"/>
        <v>#N/A</v>
      </c>
      <c r="AE73" s="14" t="e">
        <f t="shared" ca="1" si="22"/>
        <v>#N/A</v>
      </c>
      <c r="AF73" s="14" t="e">
        <f t="shared" ca="1" si="22"/>
        <v>#N/A</v>
      </c>
      <c r="AG73" s="14" t="e">
        <f t="shared" ca="1" si="22"/>
        <v>#N/A</v>
      </c>
      <c r="AH73" s="14" t="e">
        <f t="shared" ca="1" si="22"/>
        <v>#N/A</v>
      </c>
      <c r="AI73" s="14" t="e">
        <f t="shared" ca="1" si="22"/>
        <v>#N/A</v>
      </c>
      <c r="AJ73" s="14" t="e">
        <f t="shared" ca="1" si="22"/>
        <v>#N/A</v>
      </c>
      <c r="AK73" s="14" t="e">
        <f t="shared" ca="1" si="22"/>
        <v>#N/A</v>
      </c>
      <c r="AL73" s="14" t="e">
        <f t="shared" ca="1" si="22"/>
        <v>#N/A</v>
      </c>
    </row>
    <row r="74" spans="1:54" ht="21" hidden="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 t="e">
        <f t="shared" ca="1" si="20"/>
        <v>#N/A</v>
      </c>
      <c r="G74" s="14" t="e">
        <f t="shared" ca="1" si="22"/>
        <v>#N/A</v>
      </c>
      <c r="H74" s="14" t="e">
        <f t="shared" ca="1" si="22"/>
        <v>#N/A</v>
      </c>
      <c r="I74" s="14" t="e">
        <f t="shared" ca="1" si="22"/>
        <v>#N/A</v>
      </c>
      <c r="J74" s="14" t="e">
        <f t="shared" ca="1" si="22"/>
        <v>#N/A</v>
      </c>
      <c r="K74" s="14" t="e">
        <f t="shared" ca="1" si="22"/>
        <v>#N/A</v>
      </c>
      <c r="L74" s="14" t="e">
        <f t="shared" ca="1" si="22"/>
        <v>#N/A</v>
      </c>
      <c r="M74" s="14" t="e">
        <f t="shared" ca="1" si="22"/>
        <v>#N/A</v>
      </c>
      <c r="N74" s="14" t="e">
        <f t="shared" ca="1" si="22"/>
        <v>#N/A</v>
      </c>
      <c r="O74" s="14" t="e">
        <f t="shared" ca="1" si="22"/>
        <v>#N/A</v>
      </c>
      <c r="P74" s="14" t="e">
        <f t="shared" ca="1" si="22"/>
        <v>#N/A</v>
      </c>
      <c r="Q74" s="14" t="e">
        <f t="shared" ca="1" si="22"/>
        <v>#N/A</v>
      </c>
      <c r="R74" s="14" t="e">
        <f t="shared" ca="1" si="22"/>
        <v>#N/A</v>
      </c>
      <c r="S74" s="14" t="e">
        <f t="shared" ca="1" si="22"/>
        <v>#N/A</v>
      </c>
      <c r="T74" s="14" t="e">
        <f t="shared" ca="1" si="22"/>
        <v>#N/A</v>
      </c>
      <c r="U74" s="14" t="e">
        <f t="shared" ca="1" si="22"/>
        <v>#N/A</v>
      </c>
      <c r="V74" s="14" t="e">
        <f t="shared" ca="1" si="22"/>
        <v>#N/A</v>
      </c>
      <c r="W74" s="14" t="e">
        <f t="shared" ca="1" si="22"/>
        <v>#N/A</v>
      </c>
      <c r="X74" s="14" t="e">
        <f t="shared" ca="1" si="22"/>
        <v>#N/A</v>
      </c>
      <c r="Y74" s="14" t="e">
        <f t="shared" ca="1" si="22"/>
        <v>#N/A</v>
      </c>
      <c r="Z74" s="14" t="e">
        <f t="shared" ca="1" si="22"/>
        <v>#N/A</v>
      </c>
      <c r="AA74" s="14" t="e">
        <f t="shared" ca="1" si="22"/>
        <v>#N/A</v>
      </c>
      <c r="AB74" s="14" t="e">
        <f t="shared" ca="1" si="22"/>
        <v>#N/A</v>
      </c>
      <c r="AC74" s="14" t="e">
        <f t="shared" ca="1" si="22"/>
        <v>#N/A</v>
      </c>
      <c r="AD74" s="14" t="e">
        <f t="shared" ca="1" si="22"/>
        <v>#N/A</v>
      </c>
      <c r="AE74" s="14" t="e">
        <f t="shared" ca="1" si="22"/>
        <v>#N/A</v>
      </c>
      <c r="AF74" s="14" t="e">
        <f t="shared" ca="1" si="22"/>
        <v>#N/A</v>
      </c>
      <c r="AG74" s="14" t="e">
        <f t="shared" ca="1" si="22"/>
        <v>#N/A</v>
      </c>
      <c r="AH74" s="14" t="e">
        <f t="shared" ca="1" si="22"/>
        <v>#N/A</v>
      </c>
      <c r="AI74" s="14" t="e">
        <f t="shared" ca="1" si="22"/>
        <v>#N/A</v>
      </c>
      <c r="AJ74" s="14" t="e">
        <f t="shared" ca="1" si="22"/>
        <v>#N/A</v>
      </c>
      <c r="AK74" s="14" t="e">
        <f t="shared" ca="1" si="22"/>
        <v>#N/A</v>
      </c>
      <c r="AL74" s="14" t="e">
        <f t="shared" ca="1" si="22"/>
        <v>#N/A</v>
      </c>
    </row>
    <row r="75" spans="1:54" ht="21" hidden="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hidden="1" customHeight="1" outlineLevel="1" x14ac:dyDescent="0.35">
      <c r="U76" s="55"/>
      <c r="V76" s="55"/>
      <c r="W76" s="55"/>
    </row>
    <row r="77" spans="1:54" ht="21" customHeight="1" collapsed="1" x14ac:dyDescent="0.35">
      <c r="U77" s="55"/>
      <c r="V77" s="55"/>
      <c r="W77" s="55"/>
    </row>
    <row r="78" spans="1:54" ht="21" customHeight="1" x14ac:dyDescent="0.4">
      <c r="A78" s="88"/>
      <c r="B78" s="88"/>
      <c r="C78" s="89">
        <f>E41</f>
        <v>1.4</v>
      </c>
      <c r="D78" s="75"/>
      <c r="E78" s="74" t="s">
        <v>23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3">E45</f>
        <v>0</v>
      </c>
      <c r="F79" s="3">
        <f t="shared" ref="F79:AL79" si="24">F3</f>
        <v>0</v>
      </c>
      <c r="G79" s="3">
        <f t="shared" si="24"/>
        <v>0</v>
      </c>
      <c r="H79" s="3">
        <f t="shared" si="24"/>
        <v>0</v>
      </c>
      <c r="I79" s="3">
        <f t="shared" si="24"/>
        <v>0</v>
      </c>
      <c r="J79" s="3">
        <f t="shared" si="24"/>
        <v>0</v>
      </c>
      <c r="K79" s="3">
        <f t="shared" si="24"/>
        <v>0</v>
      </c>
      <c r="L79" s="3">
        <f t="shared" si="24"/>
        <v>0</v>
      </c>
      <c r="M79" s="3">
        <f t="shared" si="24"/>
        <v>0</v>
      </c>
      <c r="N79" s="3">
        <f t="shared" si="24"/>
        <v>0</v>
      </c>
      <c r="O79" s="3">
        <f t="shared" si="24"/>
        <v>0</v>
      </c>
      <c r="P79" s="3">
        <f t="shared" si="24"/>
        <v>0</v>
      </c>
      <c r="Q79" s="3">
        <f t="shared" si="24"/>
        <v>0</v>
      </c>
      <c r="R79" s="3">
        <f t="shared" si="24"/>
        <v>0</v>
      </c>
      <c r="S79" s="3">
        <f t="shared" si="24"/>
        <v>0</v>
      </c>
      <c r="T79" s="3">
        <f t="shared" si="24"/>
        <v>0</v>
      </c>
      <c r="U79" s="3">
        <f t="shared" si="24"/>
        <v>0</v>
      </c>
      <c r="V79" s="3">
        <f t="shared" si="24"/>
        <v>0</v>
      </c>
      <c r="W79" s="3">
        <f t="shared" si="24"/>
        <v>0</v>
      </c>
      <c r="X79" s="3">
        <f t="shared" si="24"/>
        <v>0</v>
      </c>
      <c r="Y79" s="3">
        <f t="shared" si="24"/>
        <v>0</v>
      </c>
      <c r="Z79" s="3">
        <f t="shared" si="24"/>
        <v>0</v>
      </c>
      <c r="AA79" s="3">
        <f t="shared" si="24"/>
        <v>0</v>
      </c>
      <c r="AB79" s="3">
        <f t="shared" si="24"/>
        <v>0</v>
      </c>
      <c r="AC79" s="3">
        <f t="shared" si="24"/>
        <v>0</v>
      </c>
      <c r="AD79" s="3">
        <f t="shared" si="24"/>
        <v>0</v>
      </c>
      <c r="AE79" s="3">
        <f t="shared" si="24"/>
        <v>0</v>
      </c>
      <c r="AF79" s="3">
        <f t="shared" si="24"/>
        <v>0</v>
      </c>
      <c r="AG79" s="3">
        <f t="shared" si="24"/>
        <v>0</v>
      </c>
      <c r="AH79" s="3">
        <f t="shared" si="24"/>
        <v>0</v>
      </c>
      <c r="AI79" s="3">
        <f t="shared" si="24"/>
        <v>0</v>
      </c>
      <c r="AJ79" s="3">
        <f t="shared" si="24"/>
        <v>0</v>
      </c>
      <c r="AK79" s="3">
        <f t="shared" si="24"/>
        <v>0</v>
      </c>
      <c r="AL79" s="3">
        <f t="shared" si="24"/>
        <v>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5">B46</f>
        <v>0</v>
      </c>
      <c r="C80" s="5">
        <f t="shared" si="25"/>
        <v>0</v>
      </c>
      <c r="D80" s="5">
        <f t="shared" si="25"/>
        <v>0</v>
      </c>
      <c r="E80" s="6">
        <f t="shared" si="23"/>
        <v>0</v>
      </c>
      <c r="F80" s="14">
        <f t="shared" ref="F80:AL80" si="26">F4*$C$78</f>
        <v>0</v>
      </c>
      <c r="G80" s="14">
        <f t="shared" si="26"/>
        <v>0</v>
      </c>
      <c r="H80" s="14">
        <f t="shared" si="26"/>
        <v>0</v>
      </c>
      <c r="I80" s="14">
        <f t="shared" si="26"/>
        <v>0</v>
      </c>
      <c r="J80" s="14">
        <f t="shared" si="26"/>
        <v>0</v>
      </c>
      <c r="K80" s="14">
        <f t="shared" si="26"/>
        <v>0</v>
      </c>
      <c r="L80" s="14">
        <f t="shared" si="26"/>
        <v>0</v>
      </c>
      <c r="M80" s="14">
        <f t="shared" si="26"/>
        <v>0</v>
      </c>
      <c r="N80" s="14">
        <f t="shared" si="26"/>
        <v>0</v>
      </c>
      <c r="O80" s="14">
        <f t="shared" si="26"/>
        <v>0</v>
      </c>
      <c r="P80" s="14">
        <f t="shared" si="26"/>
        <v>0</v>
      </c>
      <c r="Q80" s="14">
        <f t="shared" si="26"/>
        <v>0</v>
      </c>
      <c r="R80" s="14">
        <f t="shared" si="26"/>
        <v>0</v>
      </c>
      <c r="S80" s="14">
        <f t="shared" si="26"/>
        <v>0</v>
      </c>
      <c r="T80" s="14">
        <f t="shared" si="26"/>
        <v>0</v>
      </c>
      <c r="U80" s="14">
        <f t="shared" si="26"/>
        <v>0</v>
      </c>
      <c r="V80" s="14">
        <f t="shared" si="26"/>
        <v>0</v>
      </c>
      <c r="W80" s="14">
        <f t="shared" si="26"/>
        <v>0</v>
      </c>
      <c r="X80" s="14">
        <f t="shared" si="26"/>
        <v>0</v>
      </c>
      <c r="Y80" s="14">
        <f t="shared" si="26"/>
        <v>0</v>
      </c>
      <c r="Z80" s="14">
        <f t="shared" si="26"/>
        <v>0</v>
      </c>
      <c r="AA80" s="14">
        <f t="shared" si="26"/>
        <v>0</v>
      </c>
      <c r="AB80" s="14">
        <f t="shared" si="26"/>
        <v>0</v>
      </c>
      <c r="AC80" s="14">
        <f t="shared" si="26"/>
        <v>0</v>
      </c>
      <c r="AD80" s="14">
        <f t="shared" si="26"/>
        <v>0</v>
      </c>
      <c r="AE80" s="14">
        <f t="shared" si="26"/>
        <v>0</v>
      </c>
      <c r="AF80" s="14">
        <f t="shared" si="26"/>
        <v>0</v>
      </c>
      <c r="AG80" s="14">
        <f t="shared" si="26"/>
        <v>0</v>
      </c>
      <c r="AH80" s="14">
        <f t="shared" si="26"/>
        <v>0</v>
      </c>
      <c r="AI80" s="14">
        <f t="shared" si="26"/>
        <v>0</v>
      </c>
      <c r="AJ80" s="14">
        <f t="shared" si="26"/>
        <v>0</v>
      </c>
      <c r="AK80" s="14">
        <f t="shared" si="26"/>
        <v>0</v>
      </c>
      <c r="AL80" s="14">
        <f t="shared" si="26"/>
        <v>0</v>
      </c>
    </row>
    <row r="81" spans="1:38" ht="21" hidden="1" customHeight="1" outlineLevel="1" thickBot="1" x14ac:dyDescent="0.4">
      <c r="A81" s="5">
        <f t="shared" ref="A81:D96" si="27">A47</f>
        <v>0</v>
      </c>
      <c r="B81" s="5">
        <f t="shared" si="27"/>
        <v>0</v>
      </c>
      <c r="C81" s="5">
        <f t="shared" si="27"/>
        <v>0</v>
      </c>
      <c r="D81" s="5">
        <f t="shared" si="27"/>
        <v>0</v>
      </c>
      <c r="E81" s="6">
        <f t="shared" si="23"/>
        <v>0</v>
      </c>
      <c r="F81" s="14">
        <f t="shared" ref="F81:AL81" si="28">F5*$C$78</f>
        <v>0</v>
      </c>
      <c r="G81" s="14">
        <f t="shared" si="28"/>
        <v>0</v>
      </c>
      <c r="H81" s="14">
        <f t="shared" si="28"/>
        <v>0</v>
      </c>
      <c r="I81" s="14">
        <f t="shared" si="28"/>
        <v>0</v>
      </c>
      <c r="J81" s="14">
        <f t="shared" si="28"/>
        <v>0</v>
      </c>
      <c r="K81" s="14">
        <f t="shared" si="28"/>
        <v>0</v>
      </c>
      <c r="L81" s="14">
        <f t="shared" si="28"/>
        <v>0</v>
      </c>
      <c r="M81" s="14">
        <f t="shared" si="28"/>
        <v>0</v>
      </c>
      <c r="N81" s="14">
        <f t="shared" si="28"/>
        <v>0</v>
      </c>
      <c r="O81" s="14">
        <f t="shared" si="28"/>
        <v>0</v>
      </c>
      <c r="P81" s="14">
        <f t="shared" si="28"/>
        <v>0</v>
      </c>
      <c r="Q81" s="14">
        <f t="shared" si="28"/>
        <v>0</v>
      </c>
      <c r="R81" s="14">
        <f t="shared" si="28"/>
        <v>0</v>
      </c>
      <c r="S81" s="14">
        <f t="shared" si="28"/>
        <v>0</v>
      </c>
      <c r="T81" s="14">
        <f t="shared" si="28"/>
        <v>0</v>
      </c>
      <c r="U81" s="14">
        <f t="shared" si="28"/>
        <v>0</v>
      </c>
      <c r="V81" s="14">
        <f t="shared" si="28"/>
        <v>0</v>
      </c>
      <c r="W81" s="14">
        <f t="shared" si="28"/>
        <v>0</v>
      </c>
      <c r="X81" s="14">
        <f t="shared" si="28"/>
        <v>0</v>
      </c>
      <c r="Y81" s="14">
        <f t="shared" si="28"/>
        <v>0</v>
      </c>
      <c r="Z81" s="14">
        <f t="shared" si="28"/>
        <v>0</v>
      </c>
      <c r="AA81" s="14">
        <f t="shared" si="28"/>
        <v>0</v>
      </c>
      <c r="AB81" s="14">
        <f t="shared" si="28"/>
        <v>0</v>
      </c>
      <c r="AC81" s="14">
        <f t="shared" si="28"/>
        <v>0</v>
      </c>
      <c r="AD81" s="14">
        <f t="shared" si="28"/>
        <v>0</v>
      </c>
      <c r="AE81" s="14">
        <f t="shared" si="28"/>
        <v>0</v>
      </c>
      <c r="AF81" s="14">
        <f t="shared" si="28"/>
        <v>0</v>
      </c>
      <c r="AG81" s="14">
        <f t="shared" si="28"/>
        <v>0</v>
      </c>
      <c r="AH81" s="14">
        <f t="shared" si="28"/>
        <v>0</v>
      </c>
      <c r="AI81" s="14">
        <f t="shared" si="28"/>
        <v>0</v>
      </c>
      <c r="AJ81" s="14">
        <f t="shared" si="28"/>
        <v>0</v>
      </c>
      <c r="AK81" s="14">
        <f t="shared" si="28"/>
        <v>0</v>
      </c>
      <c r="AL81" s="14">
        <f t="shared" si="28"/>
        <v>0</v>
      </c>
    </row>
    <row r="82" spans="1:38" ht="21" hidden="1" customHeight="1" outlineLevel="1" thickBot="1" x14ac:dyDescent="0.4">
      <c r="A82" s="5">
        <f t="shared" si="27"/>
        <v>0</v>
      </c>
      <c r="B82" s="5">
        <f t="shared" si="27"/>
        <v>0</v>
      </c>
      <c r="C82" s="5">
        <f t="shared" si="27"/>
        <v>0</v>
      </c>
      <c r="D82" s="5">
        <f t="shared" si="27"/>
        <v>0</v>
      </c>
      <c r="E82" s="6">
        <f t="shared" si="23"/>
        <v>0</v>
      </c>
      <c r="F82" s="14">
        <f t="shared" ref="F82:AL82" si="29">F6*$C$78</f>
        <v>0</v>
      </c>
      <c r="G82" s="14">
        <f t="shared" si="29"/>
        <v>0</v>
      </c>
      <c r="H82" s="14">
        <f t="shared" si="29"/>
        <v>0</v>
      </c>
      <c r="I82" s="14">
        <f t="shared" si="29"/>
        <v>0</v>
      </c>
      <c r="J82" s="14">
        <f t="shared" si="29"/>
        <v>0</v>
      </c>
      <c r="K82" s="14">
        <f t="shared" si="29"/>
        <v>0</v>
      </c>
      <c r="L82" s="14">
        <f t="shared" si="29"/>
        <v>0</v>
      </c>
      <c r="M82" s="14">
        <f t="shared" si="29"/>
        <v>0</v>
      </c>
      <c r="N82" s="14">
        <f t="shared" si="29"/>
        <v>0</v>
      </c>
      <c r="O82" s="14">
        <f t="shared" si="29"/>
        <v>0</v>
      </c>
      <c r="P82" s="14">
        <f t="shared" si="29"/>
        <v>0</v>
      </c>
      <c r="Q82" s="14">
        <f t="shared" si="29"/>
        <v>0</v>
      </c>
      <c r="R82" s="14">
        <f t="shared" si="29"/>
        <v>0</v>
      </c>
      <c r="S82" s="14">
        <f t="shared" si="29"/>
        <v>0</v>
      </c>
      <c r="T82" s="14">
        <f t="shared" si="29"/>
        <v>0</v>
      </c>
      <c r="U82" s="14">
        <f t="shared" si="29"/>
        <v>0</v>
      </c>
      <c r="V82" s="14">
        <f t="shared" si="29"/>
        <v>0</v>
      </c>
      <c r="W82" s="14">
        <f t="shared" si="29"/>
        <v>0</v>
      </c>
      <c r="X82" s="14">
        <f t="shared" si="29"/>
        <v>0</v>
      </c>
      <c r="Y82" s="14">
        <f t="shared" si="29"/>
        <v>0</v>
      </c>
      <c r="Z82" s="14">
        <f t="shared" si="29"/>
        <v>0</v>
      </c>
      <c r="AA82" s="14">
        <f t="shared" si="29"/>
        <v>0</v>
      </c>
      <c r="AB82" s="14">
        <f t="shared" si="29"/>
        <v>0</v>
      </c>
      <c r="AC82" s="14">
        <f t="shared" si="29"/>
        <v>0</v>
      </c>
      <c r="AD82" s="14">
        <f t="shared" si="29"/>
        <v>0</v>
      </c>
      <c r="AE82" s="14">
        <f t="shared" si="29"/>
        <v>0</v>
      </c>
      <c r="AF82" s="14">
        <f t="shared" si="29"/>
        <v>0</v>
      </c>
      <c r="AG82" s="14">
        <f t="shared" si="29"/>
        <v>0</v>
      </c>
      <c r="AH82" s="14">
        <f t="shared" si="29"/>
        <v>0</v>
      </c>
      <c r="AI82" s="14">
        <f t="shared" si="29"/>
        <v>0</v>
      </c>
      <c r="AJ82" s="14">
        <f t="shared" si="29"/>
        <v>0</v>
      </c>
      <c r="AK82" s="14">
        <f t="shared" si="29"/>
        <v>0</v>
      </c>
      <c r="AL82" s="14">
        <f t="shared" si="29"/>
        <v>0</v>
      </c>
    </row>
    <row r="83" spans="1:38" ht="21" hidden="1" customHeight="1" outlineLevel="1" thickBot="1" x14ac:dyDescent="0.4">
      <c r="A83" s="5">
        <f t="shared" si="27"/>
        <v>0</v>
      </c>
      <c r="B83" s="5">
        <f t="shared" si="27"/>
        <v>0</v>
      </c>
      <c r="C83" s="5">
        <f t="shared" si="27"/>
        <v>0</v>
      </c>
      <c r="D83" s="5">
        <f t="shared" si="27"/>
        <v>0</v>
      </c>
      <c r="E83" s="6">
        <f t="shared" si="23"/>
        <v>0</v>
      </c>
      <c r="F83" s="14">
        <f t="shared" ref="F83:AL83" si="30">F7*$C$78</f>
        <v>0</v>
      </c>
      <c r="G83" s="14">
        <f t="shared" si="30"/>
        <v>0</v>
      </c>
      <c r="H83" s="14">
        <f t="shared" si="30"/>
        <v>0</v>
      </c>
      <c r="I83" s="14">
        <f t="shared" si="30"/>
        <v>0</v>
      </c>
      <c r="J83" s="14">
        <f t="shared" si="30"/>
        <v>0</v>
      </c>
      <c r="K83" s="14">
        <f t="shared" si="30"/>
        <v>0</v>
      </c>
      <c r="L83" s="14">
        <f t="shared" si="30"/>
        <v>0</v>
      </c>
      <c r="M83" s="14">
        <f t="shared" si="30"/>
        <v>0</v>
      </c>
      <c r="N83" s="14">
        <f t="shared" si="30"/>
        <v>0</v>
      </c>
      <c r="O83" s="14">
        <f t="shared" si="30"/>
        <v>0</v>
      </c>
      <c r="P83" s="14">
        <f t="shared" si="30"/>
        <v>0</v>
      </c>
      <c r="Q83" s="14">
        <f t="shared" si="30"/>
        <v>0</v>
      </c>
      <c r="R83" s="14">
        <f t="shared" si="30"/>
        <v>0</v>
      </c>
      <c r="S83" s="14">
        <f t="shared" si="30"/>
        <v>0</v>
      </c>
      <c r="T83" s="14">
        <f t="shared" si="30"/>
        <v>0</v>
      </c>
      <c r="U83" s="14">
        <f t="shared" si="30"/>
        <v>0</v>
      </c>
      <c r="V83" s="14">
        <f t="shared" si="30"/>
        <v>0</v>
      </c>
      <c r="W83" s="14">
        <f t="shared" si="30"/>
        <v>0</v>
      </c>
      <c r="X83" s="14">
        <f t="shared" si="30"/>
        <v>0</v>
      </c>
      <c r="Y83" s="14">
        <f t="shared" si="30"/>
        <v>0</v>
      </c>
      <c r="Z83" s="14">
        <f t="shared" si="30"/>
        <v>0</v>
      </c>
      <c r="AA83" s="14">
        <f t="shared" si="30"/>
        <v>0</v>
      </c>
      <c r="AB83" s="14">
        <f t="shared" si="30"/>
        <v>0</v>
      </c>
      <c r="AC83" s="14">
        <f t="shared" si="30"/>
        <v>0</v>
      </c>
      <c r="AD83" s="14">
        <f t="shared" si="30"/>
        <v>0</v>
      </c>
      <c r="AE83" s="14">
        <f t="shared" si="30"/>
        <v>0</v>
      </c>
      <c r="AF83" s="14">
        <f t="shared" si="30"/>
        <v>0</v>
      </c>
      <c r="AG83" s="14">
        <f t="shared" si="30"/>
        <v>0</v>
      </c>
      <c r="AH83" s="14">
        <f t="shared" si="30"/>
        <v>0</v>
      </c>
      <c r="AI83" s="14">
        <f t="shared" si="30"/>
        <v>0</v>
      </c>
      <c r="AJ83" s="14">
        <f t="shared" si="30"/>
        <v>0</v>
      </c>
      <c r="AK83" s="14">
        <f t="shared" si="30"/>
        <v>0</v>
      </c>
      <c r="AL83" s="14">
        <f t="shared" si="30"/>
        <v>0</v>
      </c>
    </row>
    <row r="84" spans="1:38" ht="21" hidden="1" customHeight="1" outlineLevel="1" thickBot="1" x14ac:dyDescent="0.4">
      <c r="A84" s="5">
        <f t="shared" si="27"/>
        <v>0</v>
      </c>
      <c r="B84" s="5">
        <f t="shared" si="27"/>
        <v>0</v>
      </c>
      <c r="C84" s="5">
        <f t="shared" si="27"/>
        <v>0</v>
      </c>
      <c r="D84" s="5">
        <f t="shared" si="27"/>
        <v>0</v>
      </c>
      <c r="E84" s="6">
        <f t="shared" si="23"/>
        <v>0</v>
      </c>
      <c r="F84" s="14">
        <f t="shared" ref="F84:AL84" si="31">F8*$C$78</f>
        <v>0</v>
      </c>
      <c r="G84" s="14">
        <f t="shared" si="31"/>
        <v>0</v>
      </c>
      <c r="H84" s="14">
        <f t="shared" si="31"/>
        <v>0</v>
      </c>
      <c r="I84" s="14">
        <f t="shared" si="31"/>
        <v>0</v>
      </c>
      <c r="J84" s="14">
        <f t="shared" si="31"/>
        <v>0</v>
      </c>
      <c r="K84" s="14">
        <f t="shared" si="31"/>
        <v>0</v>
      </c>
      <c r="L84" s="14">
        <f t="shared" si="31"/>
        <v>0</v>
      </c>
      <c r="M84" s="14">
        <f t="shared" si="31"/>
        <v>0</v>
      </c>
      <c r="N84" s="14">
        <f t="shared" si="31"/>
        <v>0</v>
      </c>
      <c r="O84" s="14">
        <f t="shared" si="31"/>
        <v>0</v>
      </c>
      <c r="P84" s="14">
        <f t="shared" si="31"/>
        <v>0</v>
      </c>
      <c r="Q84" s="14">
        <f t="shared" si="31"/>
        <v>0</v>
      </c>
      <c r="R84" s="14">
        <f t="shared" si="31"/>
        <v>0</v>
      </c>
      <c r="S84" s="14">
        <f t="shared" si="31"/>
        <v>0</v>
      </c>
      <c r="T84" s="14">
        <f t="shared" si="31"/>
        <v>0</v>
      </c>
      <c r="U84" s="14">
        <f t="shared" si="31"/>
        <v>0</v>
      </c>
      <c r="V84" s="14">
        <f t="shared" si="31"/>
        <v>0</v>
      </c>
      <c r="W84" s="14">
        <f t="shared" si="31"/>
        <v>0</v>
      </c>
      <c r="X84" s="14">
        <f t="shared" si="31"/>
        <v>0</v>
      </c>
      <c r="Y84" s="14">
        <f t="shared" si="31"/>
        <v>0</v>
      </c>
      <c r="Z84" s="14">
        <f t="shared" si="31"/>
        <v>0</v>
      </c>
      <c r="AA84" s="14">
        <f t="shared" si="31"/>
        <v>0</v>
      </c>
      <c r="AB84" s="14">
        <f t="shared" si="31"/>
        <v>0</v>
      </c>
      <c r="AC84" s="14">
        <f t="shared" si="31"/>
        <v>0</v>
      </c>
      <c r="AD84" s="14">
        <f t="shared" si="31"/>
        <v>0</v>
      </c>
      <c r="AE84" s="14">
        <f t="shared" si="31"/>
        <v>0</v>
      </c>
      <c r="AF84" s="14">
        <f t="shared" si="31"/>
        <v>0</v>
      </c>
      <c r="AG84" s="14">
        <f t="shared" si="31"/>
        <v>0</v>
      </c>
      <c r="AH84" s="14">
        <f t="shared" si="31"/>
        <v>0</v>
      </c>
      <c r="AI84" s="14">
        <f t="shared" si="31"/>
        <v>0</v>
      </c>
      <c r="AJ84" s="14">
        <f t="shared" si="31"/>
        <v>0</v>
      </c>
      <c r="AK84" s="14">
        <f t="shared" si="31"/>
        <v>0</v>
      </c>
      <c r="AL84" s="14">
        <f t="shared" si="31"/>
        <v>0</v>
      </c>
    </row>
    <row r="85" spans="1:38" ht="21" hidden="1" customHeight="1" outlineLevel="1" thickBot="1" x14ac:dyDescent="0.4">
      <c r="A85" s="5">
        <f t="shared" si="27"/>
        <v>0</v>
      </c>
      <c r="B85" s="5">
        <f t="shared" si="27"/>
        <v>0</v>
      </c>
      <c r="C85" s="5">
        <f t="shared" si="27"/>
        <v>0</v>
      </c>
      <c r="D85" s="5">
        <f t="shared" si="27"/>
        <v>0</v>
      </c>
      <c r="E85" s="6">
        <f t="shared" si="23"/>
        <v>0</v>
      </c>
      <c r="F85" s="14">
        <f t="shared" ref="F85:AL85" si="32">F9*$C$78</f>
        <v>0</v>
      </c>
      <c r="G85" s="14">
        <f t="shared" si="32"/>
        <v>0</v>
      </c>
      <c r="H85" s="14">
        <f t="shared" si="32"/>
        <v>0</v>
      </c>
      <c r="I85" s="14">
        <f t="shared" si="32"/>
        <v>0</v>
      </c>
      <c r="J85" s="14">
        <f t="shared" si="32"/>
        <v>0</v>
      </c>
      <c r="K85" s="14">
        <f t="shared" si="32"/>
        <v>0</v>
      </c>
      <c r="L85" s="14">
        <f t="shared" si="32"/>
        <v>0</v>
      </c>
      <c r="M85" s="14">
        <f t="shared" si="32"/>
        <v>0</v>
      </c>
      <c r="N85" s="14">
        <f t="shared" si="32"/>
        <v>0</v>
      </c>
      <c r="O85" s="14">
        <f t="shared" si="32"/>
        <v>0</v>
      </c>
      <c r="P85" s="14">
        <f t="shared" si="32"/>
        <v>0</v>
      </c>
      <c r="Q85" s="14">
        <f t="shared" si="32"/>
        <v>0</v>
      </c>
      <c r="R85" s="14">
        <f t="shared" si="32"/>
        <v>0</v>
      </c>
      <c r="S85" s="14">
        <f t="shared" si="32"/>
        <v>0</v>
      </c>
      <c r="T85" s="14">
        <f t="shared" si="32"/>
        <v>0</v>
      </c>
      <c r="U85" s="14">
        <f t="shared" si="32"/>
        <v>0</v>
      </c>
      <c r="V85" s="14">
        <f t="shared" si="32"/>
        <v>0</v>
      </c>
      <c r="W85" s="14">
        <f t="shared" si="32"/>
        <v>0</v>
      </c>
      <c r="X85" s="14">
        <f t="shared" si="32"/>
        <v>0</v>
      </c>
      <c r="Y85" s="14">
        <f t="shared" si="32"/>
        <v>0</v>
      </c>
      <c r="Z85" s="14">
        <f t="shared" si="32"/>
        <v>0</v>
      </c>
      <c r="AA85" s="14">
        <f t="shared" si="32"/>
        <v>0</v>
      </c>
      <c r="AB85" s="14">
        <f t="shared" si="32"/>
        <v>0</v>
      </c>
      <c r="AC85" s="14">
        <f t="shared" si="32"/>
        <v>0</v>
      </c>
      <c r="AD85" s="14">
        <f t="shared" si="32"/>
        <v>0</v>
      </c>
      <c r="AE85" s="14">
        <f t="shared" si="32"/>
        <v>0</v>
      </c>
      <c r="AF85" s="14">
        <f t="shared" si="32"/>
        <v>0</v>
      </c>
      <c r="AG85" s="14">
        <f t="shared" si="32"/>
        <v>0</v>
      </c>
      <c r="AH85" s="14">
        <f t="shared" si="32"/>
        <v>0</v>
      </c>
      <c r="AI85" s="14">
        <f t="shared" si="32"/>
        <v>0</v>
      </c>
      <c r="AJ85" s="14">
        <f t="shared" si="32"/>
        <v>0</v>
      </c>
      <c r="AK85" s="14">
        <f t="shared" si="32"/>
        <v>0</v>
      </c>
      <c r="AL85" s="14">
        <f t="shared" si="32"/>
        <v>0</v>
      </c>
    </row>
    <row r="86" spans="1:38" ht="21" hidden="1" customHeight="1" outlineLevel="1" thickBot="1" x14ac:dyDescent="0.4">
      <c r="A86" s="5">
        <f t="shared" si="27"/>
        <v>0</v>
      </c>
      <c r="B86" s="5">
        <f t="shared" si="27"/>
        <v>0</v>
      </c>
      <c r="C86" s="5">
        <f t="shared" si="27"/>
        <v>0</v>
      </c>
      <c r="D86" s="5">
        <f t="shared" si="27"/>
        <v>0</v>
      </c>
      <c r="E86" s="6">
        <f t="shared" si="23"/>
        <v>0</v>
      </c>
      <c r="F86" s="14">
        <f t="shared" ref="F86:AL86" si="33">F10*$C$78</f>
        <v>0</v>
      </c>
      <c r="G86" s="14">
        <f t="shared" si="33"/>
        <v>0</v>
      </c>
      <c r="H86" s="14">
        <f t="shared" si="33"/>
        <v>0</v>
      </c>
      <c r="I86" s="14">
        <f t="shared" si="33"/>
        <v>0</v>
      </c>
      <c r="J86" s="14">
        <f t="shared" si="33"/>
        <v>0</v>
      </c>
      <c r="K86" s="14">
        <f t="shared" si="33"/>
        <v>0</v>
      </c>
      <c r="L86" s="14">
        <f t="shared" si="33"/>
        <v>0</v>
      </c>
      <c r="M86" s="14">
        <f t="shared" si="33"/>
        <v>0</v>
      </c>
      <c r="N86" s="14">
        <f t="shared" si="33"/>
        <v>0</v>
      </c>
      <c r="O86" s="14">
        <f t="shared" si="33"/>
        <v>0</v>
      </c>
      <c r="P86" s="14">
        <f t="shared" si="33"/>
        <v>0</v>
      </c>
      <c r="Q86" s="14">
        <f t="shared" si="33"/>
        <v>0</v>
      </c>
      <c r="R86" s="14">
        <f t="shared" si="33"/>
        <v>0</v>
      </c>
      <c r="S86" s="14">
        <f t="shared" si="33"/>
        <v>0</v>
      </c>
      <c r="T86" s="14">
        <f t="shared" si="33"/>
        <v>0</v>
      </c>
      <c r="U86" s="14">
        <f t="shared" si="33"/>
        <v>0</v>
      </c>
      <c r="V86" s="14">
        <f t="shared" si="33"/>
        <v>0</v>
      </c>
      <c r="W86" s="14">
        <f t="shared" si="33"/>
        <v>0</v>
      </c>
      <c r="X86" s="14">
        <f t="shared" si="33"/>
        <v>0</v>
      </c>
      <c r="Y86" s="14">
        <f t="shared" si="33"/>
        <v>0</v>
      </c>
      <c r="Z86" s="14">
        <f t="shared" si="33"/>
        <v>0</v>
      </c>
      <c r="AA86" s="14">
        <f t="shared" si="33"/>
        <v>0</v>
      </c>
      <c r="AB86" s="14">
        <f t="shared" si="33"/>
        <v>0</v>
      </c>
      <c r="AC86" s="14">
        <f t="shared" si="33"/>
        <v>0</v>
      </c>
      <c r="AD86" s="14">
        <f t="shared" si="33"/>
        <v>0</v>
      </c>
      <c r="AE86" s="14">
        <f t="shared" si="33"/>
        <v>0</v>
      </c>
      <c r="AF86" s="14">
        <f t="shared" si="33"/>
        <v>0</v>
      </c>
      <c r="AG86" s="14">
        <f t="shared" si="33"/>
        <v>0</v>
      </c>
      <c r="AH86" s="14">
        <f t="shared" si="33"/>
        <v>0</v>
      </c>
      <c r="AI86" s="14">
        <f t="shared" si="33"/>
        <v>0</v>
      </c>
      <c r="AJ86" s="14">
        <f t="shared" si="33"/>
        <v>0</v>
      </c>
      <c r="AK86" s="14">
        <f t="shared" si="33"/>
        <v>0</v>
      </c>
      <c r="AL86" s="14">
        <f t="shared" si="33"/>
        <v>0</v>
      </c>
    </row>
    <row r="87" spans="1:38" ht="21" hidden="1" customHeight="1" outlineLevel="1" thickBot="1" x14ac:dyDescent="0.4">
      <c r="A87" s="5">
        <f t="shared" si="27"/>
        <v>0</v>
      </c>
      <c r="B87" s="5">
        <f t="shared" si="27"/>
        <v>0</v>
      </c>
      <c r="C87" s="5">
        <f t="shared" si="27"/>
        <v>0</v>
      </c>
      <c r="D87" s="5">
        <f t="shared" si="27"/>
        <v>0</v>
      </c>
      <c r="E87" s="6">
        <f t="shared" si="23"/>
        <v>0</v>
      </c>
      <c r="F87" s="14">
        <f t="shared" ref="F87:AL87" si="34">F11*$C$78</f>
        <v>0</v>
      </c>
      <c r="G87" s="14">
        <f t="shared" si="34"/>
        <v>0</v>
      </c>
      <c r="H87" s="14">
        <f t="shared" si="34"/>
        <v>0</v>
      </c>
      <c r="I87" s="14">
        <f t="shared" si="34"/>
        <v>0</v>
      </c>
      <c r="J87" s="14">
        <f t="shared" si="34"/>
        <v>0</v>
      </c>
      <c r="K87" s="14">
        <f t="shared" si="34"/>
        <v>0</v>
      </c>
      <c r="L87" s="14">
        <f t="shared" si="34"/>
        <v>0</v>
      </c>
      <c r="M87" s="14">
        <f t="shared" si="34"/>
        <v>0</v>
      </c>
      <c r="N87" s="14">
        <f t="shared" si="34"/>
        <v>0</v>
      </c>
      <c r="O87" s="14">
        <f t="shared" si="34"/>
        <v>0</v>
      </c>
      <c r="P87" s="14">
        <f t="shared" si="34"/>
        <v>0</v>
      </c>
      <c r="Q87" s="14">
        <f t="shared" si="34"/>
        <v>0</v>
      </c>
      <c r="R87" s="14">
        <f t="shared" si="34"/>
        <v>0</v>
      </c>
      <c r="S87" s="14">
        <f t="shared" si="34"/>
        <v>0</v>
      </c>
      <c r="T87" s="14">
        <f t="shared" si="34"/>
        <v>0</v>
      </c>
      <c r="U87" s="14">
        <f t="shared" si="34"/>
        <v>0</v>
      </c>
      <c r="V87" s="14">
        <f t="shared" si="34"/>
        <v>0</v>
      </c>
      <c r="W87" s="14">
        <f t="shared" si="34"/>
        <v>0</v>
      </c>
      <c r="X87" s="14">
        <f t="shared" si="34"/>
        <v>0</v>
      </c>
      <c r="Y87" s="14">
        <f t="shared" si="34"/>
        <v>0</v>
      </c>
      <c r="Z87" s="14">
        <f t="shared" si="34"/>
        <v>0</v>
      </c>
      <c r="AA87" s="14">
        <f t="shared" si="34"/>
        <v>0</v>
      </c>
      <c r="AB87" s="14">
        <f t="shared" si="34"/>
        <v>0</v>
      </c>
      <c r="AC87" s="14">
        <f t="shared" si="34"/>
        <v>0</v>
      </c>
      <c r="AD87" s="14">
        <f t="shared" si="34"/>
        <v>0</v>
      </c>
      <c r="AE87" s="14">
        <f t="shared" si="34"/>
        <v>0</v>
      </c>
      <c r="AF87" s="14">
        <f t="shared" si="34"/>
        <v>0</v>
      </c>
      <c r="AG87" s="14">
        <f t="shared" si="34"/>
        <v>0</v>
      </c>
      <c r="AH87" s="14">
        <f t="shared" si="34"/>
        <v>0</v>
      </c>
      <c r="AI87" s="14">
        <f t="shared" si="34"/>
        <v>0</v>
      </c>
      <c r="AJ87" s="14">
        <f t="shared" si="34"/>
        <v>0</v>
      </c>
      <c r="AK87" s="14">
        <f t="shared" si="34"/>
        <v>0</v>
      </c>
      <c r="AL87" s="14">
        <f t="shared" si="34"/>
        <v>0</v>
      </c>
    </row>
    <row r="88" spans="1:38" ht="21" hidden="1" customHeight="1" outlineLevel="1" thickBot="1" x14ac:dyDescent="0.4">
      <c r="A88" s="5">
        <f t="shared" si="27"/>
        <v>0</v>
      </c>
      <c r="B88" s="5">
        <f t="shared" si="27"/>
        <v>0</v>
      </c>
      <c r="C88" s="5">
        <f t="shared" si="27"/>
        <v>0</v>
      </c>
      <c r="D88" s="5">
        <f t="shared" si="27"/>
        <v>0</v>
      </c>
      <c r="E88" s="6">
        <f t="shared" si="23"/>
        <v>0</v>
      </c>
      <c r="F88" s="14">
        <f t="shared" ref="F88:AL88" si="35">F12*$C$78</f>
        <v>0</v>
      </c>
      <c r="G88" s="14">
        <f t="shared" si="35"/>
        <v>0</v>
      </c>
      <c r="H88" s="14">
        <f t="shared" si="35"/>
        <v>0</v>
      </c>
      <c r="I88" s="14">
        <f t="shared" si="35"/>
        <v>0</v>
      </c>
      <c r="J88" s="14">
        <f t="shared" si="35"/>
        <v>0</v>
      </c>
      <c r="K88" s="14">
        <f t="shared" si="35"/>
        <v>0</v>
      </c>
      <c r="L88" s="14">
        <f t="shared" si="35"/>
        <v>0</v>
      </c>
      <c r="M88" s="14">
        <f t="shared" si="35"/>
        <v>0</v>
      </c>
      <c r="N88" s="14">
        <f t="shared" si="35"/>
        <v>0</v>
      </c>
      <c r="O88" s="14">
        <f t="shared" si="35"/>
        <v>0</v>
      </c>
      <c r="P88" s="14">
        <f t="shared" si="35"/>
        <v>0</v>
      </c>
      <c r="Q88" s="14">
        <f t="shared" si="35"/>
        <v>0</v>
      </c>
      <c r="R88" s="14">
        <f t="shared" si="35"/>
        <v>0</v>
      </c>
      <c r="S88" s="14">
        <f t="shared" si="35"/>
        <v>0</v>
      </c>
      <c r="T88" s="14">
        <f t="shared" si="35"/>
        <v>0</v>
      </c>
      <c r="U88" s="14">
        <f t="shared" si="35"/>
        <v>0</v>
      </c>
      <c r="V88" s="14">
        <f t="shared" si="35"/>
        <v>0</v>
      </c>
      <c r="W88" s="14">
        <f t="shared" si="35"/>
        <v>0</v>
      </c>
      <c r="X88" s="14">
        <f t="shared" si="35"/>
        <v>0</v>
      </c>
      <c r="Y88" s="14">
        <f t="shared" si="35"/>
        <v>0</v>
      </c>
      <c r="Z88" s="14">
        <f t="shared" si="35"/>
        <v>0</v>
      </c>
      <c r="AA88" s="14">
        <f t="shared" si="35"/>
        <v>0</v>
      </c>
      <c r="AB88" s="14">
        <f t="shared" si="35"/>
        <v>0</v>
      </c>
      <c r="AC88" s="14">
        <f t="shared" si="35"/>
        <v>0</v>
      </c>
      <c r="AD88" s="14">
        <f t="shared" si="35"/>
        <v>0</v>
      </c>
      <c r="AE88" s="14">
        <f t="shared" si="35"/>
        <v>0</v>
      </c>
      <c r="AF88" s="14">
        <f t="shared" si="35"/>
        <v>0</v>
      </c>
      <c r="AG88" s="14">
        <f t="shared" si="35"/>
        <v>0</v>
      </c>
      <c r="AH88" s="14">
        <f t="shared" si="35"/>
        <v>0</v>
      </c>
      <c r="AI88" s="14">
        <f t="shared" si="35"/>
        <v>0</v>
      </c>
      <c r="AJ88" s="14">
        <f t="shared" si="35"/>
        <v>0</v>
      </c>
      <c r="AK88" s="14">
        <f t="shared" si="35"/>
        <v>0</v>
      </c>
      <c r="AL88" s="14">
        <f t="shared" si="35"/>
        <v>0</v>
      </c>
    </row>
    <row r="89" spans="1:38" ht="21" hidden="1" customHeight="1" outlineLevel="1" thickBot="1" x14ac:dyDescent="0.4">
      <c r="A89" s="5">
        <f t="shared" si="27"/>
        <v>0</v>
      </c>
      <c r="B89" s="5">
        <f t="shared" si="27"/>
        <v>0</v>
      </c>
      <c r="C89" s="5">
        <f t="shared" si="27"/>
        <v>0</v>
      </c>
      <c r="D89" s="5">
        <f t="shared" si="27"/>
        <v>0</v>
      </c>
      <c r="E89" s="6">
        <f t="shared" si="23"/>
        <v>0</v>
      </c>
      <c r="F89" s="14">
        <f t="shared" ref="F89:AL89" si="36">F13*$C$78</f>
        <v>0</v>
      </c>
      <c r="G89" s="14">
        <f t="shared" si="36"/>
        <v>0</v>
      </c>
      <c r="H89" s="14">
        <f t="shared" si="36"/>
        <v>0</v>
      </c>
      <c r="I89" s="14">
        <f t="shared" si="36"/>
        <v>0</v>
      </c>
      <c r="J89" s="14">
        <f t="shared" si="36"/>
        <v>0</v>
      </c>
      <c r="K89" s="14">
        <f t="shared" si="36"/>
        <v>0</v>
      </c>
      <c r="L89" s="14">
        <f t="shared" si="36"/>
        <v>0</v>
      </c>
      <c r="M89" s="14">
        <f t="shared" si="36"/>
        <v>0</v>
      </c>
      <c r="N89" s="14">
        <f t="shared" si="36"/>
        <v>0</v>
      </c>
      <c r="O89" s="14">
        <f t="shared" si="36"/>
        <v>0</v>
      </c>
      <c r="P89" s="14">
        <f t="shared" si="36"/>
        <v>0</v>
      </c>
      <c r="Q89" s="14">
        <f t="shared" si="36"/>
        <v>0</v>
      </c>
      <c r="R89" s="14">
        <f t="shared" si="36"/>
        <v>0</v>
      </c>
      <c r="S89" s="14">
        <f t="shared" si="36"/>
        <v>0</v>
      </c>
      <c r="T89" s="14">
        <f t="shared" si="36"/>
        <v>0</v>
      </c>
      <c r="U89" s="14">
        <f t="shared" si="36"/>
        <v>0</v>
      </c>
      <c r="V89" s="14">
        <f t="shared" si="36"/>
        <v>0</v>
      </c>
      <c r="W89" s="14">
        <f t="shared" si="36"/>
        <v>0</v>
      </c>
      <c r="X89" s="14">
        <f t="shared" si="36"/>
        <v>0</v>
      </c>
      <c r="Y89" s="14">
        <f t="shared" si="36"/>
        <v>0</v>
      </c>
      <c r="Z89" s="14">
        <f t="shared" si="36"/>
        <v>0</v>
      </c>
      <c r="AA89" s="14">
        <f t="shared" si="36"/>
        <v>0</v>
      </c>
      <c r="AB89" s="14">
        <f t="shared" si="36"/>
        <v>0</v>
      </c>
      <c r="AC89" s="14">
        <f t="shared" si="36"/>
        <v>0</v>
      </c>
      <c r="AD89" s="14">
        <f t="shared" si="36"/>
        <v>0</v>
      </c>
      <c r="AE89" s="14">
        <f t="shared" si="36"/>
        <v>0</v>
      </c>
      <c r="AF89" s="14">
        <f t="shared" si="36"/>
        <v>0</v>
      </c>
      <c r="AG89" s="14">
        <f t="shared" si="36"/>
        <v>0</v>
      </c>
      <c r="AH89" s="14">
        <f t="shared" si="36"/>
        <v>0</v>
      </c>
      <c r="AI89" s="14">
        <f t="shared" si="36"/>
        <v>0</v>
      </c>
      <c r="AJ89" s="14">
        <f t="shared" si="36"/>
        <v>0</v>
      </c>
      <c r="AK89" s="14">
        <f t="shared" si="36"/>
        <v>0</v>
      </c>
      <c r="AL89" s="14">
        <f t="shared" si="36"/>
        <v>0</v>
      </c>
    </row>
    <row r="90" spans="1:38" ht="21" hidden="1" customHeight="1" outlineLevel="1" thickBot="1" x14ac:dyDescent="0.4">
      <c r="A90" s="5">
        <f t="shared" si="27"/>
        <v>0</v>
      </c>
      <c r="B90" s="5">
        <f t="shared" si="27"/>
        <v>0</v>
      </c>
      <c r="C90" s="5">
        <f t="shared" si="27"/>
        <v>0</v>
      </c>
      <c r="D90" s="5">
        <f t="shared" si="27"/>
        <v>0</v>
      </c>
      <c r="E90" s="6">
        <f t="shared" si="23"/>
        <v>0</v>
      </c>
      <c r="F90" s="14">
        <f t="shared" ref="F90:AL90" si="37">F14*$C$78</f>
        <v>0</v>
      </c>
      <c r="G90" s="14">
        <f t="shared" si="37"/>
        <v>0</v>
      </c>
      <c r="H90" s="14">
        <f t="shared" si="37"/>
        <v>0</v>
      </c>
      <c r="I90" s="14">
        <f t="shared" si="37"/>
        <v>0</v>
      </c>
      <c r="J90" s="14">
        <f t="shared" si="37"/>
        <v>0</v>
      </c>
      <c r="K90" s="14">
        <f t="shared" si="37"/>
        <v>0</v>
      </c>
      <c r="L90" s="14">
        <f t="shared" si="37"/>
        <v>0</v>
      </c>
      <c r="M90" s="14">
        <f t="shared" si="37"/>
        <v>0</v>
      </c>
      <c r="N90" s="14">
        <f t="shared" si="37"/>
        <v>0</v>
      </c>
      <c r="O90" s="14">
        <f t="shared" si="37"/>
        <v>0</v>
      </c>
      <c r="P90" s="14">
        <f t="shared" si="37"/>
        <v>0</v>
      </c>
      <c r="Q90" s="14">
        <f t="shared" si="37"/>
        <v>0</v>
      </c>
      <c r="R90" s="14">
        <f t="shared" si="37"/>
        <v>0</v>
      </c>
      <c r="S90" s="14">
        <f t="shared" si="37"/>
        <v>0</v>
      </c>
      <c r="T90" s="14">
        <f t="shared" si="37"/>
        <v>0</v>
      </c>
      <c r="U90" s="14">
        <f t="shared" si="37"/>
        <v>0</v>
      </c>
      <c r="V90" s="14">
        <f t="shared" si="37"/>
        <v>0</v>
      </c>
      <c r="W90" s="14">
        <f t="shared" si="37"/>
        <v>0</v>
      </c>
      <c r="X90" s="14">
        <f t="shared" si="37"/>
        <v>0</v>
      </c>
      <c r="Y90" s="14">
        <f t="shared" si="37"/>
        <v>0</v>
      </c>
      <c r="Z90" s="14">
        <f t="shared" si="37"/>
        <v>0</v>
      </c>
      <c r="AA90" s="14">
        <f t="shared" si="37"/>
        <v>0</v>
      </c>
      <c r="AB90" s="14">
        <f t="shared" si="37"/>
        <v>0</v>
      </c>
      <c r="AC90" s="14">
        <f t="shared" si="37"/>
        <v>0</v>
      </c>
      <c r="AD90" s="14">
        <f t="shared" si="37"/>
        <v>0</v>
      </c>
      <c r="AE90" s="14">
        <f t="shared" si="37"/>
        <v>0</v>
      </c>
      <c r="AF90" s="14">
        <f t="shared" si="37"/>
        <v>0</v>
      </c>
      <c r="AG90" s="14">
        <f t="shared" si="37"/>
        <v>0</v>
      </c>
      <c r="AH90" s="14">
        <f t="shared" si="37"/>
        <v>0</v>
      </c>
      <c r="AI90" s="14">
        <f t="shared" si="37"/>
        <v>0</v>
      </c>
      <c r="AJ90" s="14">
        <f t="shared" si="37"/>
        <v>0</v>
      </c>
      <c r="AK90" s="14">
        <f t="shared" si="37"/>
        <v>0</v>
      </c>
      <c r="AL90" s="14">
        <f t="shared" si="37"/>
        <v>0</v>
      </c>
    </row>
    <row r="91" spans="1:38" ht="21" hidden="1" customHeight="1" outlineLevel="1" thickBot="1" x14ac:dyDescent="0.4">
      <c r="A91" s="5">
        <f t="shared" si="27"/>
        <v>0</v>
      </c>
      <c r="B91" s="5">
        <f t="shared" si="27"/>
        <v>0</v>
      </c>
      <c r="C91" s="5">
        <f t="shared" si="27"/>
        <v>0</v>
      </c>
      <c r="D91" s="5">
        <f t="shared" si="27"/>
        <v>0</v>
      </c>
      <c r="E91" s="6">
        <f t="shared" si="23"/>
        <v>0</v>
      </c>
      <c r="F91" s="14">
        <f t="shared" ref="F91:AL91" si="38">F15*$C$78</f>
        <v>0</v>
      </c>
      <c r="G91" s="14">
        <f t="shared" si="38"/>
        <v>0</v>
      </c>
      <c r="H91" s="14">
        <f t="shared" si="38"/>
        <v>0</v>
      </c>
      <c r="I91" s="14">
        <f t="shared" si="38"/>
        <v>0</v>
      </c>
      <c r="J91" s="14">
        <f t="shared" si="38"/>
        <v>0</v>
      </c>
      <c r="K91" s="14">
        <f t="shared" si="38"/>
        <v>0</v>
      </c>
      <c r="L91" s="14">
        <f t="shared" si="38"/>
        <v>0</v>
      </c>
      <c r="M91" s="14">
        <f t="shared" si="38"/>
        <v>0</v>
      </c>
      <c r="N91" s="14">
        <f t="shared" si="38"/>
        <v>0</v>
      </c>
      <c r="O91" s="14">
        <f t="shared" si="38"/>
        <v>0</v>
      </c>
      <c r="P91" s="14">
        <f t="shared" si="38"/>
        <v>0</v>
      </c>
      <c r="Q91" s="14">
        <f t="shared" si="38"/>
        <v>0</v>
      </c>
      <c r="R91" s="14">
        <f t="shared" si="38"/>
        <v>0</v>
      </c>
      <c r="S91" s="14">
        <f t="shared" si="38"/>
        <v>0</v>
      </c>
      <c r="T91" s="14">
        <f t="shared" si="38"/>
        <v>0</v>
      </c>
      <c r="U91" s="14">
        <f t="shared" si="38"/>
        <v>0</v>
      </c>
      <c r="V91" s="14">
        <f t="shared" si="38"/>
        <v>0</v>
      </c>
      <c r="W91" s="14">
        <f t="shared" si="38"/>
        <v>0</v>
      </c>
      <c r="X91" s="14">
        <f t="shared" si="38"/>
        <v>0</v>
      </c>
      <c r="Y91" s="14">
        <f t="shared" si="38"/>
        <v>0</v>
      </c>
      <c r="Z91" s="14">
        <f t="shared" si="38"/>
        <v>0</v>
      </c>
      <c r="AA91" s="14">
        <f t="shared" si="38"/>
        <v>0</v>
      </c>
      <c r="AB91" s="14">
        <f t="shared" si="38"/>
        <v>0</v>
      </c>
      <c r="AC91" s="14">
        <f t="shared" si="38"/>
        <v>0</v>
      </c>
      <c r="AD91" s="14">
        <f t="shared" si="38"/>
        <v>0</v>
      </c>
      <c r="AE91" s="14">
        <f t="shared" si="38"/>
        <v>0</v>
      </c>
      <c r="AF91" s="14">
        <f t="shared" si="38"/>
        <v>0</v>
      </c>
      <c r="AG91" s="14">
        <f t="shared" si="38"/>
        <v>0</v>
      </c>
      <c r="AH91" s="14">
        <f t="shared" si="38"/>
        <v>0</v>
      </c>
      <c r="AI91" s="14">
        <f t="shared" si="38"/>
        <v>0</v>
      </c>
      <c r="AJ91" s="14">
        <f t="shared" si="38"/>
        <v>0</v>
      </c>
      <c r="AK91" s="14">
        <f t="shared" si="38"/>
        <v>0</v>
      </c>
      <c r="AL91" s="14">
        <f t="shared" si="38"/>
        <v>0</v>
      </c>
    </row>
    <row r="92" spans="1:38" ht="21" hidden="1" customHeight="1" outlineLevel="1" thickBot="1" x14ac:dyDescent="0.4">
      <c r="A92" s="5">
        <f t="shared" si="27"/>
        <v>0</v>
      </c>
      <c r="B92" s="5">
        <f t="shared" si="27"/>
        <v>0</v>
      </c>
      <c r="C92" s="5">
        <f t="shared" si="27"/>
        <v>0</v>
      </c>
      <c r="D92" s="5">
        <f t="shared" si="27"/>
        <v>0</v>
      </c>
      <c r="E92" s="6">
        <f t="shared" si="23"/>
        <v>0</v>
      </c>
      <c r="F92" s="14">
        <f t="shared" ref="F92:AL92" si="39">F16*$C$78</f>
        <v>0</v>
      </c>
      <c r="G92" s="14">
        <f t="shared" si="39"/>
        <v>0</v>
      </c>
      <c r="H92" s="14">
        <f t="shared" si="39"/>
        <v>0</v>
      </c>
      <c r="I92" s="14">
        <f t="shared" si="39"/>
        <v>0</v>
      </c>
      <c r="J92" s="14">
        <f t="shared" si="39"/>
        <v>0</v>
      </c>
      <c r="K92" s="14">
        <f t="shared" si="39"/>
        <v>0</v>
      </c>
      <c r="L92" s="14">
        <f t="shared" si="39"/>
        <v>0</v>
      </c>
      <c r="M92" s="14">
        <f t="shared" si="39"/>
        <v>0</v>
      </c>
      <c r="N92" s="14">
        <f t="shared" si="39"/>
        <v>0</v>
      </c>
      <c r="O92" s="14">
        <f t="shared" si="39"/>
        <v>0</v>
      </c>
      <c r="P92" s="14">
        <f t="shared" si="39"/>
        <v>0</v>
      </c>
      <c r="Q92" s="14">
        <f t="shared" si="39"/>
        <v>0</v>
      </c>
      <c r="R92" s="14">
        <f t="shared" si="39"/>
        <v>0</v>
      </c>
      <c r="S92" s="14">
        <f t="shared" si="39"/>
        <v>0</v>
      </c>
      <c r="T92" s="14">
        <f t="shared" si="39"/>
        <v>0</v>
      </c>
      <c r="U92" s="14">
        <f t="shared" si="39"/>
        <v>0</v>
      </c>
      <c r="V92" s="14">
        <f t="shared" si="39"/>
        <v>0</v>
      </c>
      <c r="W92" s="14">
        <f t="shared" si="39"/>
        <v>0</v>
      </c>
      <c r="X92" s="14">
        <f t="shared" si="39"/>
        <v>0</v>
      </c>
      <c r="Y92" s="14">
        <f t="shared" si="39"/>
        <v>0</v>
      </c>
      <c r="Z92" s="14">
        <f t="shared" si="39"/>
        <v>0</v>
      </c>
      <c r="AA92" s="14">
        <f t="shared" si="39"/>
        <v>0</v>
      </c>
      <c r="AB92" s="14">
        <f t="shared" si="39"/>
        <v>0</v>
      </c>
      <c r="AC92" s="14">
        <f t="shared" si="39"/>
        <v>0</v>
      </c>
      <c r="AD92" s="14">
        <f t="shared" si="39"/>
        <v>0</v>
      </c>
      <c r="AE92" s="14">
        <f t="shared" si="39"/>
        <v>0</v>
      </c>
      <c r="AF92" s="14">
        <f t="shared" si="39"/>
        <v>0</v>
      </c>
      <c r="AG92" s="14">
        <f t="shared" si="39"/>
        <v>0</v>
      </c>
      <c r="AH92" s="14">
        <f t="shared" si="39"/>
        <v>0</v>
      </c>
      <c r="AI92" s="14">
        <f t="shared" si="39"/>
        <v>0</v>
      </c>
      <c r="AJ92" s="14">
        <f t="shared" si="39"/>
        <v>0</v>
      </c>
      <c r="AK92" s="14">
        <f t="shared" si="39"/>
        <v>0</v>
      </c>
      <c r="AL92" s="14">
        <f t="shared" si="39"/>
        <v>0</v>
      </c>
    </row>
    <row r="93" spans="1:38" ht="21" hidden="1" customHeight="1" outlineLevel="1" thickBot="1" x14ac:dyDescent="0.4">
      <c r="A93" s="5">
        <f t="shared" si="27"/>
        <v>0</v>
      </c>
      <c r="B93" s="5">
        <f t="shared" si="27"/>
        <v>0</v>
      </c>
      <c r="C93" s="5">
        <f t="shared" si="27"/>
        <v>0</v>
      </c>
      <c r="D93" s="5">
        <f t="shared" si="27"/>
        <v>0</v>
      </c>
      <c r="E93" s="6">
        <f t="shared" si="23"/>
        <v>0</v>
      </c>
      <c r="F93" s="14">
        <f t="shared" ref="F93:AL93" si="40">F17*$C$78</f>
        <v>0</v>
      </c>
      <c r="G93" s="14">
        <f t="shared" si="40"/>
        <v>0</v>
      </c>
      <c r="H93" s="14">
        <f t="shared" si="40"/>
        <v>0</v>
      </c>
      <c r="I93" s="14">
        <f t="shared" si="40"/>
        <v>0</v>
      </c>
      <c r="J93" s="14">
        <f t="shared" si="40"/>
        <v>0</v>
      </c>
      <c r="K93" s="14">
        <f t="shared" si="40"/>
        <v>0</v>
      </c>
      <c r="L93" s="14">
        <f t="shared" si="40"/>
        <v>0</v>
      </c>
      <c r="M93" s="14">
        <f t="shared" si="40"/>
        <v>0</v>
      </c>
      <c r="N93" s="14">
        <f t="shared" si="40"/>
        <v>0</v>
      </c>
      <c r="O93" s="14">
        <f t="shared" si="40"/>
        <v>0</v>
      </c>
      <c r="P93" s="14">
        <f t="shared" si="40"/>
        <v>0</v>
      </c>
      <c r="Q93" s="14">
        <f t="shared" si="40"/>
        <v>0</v>
      </c>
      <c r="R93" s="14">
        <f t="shared" si="40"/>
        <v>0</v>
      </c>
      <c r="S93" s="14">
        <f t="shared" si="40"/>
        <v>0</v>
      </c>
      <c r="T93" s="14">
        <f t="shared" si="40"/>
        <v>0</v>
      </c>
      <c r="U93" s="14">
        <f t="shared" si="40"/>
        <v>0</v>
      </c>
      <c r="V93" s="14">
        <f t="shared" si="40"/>
        <v>0</v>
      </c>
      <c r="W93" s="14">
        <f t="shared" si="40"/>
        <v>0</v>
      </c>
      <c r="X93" s="14">
        <f t="shared" si="40"/>
        <v>0</v>
      </c>
      <c r="Y93" s="14">
        <f t="shared" si="40"/>
        <v>0</v>
      </c>
      <c r="Z93" s="14">
        <f t="shared" si="40"/>
        <v>0</v>
      </c>
      <c r="AA93" s="14">
        <f t="shared" si="40"/>
        <v>0</v>
      </c>
      <c r="AB93" s="14">
        <f t="shared" si="40"/>
        <v>0</v>
      </c>
      <c r="AC93" s="14">
        <f t="shared" si="40"/>
        <v>0</v>
      </c>
      <c r="AD93" s="14">
        <f t="shared" si="40"/>
        <v>0</v>
      </c>
      <c r="AE93" s="14">
        <f t="shared" si="40"/>
        <v>0</v>
      </c>
      <c r="AF93" s="14">
        <f t="shared" si="40"/>
        <v>0</v>
      </c>
      <c r="AG93" s="14">
        <f t="shared" si="40"/>
        <v>0</v>
      </c>
      <c r="AH93" s="14">
        <f t="shared" si="40"/>
        <v>0</v>
      </c>
      <c r="AI93" s="14">
        <f t="shared" si="40"/>
        <v>0</v>
      </c>
      <c r="AJ93" s="14">
        <f t="shared" si="40"/>
        <v>0</v>
      </c>
      <c r="AK93" s="14">
        <f t="shared" si="40"/>
        <v>0</v>
      </c>
      <c r="AL93" s="14">
        <f t="shared" si="40"/>
        <v>0</v>
      </c>
    </row>
    <row r="94" spans="1:38" ht="21" hidden="1" customHeight="1" outlineLevel="1" thickBot="1" x14ac:dyDescent="0.4">
      <c r="A94" s="5">
        <f t="shared" si="27"/>
        <v>0</v>
      </c>
      <c r="B94" s="5">
        <f t="shared" si="27"/>
        <v>0</v>
      </c>
      <c r="C94" s="5">
        <f t="shared" si="27"/>
        <v>0</v>
      </c>
      <c r="D94" s="5">
        <f t="shared" si="27"/>
        <v>0</v>
      </c>
      <c r="E94" s="6">
        <f t="shared" si="23"/>
        <v>0</v>
      </c>
      <c r="F94" s="14">
        <f t="shared" ref="F94:AL94" si="41">F18*$C$78</f>
        <v>0</v>
      </c>
      <c r="G94" s="14">
        <f t="shared" si="41"/>
        <v>0</v>
      </c>
      <c r="H94" s="14">
        <f t="shared" si="41"/>
        <v>0</v>
      </c>
      <c r="I94" s="14">
        <f t="shared" si="41"/>
        <v>0</v>
      </c>
      <c r="J94" s="14">
        <f t="shared" si="41"/>
        <v>0</v>
      </c>
      <c r="K94" s="14">
        <f t="shared" si="41"/>
        <v>0</v>
      </c>
      <c r="L94" s="14">
        <f t="shared" si="41"/>
        <v>0</v>
      </c>
      <c r="M94" s="14">
        <f t="shared" si="41"/>
        <v>0</v>
      </c>
      <c r="N94" s="14">
        <f t="shared" si="41"/>
        <v>0</v>
      </c>
      <c r="O94" s="14">
        <f t="shared" si="41"/>
        <v>0</v>
      </c>
      <c r="P94" s="14">
        <f t="shared" si="41"/>
        <v>0</v>
      </c>
      <c r="Q94" s="14">
        <f t="shared" si="41"/>
        <v>0</v>
      </c>
      <c r="R94" s="14">
        <f t="shared" si="41"/>
        <v>0</v>
      </c>
      <c r="S94" s="14">
        <f t="shared" si="41"/>
        <v>0</v>
      </c>
      <c r="T94" s="14">
        <f t="shared" si="41"/>
        <v>0</v>
      </c>
      <c r="U94" s="14">
        <f t="shared" si="41"/>
        <v>0</v>
      </c>
      <c r="V94" s="14">
        <f t="shared" si="41"/>
        <v>0</v>
      </c>
      <c r="W94" s="14">
        <f t="shared" si="41"/>
        <v>0</v>
      </c>
      <c r="X94" s="14">
        <f t="shared" si="41"/>
        <v>0</v>
      </c>
      <c r="Y94" s="14">
        <f t="shared" si="41"/>
        <v>0</v>
      </c>
      <c r="Z94" s="14">
        <f t="shared" si="41"/>
        <v>0</v>
      </c>
      <c r="AA94" s="14">
        <f t="shared" si="41"/>
        <v>0</v>
      </c>
      <c r="AB94" s="14">
        <f t="shared" si="41"/>
        <v>0</v>
      </c>
      <c r="AC94" s="14">
        <f t="shared" si="41"/>
        <v>0</v>
      </c>
      <c r="AD94" s="14">
        <f t="shared" si="41"/>
        <v>0</v>
      </c>
      <c r="AE94" s="14">
        <f t="shared" si="41"/>
        <v>0</v>
      </c>
      <c r="AF94" s="14">
        <f t="shared" si="41"/>
        <v>0</v>
      </c>
      <c r="AG94" s="14">
        <f t="shared" si="41"/>
        <v>0</v>
      </c>
      <c r="AH94" s="14">
        <f t="shared" si="41"/>
        <v>0</v>
      </c>
      <c r="AI94" s="14">
        <f t="shared" si="41"/>
        <v>0</v>
      </c>
      <c r="AJ94" s="14">
        <f t="shared" si="41"/>
        <v>0</v>
      </c>
      <c r="AK94" s="14">
        <f t="shared" si="41"/>
        <v>0</v>
      </c>
      <c r="AL94" s="14">
        <f t="shared" si="41"/>
        <v>0</v>
      </c>
    </row>
    <row r="95" spans="1:38" ht="21" hidden="1" customHeight="1" outlineLevel="1" thickBot="1" x14ac:dyDescent="0.4">
      <c r="A95" s="5">
        <f t="shared" si="27"/>
        <v>0</v>
      </c>
      <c r="B95" s="5">
        <f t="shared" si="27"/>
        <v>0</v>
      </c>
      <c r="C95" s="5">
        <f t="shared" si="27"/>
        <v>0</v>
      </c>
      <c r="D95" s="5">
        <f t="shared" si="27"/>
        <v>0</v>
      </c>
      <c r="E95" s="6">
        <f t="shared" si="23"/>
        <v>0</v>
      </c>
      <c r="F95" s="14">
        <f t="shared" ref="F95:AL95" si="42">F19*$C$78</f>
        <v>0</v>
      </c>
      <c r="G95" s="14">
        <f t="shared" si="42"/>
        <v>0</v>
      </c>
      <c r="H95" s="14">
        <f t="shared" si="42"/>
        <v>0</v>
      </c>
      <c r="I95" s="14">
        <f t="shared" si="42"/>
        <v>0</v>
      </c>
      <c r="J95" s="14">
        <f t="shared" si="42"/>
        <v>0</v>
      </c>
      <c r="K95" s="14">
        <f t="shared" si="42"/>
        <v>0</v>
      </c>
      <c r="L95" s="14">
        <f t="shared" si="42"/>
        <v>0</v>
      </c>
      <c r="M95" s="14">
        <f t="shared" si="42"/>
        <v>0</v>
      </c>
      <c r="N95" s="14">
        <f t="shared" si="42"/>
        <v>0</v>
      </c>
      <c r="O95" s="14">
        <f t="shared" si="42"/>
        <v>0</v>
      </c>
      <c r="P95" s="14">
        <f t="shared" si="42"/>
        <v>0</v>
      </c>
      <c r="Q95" s="14">
        <f t="shared" si="42"/>
        <v>0</v>
      </c>
      <c r="R95" s="14">
        <f t="shared" si="42"/>
        <v>0</v>
      </c>
      <c r="S95" s="14">
        <f t="shared" si="42"/>
        <v>0</v>
      </c>
      <c r="T95" s="14">
        <f t="shared" si="42"/>
        <v>0</v>
      </c>
      <c r="U95" s="14">
        <f t="shared" si="42"/>
        <v>0</v>
      </c>
      <c r="V95" s="14">
        <f t="shared" si="42"/>
        <v>0</v>
      </c>
      <c r="W95" s="14">
        <f t="shared" si="42"/>
        <v>0</v>
      </c>
      <c r="X95" s="14">
        <f t="shared" si="42"/>
        <v>0</v>
      </c>
      <c r="Y95" s="14">
        <f t="shared" si="42"/>
        <v>0</v>
      </c>
      <c r="Z95" s="14">
        <f t="shared" si="42"/>
        <v>0</v>
      </c>
      <c r="AA95" s="14">
        <f t="shared" si="42"/>
        <v>0</v>
      </c>
      <c r="AB95" s="14">
        <f t="shared" si="42"/>
        <v>0</v>
      </c>
      <c r="AC95" s="14">
        <f t="shared" si="42"/>
        <v>0</v>
      </c>
      <c r="AD95" s="14">
        <f t="shared" si="42"/>
        <v>0</v>
      </c>
      <c r="AE95" s="14">
        <f t="shared" si="42"/>
        <v>0</v>
      </c>
      <c r="AF95" s="14">
        <f t="shared" si="42"/>
        <v>0</v>
      </c>
      <c r="AG95" s="14">
        <f t="shared" si="42"/>
        <v>0</v>
      </c>
      <c r="AH95" s="14">
        <f t="shared" si="42"/>
        <v>0</v>
      </c>
      <c r="AI95" s="14">
        <f t="shared" si="42"/>
        <v>0</v>
      </c>
      <c r="AJ95" s="14">
        <f t="shared" si="42"/>
        <v>0</v>
      </c>
      <c r="AK95" s="14">
        <f t="shared" si="42"/>
        <v>0</v>
      </c>
      <c r="AL95" s="14">
        <f t="shared" si="42"/>
        <v>0</v>
      </c>
    </row>
    <row r="96" spans="1:38" ht="21" hidden="1" customHeight="1" outlineLevel="1" thickBot="1" x14ac:dyDescent="0.4">
      <c r="A96" s="5">
        <f t="shared" si="27"/>
        <v>0</v>
      </c>
      <c r="B96" s="5">
        <f t="shared" si="27"/>
        <v>0</v>
      </c>
      <c r="C96" s="5">
        <f t="shared" si="27"/>
        <v>0</v>
      </c>
      <c r="D96" s="5">
        <f t="shared" si="27"/>
        <v>0</v>
      </c>
      <c r="E96" s="6">
        <f t="shared" si="23"/>
        <v>0</v>
      </c>
      <c r="F96" s="14">
        <f t="shared" ref="F96:AL96" si="43">F20*$C$78</f>
        <v>0</v>
      </c>
      <c r="G96" s="14">
        <f t="shared" si="43"/>
        <v>0</v>
      </c>
      <c r="H96" s="14">
        <f t="shared" si="43"/>
        <v>0</v>
      </c>
      <c r="I96" s="14">
        <f t="shared" si="43"/>
        <v>0</v>
      </c>
      <c r="J96" s="14">
        <f t="shared" si="43"/>
        <v>0</v>
      </c>
      <c r="K96" s="14">
        <f t="shared" si="43"/>
        <v>0</v>
      </c>
      <c r="L96" s="14">
        <f t="shared" si="43"/>
        <v>0</v>
      </c>
      <c r="M96" s="14">
        <f t="shared" si="43"/>
        <v>0</v>
      </c>
      <c r="N96" s="14">
        <f t="shared" si="43"/>
        <v>0</v>
      </c>
      <c r="O96" s="14">
        <f t="shared" si="43"/>
        <v>0</v>
      </c>
      <c r="P96" s="14">
        <f t="shared" si="43"/>
        <v>0</v>
      </c>
      <c r="Q96" s="14">
        <f t="shared" si="43"/>
        <v>0</v>
      </c>
      <c r="R96" s="14">
        <f t="shared" si="43"/>
        <v>0</v>
      </c>
      <c r="S96" s="14">
        <f t="shared" si="43"/>
        <v>0</v>
      </c>
      <c r="T96" s="14">
        <f t="shared" si="43"/>
        <v>0</v>
      </c>
      <c r="U96" s="14">
        <f t="shared" si="43"/>
        <v>0</v>
      </c>
      <c r="V96" s="14">
        <f t="shared" si="43"/>
        <v>0</v>
      </c>
      <c r="W96" s="14">
        <f t="shared" si="43"/>
        <v>0</v>
      </c>
      <c r="X96" s="14">
        <f t="shared" si="43"/>
        <v>0</v>
      </c>
      <c r="Y96" s="14">
        <f t="shared" si="43"/>
        <v>0</v>
      </c>
      <c r="Z96" s="14">
        <f t="shared" si="43"/>
        <v>0</v>
      </c>
      <c r="AA96" s="14">
        <f t="shared" si="43"/>
        <v>0</v>
      </c>
      <c r="AB96" s="14">
        <f t="shared" si="43"/>
        <v>0</v>
      </c>
      <c r="AC96" s="14">
        <f t="shared" si="43"/>
        <v>0</v>
      </c>
      <c r="AD96" s="14">
        <f t="shared" si="43"/>
        <v>0</v>
      </c>
      <c r="AE96" s="14">
        <f t="shared" si="43"/>
        <v>0</v>
      </c>
      <c r="AF96" s="14">
        <f t="shared" si="43"/>
        <v>0</v>
      </c>
      <c r="AG96" s="14">
        <f t="shared" si="43"/>
        <v>0</v>
      </c>
      <c r="AH96" s="14">
        <f t="shared" si="43"/>
        <v>0</v>
      </c>
      <c r="AI96" s="14">
        <f t="shared" si="43"/>
        <v>0</v>
      </c>
      <c r="AJ96" s="14">
        <f t="shared" si="43"/>
        <v>0</v>
      </c>
      <c r="AK96" s="14">
        <f t="shared" si="43"/>
        <v>0</v>
      </c>
      <c r="AL96" s="14">
        <f t="shared" si="43"/>
        <v>0</v>
      </c>
    </row>
    <row r="97" spans="1:54" ht="21" hidden="1" customHeight="1" outlineLevel="1" thickBot="1" x14ac:dyDescent="0.4">
      <c r="A97" s="5">
        <f t="shared" ref="A97:D109" si="44">A63</f>
        <v>0</v>
      </c>
      <c r="B97" s="5">
        <f t="shared" si="44"/>
        <v>0</v>
      </c>
      <c r="C97" s="5">
        <f t="shared" si="44"/>
        <v>0</v>
      </c>
      <c r="D97" s="5">
        <f t="shared" si="44"/>
        <v>0</v>
      </c>
      <c r="E97" s="6">
        <f t="shared" si="23"/>
        <v>0</v>
      </c>
      <c r="F97" s="14">
        <f t="shared" ref="F97:AL97" si="45">F21*$C$78</f>
        <v>0</v>
      </c>
      <c r="G97" s="14">
        <f t="shared" si="45"/>
        <v>0</v>
      </c>
      <c r="H97" s="14">
        <f t="shared" si="45"/>
        <v>0</v>
      </c>
      <c r="I97" s="14">
        <f t="shared" si="45"/>
        <v>0</v>
      </c>
      <c r="J97" s="14">
        <f t="shared" si="45"/>
        <v>0</v>
      </c>
      <c r="K97" s="14">
        <f t="shared" si="45"/>
        <v>0</v>
      </c>
      <c r="L97" s="14">
        <f t="shared" si="45"/>
        <v>0</v>
      </c>
      <c r="M97" s="14">
        <f t="shared" si="45"/>
        <v>0</v>
      </c>
      <c r="N97" s="14">
        <f t="shared" si="45"/>
        <v>0</v>
      </c>
      <c r="O97" s="14">
        <f t="shared" si="45"/>
        <v>0</v>
      </c>
      <c r="P97" s="14">
        <f t="shared" si="45"/>
        <v>0</v>
      </c>
      <c r="Q97" s="14">
        <f t="shared" si="45"/>
        <v>0</v>
      </c>
      <c r="R97" s="14">
        <f t="shared" si="45"/>
        <v>0</v>
      </c>
      <c r="S97" s="14">
        <f t="shared" si="45"/>
        <v>0</v>
      </c>
      <c r="T97" s="14">
        <f t="shared" si="45"/>
        <v>0</v>
      </c>
      <c r="U97" s="14">
        <f t="shared" si="45"/>
        <v>0</v>
      </c>
      <c r="V97" s="14">
        <f t="shared" si="45"/>
        <v>0</v>
      </c>
      <c r="W97" s="14">
        <f t="shared" si="45"/>
        <v>0</v>
      </c>
      <c r="X97" s="14">
        <f t="shared" si="45"/>
        <v>0</v>
      </c>
      <c r="Y97" s="14">
        <f t="shared" si="45"/>
        <v>0</v>
      </c>
      <c r="Z97" s="14">
        <f t="shared" si="45"/>
        <v>0</v>
      </c>
      <c r="AA97" s="14">
        <f t="shared" si="45"/>
        <v>0</v>
      </c>
      <c r="AB97" s="14">
        <f t="shared" si="45"/>
        <v>0</v>
      </c>
      <c r="AC97" s="14">
        <f t="shared" si="45"/>
        <v>0</v>
      </c>
      <c r="AD97" s="14">
        <f t="shared" si="45"/>
        <v>0</v>
      </c>
      <c r="AE97" s="14">
        <f t="shared" si="45"/>
        <v>0</v>
      </c>
      <c r="AF97" s="14">
        <f t="shared" si="45"/>
        <v>0</v>
      </c>
      <c r="AG97" s="14">
        <f t="shared" si="45"/>
        <v>0</v>
      </c>
      <c r="AH97" s="14">
        <f t="shared" si="45"/>
        <v>0</v>
      </c>
      <c r="AI97" s="14">
        <f t="shared" si="45"/>
        <v>0</v>
      </c>
      <c r="AJ97" s="14">
        <f t="shared" si="45"/>
        <v>0</v>
      </c>
      <c r="AK97" s="14">
        <f t="shared" si="45"/>
        <v>0</v>
      </c>
      <c r="AL97" s="14">
        <f t="shared" si="45"/>
        <v>0</v>
      </c>
    </row>
    <row r="98" spans="1:54" ht="21" hidden="1" customHeight="1" outlineLevel="1" thickBot="1" x14ac:dyDescent="0.4">
      <c r="A98" s="5">
        <f t="shared" si="44"/>
        <v>0</v>
      </c>
      <c r="B98" s="5">
        <f t="shared" si="44"/>
        <v>0</v>
      </c>
      <c r="C98" s="5">
        <f t="shared" si="44"/>
        <v>0</v>
      </c>
      <c r="D98" s="5">
        <f t="shared" si="44"/>
        <v>0</v>
      </c>
      <c r="E98" s="6">
        <f t="shared" si="23"/>
        <v>0</v>
      </c>
      <c r="F98" s="14">
        <f t="shared" ref="F98:AL98" si="46">F22*$C$78</f>
        <v>0</v>
      </c>
      <c r="G98" s="14">
        <f t="shared" si="46"/>
        <v>0</v>
      </c>
      <c r="H98" s="14">
        <f t="shared" si="46"/>
        <v>0</v>
      </c>
      <c r="I98" s="14">
        <f t="shared" si="46"/>
        <v>0</v>
      </c>
      <c r="J98" s="14">
        <f t="shared" si="46"/>
        <v>0</v>
      </c>
      <c r="K98" s="14">
        <f t="shared" si="46"/>
        <v>0</v>
      </c>
      <c r="L98" s="14">
        <f t="shared" si="46"/>
        <v>0</v>
      </c>
      <c r="M98" s="14">
        <f t="shared" si="46"/>
        <v>0</v>
      </c>
      <c r="N98" s="14">
        <f t="shared" si="46"/>
        <v>0</v>
      </c>
      <c r="O98" s="14">
        <f t="shared" si="46"/>
        <v>0</v>
      </c>
      <c r="P98" s="14">
        <f t="shared" si="46"/>
        <v>0</v>
      </c>
      <c r="Q98" s="14">
        <f t="shared" si="46"/>
        <v>0</v>
      </c>
      <c r="R98" s="14">
        <f t="shared" si="46"/>
        <v>0</v>
      </c>
      <c r="S98" s="14">
        <f t="shared" si="46"/>
        <v>0</v>
      </c>
      <c r="T98" s="14">
        <f t="shared" si="46"/>
        <v>0</v>
      </c>
      <c r="U98" s="14">
        <f t="shared" si="46"/>
        <v>0</v>
      </c>
      <c r="V98" s="14">
        <f t="shared" si="46"/>
        <v>0</v>
      </c>
      <c r="W98" s="14">
        <f t="shared" si="46"/>
        <v>0</v>
      </c>
      <c r="X98" s="14">
        <f t="shared" si="46"/>
        <v>0</v>
      </c>
      <c r="Y98" s="14">
        <f t="shared" si="46"/>
        <v>0</v>
      </c>
      <c r="Z98" s="14">
        <f t="shared" si="46"/>
        <v>0</v>
      </c>
      <c r="AA98" s="14">
        <f t="shared" si="46"/>
        <v>0</v>
      </c>
      <c r="AB98" s="14">
        <f t="shared" si="46"/>
        <v>0</v>
      </c>
      <c r="AC98" s="14">
        <f t="shared" si="46"/>
        <v>0</v>
      </c>
      <c r="AD98" s="14">
        <f t="shared" si="46"/>
        <v>0</v>
      </c>
      <c r="AE98" s="14">
        <f t="shared" si="46"/>
        <v>0</v>
      </c>
      <c r="AF98" s="14">
        <f t="shared" si="46"/>
        <v>0</v>
      </c>
      <c r="AG98" s="14">
        <f t="shared" si="46"/>
        <v>0</v>
      </c>
      <c r="AH98" s="14">
        <f t="shared" si="46"/>
        <v>0</v>
      </c>
      <c r="AI98" s="14">
        <f t="shared" si="46"/>
        <v>0</v>
      </c>
      <c r="AJ98" s="14">
        <f t="shared" si="46"/>
        <v>0</v>
      </c>
      <c r="AK98" s="14">
        <f t="shared" si="46"/>
        <v>0</v>
      </c>
      <c r="AL98" s="14">
        <f t="shared" si="46"/>
        <v>0</v>
      </c>
    </row>
    <row r="99" spans="1:54" ht="21" hidden="1" customHeight="1" outlineLevel="1" thickBot="1" x14ac:dyDescent="0.4">
      <c r="A99" s="5">
        <f t="shared" si="44"/>
        <v>0</v>
      </c>
      <c r="B99" s="5">
        <f t="shared" si="44"/>
        <v>0</v>
      </c>
      <c r="C99" s="5">
        <f t="shared" si="44"/>
        <v>0</v>
      </c>
      <c r="D99" s="5">
        <f t="shared" si="44"/>
        <v>0</v>
      </c>
      <c r="E99" s="6">
        <f t="shared" si="23"/>
        <v>0</v>
      </c>
      <c r="F99" s="14">
        <f t="shared" ref="F99:AL99" si="47">F23*$C$78</f>
        <v>0</v>
      </c>
      <c r="G99" s="14">
        <f t="shared" si="47"/>
        <v>0</v>
      </c>
      <c r="H99" s="14">
        <f t="shared" si="47"/>
        <v>0</v>
      </c>
      <c r="I99" s="14">
        <f t="shared" si="47"/>
        <v>0</v>
      </c>
      <c r="J99" s="14">
        <f t="shared" si="47"/>
        <v>0</v>
      </c>
      <c r="K99" s="14">
        <f t="shared" si="47"/>
        <v>0</v>
      </c>
      <c r="L99" s="14">
        <f t="shared" si="47"/>
        <v>0</v>
      </c>
      <c r="M99" s="14">
        <f t="shared" si="47"/>
        <v>0</v>
      </c>
      <c r="N99" s="14">
        <f t="shared" si="47"/>
        <v>0</v>
      </c>
      <c r="O99" s="14">
        <f t="shared" si="47"/>
        <v>0</v>
      </c>
      <c r="P99" s="14">
        <f t="shared" si="47"/>
        <v>0</v>
      </c>
      <c r="Q99" s="14">
        <f t="shared" si="47"/>
        <v>0</v>
      </c>
      <c r="R99" s="14">
        <f t="shared" si="47"/>
        <v>0</v>
      </c>
      <c r="S99" s="14">
        <f t="shared" si="47"/>
        <v>0</v>
      </c>
      <c r="T99" s="14">
        <f t="shared" si="47"/>
        <v>0</v>
      </c>
      <c r="U99" s="14">
        <f t="shared" si="47"/>
        <v>0</v>
      </c>
      <c r="V99" s="14">
        <f t="shared" si="47"/>
        <v>0</v>
      </c>
      <c r="W99" s="14">
        <f t="shared" si="47"/>
        <v>0</v>
      </c>
      <c r="X99" s="14">
        <f t="shared" si="47"/>
        <v>0</v>
      </c>
      <c r="Y99" s="14">
        <f t="shared" si="47"/>
        <v>0</v>
      </c>
      <c r="Z99" s="14">
        <f t="shared" si="47"/>
        <v>0</v>
      </c>
      <c r="AA99" s="14">
        <f t="shared" si="47"/>
        <v>0</v>
      </c>
      <c r="AB99" s="14">
        <f t="shared" si="47"/>
        <v>0</v>
      </c>
      <c r="AC99" s="14">
        <f t="shared" si="47"/>
        <v>0</v>
      </c>
      <c r="AD99" s="14">
        <f t="shared" si="47"/>
        <v>0</v>
      </c>
      <c r="AE99" s="14">
        <f t="shared" si="47"/>
        <v>0</v>
      </c>
      <c r="AF99" s="14">
        <f t="shared" si="47"/>
        <v>0</v>
      </c>
      <c r="AG99" s="14">
        <f t="shared" si="47"/>
        <v>0</v>
      </c>
      <c r="AH99" s="14">
        <f t="shared" si="47"/>
        <v>0</v>
      </c>
      <c r="AI99" s="14">
        <f t="shared" si="47"/>
        <v>0</v>
      </c>
      <c r="AJ99" s="14">
        <f t="shared" si="47"/>
        <v>0</v>
      </c>
      <c r="AK99" s="14">
        <f t="shared" si="47"/>
        <v>0</v>
      </c>
      <c r="AL99" s="14">
        <f t="shared" si="47"/>
        <v>0</v>
      </c>
    </row>
    <row r="100" spans="1:54" ht="21" hidden="1" customHeight="1" outlineLevel="1" thickBot="1" x14ac:dyDescent="0.4">
      <c r="A100" s="5">
        <f t="shared" si="44"/>
        <v>0</v>
      </c>
      <c r="B100" s="5">
        <f t="shared" si="44"/>
        <v>0</v>
      </c>
      <c r="C100" s="5">
        <f t="shared" si="44"/>
        <v>0</v>
      </c>
      <c r="D100" s="5">
        <f t="shared" si="44"/>
        <v>0</v>
      </c>
      <c r="E100" s="6">
        <f t="shared" si="23"/>
        <v>0</v>
      </c>
      <c r="F100" s="14">
        <f t="shared" ref="F100:AL100" si="48">F24*$C$78</f>
        <v>0</v>
      </c>
      <c r="G100" s="14">
        <f t="shared" si="48"/>
        <v>0</v>
      </c>
      <c r="H100" s="14">
        <f t="shared" si="48"/>
        <v>0</v>
      </c>
      <c r="I100" s="14">
        <f t="shared" si="48"/>
        <v>0</v>
      </c>
      <c r="J100" s="14">
        <f t="shared" si="48"/>
        <v>0</v>
      </c>
      <c r="K100" s="14">
        <f t="shared" si="48"/>
        <v>0</v>
      </c>
      <c r="L100" s="14">
        <f t="shared" si="48"/>
        <v>0</v>
      </c>
      <c r="M100" s="14">
        <f t="shared" si="48"/>
        <v>0</v>
      </c>
      <c r="N100" s="14">
        <f t="shared" si="48"/>
        <v>0</v>
      </c>
      <c r="O100" s="14">
        <f t="shared" si="48"/>
        <v>0</v>
      </c>
      <c r="P100" s="14">
        <f t="shared" si="48"/>
        <v>0</v>
      </c>
      <c r="Q100" s="14">
        <f t="shared" si="48"/>
        <v>0</v>
      </c>
      <c r="R100" s="14">
        <f t="shared" si="48"/>
        <v>0</v>
      </c>
      <c r="S100" s="14">
        <f t="shared" si="48"/>
        <v>0</v>
      </c>
      <c r="T100" s="14">
        <f t="shared" si="48"/>
        <v>0</v>
      </c>
      <c r="U100" s="14">
        <f t="shared" si="48"/>
        <v>0</v>
      </c>
      <c r="V100" s="14">
        <f t="shared" si="48"/>
        <v>0</v>
      </c>
      <c r="W100" s="14">
        <f t="shared" si="48"/>
        <v>0</v>
      </c>
      <c r="X100" s="14">
        <f t="shared" si="48"/>
        <v>0</v>
      </c>
      <c r="Y100" s="14">
        <f t="shared" si="48"/>
        <v>0</v>
      </c>
      <c r="Z100" s="14">
        <f t="shared" si="48"/>
        <v>0</v>
      </c>
      <c r="AA100" s="14">
        <f t="shared" si="48"/>
        <v>0</v>
      </c>
      <c r="AB100" s="14">
        <f t="shared" si="48"/>
        <v>0</v>
      </c>
      <c r="AC100" s="14">
        <f t="shared" si="48"/>
        <v>0</v>
      </c>
      <c r="AD100" s="14">
        <f t="shared" si="48"/>
        <v>0</v>
      </c>
      <c r="AE100" s="14">
        <f t="shared" si="48"/>
        <v>0</v>
      </c>
      <c r="AF100" s="14">
        <f t="shared" si="48"/>
        <v>0</v>
      </c>
      <c r="AG100" s="14">
        <f t="shared" si="48"/>
        <v>0</v>
      </c>
      <c r="AH100" s="14">
        <f t="shared" si="48"/>
        <v>0</v>
      </c>
      <c r="AI100" s="14">
        <f t="shared" si="48"/>
        <v>0</v>
      </c>
      <c r="AJ100" s="14">
        <f t="shared" si="48"/>
        <v>0</v>
      </c>
      <c r="AK100" s="14">
        <f t="shared" si="48"/>
        <v>0</v>
      </c>
      <c r="AL100" s="14">
        <f t="shared" si="48"/>
        <v>0</v>
      </c>
    </row>
    <row r="101" spans="1:54" ht="21" hidden="1" customHeight="1" outlineLevel="1" thickBot="1" x14ac:dyDescent="0.4">
      <c r="A101" s="5">
        <f t="shared" si="44"/>
        <v>0</v>
      </c>
      <c r="B101" s="5">
        <f t="shared" si="44"/>
        <v>0</v>
      </c>
      <c r="C101" s="5">
        <f t="shared" si="44"/>
        <v>0</v>
      </c>
      <c r="D101" s="5">
        <f t="shared" si="44"/>
        <v>0</v>
      </c>
      <c r="E101" s="6">
        <f t="shared" si="23"/>
        <v>0</v>
      </c>
      <c r="F101" s="14">
        <f t="shared" ref="F101:AL101" si="49">F25*$C$78</f>
        <v>0</v>
      </c>
      <c r="G101" s="14">
        <f t="shared" si="49"/>
        <v>0</v>
      </c>
      <c r="H101" s="14">
        <f t="shared" si="49"/>
        <v>0</v>
      </c>
      <c r="I101" s="14">
        <f t="shared" si="49"/>
        <v>0</v>
      </c>
      <c r="J101" s="14">
        <f t="shared" si="49"/>
        <v>0</v>
      </c>
      <c r="K101" s="14">
        <f t="shared" si="49"/>
        <v>0</v>
      </c>
      <c r="L101" s="14">
        <f t="shared" si="49"/>
        <v>0</v>
      </c>
      <c r="M101" s="14">
        <f t="shared" si="49"/>
        <v>0</v>
      </c>
      <c r="N101" s="14">
        <f t="shared" si="49"/>
        <v>0</v>
      </c>
      <c r="O101" s="14">
        <f t="shared" si="49"/>
        <v>0</v>
      </c>
      <c r="P101" s="14">
        <f t="shared" si="49"/>
        <v>0</v>
      </c>
      <c r="Q101" s="14">
        <f t="shared" si="49"/>
        <v>0</v>
      </c>
      <c r="R101" s="14">
        <f t="shared" si="49"/>
        <v>0</v>
      </c>
      <c r="S101" s="14">
        <f t="shared" si="49"/>
        <v>0</v>
      </c>
      <c r="T101" s="14">
        <f t="shared" si="49"/>
        <v>0</v>
      </c>
      <c r="U101" s="14">
        <f t="shared" si="49"/>
        <v>0</v>
      </c>
      <c r="V101" s="14">
        <f t="shared" si="49"/>
        <v>0</v>
      </c>
      <c r="W101" s="14">
        <f t="shared" si="49"/>
        <v>0</v>
      </c>
      <c r="X101" s="14">
        <f t="shared" si="49"/>
        <v>0</v>
      </c>
      <c r="Y101" s="14">
        <f t="shared" si="49"/>
        <v>0</v>
      </c>
      <c r="Z101" s="14">
        <f t="shared" si="49"/>
        <v>0</v>
      </c>
      <c r="AA101" s="14">
        <f t="shared" si="49"/>
        <v>0</v>
      </c>
      <c r="AB101" s="14">
        <f t="shared" si="49"/>
        <v>0</v>
      </c>
      <c r="AC101" s="14">
        <f t="shared" si="49"/>
        <v>0</v>
      </c>
      <c r="AD101" s="14">
        <f t="shared" si="49"/>
        <v>0</v>
      </c>
      <c r="AE101" s="14">
        <f t="shared" si="49"/>
        <v>0</v>
      </c>
      <c r="AF101" s="14">
        <f t="shared" si="49"/>
        <v>0</v>
      </c>
      <c r="AG101" s="14">
        <f t="shared" si="49"/>
        <v>0</v>
      </c>
      <c r="AH101" s="14">
        <f t="shared" si="49"/>
        <v>0</v>
      </c>
      <c r="AI101" s="14">
        <f t="shared" si="49"/>
        <v>0</v>
      </c>
      <c r="AJ101" s="14">
        <f t="shared" si="49"/>
        <v>0</v>
      </c>
      <c r="AK101" s="14">
        <f t="shared" si="49"/>
        <v>0</v>
      </c>
      <c r="AL101" s="14">
        <f t="shared" si="49"/>
        <v>0</v>
      </c>
    </row>
    <row r="102" spans="1:54" ht="21" hidden="1" customHeight="1" outlineLevel="1" thickBot="1" x14ac:dyDescent="0.4">
      <c r="A102" s="5">
        <f t="shared" si="44"/>
        <v>0</v>
      </c>
      <c r="B102" s="5">
        <f t="shared" si="44"/>
        <v>0</v>
      </c>
      <c r="C102" s="5">
        <f t="shared" si="44"/>
        <v>0</v>
      </c>
      <c r="D102" s="5">
        <f t="shared" si="44"/>
        <v>0</v>
      </c>
      <c r="E102" s="6">
        <f t="shared" si="23"/>
        <v>0</v>
      </c>
      <c r="F102" s="14">
        <f t="shared" ref="F102:AL102" si="50">F26*$C$78</f>
        <v>0</v>
      </c>
      <c r="G102" s="14">
        <f t="shared" si="50"/>
        <v>0</v>
      </c>
      <c r="H102" s="14">
        <f t="shared" si="50"/>
        <v>0</v>
      </c>
      <c r="I102" s="14">
        <f t="shared" si="50"/>
        <v>0</v>
      </c>
      <c r="J102" s="14">
        <f t="shared" si="50"/>
        <v>0</v>
      </c>
      <c r="K102" s="14">
        <f t="shared" si="50"/>
        <v>0</v>
      </c>
      <c r="L102" s="14">
        <f t="shared" si="50"/>
        <v>0</v>
      </c>
      <c r="M102" s="14">
        <f t="shared" si="50"/>
        <v>0</v>
      </c>
      <c r="N102" s="14">
        <f t="shared" si="50"/>
        <v>0</v>
      </c>
      <c r="O102" s="14">
        <f t="shared" si="50"/>
        <v>0</v>
      </c>
      <c r="P102" s="14">
        <f t="shared" si="50"/>
        <v>0</v>
      </c>
      <c r="Q102" s="14">
        <f t="shared" si="50"/>
        <v>0</v>
      </c>
      <c r="R102" s="14">
        <f t="shared" si="50"/>
        <v>0</v>
      </c>
      <c r="S102" s="14">
        <f t="shared" si="50"/>
        <v>0</v>
      </c>
      <c r="T102" s="14">
        <f t="shared" si="50"/>
        <v>0</v>
      </c>
      <c r="U102" s="14">
        <f t="shared" si="50"/>
        <v>0</v>
      </c>
      <c r="V102" s="14">
        <f t="shared" si="50"/>
        <v>0</v>
      </c>
      <c r="W102" s="14">
        <f t="shared" si="50"/>
        <v>0</v>
      </c>
      <c r="X102" s="14">
        <f t="shared" si="50"/>
        <v>0</v>
      </c>
      <c r="Y102" s="14">
        <f t="shared" si="50"/>
        <v>0</v>
      </c>
      <c r="Z102" s="14">
        <f t="shared" si="50"/>
        <v>0</v>
      </c>
      <c r="AA102" s="14">
        <f t="shared" si="50"/>
        <v>0</v>
      </c>
      <c r="AB102" s="14">
        <f t="shared" si="50"/>
        <v>0</v>
      </c>
      <c r="AC102" s="14">
        <f t="shared" si="50"/>
        <v>0</v>
      </c>
      <c r="AD102" s="14">
        <f t="shared" si="50"/>
        <v>0</v>
      </c>
      <c r="AE102" s="14">
        <f t="shared" si="50"/>
        <v>0</v>
      </c>
      <c r="AF102" s="14">
        <f t="shared" si="50"/>
        <v>0</v>
      </c>
      <c r="AG102" s="14">
        <f t="shared" si="50"/>
        <v>0</v>
      </c>
      <c r="AH102" s="14">
        <f t="shared" si="50"/>
        <v>0</v>
      </c>
      <c r="AI102" s="14">
        <f t="shared" si="50"/>
        <v>0</v>
      </c>
      <c r="AJ102" s="14">
        <f t="shared" si="50"/>
        <v>0</v>
      </c>
      <c r="AK102" s="14">
        <f t="shared" si="50"/>
        <v>0</v>
      </c>
      <c r="AL102" s="14">
        <f t="shared" si="50"/>
        <v>0</v>
      </c>
    </row>
    <row r="103" spans="1:54" ht="21" hidden="1" customHeight="1" outlineLevel="1" thickBot="1" x14ac:dyDescent="0.4">
      <c r="A103" s="5">
        <f t="shared" si="44"/>
        <v>0</v>
      </c>
      <c r="B103" s="5">
        <f t="shared" si="44"/>
        <v>0</v>
      </c>
      <c r="C103" s="5">
        <f t="shared" si="44"/>
        <v>0</v>
      </c>
      <c r="D103" s="5">
        <f t="shared" si="44"/>
        <v>0</v>
      </c>
      <c r="E103" s="6">
        <f t="shared" si="23"/>
        <v>0</v>
      </c>
      <c r="F103" s="14">
        <f t="shared" ref="F103:AL103" si="51">F27*$C$78</f>
        <v>0</v>
      </c>
      <c r="G103" s="14">
        <f t="shared" si="51"/>
        <v>0</v>
      </c>
      <c r="H103" s="14">
        <f t="shared" si="51"/>
        <v>0</v>
      </c>
      <c r="I103" s="14">
        <f t="shared" si="51"/>
        <v>0</v>
      </c>
      <c r="J103" s="14">
        <f t="shared" si="51"/>
        <v>0</v>
      </c>
      <c r="K103" s="14">
        <f t="shared" si="51"/>
        <v>0</v>
      </c>
      <c r="L103" s="14">
        <f t="shared" si="51"/>
        <v>0</v>
      </c>
      <c r="M103" s="14">
        <f t="shared" si="51"/>
        <v>0</v>
      </c>
      <c r="N103" s="14">
        <f t="shared" si="51"/>
        <v>0</v>
      </c>
      <c r="O103" s="14">
        <f t="shared" si="51"/>
        <v>0</v>
      </c>
      <c r="P103" s="14">
        <f t="shared" si="51"/>
        <v>0</v>
      </c>
      <c r="Q103" s="14">
        <f t="shared" si="51"/>
        <v>0</v>
      </c>
      <c r="R103" s="14">
        <f t="shared" si="51"/>
        <v>0</v>
      </c>
      <c r="S103" s="14">
        <f t="shared" si="51"/>
        <v>0</v>
      </c>
      <c r="T103" s="14">
        <f t="shared" si="51"/>
        <v>0</v>
      </c>
      <c r="U103" s="14">
        <f t="shared" si="51"/>
        <v>0</v>
      </c>
      <c r="V103" s="14">
        <f t="shared" si="51"/>
        <v>0</v>
      </c>
      <c r="W103" s="14">
        <f t="shared" si="51"/>
        <v>0</v>
      </c>
      <c r="X103" s="14">
        <f t="shared" si="51"/>
        <v>0</v>
      </c>
      <c r="Y103" s="14">
        <f t="shared" si="51"/>
        <v>0</v>
      </c>
      <c r="Z103" s="14">
        <f t="shared" si="51"/>
        <v>0</v>
      </c>
      <c r="AA103" s="14">
        <f t="shared" si="51"/>
        <v>0</v>
      </c>
      <c r="AB103" s="14">
        <f t="shared" si="51"/>
        <v>0</v>
      </c>
      <c r="AC103" s="14">
        <f t="shared" si="51"/>
        <v>0</v>
      </c>
      <c r="AD103" s="14">
        <f t="shared" si="51"/>
        <v>0</v>
      </c>
      <c r="AE103" s="14">
        <f t="shared" si="51"/>
        <v>0</v>
      </c>
      <c r="AF103" s="14">
        <f t="shared" si="51"/>
        <v>0</v>
      </c>
      <c r="AG103" s="14">
        <f t="shared" si="51"/>
        <v>0</v>
      </c>
      <c r="AH103" s="14">
        <f t="shared" si="51"/>
        <v>0</v>
      </c>
      <c r="AI103" s="14">
        <f t="shared" si="51"/>
        <v>0</v>
      </c>
      <c r="AJ103" s="14">
        <f t="shared" si="51"/>
        <v>0</v>
      </c>
      <c r="AK103" s="14">
        <f t="shared" si="51"/>
        <v>0</v>
      </c>
      <c r="AL103" s="14">
        <f t="shared" si="51"/>
        <v>0</v>
      </c>
    </row>
    <row r="104" spans="1:54" ht="21" hidden="1" customHeight="1" outlineLevel="1" thickBot="1" x14ac:dyDescent="0.4">
      <c r="A104" s="5">
        <f t="shared" si="44"/>
        <v>0</v>
      </c>
      <c r="B104" s="5">
        <f t="shared" si="44"/>
        <v>0</v>
      </c>
      <c r="C104" s="5">
        <f t="shared" si="44"/>
        <v>0</v>
      </c>
      <c r="D104" s="5">
        <f t="shared" si="44"/>
        <v>0</v>
      </c>
      <c r="E104" s="6">
        <f t="shared" si="23"/>
        <v>0</v>
      </c>
      <c r="F104" s="14">
        <f t="shared" ref="F104:AL104" si="52">F28*$C$78</f>
        <v>0</v>
      </c>
      <c r="G104" s="14">
        <f t="shared" si="52"/>
        <v>0</v>
      </c>
      <c r="H104" s="14">
        <f t="shared" si="52"/>
        <v>0</v>
      </c>
      <c r="I104" s="14">
        <f t="shared" si="52"/>
        <v>0</v>
      </c>
      <c r="J104" s="14">
        <f t="shared" si="52"/>
        <v>0</v>
      </c>
      <c r="K104" s="14">
        <f t="shared" si="52"/>
        <v>0</v>
      </c>
      <c r="L104" s="14">
        <f t="shared" si="52"/>
        <v>0</v>
      </c>
      <c r="M104" s="14">
        <f t="shared" si="52"/>
        <v>0</v>
      </c>
      <c r="N104" s="14">
        <f t="shared" si="52"/>
        <v>0</v>
      </c>
      <c r="O104" s="14">
        <f t="shared" si="52"/>
        <v>0</v>
      </c>
      <c r="P104" s="14">
        <f t="shared" si="52"/>
        <v>0</v>
      </c>
      <c r="Q104" s="14">
        <f t="shared" si="52"/>
        <v>0</v>
      </c>
      <c r="R104" s="14">
        <f t="shared" si="52"/>
        <v>0</v>
      </c>
      <c r="S104" s="14">
        <f t="shared" si="52"/>
        <v>0</v>
      </c>
      <c r="T104" s="14">
        <f t="shared" si="52"/>
        <v>0</v>
      </c>
      <c r="U104" s="14">
        <f t="shared" si="52"/>
        <v>0</v>
      </c>
      <c r="V104" s="14">
        <f t="shared" si="52"/>
        <v>0</v>
      </c>
      <c r="W104" s="14">
        <f t="shared" si="52"/>
        <v>0</v>
      </c>
      <c r="X104" s="14">
        <f t="shared" si="52"/>
        <v>0</v>
      </c>
      <c r="Y104" s="14">
        <f t="shared" si="52"/>
        <v>0</v>
      </c>
      <c r="Z104" s="14">
        <f t="shared" si="52"/>
        <v>0</v>
      </c>
      <c r="AA104" s="14">
        <f t="shared" si="52"/>
        <v>0</v>
      </c>
      <c r="AB104" s="14">
        <f t="shared" si="52"/>
        <v>0</v>
      </c>
      <c r="AC104" s="14">
        <f t="shared" si="52"/>
        <v>0</v>
      </c>
      <c r="AD104" s="14">
        <f t="shared" si="52"/>
        <v>0</v>
      </c>
      <c r="AE104" s="14">
        <f t="shared" si="52"/>
        <v>0</v>
      </c>
      <c r="AF104" s="14">
        <f t="shared" si="52"/>
        <v>0</v>
      </c>
      <c r="AG104" s="14">
        <f t="shared" si="52"/>
        <v>0</v>
      </c>
      <c r="AH104" s="14">
        <f t="shared" si="52"/>
        <v>0</v>
      </c>
      <c r="AI104" s="14">
        <f t="shared" si="52"/>
        <v>0</v>
      </c>
      <c r="AJ104" s="14">
        <f t="shared" si="52"/>
        <v>0</v>
      </c>
      <c r="AK104" s="14">
        <f t="shared" si="52"/>
        <v>0</v>
      </c>
      <c r="AL104" s="14">
        <f t="shared" si="52"/>
        <v>0</v>
      </c>
    </row>
    <row r="105" spans="1:54" ht="21" hidden="1" customHeight="1" outlineLevel="1" thickBot="1" x14ac:dyDescent="0.4">
      <c r="A105" s="5">
        <f t="shared" si="44"/>
        <v>0</v>
      </c>
      <c r="B105" s="5">
        <f t="shared" si="44"/>
        <v>0</v>
      </c>
      <c r="C105" s="5">
        <f t="shared" si="44"/>
        <v>0</v>
      </c>
      <c r="D105" s="5">
        <f t="shared" si="44"/>
        <v>0</v>
      </c>
      <c r="E105" s="6">
        <f t="shared" si="23"/>
        <v>0</v>
      </c>
      <c r="F105" s="14">
        <f t="shared" ref="F105:AL105" si="53">F29*$C$78</f>
        <v>0</v>
      </c>
      <c r="G105" s="14">
        <f t="shared" si="53"/>
        <v>0</v>
      </c>
      <c r="H105" s="14">
        <f t="shared" si="53"/>
        <v>0</v>
      </c>
      <c r="I105" s="14">
        <f t="shared" si="53"/>
        <v>0</v>
      </c>
      <c r="J105" s="14">
        <f t="shared" si="53"/>
        <v>0</v>
      </c>
      <c r="K105" s="14">
        <f t="shared" si="53"/>
        <v>0</v>
      </c>
      <c r="L105" s="14">
        <f t="shared" si="53"/>
        <v>0</v>
      </c>
      <c r="M105" s="14">
        <f t="shared" si="53"/>
        <v>0</v>
      </c>
      <c r="N105" s="14">
        <f t="shared" si="53"/>
        <v>0</v>
      </c>
      <c r="O105" s="14">
        <f t="shared" si="53"/>
        <v>0</v>
      </c>
      <c r="P105" s="14">
        <f t="shared" si="53"/>
        <v>0</v>
      </c>
      <c r="Q105" s="14">
        <f t="shared" si="53"/>
        <v>0</v>
      </c>
      <c r="R105" s="14">
        <f t="shared" si="53"/>
        <v>0</v>
      </c>
      <c r="S105" s="14">
        <f t="shared" si="53"/>
        <v>0</v>
      </c>
      <c r="T105" s="14">
        <f t="shared" si="53"/>
        <v>0</v>
      </c>
      <c r="U105" s="14">
        <f t="shared" si="53"/>
        <v>0</v>
      </c>
      <c r="V105" s="14">
        <f t="shared" si="53"/>
        <v>0</v>
      </c>
      <c r="W105" s="14">
        <f t="shared" si="53"/>
        <v>0</v>
      </c>
      <c r="X105" s="14">
        <f t="shared" si="53"/>
        <v>0</v>
      </c>
      <c r="Y105" s="14">
        <f t="shared" si="53"/>
        <v>0</v>
      </c>
      <c r="Z105" s="14">
        <f t="shared" si="53"/>
        <v>0</v>
      </c>
      <c r="AA105" s="14">
        <f t="shared" si="53"/>
        <v>0</v>
      </c>
      <c r="AB105" s="14">
        <f t="shared" si="53"/>
        <v>0</v>
      </c>
      <c r="AC105" s="14">
        <f t="shared" si="53"/>
        <v>0</v>
      </c>
      <c r="AD105" s="14">
        <f t="shared" si="53"/>
        <v>0</v>
      </c>
      <c r="AE105" s="14">
        <f t="shared" si="53"/>
        <v>0</v>
      </c>
      <c r="AF105" s="14">
        <f t="shared" si="53"/>
        <v>0</v>
      </c>
      <c r="AG105" s="14">
        <f t="shared" si="53"/>
        <v>0</v>
      </c>
      <c r="AH105" s="14">
        <f t="shared" si="53"/>
        <v>0</v>
      </c>
      <c r="AI105" s="14">
        <f t="shared" si="53"/>
        <v>0</v>
      </c>
      <c r="AJ105" s="14">
        <f t="shared" si="53"/>
        <v>0</v>
      </c>
      <c r="AK105" s="14">
        <f t="shared" si="53"/>
        <v>0</v>
      </c>
      <c r="AL105" s="14">
        <f t="shared" si="53"/>
        <v>0</v>
      </c>
    </row>
    <row r="106" spans="1:54" ht="21" hidden="1" customHeight="1" outlineLevel="1" thickBot="1" x14ac:dyDescent="0.4">
      <c r="A106" s="5">
        <f t="shared" si="44"/>
        <v>0</v>
      </c>
      <c r="B106" s="5">
        <f t="shared" si="44"/>
        <v>0</v>
      </c>
      <c r="C106" s="5">
        <f t="shared" si="44"/>
        <v>0</v>
      </c>
      <c r="D106" s="5">
        <f t="shared" si="44"/>
        <v>0</v>
      </c>
      <c r="E106" s="6">
        <f t="shared" si="23"/>
        <v>0</v>
      </c>
      <c r="F106" s="14">
        <f t="shared" ref="F106:AL106" si="54">F30*$C$78</f>
        <v>0</v>
      </c>
      <c r="G106" s="14">
        <f t="shared" si="54"/>
        <v>0</v>
      </c>
      <c r="H106" s="14">
        <f t="shared" si="54"/>
        <v>0</v>
      </c>
      <c r="I106" s="14">
        <f t="shared" si="54"/>
        <v>0</v>
      </c>
      <c r="J106" s="14">
        <f t="shared" si="54"/>
        <v>0</v>
      </c>
      <c r="K106" s="14">
        <f t="shared" si="54"/>
        <v>0</v>
      </c>
      <c r="L106" s="14">
        <f t="shared" si="54"/>
        <v>0</v>
      </c>
      <c r="M106" s="14">
        <f t="shared" si="54"/>
        <v>0</v>
      </c>
      <c r="N106" s="14">
        <f t="shared" si="54"/>
        <v>0</v>
      </c>
      <c r="O106" s="14">
        <f t="shared" si="54"/>
        <v>0</v>
      </c>
      <c r="P106" s="14">
        <f t="shared" si="54"/>
        <v>0</v>
      </c>
      <c r="Q106" s="14">
        <f t="shared" si="54"/>
        <v>0</v>
      </c>
      <c r="R106" s="14">
        <f t="shared" si="54"/>
        <v>0</v>
      </c>
      <c r="S106" s="14">
        <f t="shared" si="54"/>
        <v>0</v>
      </c>
      <c r="T106" s="14">
        <f t="shared" si="54"/>
        <v>0</v>
      </c>
      <c r="U106" s="14">
        <f t="shared" si="54"/>
        <v>0</v>
      </c>
      <c r="V106" s="14">
        <f t="shared" si="54"/>
        <v>0</v>
      </c>
      <c r="W106" s="14">
        <f t="shared" si="54"/>
        <v>0</v>
      </c>
      <c r="X106" s="14">
        <f t="shared" si="54"/>
        <v>0</v>
      </c>
      <c r="Y106" s="14">
        <f t="shared" si="54"/>
        <v>0</v>
      </c>
      <c r="Z106" s="14">
        <f t="shared" si="54"/>
        <v>0</v>
      </c>
      <c r="AA106" s="14">
        <f t="shared" si="54"/>
        <v>0</v>
      </c>
      <c r="AB106" s="14">
        <f t="shared" si="54"/>
        <v>0</v>
      </c>
      <c r="AC106" s="14">
        <f t="shared" si="54"/>
        <v>0</v>
      </c>
      <c r="AD106" s="14">
        <f t="shared" si="54"/>
        <v>0</v>
      </c>
      <c r="AE106" s="14">
        <f t="shared" si="54"/>
        <v>0</v>
      </c>
      <c r="AF106" s="14">
        <f t="shared" si="54"/>
        <v>0</v>
      </c>
      <c r="AG106" s="14">
        <f t="shared" si="54"/>
        <v>0</v>
      </c>
      <c r="AH106" s="14">
        <f t="shared" si="54"/>
        <v>0</v>
      </c>
      <c r="AI106" s="14">
        <f t="shared" si="54"/>
        <v>0</v>
      </c>
      <c r="AJ106" s="14">
        <f t="shared" si="54"/>
        <v>0</v>
      </c>
      <c r="AK106" s="14">
        <f t="shared" si="54"/>
        <v>0</v>
      </c>
      <c r="AL106" s="14">
        <f t="shared" si="54"/>
        <v>0</v>
      </c>
    </row>
    <row r="107" spans="1:54" ht="21" hidden="1" customHeight="1" outlineLevel="1" thickBot="1" x14ac:dyDescent="0.4">
      <c r="A107" s="5">
        <f t="shared" si="44"/>
        <v>0</v>
      </c>
      <c r="B107" s="5">
        <f t="shared" si="44"/>
        <v>0</v>
      </c>
      <c r="C107" s="5">
        <f t="shared" si="44"/>
        <v>0</v>
      </c>
      <c r="D107" s="5">
        <f t="shared" si="44"/>
        <v>0</v>
      </c>
      <c r="E107" s="6">
        <f t="shared" si="23"/>
        <v>0</v>
      </c>
      <c r="F107" s="14">
        <f t="shared" ref="F107:AL107" si="55">F31*$C$78</f>
        <v>0</v>
      </c>
      <c r="G107" s="14">
        <f t="shared" si="55"/>
        <v>0</v>
      </c>
      <c r="H107" s="14">
        <f t="shared" si="55"/>
        <v>0</v>
      </c>
      <c r="I107" s="14">
        <f t="shared" si="55"/>
        <v>0</v>
      </c>
      <c r="J107" s="14">
        <f t="shared" si="55"/>
        <v>0</v>
      </c>
      <c r="K107" s="14">
        <f t="shared" si="55"/>
        <v>0</v>
      </c>
      <c r="L107" s="14">
        <f t="shared" si="55"/>
        <v>0</v>
      </c>
      <c r="M107" s="14">
        <f t="shared" si="55"/>
        <v>0</v>
      </c>
      <c r="N107" s="14">
        <f t="shared" si="55"/>
        <v>0</v>
      </c>
      <c r="O107" s="14">
        <f t="shared" si="55"/>
        <v>0</v>
      </c>
      <c r="P107" s="14">
        <f t="shared" si="55"/>
        <v>0</v>
      </c>
      <c r="Q107" s="14">
        <f t="shared" si="55"/>
        <v>0</v>
      </c>
      <c r="R107" s="14">
        <f t="shared" si="55"/>
        <v>0</v>
      </c>
      <c r="S107" s="14">
        <f t="shared" si="55"/>
        <v>0</v>
      </c>
      <c r="T107" s="14">
        <f t="shared" si="55"/>
        <v>0</v>
      </c>
      <c r="U107" s="14">
        <f t="shared" si="55"/>
        <v>0</v>
      </c>
      <c r="V107" s="14">
        <f t="shared" si="55"/>
        <v>0</v>
      </c>
      <c r="W107" s="14">
        <f t="shared" si="55"/>
        <v>0</v>
      </c>
      <c r="X107" s="14">
        <f t="shared" si="55"/>
        <v>0</v>
      </c>
      <c r="Y107" s="14">
        <f t="shared" si="55"/>
        <v>0</v>
      </c>
      <c r="Z107" s="14">
        <f t="shared" si="55"/>
        <v>0</v>
      </c>
      <c r="AA107" s="14">
        <f t="shared" si="55"/>
        <v>0</v>
      </c>
      <c r="AB107" s="14">
        <f t="shared" si="55"/>
        <v>0</v>
      </c>
      <c r="AC107" s="14">
        <f t="shared" si="55"/>
        <v>0</v>
      </c>
      <c r="AD107" s="14">
        <f t="shared" si="55"/>
        <v>0</v>
      </c>
      <c r="AE107" s="14">
        <f t="shared" si="55"/>
        <v>0</v>
      </c>
      <c r="AF107" s="14">
        <f t="shared" si="55"/>
        <v>0</v>
      </c>
      <c r="AG107" s="14">
        <f t="shared" si="55"/>
        <v>0</v>
      </c>
      <c r="AH107" s="14">
        <f t="shared" si="55"/>
        <v>0</v>
      </c>
      <c r="AI107" s="14">
        <f t="shared" si="55"/>
        <v>0</v>
      </c>
      <c r="AJ107" s="14">
        <f t="shared" si="55"/>
        <v>0</v>
      </c>
      <c r="AK107" s="14">
        <f t="shared" si="55"/>
        <v>0</v>
      </c>
      <c r="AL107" s="14">
        <f t="shared" si="55"/>
        <v>0</v>
      </c>
    </row>
    <row r="108" spans="1:54" ht="21" hidden="1" customHeight="1" outlineLevel="1" thickBot="1" x14ac:dyDescent="0.4">
      <c r="A108" s="5">
        <f t="shared" si="44"/>
        <v>0</v>
      </c>
      <c r="B108" s="5">
        <f t="shared" si="44"/>
        <v>0</v>
      </c>
      <c r="C108" s="5">
        <f t="shared" si="44"/>
        <v>0</v>
      </c>
      <c r="D108" s="5">
        <f t="shared" si="44"/>
        <v>0</v>
      </c>
      <c r="E108" s="6">
        <f t="shared" si="23"/>
        <v>0</v>
      </c>
      <c r="F108" s="14">
        <f t="shared" ref="F108:AL108" si="56">F32*$C$78</f>
        <v>0</v>
      </c>
      <c r="G108" s="14">
        <f t="shared" si="56"/>
        <v>0</v>
      </c>
      <c r="H108" s="14">
        <f t="shared" si="56"/>
        <v>0</v>
      </c>
      <c r="I108" s="14">
        <f t="shared" si="56"/>
        <v>0</v>
      </c>
      <c r="J108" s="14">
        <f t="shared" si="56"/>
        <v>0</v>
      </c>
      <c r="K108" s="14">
        <f t="shared" si="56"/>
        <v>0</v>
      </c>
      <c r="L108" s="14">
        <f t="shared" si="56"/>
        <v>0</v>
      </c>
      <c r="M108" s="14">
        <f t="shared" si="56"/>
        <v>0</v>
      </c>
      <c r="N108" s="14">
        <f t="shared" si="56"/>
        <v>0</v>
      </c>
      <c r="O108" s="14">
        <f t="shared" si="56"/>
        <v>0</v>
      </c>
      <c r="P108" s="14">
        <f t="shared" si="56"/>
        <v>0</v>
      </c>
      <c r="Q108" s="14">
        <f t="shared" si="56"/>
        <v>0</v>
      </c>
      <c r="R108" s="14">
        <f t="shared" si="56"/>
        <v>0</v>
      </c>
      <c r="S108" s="14">
        <f t="shared" si="56"/>
        <v>0</v>
      </c>
      <c r="T108" s="14">
        <f t="shared" si="56"/>
        <v>0</v>
      </c>
      <c r="U108" s="14">
        <f t="shared" si="56"/>
        <v>0</v>
      </c>
      <c r="V108" s="14">
        <f t="shared" si="56"/>
        <v>0</v>
      </c>
      <c r="W108" s="14">
        <f t="shared" si="56"/>
        <v>0</v>
      </c>
      <c r="X108" s="14">
        <f t="shared" si="56"/>
        <v>0</v>
      </c>
      <c r="Y108" s="14">
        <f t="shared" si="56"/>
        <v>0</v>
      </c>
      <c r="Z108" s="14">
        <f t="shared" si="56"/>
        <v>0</v>
      </c>
      <c r="AA108" s="14">
        <f t="shared" si="56"/>
        <v>0</v>
      </c>
      <c r="AB108" s="14">
        <f t="shared" si="56"/>
        <v>0</v>
      </c>
      <c r="AC108" s="14">
        <f t="shared" si="56"/>
        <v>0</v>
      </c>
      <c r="AD108" s="14">
        <f t="shared" si="56"/>
        <v>0</v>
      </c>
      <c r="AE108" s="14">
        <f t="shared" si="56"/>
        <v>0</v>
      </c>
      <c r="AF108" s="14">
        <f t="shared" si="56"/>
        <v>0</v>
      </c>
      <c r="AG108" s="14">
        <f t="shared" si="56"/>
        <v>0</v>
      </c>
      <c r="AH108" s="14">
        <f t="shared" si="56"/>
        <v>0</v>
      </c>
      <c r="AI108" s="14">
        <f t="shared" si="56"/>
        <v>0</v>
      </c>
      <c r="AJ108" s="14">
        <f t="shared" si="56"/>
        <v>0</v>
      </c>
      <c r="AK108" s="14">
        <f t="shared" si="56"/>
        <v>0</v>
      </c>
      <c r="AL108" s="14">
        <f t="shared" si="56"/>
        <v>0</v>
      </c>
    </row>
    <row r="109" spans="1:54" ht="21" hidden="1" customHeight="1" outlineLevel="1" thickBot="1" x14ac:dyDescent="0.4">
      <c r="A109" s="5">
        <f t="shared" si="44"/>
        <v>0</v>
      </c>
      <c r="B109" s="5">
        <f t="shared" si="44"/>
        <v>0</v>
      </c>
      <c r="C109" s="5">
        <f t="shared" si="44"/>
        <v>0</v>
      </c>
      <c r="D109" s="5">
        <f t="shared" si="44"/>
        <v>0</v>
      </c>
      <c r="E109" s="6">
        <f t="shared" si="23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U110" s="55"/>
      <c r="V110" s="55"/>
      <c r="W110" s="55"/>
    </row>
    <row r="111" spans="1:54" ht="21" customHeight="1" collapsed="1" x14ac:dyDescent="0.35">
      <c r="U111" s="55"/>
      <c r="V111" s="55"/>
      <c r="W111" s="55"/>
    </row>
    <row r="112" spans="1:54" ht="21" customHeight="1" thickBot="1" x14ac:dyDescent="0.45">
      <c r="A112" s="75"/>
      <c r="B112" s="75"/>
      <c r="C112" s="75"/>
      <c r="D112" s="75"/>
      <c r="E112" s="74" t="s">
        <v>24</v>
      </c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</row>
    <row r="113" spans="1:38" ht="21" customHeight="1" outlineLevel="1" thickTop="1" thickBot="1" x14ac:dyDescent="0.4">
      <c r="A113" s="92" t="s">
        <v>10</v>
      </c>
      <c r="B113" s="93"/>
      <c r="C113" s="23" t="s">
        <v>11</v>
      </c>
      <c r="D113" s="15" t="s">
        <v>12</v>
      </c>
      <c r="E113" s="15"/>
      <c r="F113" s="4">
        <f t="shared" ref="F113:AL113" si="57">F3</f>
        <v>0</v>
      </c>
      <c r="G113" s="4">
        <f t="shared" si="57"/>
        <v>0</v>
      </c>
      <c r="H113" s="4">
        <f t="shared" si="57"/>
        <v>0</v>
      </c>
      <c r="I113" s="4">
        <f t="shared" si="57"/>
        <v>0</v>
      </c>
      <c r="J113" s="4">
        <f t="shared" si="57"/>
        <v>0</v>
      </c>
      <c r="K113" s="4">
        <f t="shared" si="57"/>
        <v>0</v>
      </c>
      <c r="L113" s="4">
        <f t="shared" si="57"/>
        <v>0</v>
      </c>
      <c r="M113" s="4">
        <f t="shared" si="57"/>
        <v>0</v>
      </c>
      <c r="N113" s="4">
        <f t="shared" si="57"/>
        <v>0</v>
      </c>
      <c r="O113" s="4">
        <f t="shared" si="57"/>
        <v>0</v>
      </c>
      <c r="P113" s="4">
        <f t="shared" si="57"/>
        <v>0</v>
      </c>
      <c r="Q113" s="4">
        <f t="shared" si="57"/>
        <v>0</v>
      </c>
      <c r="R113" s="4">
        <f t="shared" si="57"/>
        <v>0</v>
      </c>
      <c r="S113" s="4">
        <f t="shared" si="57"/>
        <v>0</v>
      </c>
      <c r="T113" s="4">
        <f t="shared" si="57"/>
        <v>0</v>
      </c>
      <c r="U113" s="4">
        <f t="shared" si="57"/>
        <v>0</v>
      </c>
      <c r="V113" s="4">
        <f t="shared" si="57"/>
        <v>0</v>
      </c>
      <c r="W113" s="4">
        <f t="shared" si="57"/>
        <v>0</v>
      </c>
      <c r="X113" s="4">
        <f t="shared" si="57"/>
        <v>0</v>
      </c>
      <c r="Y113" s="4">
        <f t="shared" si="57"/>
        <v>0</v>
      </c>
      <c r="Z113" s="4">
        <f t="shared" si="57"/>
        <v>0</v>
      </c>
      <c r="AA113" s="4">
        <f t="shared" si="57"/>
        <v>0</v>
      </c>
      <c r="AB113" s="4">
        <f t="shared" si="57"/>
        <v>0</v>
      </c>
      <c r="AC113" s="4">
        <f t="shared" si="57"/>
        <v>0</v>
      </c>
      <c r="AD113" s="4">
        <f t="shared" si="57"/>
        <v>0</v>
      </c>
      <c r="AE113" s="4">
        <f t="shared" si="57"/>
        <v>0</v>
      </c>
      <c r="AF113" s="4">
        <f t="shared" si="57"/>
        <v>0</v>
      </c>
      <c r="AG113" s="4">
        <f t="shared" si="57"/>
        <v>0</v>
      </c>
      <c r="AH113" s="4">
        <f t="shared" si="57"/>
        <v>0</v>
      </c>
      <c r="AI113" s="4">
        <f t="shared" si="57"/>
        <v>0</v>
      </c>
      <c r="AJ113" s="4">
        <f t="shared" si="57"/>
        <v>0</v>
      </c>
      <c r="AK113" s="4">
        <f t="shared" si="57"/>
        <v>0</v>
      </c>
      <c r="AL113" s="4">
        <f t="shared" si="57"/>
        <v>0</v>
      </c>
    </row>
    <row r="114" spans="1:38" ht="21" customHeight="1" outlineLevel="1" thickTop="1" thickBot="1" x14ac:dyDescent="0.4">
      <c r="A114" s="21">
        <f>$A$2</f>
        <v>700</v>
      </c>
      <c r="B114" s="50" t="e">
        <f ca="1">MIN(MIN(F114:AL117),MIN(F41:AL41))</f>
        <v>#N/A</v>
      </c>
      <c r="C114" s="24">
        <f>COUNTA(E114:E121)+1</f>
        <v>6</v>
      </c>
      <c r="E114" s="17" t="s">
        <v>13</v>
      </c>
      <c r="F114" s="52" t="e">
        <f ca="1">F$113*$B$2*SUMPRODUCT(F$90:F$92,F$56:F$58)/1000</f>
        <v>#N/A</v>
      </c>
      <c r="G114" s="52" t="e">
        <f t="shared" ref="G114:AL114" ca="1" si="58">G$113*$B$2*SUMPRODUCT(G$90:G$92,G$56:G$58)/1000</f>
        <v>#N/A</v>
      </c>
      <c r="H114" s="52" t="e">
        <f t="shared" ca="1" si="58"/>
        <v>#N/A</v>
      </c>
      <c r="I114" s="52" t="e">
        <f t="shared" ca="1" si="58"/>
        <v>#N/A</v>
      </c>
      <c r="J114" s="52" t="e">
        <f t="shared" ca="1" si="58"/>
        <v>#N/A</v>
      </c>
      <c r="K114" s="52" t="e">
        <f t="shared" ca="1" si="58"/>
        <v>#N/A</v>
      </c>
      <c r="L114" s="52" t="e">
        <f t="shared" ca="1" si="58"/>
        <v>#N/A</v>
      </c>
      <c r="M114" s="52" t="e">
        <f t="shared" ca="1" si="58"/>
        <v>#N/A</v>
      </c>
      <c r="N114" s="52" t="e">
        <f t="shared" ca="1" si="58"/>
        <v>#N/A</v>
      </c>
      <c r="O114" s="52" t="e">
        <f t="shared" ca="1" si="58"/>
        <v>#N/A</v>
      </c>
      <c r="P114" s="52" t="e">
        <f t="shared" ca="1" si="58"/>
        <v>#N/A</v>
      </c>
      <c r="Q114" s="52" t="e">
        <f t="shared" ca="1" si="58"/>
        <v>#N/A</v>
      </c>
      <c r="R114" s="52" t="e">
        <f t="shared" ca="1" si="58"/>
        <v>#N/A</v>
      </c>
      <c r="S114" s="52" t="e">
        <f t="shared" ca="1" si="58"/>
        <v>#N/A</v>
      </c>
      <c r="T114" s="52" t="e">
        <f t="shared" ca="1" si="58"/>
        <v>#N/A</v>
      </c>
      <c r="U114" s="52" t="e">
        <f t="shared" ca="1" si="58"/>
        <v>#N/A</v>
      </c>
      <c r="V114" s="52" t="e">
        <f t="shared" ca="1" si="58"/>
        <v>#N/A</v>
      </c>
      <c r="W114" s="52" t="e">
        <f t="shared" ca="1" si="58"/>
        <v>#N/A</v>
      </c>
      <c r="X114" s="52" t="e">
        <f t="shared" ca="1" si="58"/>
        <v>#N/A</v>
      </c>
      <c r="Y114" s="52" t="e">
        <f t="shared" ca="1" si="58"/>
        <v>#N/A</v>
      </c>
      <c r="Z114" s="52" t="e">
        <f t="shared" ca="1" si="58"/>
        <v>#N/A</v>
      </c>
      <c r="AA114" s="52" t="e">
        <f t="shared" ca="1" si="58"/>
        <v>#N/A</v>
      </c>
      <c r="AB114" s="52" t="e">
        <f t="shared" ca="1" si="58"/>
        <v>#N/A</v>
      </c>
      <c r="AC114" s="52" t="e">
        <f t="shared" ca="1" si="58"/>
        <v>#N/A</v>
      </c>
      <c r="AD114" s="52" t="e">
        <f t="shared" ca="1" si="58"/>
        <v>#N/A</v>
      </c>
      <c r="AE114" s="52" t="e">
        <f t="shared" ca="1" si="58"/>
        <v>#N/A</v>
      </c>
      <c r="AF114" s="52" t="e">
        <f t="shared" ca="1" si="58"/>
        <v>#N/A</v>
      </c>
      <c r="AG114" s="52" t="e">
        <f t="shared" ca="1" si="58"/>
        <v>#N/A</v>
      </c>
      <c r="AH114" s="52" t="e">
        <f t="shared" ca="1" si="58"/>
        <v>#N/A</v>
      </c>
      <c r="AI114" s="52" t="e">
        <f t="shared" ca="1" si="58"/>
        <v>#N/A</v>
      </c>
      <c r="AJ114" s="52" t="e">
        <f t="shared" ca="1" si="58"/>
        <v>#N/A</v>
      </c>
      <c r="AK114" s="52" t="e">
        <f t="shared" ca="1" si="58"/>
        <v>#N/A</v>
      </c>
      <c r="AL114" s="52" t="e">
        <f t="shared" ca="1" si="58"/>
        <v>#N/A</v>
      </c>
    </row>
    <row r="115" spans="1:38" ht="21" customHeight="1" outlineLevel="1" thickBot="1" x14ac:dyDescent="0.4">
      <c r="A115" s="22">
        <f>$A$114</f>
        <v>700</v>
      </c>
      <c r="B115" s="51" t="e">
        <f ca="1">MAX(MAX(F114:AL117),MAX(F41:AL41))</f>
        <v>#N/A</v>
      </c>
      <c r="C115" s="25">
        <f xml:space="preserve"> COUNTIF(F113:AL113,"&lt;&gt;"&amp;0)</f>
        <v>0</v>
      </c>
      <c r="E115" s="17" t="s">
        <v>14</v>
      </c>
      <c r="F115" s="14" t="e">
        <f ca="1">F$113*$B$2*SUMPRODUCT(F$80:F$88,F$46:F$54)/1000</f>
        <v>#N/A</v>
      </c>
      <c r="G115" s="14" t="e">
        <f t="shared" ref="G115:AL115" ca="1" si="59">G$113*$B$2*SUMPRODUCT(G$80:G$88,G$46:G$54)/1000</f>
        <v>#N/A</v>
      </c>
      <c r="H115" s="14" t="e">
        <f t="shared" ca="1" si="59"/>
        <v>#N/A</v>
      </c>
      <c r="I115" s="14" t="e">
        <f t="shared" ca="1" si="59"/>
        <v>#N/A</v>
      </c>
      <c r="J115" s="14" t="e">
        <f t="shared" ca="1" si="59"/>
        <v>#N/A</v>
      </c>
      <c r="K115" s="14" t="e">
        <f t="shared" ca="1" si="59"/>
        <v>#N/A</v>
      </c>
      <c r="L115" s="14" t="e">
        <f t="shared" ca="1" si="59"/>
        <v>#N/A</v>
      </c>
      <c r="M115" s="14" t="e">
        <f t="shared" ca="1" si="59"/>
        <v>#N/A</v>
      </c>
      <c r="N115" s="14" t="e">
        <f t="shared" ca="1" si="59"/>
        <v>#N/A</v>
      </c>
      <c r="O115" s="14" t="e">
        <f t="shared" ca="1" si="59"/>
        <v>#N/A</v>
      </c>
      <c r="P115" s="14" t="e">
        <f t="shared" ca="1" si="59"/>
        <v>#N/A</v>
      </c>
      <c r="Q115" s="14" t="e">
        <f t="shared" ca="1" si="59"/>
        <v>#N/A</v>
      </c>
      <c r="R115" s="14" t="e">
        <f t="shared" ca="1" si="59"/>
        <v>#N/A</v>
      </c>
      <c r="S115" s="14" t="e">
        <f t="shared" ca="1" si="59"/>
        <v>#N/A</v>
      </c>
      <c r="T115" s="14" t="e">
        <f t="shared" ca="1" si="59"/>
        <v>#N/A</v>
      </c>
      <c r="U115" s="14" t="e">
        <f t="shared" ca="1" si="59"/>
        <v>#N/A</v>
      </c>
      <c r="V115" s="14" t="e">
        <f t="shared" ca="1" si="59"/>
        <v>#N/A</v>
      </c>
      <c r="W115" s="14" t="e">
        <f t="shared" ca="1" si="59"/>
        <v>#N/A</v>
      </c>
      <c r="X115" s="14" t="e">
        <f t="shared" ca="1" si="59"/>
        <v>#N/A</v>
      </c>
      <c r="Y115" s="14" t="e">
        <f t="shared" ca="1" si="59"/>
        <v>#N/A</v>
      </c>
      <c r="Z115" s="14" t="e">
        <f t="shared" ca="1" si="59"/>
        <v>#N/A</v>
      </c>
      <c r="AA115" s="14" t="e">
        <f t="shared" ca="1" si="59"/>
        <v>#N/A</v>
      </c>
      <c r="AB115" s="14" t="e">
        <f t="shared" ca="1" si="59"/>
        <v>#N/A</v>
      </c>
      <c r="AC115" s="14" t="e">
        <f t="shared" ca="1" si="59"/>
        <v>#N/A</v>
      </c>
      <c r="AD115" s="14" t="e">
        <f t="shared" ca="1" si="59"/>
        <v>#N/A</v>
      </c>
      <c r="AE115" s="14" t="e">
        <f t="shared" ca="1" si="59"/>
        <v>#N/A</v>
      </c>
      <c r="AF115" s="14" t="e">
        <f t="shared" ca="1" si="59"/>
        <v>#N/A</v>
      </c>
      <c r="AG115" s="14" t="e">
        <f t="shared" ca="1" si="59"/>
        <v>#N/A</v>
      </c>
      <c r="AH115" s="14" t="e">
        <f t="shared" ca="1" si="59"/>
        <v>#N/A</v>
      </c>
      <c r="AI115" s="14" t="e">
        <f t="shared" ca="1" si="59"/>
        <v>#N/A</v>
      </c>
      <c r="AJ115" s="14" t="e">
        <f t="shared" ca="1" si="59"/>
        <v>#N/A</v>
      </c>
      <c r="AK115" s="14" t="e">
        <f t="shared" ca="1" si="59"/>
        <v>#N/A</v>
      </c>
      <c r="AL115" s="14" t="e">
        <f t="shared" ca="1" si="59"/>
        <v>#N/A</v>
      </c>
    </row>
    <row r="116" spans="1:38" ht="21" customHeight="1" outlineLevel="1" thickBot="1" x14ac:dyDescent="0.4">
      <c r="E116" s="17" t="s">
        <v>15</v>
      </c>
      <c r="F116" s="14" t="e">
        <f ca="1">F115+F89*F55</f>
        <v>#N/A</v>
      </c>
      <c r="G116" s="14" t="e">
        <f t="shared" ref="G116:AL116" ca="1" si="60">G115+G89*G55</f>
        <v>#N/A</v>
      </c>
      <c r="H116" s="14" t="e">
        <f t="shared" ca="1" si="60"/>
        <v>#N/A</v>
      </c>
      <c r="I116" s="14" t="e">
        <f t="shared" ca="1" si="60"/>
        <v>#N/A</v>
      </c>
      <c r="J116" s="14" t="e">
        <f t="shared" ca="1" si="60"/>
        <v>#N/A</v>
      </c>
      <c r="K116" s="14" t="e">
        <f t="shared" ca="1" si="60"/>
        <v>#N/A</v>
      </c>
      <c r="L116" s="14" t="e">
        <f t="shared" ca="1" si="60"/>
        <v>#N/A</v>
      </c>
      <c r="M116" s="14" t="e">
        <f t="shared" ca="1" si="60"/>
        <v>#N/A</v>
      </c>
      <c r="N116" s="14" t="e">
        <f t="shared" ca="1" si="60"/>
        <v>#N/A</v>
      </c>
      <c r="O116" s="14" t="e">
        <f t="shared" ca="1" si="60"/>
        <v>#N/A</v>
      </c>
      <c r="P116" s="14" t="e">
        <f t="shared" ca="1" si="60"/>
        <v>#N/A</v>
      </c>
      <c r="Q116" s="14" t="e">
        <f t="shared" ca="1" si="60"/>
        <v>#N/A</v>
      </c>
      <c r="R116" s="14" t="e">
        <f t="shared" ca="1" si="60"/>
        <v>#N/A</v>
      </c>
      <c r="S116" s="14" t="e">
        <f t="shared" ca="1" si="60"/>
        <v>#N/A</v>
      </c>
      <c r="T116" s="14" t="e">
        <f t="shared" ca="1" si="60"/>
        <v>#N/A</v>
      </c>
      <c r="U116" s="14" t="e">
        <f t="shared" ca="1" si="60"/>
        <v>#N/A</v>
      </c>
      <c r="V116" s="14" t="e">
        <f t="shared" ca="1" si="60"/>
        <v>#N/A</v>
      </c>
      <c r="W116" s="14" t="e">
        <f t="shared" ca="1" si="60"/>
        <v>#N/A</v>
      </c>
      <c r="X116" s="14" t="e">
        <f t="shared" ca="1" si="60"/>
        <v>#N/A</v>
      </c>
      <c r="Y116" s="14" t="e">
        <f t="shared" ca="1" si="60"/>
        <v>#N/A</v>
      </c>
      <c r="Z116" s="14" t="e">
        <f t="shared" ca="1" si="60"/>
        <v>#N/A</v>
      </c>
      <c r="AA116" s="14" t="e">
        <f t="shared" ca="1" si="60"/>
        <v>#N/A</v>
      </c>
      <c r="AB116" s="14" t="e">
        <f t="shared" ca="1" si="60"/>
        <v>#N/A</v>
      </c>
      <c r="AC116" s="14" t="e">
        <f t="shared" ca="1" si="60"/>
        <v>#N/A</v>
      </c>
      <c r="AD116" s="14" t="e">
        <f t="shared" ca="1" si="60"/>
        <v>#N/A</v>
      </c>
      <c r="AE116" s="14" t="e">
        <f t="shared" ca="1" si="60"/>
        <v>#N/A</v>
      </c>
      <c r="AF116" s="14" t="e">
        <f t="shared" ca="1" si="60"/>
        <v>#N/A</v>
      </c>
      <c r="AG116" s="14" t="e">
        <f t="shared" ca="1" si="60"/>
        <v>#N/A</v>
      </c>
      <c r="AH116" s="14" t="e">
        <f t="shared" ca="1" si="60"/>
        <v>#N/A</v>
      </c>
      <c r="AI116" s="14" t="e">
        <f t="shared" ca="1" si="60"/>
        <v>#N/A</v>
      </c>
      <c r="AJ116" s="14" t="e">
        <f t="shared" ca="1" si="60"/>
        <v>#N/A</v>
      </c>
      <c r="AK116" s="14" t="e">
        <f t="shared" ca="1" si="60"/>
        <v>#N/A</v>
      </c>
      <c r="AL116" s="14" t="e">
        <f t="shared" ca="1" si="60"/>
        <v>#N/A</v>
      </c>
    </row>
    <row r="117" spans="1:38" ht="21" customHeight="1" outlineLevel="1" thickBot="1" x14ac:dyDescent="0.4">
      <c r="E117" s="17" t="s">
        <v>16</v>
      </c>
      <c r="F117" s="14" t="e">
        <f ca="1">F115+F114</f>
        <v>#N/A</v>
      </c>
      <c r="G117" s="14" t="e">
        <f t="shared" ref="G117:AL117" ca="1" si="61">G115+G114</f>
        <v>#N/A</v>
      </c>
      <c r="H117" s="14" t="e">
        <f t="shared" ca="1" si="61"/>
        <v>#N/A</v>
      </c>
      <c r="I117" s="14" t="e">
        <f t="shared" ca="1" si="61"/>
        <v>#N/A</v>
      </c>
      <c r="J117" s="14" t="e">
        <f t="shared" ca="1" si="61"/>
        <v>#N/A</v>
      </c>
      <c r="K117" s="14" t="e">
        <f t="shared" ca="1" si="61"/>
        <v>#N/A</v>
      </c>
      <c r="L117" s="14" t="e">
        <f t="shared" ca="1" si="61"/>
        <v>#N/A</v>
      </c>
      <c r="M117" s="14" t="e">
        <f t="shared" ca="1" si="61"/>
        <v>#N/A</v>
      </c>
      <c r="N117" s="14" t="e">
        <f t="shared" ca="1" si="61"/>
        <v>#N/A</v>
      </c>
      <c r="O117" s="14" t="e">
        <f t="shared" ca="1" si="61"/>
        <v>#N/A</v>
      </c>
      <c r="P117" s="14" t="e">
        <f t="shared" ca="1" si="61"/>
        <v>#N/A</v>
      </c>
      <c r="Q117" s="14" t="e">
        <f t="shared" ca="1" si="61"/>
        <v>#N/A</v>
      </c>
      <c r="R117" s="14" t="e">
        <f t="shared" ca="1" si="61"/>
        <v>#N/A</v>
      </c>
      <c r="S117" s="14" t="e">
        <f t="shared" ca="1" si="61"/>
        <v>#N/A</v>
      </c>
      <c r="T117" s="14" t="e">
        <f t="shared" ca="1" si="61"/>
        <v>#N/A</v>
      </c>
      <c r="U117" s="14" t="e">
        <f t="shared" ca="1" si="61"/>
        <v>#N/A</v>
      </c>
      <c r="V117" s="14" t="e">
        <f t="shared" ca="1" si="61"/>
        <v>#N/A</v>
      </c>
      <c r="W117" s="14" t="e">
        <f t="shared" ca="1" si="61"/>
        <v>#N/A</v>
      </c>
      <c r="X117" s="14" t="e">
        <f t="shared" ca="1" si="61"/>
        <v>#N/A</v>
      </c>
      <c r="Y117" s="14" t="e">
        <f t="shared" ca="1" si="61"/>
        <v>#N/A</v>
      </c>
      <c r="Z117" s="14" t="e">
        <f t="shared" ca="1" si="61"/>
        <v>#N/A</v>
      </c>
      <c r="AA117" s="14" t="e">
        <f t="shared" ca="1" si="61"/>
        <v>#N/A</v>
      </c>
      <c r="AB117" s="14" t="e">
        <f t="shared" ca="1" si="61"/>
        <v>#N/A</v>
      </c>
      <c r="AC117" s="14" t="e">
        <f t="shared" ca="1" si="61"/>
        <v>#N/A</v>
      </c>
      <c r="AD117" s="14" t="e">
        <f t="shared" ca="1" si="61"/>
        <v>#N/A</v>
      </c>
      <c r="AE117" s="14" t="e">
        <f t="shared" ca="1" si="61"/>
        <v>#N/A</v>
      </c>
      <c r="AF117" s="14" t="e">
        <f t="shared" ca="1" si="61"/>
        <v>#N/A</v>
      </c>
      <c r="AG117" s="14" t="e">
        <f t="shared" ca="1" si="61"/>
        <v>#N/A</v>
      </c>
      <c r="AH117" s="14" t="e">
        <f t="shared" ca="1" si="61"/>
        <v>#N/A</v>
      </c>
      <c r="AI117" s="14" t="e">
        <f t="shared" ca="1" si="61"/>
        <v>#N/A</v>
      </c>
      <c r="AJ117" s="14" t="e">
        <f t="shared" ca="1" si="61"/>
        <v>#N/A</v>
      </c>
      <c r="AK117" s="14" t="e">
        <f t="shared" ca="1" si="61"/>
        <v>#N/A</v>
      </c>
      <c r="AL117" s="14" t="e">
        <f t="shared" ca="1" si="61"/>
        <v>#N/A</v>
      </c>
    </row>
    <row r="118" spans="1:38" ht="21" customHeight="1" outlineLevel="1" thickBot="1" x14ac:dyDescent="0.4">
      <c r="E118" s="17" t="s">
        <v>17</v>
      </c>
      <c r="F118" s="14" t="e">
        <f ca="1">F116+F114</f>
        <v>#N/A</v>
      </c>
      <c r="G118" s="14" t="e">
        <f t="shared" ref="G118:AL118" ca="1" si="62">G116+G114</f>
        <v>#N/A</v>
      </c>
      <c r="H118" s="14" t="e">
        <f t="shared" ca="1" si="62"/>
        <v>#N/A</v>
      </c>
      <c r="I118" s="14" t="e">
        <f t="shared" ca="1" si="62"/>
        <v>#N/A</v>
      </c>
      <c r="J118" s="14" t="e">
        <f t="shared" ca="1" si="62"/>
        <v>#N/A</v>
      </c>
      <c r="K118" s="14" t="e">
        <f t="shared" ca="1" si="62"/>
        <v>#N/A</v>
      </c>
      <c r="L118" s="14" t="e">
        <f t="shared" ca="1" si="62"/>
        <v>#N/A</v>
      </c>
      <c r="M118" s="14" t="e">
        <f t="shared" ca="1" si="62"/>
        <v>#N/A</v>
      </c>
      <c r="N118" s="14" t="e">
        <f t="shared" ca="1" si="62"/>
        <v>#N/A</v>
      </c>
      <c r="O118" s="14" t="e">
        <f t="shared" ca="1" si="62"/>
        <v>#N/A</v>
      </c>
      <c r="P118" s="14" t="e">
        <f t="shared" ca="1" si="62"/>
        <v>#N/A</v>
      </c>
      <c r="Q118" s="14" t="e">
        <f t="shared" ca="1" si="62"/>
        <v>#N/A</v>
      </c>
      <c r="R118" s="14" t="e">
        <f t="shared" ca="1" si="62"/>
        <v>#N/A</v>
      </c>
      <c r="S118" s="14" t="e">
        <f t="shared" ca="1" si="62"/>
        <v>#N/A</v>
      </c>
      <c r="T118" s="14" t="e">
        <f t="shared" ca="1" si="62"/>
        <v>#N/A</v>
      </c>
      <c r="U118" s="14" t="e">
        <f t="shared" ca="1" si="62"/>
        <v>#N/A</v>
      </c>
      <c r="V118" s="14" t="e">
        <f t="shared" ca="1" si="62"/>
        <v>#N/A</v>
      </c>
      <c r="W118" s="14" t="e">
        <f t="shared" ca="1" si="62"/>
        <v>#N/A</v>
      </c>
      <c r="X118" s="14" t="e">
        <f t="shared" ca="1" si="62"/>
        <v>#N/A</v>
      </c>
      <c r="Y118" s="14" t="e">
        <f t="shared" ca="1" si="62"/>
        <v>#N/A</v>
      </c>
      <c r="Z118" s="14" t="e">
        <f t="shared" ca="1" si="62"/>
        <v>#N/A</v>
      </c>
      <c r="AA118" s="14" t="e">
        <f t="shared" ca="1" si="62"/>
        <v>#N/A</v>
      </c>
      <c r="AB118" s="14" t="e">
        <f t="shared" ca="1" si="62"/>
        <v>#N/A</v>
      </c>
      <c r="AC118" s="14" t="e">
        <f t="shared" ca="1" si="62"/>
        <v>#N/A</v>
      </c>
      <c r="AD118" s="14" t="e">
        <f t="shared" ca="1" si="62"/>
        <v>#N/A</v>
      </c>
      <c r="AE118" s="14" t="e">
        <f t="shared" ca="1" si="62"/>
        <v>#N/A</v>
      </c>
      <c r="AF118" s="14" t="e">
        <f t="shared" ca="1" si="62"/>
        <v>#N/A</v>
      </c>
      <c r="AG118" s="14" t="e">
        <f t="shared" ca="1" si="62"/>
        <v>#N/A</v>
      </c>
      <c r="AH118" s="14" t="e">
        <f t="shared" ca="1" si="62"/>
        <v>#N/A</v>
      </c>
      <c r="AI118" s="14" t="e">
        <f t="shared" ca="1" si="62"/>
        <v>#N/A</v>
      </c>
      <c r="AJ118" s="14" t="e">
        <f t="shared" ca="1" si="62"/>
        <v>#N/A</v>
      </c>
      <c r="AK118" s="14" t="e">
        <f t="shared" ca="1" si="62"/>
        <v>#N/A</v>
      </c>
      <c r="AL118" s="14" t="e">
        <f t="shared" ca="1" si="62"/>
        <v>#N/A</v>
      </c>
    </row>
    <row r="119" spans="1:38" ht="21" customHeight="1" outlineLevel="1" thickBot="1" x14ac:dyDescent="0.4">
      <c r="E119" s="17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  <row r="120" spans="1:38" ht="21" customHeight="1" outlineLevel="1" thickBot="1" x14ac:dyDescent="0.4">
      <c r="E120" s="17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</row>
    <row r="121" spans="1:38" ht="21" customHeight="1" outlineLevel="1" thickBot="1" x14ac:dyDescent="0.4">
      <c r="E121" s="18"/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65">
        <f ca="1"/>
        <v>0</v>
      </c>
      <c r="V122" s="66">
        <f ca="1"/>
        <v>0</v>
      </c>
      <c r="W122" s="68">
        <f ca="1"/>
        <v>0</v>
      </c>
      <c r="X122" s="62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</row>
    <row r="123" spans="1:38" ht="21" customHeight="1" outlineLevel="1" thickTop="1" thickBot="1" x14ac:dyDescent="0.4">
      <c r="E123" s="17" t="str">
        <f ca="1"/>
        <v xml:space="preserve">Раствор (жид): </v>
      </c>
      <c r="F123" s="55" t="str">
        <f ca="1"/>
        <v xml:space="preserve">Раствор (жид): </v>
      </c>
      <c r="G123" s="55" t="str">
        <f ca="1"/>
        <v xml:space="preserve">Раствор (жид): </v>
      </c>
      <c r="H123" s="55" t="str">
        <f ca="1"/>
        <v xml:space="preserve">Раствор (жид): </v>
      </c>
      <c r="I123" s="55" t="str">
        <f ca="1"/>
        <v xml:space="preserve">Раствор (жид): </v>
      </c>
      <c r="J123" s="55" t="str">
        <f ca="1"/>
        <v xml:space="preserve">Раствор (жид): </v>
      </c>
      <c r="K123" s="55" t="str">
        <f ca="1"/>
        <v xml:space="preserve">Раствор (жид): </v>
      </c>
      <c r="L123" s="55" t="str">
        <f ca="1"/>
        <v xml:space="preserve">Раствор (жид): </v>
      </c>
      <c r="M123" s="55" t="str">
        <f ca="1"/>
        <v xml:space="preserve">Раствор (жид): </v>
      </c>
      <c r="N123" s="55" t="str">
        <f ca="1"/>
        <v xml:space="preserve">Раствор (жид): </v>
      </c>
      <c r="O123" s="55" t="str">
        <f ca="1"/>
        <v xml:space="preserve">Раствор (жид): </v>
      </c>
      <c r="P123" s="55" t="str">
        <f ca="1"/>
        <v xml:space="preserve">Раствор (жид): </v>
      </c>
      <c r="Q123" s="55" t="str">
        <f ca="1"/>
        <v xml:space="preserve">Раствор (жид): </v>
      </c>
      <c r="R123" s="55" t="str">
        <f ca="1"/>
        <v xml:space="preserve">Раствор (жид): </v>
      </c>
      <c r="S123" s="55" t="str">
        <f ca="1"/>
        <v xml:space="preserve">Раствор (жид): </v>
      </c>
      <c r="T123" s="55" t="str">
        <f ca="1"/>
        <v xml:space="preserve">Раствор (жид): </v>
      </c>
      <c r="U123" s="55" t="str">
        <f ca="1"/>
        <v xml:space="preserve">Раствор (жид): </v>
      </c>
      <c r="V123" s="55" t="str">
        <f ca="1"/>
        <v xml:space="preserve">Раствор (жид): </v>
      </c>
      <c r="W123" s="55" t="str">
        <f ca="1"/>
        <v xml:space="preserve">Раствор (жид): </v>
      </c>
      <c r="X123" s="55" t="str">
        <f ca="1"/>
        <v xml:space="preserve">Раствор (жид): </v>
      </c>
      <c r="Y123" s="55" t="str">
        <f ca="1"/>
        <v xml:space="preserve">Раствор (жид): </v>
      </c>
      <c r="Z123" s="55" t="str">
        <f ca="1"/>
        <v xml:space="preserve">Раствор (жид): </v>
      </c>
      <c r="AA123" s="55" t="str">
        <f ca="1"/>
        <v xml:space="preserve">Раствор (жид): </v>
      </c>
      <c r="AB123" s="55" t="str">
        <f ca="1"/>
        <v xml:space="preserve">Раствор (жид): </v>
      </c>
      <c r="AC123" s="55" t="str">
        <f ca="1"/>
        <v xml:space="preserve">Раствор (жид): </v>
      </c>
      <c r="AD123" s="55" t="str">
        <f ca="1"/>
        <v xml:space="preserve">Раствор (жид): </v>
      </c>
      <c r="AE123" s="55" t="str">
        <f ca="1"/>
        <v xml:space="preserve">Раствор (жид): </v>
      </c>
      <c r="AF123" s="55" t="str">
        <f ca="1"/>
        <v xml:space="preserve">Раствор (жид): </v>
      </c>
      <c r="AG123" s="55" t="str">
        <f ca="1"/>
        <v xml:space="preserve">Раствор (жид): </v>
      </c>
      <c r="AH123" s="55" t="str">
        <f ca="1"/>
        <v xml:space="preserve">Раствор (жид): </v>
      </c>
      <c r="AI123" s="55" t="str">
        <f ca="1"/>
        <v xml:space="preserve">Раствор (жид): </v>
      </c>
      <c r="AJ123" s="55" t="str">
        <f ca="1"/>
        <v xml:space="preserve">Раствор (жид): </v>
      </c>
      <c r="AK123" s="55" t="str">
        <f ca="1"/>
        <v xml:space="preserve">Раствор (жид): </v>
      </c>
      <c r="AL123" s="55" t="str">
        <f ca="1"/>
        <v xml:space="preserve">Раствор (жид): 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55" t="str">
        <f ca="1"/>
        <v xml:space="preserve">Газовая без Ar: </v>
      </c>
      <c r="G124" s="55" t="str">
        <f ca="1"/>
        <v xml:space="preserve">Газовая без Ar: </v>
      </c>
      <c r="H124" s="55" t="str">
        <f ca="1"/>
        <v xml:space="preserve">Газовая без Ar: </v>
      </c>
      <c r="I124" s="55" t="str">
        <f ca="1"/>
        <v xml:space="preserve">Газовая без Ar: </v>
      </c>
      <c r="J124" s="55" t="str">
        <f ca="1"/>
        <v xml:space="preserve">Газовая без Ar: </v>
      </c>
      <c r="K124" s="55" t="str">
        <f ca="1"/>
        <v xml:space="preserve">Газовая без Ar: </v>
      </c>
      <c r="L124" s="55" t="str">
        <f ca="1"/>
        <v xml:space="preserve">Газовая без Ar: </v>
      </c>
      <c r="M124" s="55" t="str">
        <f ca="1"/>
        <v xml:space="preserve">Газовая без Ar: </v>
      </c>
      <c r="N124" s="55" t="str">
        <f ca="1"/>
        <v xml:space="preserve">Газовая без Ar: </v>
      </c>
      <c r="O124" s="55" t="str">
        <f ca="1"/>
        <v xml:space="preserve">Газовая без Ar: </v>
      </c>
      <c r="P124" s="55" t="str">
        <f ca="1"/>
        <v xml:space="preserve">Газовая без Ar: </v>
      </c>
      <c r="Q124" s="55" t="str">
        <f ca="1"/>
        <v xml:space="preserve">Газовая без Ar: </v>
      </c>
      <c r="R124" s="55" t="str">
        <f ca="1"/>
        <v xml:space="preserve">Газовая без Ar: </v>
      </c>
      <c r="S124" s="55" t="str">
        <f ca="1"/>
        <v xml:space="preserve">Газовая без Ar: </v>
      </c>
      <c r="T124" s="55" t="str">
        <f ca="1"/>
        <v xml:space="preserve">Газовая без Ar: </v>
      </c>
      <c r="U124" s="55" t="str">
        <f ca="1"/>
        <v xml:space="preserve">Газовая без Ar: </v>
      </c>
      <c r="V124" s="55" t="str">
        <f ca="1"/>
        <v xml:space="preserve">Газовая без Ar: </v>
      </c>
      <c r="W124" s="55" t="str">
        <f ca="1"/>
        <v xml:space="preserve">Газовая без Ar: </v>
      </c>
      <c r="X124" s="55" t="str">
        <f ca="1"/>
        <v xml:space="preserve">Газовая без Ar: </v>
      </c>
      <c r="Y124" s="55" t="str">
        <f ca="1"/>
        <v xml:space="preserve">Газовая без Ar: </v>
      </c>
      <c r="Z124" s="55" t="str">
        <f ca="1"/>
        <v xml:space="preserve">Газовая без Ar: </v>
      </c>
      <c r="AA124" s="55" t="str">
        <f ca="1"/>
        <v xml:space="preserve">Газовая без Ar: </v>
      </c>
      <c r="AB124" s="55" t="str">
        <f ca="1"/>
        <v xml:space="preserve">Газовая без Ar: </v>
      </c>
      <c r="AC124" s="55" t="str">
        <f ca="1"/>
        <v xml:space="preserve">Газовая без Ar: </v>
      </c>
      <c r="AD124" s="55" t="str">
        <f ca="1"/>
        <v xml:space="preserve">Газовая без Ar: </v>
      </c>
      <c r="AE124" s="55" t="str">
        <f ca="1"/>
        <v xml:space="preserve">Газовая без Ar: </v>
      </c>
      <c r="AF124" s="55" t="str">
        <f ca="1"/>
        <v xml:space="preserve">Газовая без Ar: </v>
      </c>
      <c r="AG124" s="55" t="str">
        <f ca="1"/>
        <v xml:space="preserve">Газовая без Ar: </v>
      </c>
      <c r="AH124" s="55" t="str">
        <f ca="1"/>
        <v xml:space="preserve">Газовая без Ar: </v>
      </c>
      <c r="AI124" s="55" t="str">
        <f ca="1"/>
        <v xml:space="preserve">Газовая без Ar: </v>
      </c>
      <c r="AJ124" s="55" t="str">
        <f ca="1"/>
        <v xml:space="preserve">Газовая без Ar: </v>
      </c>
      <c r="AK124" s="55" t="str">
        <f ca="1"/>
        <v xml:space="preserve">Газовая без Ar: </v>
      </c>
      <c r="AL124" s="55" t="str">
        <f ca="1"/>
        <v xml:space="preserve">Газовая без Ar: </v>
      </c>
    </row>
    <row r="125" spans="1:38" ht="21" customHeight="1" outlineLevel="1" thickBot="1" x14ac:dyDescent="0.4">
      <c r="E125" s="17" t="str">
        <f ca="1"/>
        <v xml:space="preserve">Газовая: </v>
      </c>
      <c r="F125" s="55" t="str">
        <f ca="1"/>
        <v xml:space="preserve">Газовая: </v>
      </c>
      <c r="G125" s="55" t="str">
        <f ca="1"/>
        <v xml:space="preserve">Газовая: </v>
      </c>
      <c r="H125" s="55" t="str">
        <f ca="1"/>
        <v xml:space="preserve">Газовая: </v>
      </c>
      <c r="I125" s="55" t="str">
        <f ca="1"/>
        <v xml:space="preserve">Газовая: </v>
      </c>
      <c r="J125" s="55" t="str">
        <f ca="1"/>
        <v xml:space="preserve">Газовая: </v>
      </c>
      <c r="K125" s="55" t="str">
        <f ca="1"/>
        <v xml:space="preserve">Газовая: </v>
      </c>
      <c r="L125" s="55" t="str">
        <f ca="1"/>
        <v xml:space="preserve">Газовая: </v>
      </c>
      <c r="M125" s="55" t="str">
        <f ca="1"/>
        <v xml:space="preserve">Газовая: </v>
      </c>
      <c r="N125" s="55" t="str">
        <f ca="1"/>
        <v xml:space="preserve">Газовая: </v>
      </c>
      <c r="O125" s="55" t="str">
        <f ca="1"/>
        <v xml:space="preserve">Газовая: </v>
      </c>
      <c r="P125" s="55" t="str">
        <f ca="1"/>
        <v xml:space="preserve">Газовая: </v>
      </c>
      <c r="Q125" s="55" t="str">
        <f ca="1"/>
        <v xml:space="preserve">Газовая: </v>
      </c>
      <c r="R125" s="55" t="str">
        <f ca="1"/>
        <v xml:space="preserve">Газовая: </v>
      </c>
      <c r="S125" s="55" t="str">
        <f ca="1"/>
        <v xml:space="preserve">Газовая: </v>
      </c>
      <c r="T125" s="55" t="str">
        <f ca="1"/>
        <v xml:space="preserve">Газовая: </v>
      </c>
      <c r="U125" s="55" t="str">
        <f ca="1"/>
        <v xml:space="preserve">Газовая: </v>
      </c>
      <c r="V125" s="55" t="str">
        <f ca="1"/>
        <v xml:space="preserve">Газовая: </v>
      </c>
      <c r="W125" s="55" t="str">
        <f ca="1"/>
        <v xml:space="preserve">Газовая: </v>
      </c>
      <c r="X125" s="55" t="str">
        <f ca="1"/>
        <v xml:space="preserve">Газовая: </v>
      </c>
      <c r="Y125" s="55" t="str">
        <f ca="1"/>
        <v xml:space="preserve">Газовая: </v>
      </c>
      <c r="Z125" s="55" t="str">
        <f ca="1"/>
        <v xml:space="preserve">Газовая: </v>
      </c>
      <c r="AA125" s="55" t="str">
        <f ca="1"/>
        <v xml:space="preserve">Газовая: </v>
      </c>
      <c r="AB125" s="55" t="str">
        <f ca="1"/>
        <v xml:space="preserve">Газовая: </v>
      </c>
      <c r="AC125" s="55" t="str">
        <f ca="1"/>
        <v xml:space="preserve">Газовая: </v>
      </c>
      <c r="AD125" s="55" t="str">
        <f ca="1"/>
        <v xml:space="preserve">Газовая: </v>
      </c>
      <c r="AE125" s="55" t="str">
        <f ca="1"/>
        <v xml:space="preserve">Газовая: </v>
      </c>
      <c r="AF125" s="55" t="str">
        <f ca="1"/>
        <v xml:space="preserve">Газовая: </v>
      </c>
      <c r="AG125" s="55" t="str">
        <f ca="1"/>
        <v xml:space="preserve">Газовая: </v>
      </c>
      <c r="AH125" s="55" t="str">
        <f ca="1"/>
        <v xml:space="preserve">Газовая: </v>
      </c>
      <c r="AI125" s="55" t="str">
        <f ca="1"/>
        <v xml:space="preserve">Газовая: </v>
      </c>
      <c r="AJ125" s="55" t="str">
        <f ca="1"/>
        <v xml:space="preserve">Газовая: </v>
      </c>
      <c r="AK125" s="55" t="str">
        <f ca="1"/>
        <v xml:space="preserve">Газовая: </v>
      </c>
      <c r="AL125" s="55" t="str">
        <f ca="1"/>
        <v xml:space="preserve">Газовая: </v>
      </c>
    </row>
    <row r="126" spans="1:38" ht="21" customHeight="1" outlineLevel="1" thickBot="1" x14ac:dyDescent="0.4">
      <c r="E126" s="17" t="str">
        <f ca="1"/>
        <v xml:space="preserve">Раствор + газовая без Ar: </v>
      </c>
      <c r="F126" s="55" t="str">
        <f ca="1"/>
        <v xml:space="preserve">Раствор + газовая без Ar: </v>
      </c>
      <c r="G126" s="55" t="str">
        <f ca="1"/>
        <v xml:space="preserve">Раствор + газовая без Ar: </v>
      </c>
      <c r="H126" s="55" t="str">
        <f ca="1"/>
        <v xml:space="preserve">Раствор + газовая без Ar: </v>
      </c>
      <c r="I126" s="55" t="str">
        <f ca="1"/>
        <v xml:space="preserve">Раствор + газовая без Ar: </v>
      </c>
      <c r="J126" s="55" t="str">
        <f ca="1"/>
        <v xml:space="preserve">Раствор + газовая без Ar: </v>
      </c>
      <c r="K126" s="55" t="str">
        <f ca="1"/>
        <v xml:space="preserve">Раствор + газовая без Ar: </v>
      </c>
      <c r="L126" s="55" t="str">
        <f ca="1"/>
        <v xml:space="preserve">Раствор + газовая без Ar: </v>
      </c>
      <c r="M126" s="55" t="str">
        <f ca="1"/>
        <v xml:space="preserve">Раствор + газовая без Ar: </v>
      </c>
      <c r="N126" s="55" t="str">
        <f ca="1"/>
        <v xml:space="preserve">Раствор + газовая без Ar: </v>
      </c>
      <c r="O126" s="55" t="str">
        <f ca="1"/>
        <v xml:space="preserve">Раствор + газовая без Ar: </v>
      </c>
      <c r="P126" s="55" t="str">
        <f ca="1"/>
        <v xml:space="preserve">Раствор + газовая без Ar: </v>
      </c>
      <c r="Q126" s="55" t="str">
        <f ca="1"/>
        <v xml:space="preserve">Раствор + газовая без Ar: </v>
      </c>
      <c r="R126" s="55" t="str">
        <f ca="1"/>
        <v xml:space="preserve">Раствор + газовая без Ar: </v>
      </c>
      <c r="S126" s="55" t="str">
        <f ca="1"/>
        <v xml:space="preserve">Раствор + газовая без Ar: </v>
      </c>
      <c r="T126" s="55" t="str">
        <f ca="1"/>
        <v xml:space="preserve">Раствор + газовая без Ar: </v>
      </c>
      <c r="U126" s="55" t="str">
        <f ca="1"/>
        <v xml:space="preserve">Раствор + газовая без Ar: </v>
      </c>
      <c r="V126" s="55" t="str">
        <f ca="1"/>
        <v xml:space="preserve">Раствор + газовая без Ar: </v>
      </c>
      <c r="W126" s="55" t="str">
        <f ca="1"/>
        <v xml:space="preserve">Раствор + газовая без Ar: </v>
      </c>
      <c r="X126" s="55" t="str">
        <f ca="1"/>
        <v xml:space="preserve">Раствор + газовая без Ar: </v>
      </c>
      <c r="Y126" s="55" t="str">
        <f ca="1"/>
        <v xml:space="preserve">Раствор + газовая без Ar: </v>
      </c>
      <c r="Z126" s="55" t="str">
        <f ca="1"/>
        <v xml:space="preserve">Раствор + газовая без Ar: </v>
      </c>
      <c r="AA126" s="55" t="str">
        <f ca="1"/>
        <v xml:space="preserve">Раствор + газовая без Ar: </v>
      </c>
      <c r="AB126" s="55" t="str">
        <f ca="1"/>
        <v xml:space="preserve">Раствор + газовая без Ar: </v>
      </c>
      <c r="AC126" s="55" t="str">
        <f ca="1"/>
        <v xml:space="preserve">Раствор + газовая без Ar: </v>
      </c>
      <c r="AD126" s="55" t="str">
        <f ca="1"/>
        <v xml:space="preserve">Раствор + газовая без Ar: </v>
      </c>
      <c r="AE126" s="55" t="str">
        <f ca="1"/>
        <v xml:space="preserve">Раствор + газовая без Ar: </v>
      </c>
      <c r="AF126" s="55" t="str">
        <f ca="1"/>
        <v xml:space="preserve">Раствор + газовая без Ar: </v>
      </c>
      <c r="AG126" s="55" t="str">
        <f ca="1"/>
        <v xml:space="preserve">Раствор + газовая без Ar: </v>
      </c>
      <c r="AH126" s="55" t="str">
        <f ca="1"/>
        <v xml:space="preserve">Раствор + газовая без Ar: </v>
      </c>
      <c r="AI126" s="55" t="str">
        <f ca="1"/>
        <v xml:space="preserve">Раствор + газовая без Ar: </v>
      </c>
      <c r="AJ126" s="55" t="str">
        <f ca="1"/>
        <v xml:space="preserve">Раствор + газовая без Ar: </v>
      </c>
      <c r="AK126" s="55" t="str">
        <f ca="1"/>
        <v xml:space="preserve">Раствор + газовая без Ar: </v>
      </c>
      <c r="AL126" s="55" t="str">
        <f ca="1"/>
        <v xml:space="preserve">Раствор + газовая без Ar: </v>
      </c>
    </row>
    <row r="127" spans="1:38" ht="21" customHeight="1" outlineLevel="1" thickBot="1" x14ac:dyDescent="0.4">
      <c r="E127" s="17" t="str">
        <f ca="1"/>
        <v xml:space="preserve">Раствор + газовая: </v>
      </c>
      <c r="F127" s="55" t="str">
        <f ca="1"/>
        <v xml:space="preserve">Раствор + газовая: </v>
      </c>
      <c r="G127" s="55" t="str">
        <f ca="1"/>
        <v xml:space="preserve">Раствор + газовая: </v>
      </c>
      <c r="H127" s="55" t="str">
        <f ca="1"/>
        <v xml:space="preserve">Раствор + газовая: </v>
      </c>
      <c r="I127" s="55" t="str">
        <f ca="1"/>
        <v xml:space="preserve">Раствор + газовая: </v>
      </c>
      <c r="J127" s="55" t="str">
        <f ca="1"/>
        <v xml:space="preserve">Раствор + газовая: </v>
      </c>
      <c r="K127" s="55" t="str">
        <f ca="1"/>
        <v xml:space="preserve">Раствор + газовая: </v>
      </c>
      <c r="L127" s="55" t="str">
        <f ca="1"/>
        <v xml:space="preserve">Раствор + газовая: </v>
      </c>
      <c r="M127" s="55" t="str">
        <f ca="1"/>
        <v xml:space="preserve">Раствор + газовая: </v>
      </c>
      <c r="N127" s="55" t="str">
        <f ca="1"/>
        <v xml:space="preserve">Раствор + газовая: </v>
      </c>
      <c r="O127" s="55" t="str">
        <f ca="1"/>
        <v xml:space="preserve">Раствор + газовая: </v>
      </c>
      <c r="P127" s="55" t="str">
        <f ca="1"/>
        <v xml:space="preserve">Раствор + газовая: </v>
      </c>
      <c r="Q127" s="55" t="str">
        <f ca="1"/>
        <v xml:space="preserve">Раствор + газовая: </v>
      </c>
      <c r="R127" s="55" t="str">
        <f ca="1"/>
        <v xml:space="preserve">Раствор + газовая: </v>
      </c>
      <c r="S127" s="55" t="str">
        <f ca="1"/>
        <v xml:space="preserve">Раствор + газовая: </v>
      </c>
      <c r="T127" s="55" t="str">
        <f ca="1"/>
        <v xml:space="preserve">Раствор + газовая: </v>
      </c>
      <c r="U127" s="55" t="str">
        <f ca="1"/>
        <v xml:space="preserve">Раствор + газовая: </v>
      </c>
      <c r="V127" s="55" t="str">
        <f ca="1"/>
        <v xml:space="preserve">Раствор + газовая: </v>
      </c>
      <c r="W127" s="55" t="str">
        <f ca="1"/>
        <v xml:space="preserve">Раствор + газовая: </v>
      </c>
      <c r="X127" s="55" t="str">
        <f ca="1"/>
        <v xml:space="preserve">Раствор + газовая: </v>
      </c>
      <c r="Y127" s="55" t="str">
        <f ca="1"/>
        <v xml:space="preserve">Раствор + газовая: </v>
      </c>
      <c r="Z127" s="55" t="str">
        <f ca="1"/>
        <v xml:space="preserve">Раствор + газовая: </v>
      </c>
      <c r="AA127" s="55" t="str">
        <f ca="1"/>
        <v xml:space="preserve">Раствор + газовая: </v>
      </c>
      <c r="AB127" s="55" t="str">
        <f ca="1"/>
        <v xml:space="preserve">Раствор + газовая: </v>
      </c>
      <c r="AC127" s="55" t="str">
        <f ca="1"/>
        <v xml:space="preserve">Раствор + газовая: </v>
      </c>
      <c r="AD127" s="55" t="str">
        <f ca="1"/>
        <v xml:space="preserve">Раствор + газовая: </v>
      </c>
      <c r="AE127" s="55" t="str">
        <f ca="1"/>
        <v xml:space="preserve">Раствор + газовая: </v>
      </c>
      <c r="AF127" s="55" t="str">
        <f ca="1"/>
        <v xml:space="preserve">Раствор + газовая: </v>
      </c>
      <c r="AG127" s="55" t="str">
        <f ca="1"/>
        <v xml:space="preserve">Раствор + газовая: </v>
      </c>
      <c r="AH127" s="55" t="str">
        <f ca="1"/>
        <v xml:space="preserve">Раствор + газовая: </v>
      </c>
      <c r="AI127" s="55" t="str">
        <f ca="1"/>
        <v xml:space="preserve">Раствор + газовая: </v>
      </c>
      <c r="AJ127" s="55" t="str">
        <f ca="1"/>
        <v xml:space="preserve">Раствор + газовая: </v>
      </c>
      <c r="AK127" s="55" t="str">
        <f ca="1"/>
        <v xml:space="preserve">Раствор + газовая: </v>
      </c>
      <c r="AL127" s="55" t="str">
        <f ca="1"/>
        <v xml:space="preserve">Раствор + газовая: </v>
      </c>
    </row>
    <row r="128" spans="1:38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:BB1"/>
    <mergeCell ref="A113:B113"/>
  </mergeCells>
  <conditionalFormatting sqref="A4:D33">
    <cfRule type="cellIs" dxfId="8" priority="49" operator="equal">
      <formula>0</formula>
    </cfRule>
  </conditionalFormatting>
  <conditionalFormatting sqref="A80:D109">
    <cfRule type="cellIs" dxfId="7" priority="48" operator="equal">
      <formula>0</formula>
    </cfRule>
  </conditionalFormatting>
  <conditionalFormatting sqref="F32:AL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6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9467FA4-E0FB-4D01-8E75-9A948969D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FLUID!F29:AK29</xm:f>
              <xm:sqref>AL29</xm:sqref>
            </x14:sparkline>
            <x14:sparkline>
              <xm:f>FLUID!F30:AK30</xm:f>
              <xm:sqref>AL30</xm:sqref>
            </x14:sparkline>
            <x14:sparkline>
              <xm:f>FLUID!F31:AK31</xm:f>
              <xm:sqref>AL31</xm:sqref>
            </x14:sparkline>
            <x14:sparkline>
              <xm:f>FLUID!F32:AK32</xm:f>
              <xm:sqref>AL32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BB136"/>
  <sheetViews>
    <sheetView topLeftCell="A20" zoomScale="85" zoomScaleNormal="85" zoomScaleSheetLayoutView="25" workbookViewId="0">
      <selection activeCell="D42" sqref="D42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7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96" t="s">
        <v>26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</row>
    <row r="2" spans="1:54" ht="21" customHeight="1" thickBot="1" x14ac:dyDescent="0.45">
      <c r="A2" s="85">
        <f>Values!B1</f>
        <v>700</v>
      </c>
      <c r="B2" s="86">
        <v>8.3145000000000007</v>
      </c>
      <c r="C2" s="75"/>
      <c r="D2" s="75"/>
      <c r="E2" s="74" t="s">
        <v>20</v>
      </c>
      <c r="F2" s="75"/>
      <c r="G2" s="74"/>
      <c r="H2" s="74"/>
      <c r="I2" s="74"/>
      <c r="J2" s="74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8"/>
      <c r="W2" s="79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80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7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0</v>
      </c>
      <c r="C4" s="44">
        <f t="shared" si="0"/>
        <v>0</v>
      </c>
      <c r="D4" s="44">
        <f t="shared" si="0"/>
        <v>0</v>
      </c>
      <c r="E4" s="6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9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0</v>
      </c>
      <c r="C5" s="44">
        <f t="shared" si="0"/>
        <v>0</v>
      </c>
      <c r="D5" s="44">
        <f t="shared" si="0"/>
        <v>0</v>
      </c>
      <c r="E5" s="6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0</v>
      </c>
      <c r="C6" s="44">
        <f t="shared" si="0"/>
        <v>0</v>
      </c>
      <c r="D6" s="44">
        <f t="shared" si="0"/>
        <v>0</v>
      </c>
      <c r="E6" s="6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0</v>
      </c>
      <c r="C7" s="44">
        <f t="shared" si="0"/>
        <v>0</v>
      </c>
      <c r="D7" s="44">
        <f t="shared" si="0"/>
        <v>0</v>
      </c>
      <c r="E7" s="6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0</v>
      </c>
      <c r="C8" s="44">
        <f t="shared" si="0"/>
        <v>0</v>
      </c>
      <c r="D8" s="44">
        <f t="shared" si="0"/>
        <v>0</v>
      </c>
      <c r="E8" s="6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0</v>
      </c>
      <c r="C9" s="44">
        <f t="shared" si="0"/>
        <v>0</v>
      </c>
      <c r="D9" s="44">
        <f t="shared" si="0"/>
        <v>0</v>
      </c>
      <c r="E9" s="6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0</v>
      </c>
      <c r="C10" s="44">
        <f t="shared" si="0"/>
        <v>0</v>
      </c>
      <c r="D10" s="44">
        <f t="shared" si="0"/>
        <v>0</v>
      </c>
      <c r="E10" s="6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0</v>
      </c>
      <c r="C11" s="44">
        <f t="shared" si="0"/>
        <v>0</v>
      </c>
      <c r="D11" s="44">
        <f t="shared" si="0"/>
        <v>0</v>
      </c>
      <c r="E11" s="6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0</v>
      </c>
      <c r="C12" s="44">
        <f t="shared" si="0"/>
        <v>0</v>
      </c>
      <c r="D12" s="44">
        <f t="shared" si="0"/>
        <v>0</v>
      </c>
      <c r="E12" s="6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0</v>
      </c>
      <c r="C13" s="44">
        <f t="shared" si="0"/>
        <v>0</v>
      </c>
      <c r="D13" s="44">
        <f t="shared" si="0"/>
        <v>0</v>
      </c>
      <c r="E13" s="6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0</v>
      </c>
      <c r="B14" s="44">
        <f t="shared" si="0"/>
        <v>0</v>
      </c>
      <c r="C14" s="44">
        <f t="shared" si="0"/>
        <v>0</v>
      </c>
      <c r="D14" s="44">
        <f t="shared" si="0"/>
        <v>0</v>
      </c>
      <c r="E14" s="6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0</v>
      </c>
      <c r="C15" s="44">
        <f t="shared" si="0"/>
        <v>0</v>
      </c>
      <c r="D15" s="44">
        <f t="shared" si="0"/>
        <v>0</v>
      </c>
      <c r="E15" s="6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0</v>
      </c>
      <c r="C16" s="44">
        <f t="shared" si="0"/>
        <v>0</v>
      </c>
      <c r="D16" s="44">
        <f t="shared" si="0"/>
        <v>0</v>
      </c>
      <c r="E16" s="6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0</v>
      </c>
      <c r="C17" s="44">
        <f t="shared" si="0"/>
        <v>0</v>
      </c>
      <c r="D17" s="44">
        <f t="shared" si="0"/>
        <v>0</v>
      </c>
      <c r="E17" s="6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0</v>
      </c>
      <c r="C18" s="44">
        <f t="shared" si="0"/>
        <v>0</v>
      </c>
      <c r="D18" s="44">
        <f t="shared" si="0"/>
        <v>0</v>
      </c>
      <c r="E18" s="6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0</v>
      </c>
      <c r="C19" s="44">
        <f t="shared" si="0"/>
        <v>0</v>
      </c>
      <c r="D19" s="44">
        <f t="shared" si="0"/>
        <v>0</v>
      </c>
      <c r="E19" s="6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0</v>
      </c>
      <c r="C20" s="44">
        <f t="shared" si="1"/>
        <v>0</v>
      </c>
      <c r="D20" s="44">
        <f t="shared" si="1"/>
        <v>0</v>
      </c>
      <c r="E20" s="48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0</v>
      </c>
      <c r="C21" s="44">
        <f t="shared" si="1"/>
        <v>0</v>
      </c>
      <c r="D21" s="44">
        <f t="shared" si="1"/>
        <v>0</v>
      </c>
      <c r="E21" s="48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3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2"/>
        <v>0</v>
      </c>
      <c r="B33" s="44">
        <f t="shared" si="2"/>
        <v>0</v>
      </c>
      <c r="C33" s="44">
        <f t="shared" si="2"/>
        <v>0</v>
      </c>
      <c r="D33" s="44">
        <f t="shared" si="2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 t="e">
        <f>MATCH(C34,$E$4:$E$33)</f>
        <v>#N/A</v>
      </c>
      <c r="E34" s="11" t="e">
        <f ca="1">OFFSET($E$3:$AL$3,$D34,0)</f>
        <v>#N/A</v>
      </c>
      <c r="F34" s="14" t="e">
        <f t="shared" ref="F34:AL37" ca="1" si="3">OFFSET($E$3:$AL$3,$D34,0)</f>
        <v>#N/A</v>
      </c>
      <c r="G34" s="14" t="e">
        <f t="shared" ca="1" si="3"/>
        <v>#N/A</v>
      </c>
      <c r="H34" s="14" t="e">
        <f t="shared" ca="1" si="3"/>
        <v>#N/A</v>
      </c>
      <c r="I34" s="14" t="e">
        <f t="shared" ca="1" si="3"/>
        <v>#N/A</v>
      </c>
      <c r="J34" s="14" t="e">
        <f t="shared" ca="1" si="3"/>
        <v>#N/A</v>
      </c>
      <c r="K34" s="14" t="e">
        <f t="shared" ca="1" si="3"/>
        <v>#N/A</v>
      </c>
      <c r="L34" s="14" t="e">
        <f t="shared" ca="1" si="3"/>
        <v>#N/A</v>
      </c>
      <c r="M34" s="14" t="e">
        <f t="shared" ca="1" si="3"/>
        <v>#N/A</v>
      </c>
      <c r="N34" s="14" t="e">
        <f t="shared" ca="1" si="3"/>
        <v>#N/A</v>
      </c>
      <c r="O34" s="14" t="e">
        <f t="shared" ca="1" si="3"/>
        <v>#N/A</v>
      </c>
      <c r="P34" s="14" t="e">
        <f t="shared" ca="1" si="3"/>
        <v>#N/A</v>
      </c>
      <c r="Q34" s="14" t="e">
        <f t="shared" ca="1" si="3"/>
        <v>#N/A</v>
      </c>
      <c r="R34" s="14" t="e">
        <f t="shared" ca="1" si="3"/>
        <v>#N/A</v>
      </c>
      <c r="S34" s="14" t="e">
        <f t="shared" ca="1" si="3"/>
        <v>#N/A</v>
      </c>
      <c r="T34" s="14" t="e">
        <f t="shared" ca="1" si="3"/>
        <v>#N/A</v>
      </c>
      <c r="U34" s="14" t="e">
        <f t="shared" ca="1" si="3"/>
        <v>#N/A</v>
      </c>
      <c r="V34" s="14" t="e">
        <f t="shared" ca="1" si="3"/>
        <v>#N/A</v>
      </c>
      <c r="W34" s="14" t="e">
        <f t="shared" ca="1" si="3"/>
        <v>#N/A</v>
      </c>
      <c r="X34" s="14" t="e">
        <f t="shared" ca="1" si="3"/>
        <v>#N/A</v>
      </c>
      <c r="Y34" s="14" t="e">
        <f t="shared" ca="1" si="3"/>
        <v>#N/A</v>
      </c>
      <c r="Z34" s="14" t="e">
        <f t="shared" ca="1" si="3"/>
        <v>#N/A</v>
      </c>
      <c r="AA34" s="14" t="e">
        <f t="shared" ca="1" si="3"/>
        <v>#N/A</v>
      </c>
      <c r="AB34" s="14" t="e">
        <f t="shared" ca="1" si="3"/>
        <v>#N/A</v>
      </c>
      <c r="AC34" s="14" t="e">
        <f t="shared" ca="1" si="3"/>
        <v>#N/A</v>
      </c>
      <c r="AD34" s="14" t="e">
        <f t="shared" ca="1" si="3"/>
        <v>#N/A</v>
      </c>
      <c r="AE34" s="14" t="e">
        <f t="shared" ca="1" si="3"/>
        <v>#N/A</v>
      </c>
      <c r="AF34" s="14" t="e">
        <f t="shared" ca="1" si="3"/>
        <v>#N/A</v>
      </c>
      <c r="AG34" s="14" t="e">
        <f t="shared" ca="1" si="3"/>
        <v>#N/A</v>
      </c>
      <c r="AH34" s="14" t="e">
        <f t="shared" ca="1" si="3"/>
        <v>#N/A</v>
      </c>
      <c r="AI34" s="14" t="e">
        <f t="shared" ca="1" si="3"/>
        <v>#N/A</v>
      </c>
      <c r="AJ34" s="14" t="e">
        <f t="shared" ca="1" si="3"/>
        <v>#N/A</v>
      </c>
      <c r="AK34" s="14" t="e">
        <f t="shared" ca="1" si="3"/>
        <v>#N/A</v>
      </c>
      <c r="AL34" s="14" t="e">
        <f t="shared" ca="1" si="3"/>
        <v>#N/A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 t="e">
        <f t="shared" ref="D35:D37" si="4">MATCH(C35,$E$4:$E$33)</f>
        <v>#N/A</v>
      </c>
      <c r="E35" s="11" t="e">
        <f t="shared" ref="E35:E37" ca="1" si="5">OFFSET($E$3:$AL$3,$D35,0)</f>
        <v>#N/A</v>
      </c>
      <c r="F35" s="14" t="e">
        <f t="shared" ca="1" si="3"/>
        <v>#N/A</v>
      </c>
      <c r="G35" s="14" t="e">
        <f t="shared" ca="1" si="3"/>
        <v>#N/A</v>
      </c>
      <c r="H35" s="14" t="e">
        <f t="shared" ca="1" si="3"/>
        <v>#N/A</v>
      </c>
      <c r="I35" s="14" t="e">
        <f t="shared" ca="1" si="3"/>
        <v>#N/A</v>
      </c>
      <c r="J35" s="14" t="e">
        <f t="shared" ca="1" si="3"/>
        <v>#N/A</v>
      </c>
      <c r="K35" s="14" t="e">
        <f t="shared" ca="1" si="3"/>
        <v>#N/A</v>
      </c>
      <c r="L35" s="14" t="e">
        <f t="shared" ca="1" si="3"/>
        <v>#N/A</v>
      </c>
      <c r="M35" s="14" t="e">
        <f t="shared" ca="1" si="3"/>
        <v>#N/A</v>
      </c>
      <c r="N35" s="14" t="e">
        <f t="shared" ca="1" si="3"/>
        <v>#N/A</v>
      </c>
      <c r="O35" s="14" t="e">
        <f t="shared" ca="1" si="3"/>
        <v>#N/A</v>
      </c>
      <c r="P35" s="14" t="e">
        <f t="shared" ca="1" si="3"/>
        <v>#N/A</v>
      </c>
      <c r="Q35" s="14" t="e">
        <f t="shared" ca="1" si="3"/>
        <v>#N/A</v>
      </c>
      <c r="R35" s="14" t="e">
        <f t="shared" ca="1" si="3"/>
        <v>#N/A</v>
      </c>
      <c r="S35" s="14" t="e">
        <f t="shared" ca="1" si="3"/>
        <v>#N/A</v>
      </c>
      <c r="T35" s="14" t="e">
        <f t="shared" ca="1" si="3"/>
        <v>#N/A</v>
      </c>
      <c r="U35" s="14" t="e">
        <f t="shared" ca="1" si="3"/>
        <v>#N/A</v>
      </c>
      <c r="V35" s="14" t="e">
        <f t="shared" ca="1" si="3"/>
        <v>#N/A</v>
      </c>
      <c r="W35" s="14" t="e">
        <f t="shared" ca="1" si="3"/>
        <v>#N/A</v>
      </c>
      <c r="X35" s="14" t="e">
        <f t="shared" ca="1" si="3"/>
        <v>#N/A</v>
      </c>
      <c r="Y35" s="14" t="e">
        <f t="shared" ca="1" si="3"/>
        <v>#N/A</v>
      </c>
      <c r="Z35" s="14" t="e">
        <f t="shared" ca="1" si="3"/>
        <v>#N/A</v>
      </c>
      <c r="AA35" s="14" t="e">
        <f t="shared" ca="1" si="3"/>
        <v>#N/A</v>
      </c>
      <c r="AB35" s="14" t="e">
        <f t="shared" ca="1" si="3"/>
        <v>#N/A</v>
      </c>
      <c r="AC35" s="14" t="e">
        <f t="shared" ca="1" si="3"/>
        <v>#N/A</v>
      </c>
      <c r="AD35" s="14" t="e">
        <f t="shared" ca="1" si="3"/>
        <v>#N/A</v>
      </c>
      <c r="AE35" s="14" t="e">
        <f t="shared" ca="1" si="3"/>
        <v>#N/A</v>
      </c>
      <c r="AF35" s="14" t="e">
        <f t="shared" ca="1" si="3"/>
        <v>#N/A</v>
      </c>
      <c r="AG35" s="14" t="e">
        <f t="shared" ca="1" si="3"/>
        <v>#N/A</v>
      </c>
      <c r="AH35" s="14" t="e">
        <f t="shared" ca="1" si="3"/>
        <v>#N/A</v>
      </c>
      <c r="AI35" s="14" t="e">
        <f t="shared" ca="1" si="3"/>
        <v>#N/A</v>
      </c>
      <c r="AJ35" s="14" t="e">
        <f t="shared" ca="1" si="3"/>
        <v>#N/A</v>
      </c>
      <c r="AK35" s="14" t="e">
        <f t="shared" ca="1" si="3"/>
        <v>#N/A</v>
      </c>
      <c r="AL35" s="14" t="e">
        <f t="shared" ca="1" si="3"/>
        <v>#N/A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 t="e">
        <f t="shared" si="4"/>
        <v>#N/A</v>
      </c>
      <c r="E36" s="11" t="e">
        <f t="shared" ca="1" si="5"/>
        <v>#N/A</v>
      </c>
      <c r="F36" s="14" t="e">
        <f t="shared" ca="1" si="3"/>
        <v>#N/A</v>
      </c>
      <c r="G36" s="14" t="e">
        <f t="shared" ca="1" si="3"/>
        <v>#N/A</v>
      </c>
      <c r="H36" s="14" t="e">
        <f t="shared" ca="1" si="3"/>
        <v>#N/A</v>
      </c>
      <c r="I36" s="14" t="e">
        <f t="shared" ca="1" si="3"/>
        <v>#N/A</v>
      </c>
      <c r="J36" s="14" t="e">
        <f t="shared" ca="1" si="3"/>
        <v>#N/A</v>
      </c>
      <c r="K36" s="14" t="e">
        <f t="shared" ca="1" si="3"/>
        <v>#N/A</v>
      </c>
      <c r="L36" s="14" t="e">
        <f t="shared" ca="1" si="3"/>
        <v>#N/A</v>
      </c>
      <c r="M36" s="14" t="e">
        <f t="shared" ca="1" si="3"/>
        <v>#N/A</v>
      </c>
      <c r="N36" s="14" t="e">
        <f t="shared" ca="1" si="3"/>
        <v>#N/A</v>
      </c>
      <c r="O36" s="14" t="e">
        <f t="shared" ca="1" si="3"/>
        <v>#N/A</v>
      </c>
      <c r="P36" s="14" t="e">
        <f t="shared" ca="1" si="3"/>
        <v>#N/A</v>
      </c>
      <c r="Q36" s="14" t="e">
        <f t="shared" ca="1" si="3"/>
        <v>#N/A</v>
      </c>
      <c r="R36" s="14" t="e">
        <f t="shared" ca="1" si="3"/>
        <v>#N/A</v>
      </c>
      <c r="S36" s="14" t="e">
        <f t="shared" ca="1" si="3"/>
        <v>#N/A</v>
      </c>
      <c r="T36" s="14" t="e">
        <f t="shared" ca="1" si="3"/>
        <v>#N/A</v>
      </c>
      <c r="U36" s="14" t="e">
        <f t="shared" ca="1" si="3"/>
        <v>#N/A</v>
      </c>
      <c r="V36" s="14" t="e">
        <f t="shared" ca="1" si="3"/>
        <v>#N/A</v>
      </c>
      <c r="W36" s="14" t="e">
        <f t="shared" ca="1" si="3"/>
        <v>#N/A</v>
      </c>
      <c r="X36" s="14" t="e">
        <f t="shared" ca="1" si="3"/>
        <v>#N/A</v>
      </c>
      <c r="Y36" s="14" t="e">
        <f t="shared" ca="1" si="3"/>
        <v>#N/A</v>
      </c>
      <c r="Z36" s="14" t="e">
        <f t="shared" ca="1" si="3"/>
        <v>#N/A</v>
      </c>
      <c r="AA36" s="14" t="e">
        <f t="shared" ca="1" si="3"/>
        <v>#N/A</v>
      </c>
      <c r="AB36" s="14" t="e">
        <f t="shared" ca="1" si="3"/>
        <v>#N/A</v>
      </c>
      <c r="AC36" s="14" t="e">
        <f t="shared" ca="1" si="3"/>
        <v>#N/A</v>
      </c>
      <c r="AD36" s="14" t="e">
        <f t="shared" ca="1" si="3"/>
        <v>#N/A</v>
      </c>
      <c r="AE36" s="14" t="e">
        <f t="shared" ca="1" si="3"/>
        <v>#N/A</v>
      </c>
      <c r="AF36" s="14" t="e">
        <f t="shared" ca="1" si="3"/>
        <v>#N/A</v>
      </c>
      <c r="AG36" s="14" t="e">
        <f t="shared" ca="1" si="3"/>
        <v>#N/A</v>
      </c>
      <c r="AH36" s="14" t="e">
        <f t="shared" ca="1" si="3"/>
        <v>#N/A</v>
      </c>
      <c r="AI36" s="14" t="e">
        <f t="shared" ca="1" si="3"/>
        <v>#N/A</v>
      </c>
      <c r="AJ36" s="14" t="e">
        <f t="shared" ca="1" si="3"/>
        <v>#N/A</v>
      </c>
      <c r="AK36" s="14" t="e">
        <f t="shared" ca="1" si="3"/>
        <v>#N/A</v>
      </c>
      <c r="AL36" s="14" t="e">
        <f t="shared" ca="1" si="3"/>
        <v>#N/A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 t="e">
        <f t="shared" si="4"/>
        <v>#N/A</v>
      </c>
      <c r="E37" s="11" t="e">
        <f t="shared" ca="1" si="5"/>
        <v>#N/A</v>
      </c>
      <c r="F37" s="14" t="e">
        <f t="shared" ca="1" si="3"/>
        <v>#N/A</v>
      </c>
      <c r="G37" s="14" t="e">
        <f t="shared" ca="1" si="3"/>
        <v>#N/A</v>
      </c>
      <c r="H37" s="14" t="e">
        <f t="shared" ca="1" si="3"/>
        <v>#N/A</v>
      </c>
      <c r="I37" s="14" t="e">
        <f t="shared" ca="1" si="3"/>
        <v>#N/A</v>
      </c>
      <c r="J37" s="14" t="e">
        <f t="shared" ca="1" si="3"/>
        <v>#N/A</v>
      </c>
      <c r="K37" s="14" t="e">
        <f t="shared" ca="1" si="3"/>
        <v>#N/A</v>
      </c>
      <c r="L37" s="14" t="e">
        <f t="shared" ca="1" si="3"/>
        <v>#N/A</v>
      </c>
      <c r="M37" s="14" t="e">
        <f t="shared" ca="1" si="3"/>
        <v>#N/A</v>
      </c>
      <c r="N37" s="14" t="e">
        <f t="shared" ca="1" si="3"/>
        <v>#N/A</v>
      </c>
      <c r="O37" s="14" t="e">
        <f t="shared" ca="1" si="3"/>
        <v>#N/A</v>
      </c>
      <c r="P37" s="14" t="e">
        <f t="shared" ca="1" si="3"/>
        <v>#N/A</v>
      </c>
      <c r="Q37" s="14" t="e">
        <f t="shared" ca="1" si="3"/>
        <v>#N/A</v>
      </c>
      <c r="R37" s="14" t="e">
        <f t="shared" ca="1" si="3"/>
        <v>#N/A</v>
      </c>
      <c r="S37" s="14" t="e">
        <f t="shared" ca="1" si="3"/>
        <v>#N/A</v>
      </c>
      <c r="T37" s="14" t="e">
        <f t="shared" ca="1" si="3"/>
        <v>#N/A</v>
      </c>
      <c r="U37" s="14" t="e">
        <f t="shared" ca="1" si="3"/>
        <v>#N/A</v>
      </c>
      <c r="V37" s="14" t="e">
        <f t="shared" ca="1" si="3"/>
        <v>#N/A</v>
      </c>
      <c r="W37" s="14" t="e">
        <f t="shared" ca="1" si="3"/>
        <v>#N/A</v>
      </c>
      <c r="X37" s="14" t="e">
        <f t="shared" ca="1" si="3"/>
        <v>#N/A</v>
      </c>
      <c r="Y37" s="14" t="e">
        <f t="shared" ca="1" si="3"/>
        <v>#N/A</v>
      </c>
      <c r="Z37" s="14" t="e">
        <f t="shared" ca="1" si="3"/>
        <v>#N/A</v>
      </c>
      <c r="AA37" s="14" t="e">
        <f t="shared" ca="1" si="3"/>
        <v>#N/A</v>
      </c>
      <c r="AB37" s="14" t="e">
        <f t="shared" ca="1" si="3"/>
        <v>#N/A</v>
      </c>
      <c r="AC37" s="14" t="e">
        <f t="shared" ca="1" si="3"/>
        <v>#N/A</v>
      </c>
      <c r="AD37" s="14" t="e">
        <f t="shared" ca="1" si="3"/>
        <v>#N/A</v>
      </c>
      <c r="AE37" s="14" t="e">
        <f t="shared" ca="1" si="3"/>
        <v>#N/A</v>
      </c>
      <c r="AF37" s="14" t="e">
        <f t="shared" ca="1" si="3"/>
        <v>#N/A</v>
      </c>
      <c r="AG37" s="14" t="e">
        <f t="shared" ca="1" si="3"/>
        <v>#N/A</v>
      </c>
      <c r="AH37" s="14" t="e">
        <f t="shared" ca="1" si="3"/>
        <v>#N/A</v>
      </c>
      <c r="AI37" s="14" t="e">
        <f t="shared" ca="1" si="3"/>
        <v>#N/A</v>
      </c>
      <c r="AJ37" s="14" t="e">
        <f t="shared" ca="1" si="3"/>
        <v>#N/A</v>
      </c>
      <c r="AK37" s="14" t="e">
        <f t="shared" ca="1" si="3"/>
        <v>#N/A</v>
      </c>
      <c r="AL37" s="14" t="e">
        <f t="shared" ca="1" si="3"/>
        <v>#N/A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81" t="s">
        <v>8</v>
      </c>
      <c r="B39" s="82"/>
      <c r="C39" s="82"/>
      <c r="D39" s="83"/>
      <c r="E39" s="74" t="s">
        <v>21</v>
      </c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</row>
    <row r="40" spans="1:54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AL40" si="6">G3</f>
        <v>0</v>
      </c>
      <c r="H40" s="8">
        <f t="shared" si="6"/>
        <v>0</v>
      </c>
      <c r="I40" s="8">
        <f t="shared" si="6"/>
        <v>0</v>
      </c>
      <c r="J40" s="8">
        <f t="shared" si="6"/>
        <v>0</v>
      </c>
      <c r="K40" s="8">
        <f t="shared" si="6"/>
        <v>0</v>
      </c>
      <c r="L40" s="8">
        <f t="shared" si="6"/>
        <v>0</v>
      </c>
      <c r="M40" s="8">
        <f t="shared" si="6"/>
        <v>0</v>
      </c>
      <c r="N40" s="8">
        <f t="shared" si="6"/>
        <v>0</v>
      </c>
      <c r="O40" s="8">
        <f t="shared" si="6"/>
        <v>0</v>
      </c>
      <c r="P40" s="8">
        <f t="shared" si="6"/>
        <v>0</v>
      </c>
      <c r="Q40" s="8">
        <f t="shared" si="6"/>
        <v>0</v>
      </c>
      <c r="R40" s="8">
        <f t="shared" si="6"/>
        <v>0</v>
      </c>
      <c r="S40" s="8">
        <f t="shared" si="6"/>
        <v>0</v>
      </c>
      <c r="T40" s="8">
        <f t="shared" si="6"/>
        <v>0</v>
      </c>
      <c r="U40" s="8">
        <f t="shared" si="6"/>
        <v>0</v>
      </c>
      <c r="V40" s="8">
        <f t="shared" si="6"/>
        <v>0</v>
      </c>
      <c r="W40" s="8">
        <f t="shared" si="6"/>
        <v>0</v>
      </c>
      <c r="X40" s="8">
        <f t="shared" si="6"/>
        <v>0</v>
      </c>
      <c r="Y40" s="8">
        <f t="shared" si="6"/>
        <v>0</v>
      </c>
      <c r="Z40" s="8">
        <f t="shared" si="6"/>
        <v>0</v>
      </c>
      <c r="AA40" s="8">
        <f t="shared" si="6"/>
        <v>0</v>
      </c>
      <c r="AB40" s="8">
        <f t="shared" si="6"/>
        <v>0</v>
      </c>
      <c r="AC40" s="8">
        <f t="shared" si="6"/>
        <v>0</v>
      </c>
      <c r="AD40" s="8">
        <f t="shared" si="6"/>
        <v>0</v>
      </c>
      <c r="AE40" s="8">
        <f t="shared" si="6"/>
        <v>0</v>
      </c>
      <c r="AF40" s="8">
        <f t="shared" si="6"/>
        <v>0</v>
      </c>
      <c r="AG40" s="8">
        <f t="shared" si="6"/>
        <v>0</v>
      </c>
      <c r="AH40" s="8">
        <f t="shared" si="6"/>
        <v>0</v>
      </c>
      <c r="AI40" s="8">
        <f t="shared" si="6"/>
        <v>0</v>
      </c>
      <c r="AJ40" s="8">
        <f t="shared" si="6"/>
        <v>0</v>
      </c>
      <c r="AK40" s="8">
        <f t="shared" si="6"/>
        <v>0</v>
      </c>
      <c r="AL40" s="8">
        <f t="shared" si="6"/>
        <v>0</v>
      </c>
    </row>
    <row r="41" spans="1:54" ht="21" customHeight="1" outlineLevel="1" thickTop="1" x14ac:dyDescent="0.35">
      <c r="A41" s="9">
        <f>Values!D3/Values!$D$3</f>
        <v>1</v>
      </c>
      <c r="B41" s="9">
        <f>Values!E3/Values!$D$3</f>
        <v>0</v>
      </c>
      <c r="C41" s="9">
        <f>Values!F3/Values!$D$3</f>
        <v>0.16</v>
      </c>
      <c r="D41" s="9">
        <f>Values!G3/Values!$D$3</f>
        <v>0.24</v>
      </c>
      <c r="E41" s="9">
        <f>SUM(A41:D41)</f>
        <v>1.4</v>
      </c>
      <c r="F41" s="10" t="e">
        <f t="shared" ref="F41:AL41" ca="1" si="7">($B$41*H.Ge+$C$41*H.Ga+$D$41*H.Se)*F$40*$B$2/1000</f>
        <v>#N/A</v>
      </c>
      <c r="G41" s="10" t="e">
        <f t="shared" ca="1" si="7"/>
        <v>#N/A</v>
      </c>
      <c r="H41" s="10" t="e">
        <f t="shared" ca="1" si="7"/>
        <v>#N/A</v>
      </c>
      <c r="I41" s="10" t="e">
        <f t="shared" ca="1" si="7"/>
        <v>#N/A</v>
      </c>
      <c r="J41" s="10" t="e">
        <f t="shared" ca="1" si="7"/>
        <v>#N/A</v>
      </c>
      <c r="K41" s="10" t="e">
        <f t="shared" ca="1" si="7"/>
        <v>#N/A</v>
      </c>
      <c r="L41" s="10" t="e">
        <f t="shared" ca="1" si="7"/>
        <v>#N/A</v>
      </c>
      <c r="M41" s="10" t="e">
        <f t="shared" ca="1" si="7"/>
        <v>#N/A</v>
      </c>
      <c r="N41" s="10" t="e">
        <f t="shared" ca="1" si="7"/>
        <v>#N/A</v>
      </c>
      <c r="O41" s="10" t="e">
        <f t="shared" ca="1" si="7"/>
        <v>#N/A</v>
      </c>
      <c r="P41" s="10" t="e">
        <f t="shared" ca="1" si="7"/>
        <v>#N/A</v>
      </c>
      <c r="Q41" s="10" t="e">
        <f t="shared" ca="1" si="7"/>
        <v>#N/A</v>
      </c>
      <c r="R41" s="10" t="e">
        <f t="shared" ca="1" si="7"/>
        <v>#N/A</v>
      </c>
      <c r="S41" s="10" t="e">
        <f t="shared" ca="1" si="7"/>
        <v>#N/A</v>
      </c>
      <c r="T41" s="10" t="e">
        <f t="shared" ca="1" si="7"/>
        <v>#N/A</v>
      </c>
      <c r="U41" s="10" t="e">
        <f t="shared" ca="1" si="7"/>
        <v>#N/A</v>
      </c>
      <c r="V41" s="10" t="e">
        <f t="shared" ca="1" si="7"/>
        <v>#N/A</v>
      </c>
      <c r="W41" s="10" t="e">
        <f t="shared" ca="1" si="7"/>
        <v>#N/A</v>
      </c>
      <c r="X41" s="10" t="e">
        <f t="shared" ca="1" si="7"/>
        <v>#N/A</v>
      </c>
      <c r="Y41" s="10" t="e">
        <f t="shared" ca="1" si="7"/>
        <v>#N/A</v>
      </c>
      <c r="Z41" s="10" t="e">
        <f t="shared" ca="1" si="7"/>
        <v>#N/A</v>
      </c>
      <c r="AA41" s="10" t="e">
        <f t="shared" ca="1" si="7"/>
        <v>#N/A</v>
      </c>
      <c r="AB41" s="10" t="e">
        <f t="shared" ca="1" si="7"/>
        <v>#N/A</v>
      </c>
      <c r="AC41" s="10" t="e">
        <f t="shared" ca="1" si="7"/>
        <v>#N/A</v>
      </c>
      <c r="AD41" s="10" t="e">
        <f t="shared" ca="1" si="7"/>
        <v>#N/A</v>
      </c>
      <c r="AE41" s="10" t="e">
        <f t="shared" ca="1" si="7"/>
        <v>#N/A</v>
      </c>
      <c r="AF41" s="10" t="e">
        <f t="shared" ca="1" si="7"/>
        <v>#N/A</v>
      </c>
      <c r="AG41" s="10" t="e">
        <f t="shared" ca="1" si="7"/>
        <v>#N/A</v>
      </c>
      <c r="AH41" s="10" t="e">
        <f t="shared" ca="1" si="7"/>
        <v>#N/A</v>
      </c>
      <c r="AI41" s="10" t="e">
        <f t="shared" ca="1" si="7"/>
        <v>#N/A</v>
      </c>
      <c r="AJ41" s="10" t="e">
        <f t="shared" ca="1" si="7"/>
        <v>#N/A</v>
      </c>
      <c r="AK41" s="10" t="e">
        <f t="shared" ca="1" si="7"/>
        <v>#N/A</v>
      </c>
      <c r="AL41" s="10" t="e">
        <f t="shared" ca="1" si="7"/>
        <v>#N/A</v>
      </c>
    </row>
    <row r="42" spans="1:54" ht="176.25" customHeight="1" outlineLevel="1" x14ac:dyDescent="0.35">
      <c r="U42" s="55"/>
      <c r="V42" s="55"/>
      <c r="W42" s="55"/>
    </row>
    <row r="43" spans="1:54" ht="21" customHeight="1" x14ac:dyDescent="0.35">
      <c r="U43" s="55"/>
      <c r="V43" s="55"/>
      <c r="W43" s="55"/>
    </row>
    <row r="44" spans="1:54" ht="21" customHeight="1" x14ac:dyDescent="0.4">
      <c r="A44" s="75"/>
      <c r="B44" s="75"/>
      <c r="C44" s="75"/>
      <c r="D44" s="75"/>
      <c r="E44" s="74" t="s">
        <v>22</v>
      </c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</row>
    <row r="45" spans="1:54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AL45" si="8">E3</f>
        <v>0</v>
      </c>
      <c r="F45" s="3">
        <f t="shared" si="8"/>
        <v>0</v>
      </c>
      <c r="G45" s="3">
        <f t="shared" si="8"/>
        <v>0</v>
      </c>
      <c r="H45" s="3">
        <f t="shared" si="8"/>
        <v>0</v>
      </c>
      <c r="I45" s="3">
        <f t="shared" si="8"/>
        <v>0</v>
      </c>
      <c r="J45" s="3">
        <f t="shared" si="8"/>
        <v>0</v>
      </c>
      <c r="K45" s="3">
        <f t="shared" si="8"/>
        <v>0</v>
      </c>
      <c r="L45" s="3">
        <f t="shared" si="8"/>
        <v>0</v>
      </c>
      <c r="M45" s="3">
        <f t="shared" si="8"/>
        <v>0</v>
      </c>
      <c r="N45" s="3">
        <f t="shared" si="8"/>
        <v>0</v>
      </c>
      <c r="O45" s="3">
        <f t="shared" si="8"/>
        <v>0</v>
      </c>
      <c r="P45" s="3">
        <f t="shared" si="8"/>
        <v>0</v>
      </c>
      <c r="Q45" s="3">
        <f t="shared" si="8"/>
        <v>0</v>
      </c>
      <c r="R45" s="3">
        <f t="shared" si="8"/>
        <v>0</v>
      </c>
      <c r="S45" s="3">
        <f t="shared" si="8"/>
        <v>0</v>
      </c>
      <c r="T45" s="3">
        <f t="shared" si="8"/>
        <v>0</v>
      </c>
      <c r="U45" s="3">
        <f t="shared" si="8"/>
        <v>0</v>
      </c>
      <c r="V45" s="3">
        <f t="shared" si="8"/>
        <v>0</v>
      </c>
      <c r="W45" s="3">
        <f t="shared" si="8"/>
        <v>0</v>
      </c>
      <c r="X45" s="3">
        <f t="shared" si="8"/>
        <v>0</v>
      </c>
      <c r="Y45" s="3">
        <f t="shared" si="8"/>
        <v>0</v>
      </c>
      <c r="Z45" s="3">
        <f t="shared" si="8"/>
        <v>0</v>
      </c>
      <c r="AA45" s="3">
        <f t="shared" si="8"/>
        <v>0</v>
      </c>
      <c r="AB45" s="3">
        <f t="shared" si="8"/>
        <v>0</v>
      </c>
      <c r="AC45" s="3">
        <f t="shared" si="8"/>
        <v>0</v>
      </c>
      <c r="AD45" s="3">
        <f t="shared" si="8"/>
        <v>0</v>
      </c>
      <c r="AE45" s="3">
        <f t="shared" si="8"/>
        <v>0</v>
      </c>
      <c r="AF45" s="3">
        <f t="shared" si="8"/>
        <v>0</v>
      </c>
      <c r="AG45" s="3">
        <f t="shared" si="8"/>
        <v>0</v>
      </c>
      <c r="AH45" s="3">
        <f t="shared" si="8"/>
        <v>0</v>
      </c>
      <c r="AI45" s="3">
        <f t="shared" si="8"/>
        <v>0</v>
      </c>
      <c r="AJ45" s="3">
        <f t="shared" si="8"/>
        <v>0</v>
      </c>
      <c r="AK45" s="3">
        <f t="shared" si="8"/>
        <v>0</v>
      </c>
      <c r="AL45" s="3">
        <f t="shared" si="8"/>
        <v>0</v>
      </c>
    </row>
    <row r="46" spans="1:54" ht="21" hidden="1" customHeight="1" outlineLevel="1" thickTop="1" thickBot="1" x14ac:dyDescent="0.4">
      <c r="A46" s="5">
        <f t="shared" ref="A46:E55" si="9">A4</f>
        <v>0</v>
      </c>
      <c r="B46" s="5">
        <f t="shared" si="9"/>
        <v>0</v>
      </c>
      <c r="C46" s="5">
        <f t="shared" si="9"/>
        <v>0</v>
      </c>
      <c r="D46" s="5">
        <f t="shared" si="9"/>
        <v>0</v>
      </c>
      <c r="E46" s="6">
        <f t="shared" si="9"/>
        <v>0</v>
      </c>
      <c r="F46" s="14" t="e">
        <f t="shared" ref="F46:U55" ca="1" si="10">$A46*H.Ar + $B46*H.Se + $C46*H.Ge + $D46*H.Ga</f>
        <v>#N/A</v>
      </c>
      <c r="G46" s="14" t="e">
        <f t="shared" ca="1" si="10"/>
        <v>#N/A</v>
      </c>
      <c r="H46" s="14" t="e">
        <f t="shared" ca="1" si="10"/>
        <v>#N/A</v>
      </c>
      <c r="I46" s="14" t="e">
        <f t="shared" ca="1" si="10"/>
        <v>#N/A</v>
      </c>
      <c r="J46" s="14" t="e">
        <f t="shared" ca="1" si="10"/>
        <v>#N/A</v>
      </c>
      <c r="K46" s="14" t="e">
        <f t="shared" ca="1" si="10"/>
        <v>#N/A</v>
      </c>
      <c r="L46" s="14" t="e">
        <f t="shared" ca="1" si="10"/>
        <v>#N/A</v>
      </c>
      <c r="M46" s="14" t="e">
        <f t="shared" ca="1" si="10"/>
        <v>#N/A</v>
      </c>
      <c r="N46" s="14" t="e">
        <f t="shared" ca="1" si="10"/>
        <v>#N/A</v>
      </c>
      <c r="O46" s="14" t="e">
        <f t="shared" ca="1" si="10"/>
        <v>#N/A</v>
      </c>
      <c r="P46" s="14" t="e">
        <f t="shared" ca="1" si="10"/>
        <v>#N/A</v>
      </c>
      <c r="Q46" s="14" t="e">
        <f t="shared" ca="1" si="10"/>
        <v>#N/A</v>
      </c>
      <c r="R46" s="14" t="e">
        <f t="shared" ca="1" si="10"/>
        <v>#N/A</v>
      </c>
      <c r="S46" s="14" t="e">
        <f t="shared" ca="1" si="10"/>
        <v>#N/A</v>
      </c>
      <c r="T46" s="14" t="e">
        <f t="shared" ca="1" si="10"/>
        <v>#N/A</v>
      </c>
      <c r="U46" s="14" t="e">
        <f t="shared" ca="1" si="10"/>
        <v>#N/A</v>
      </c>
      <c r="V46" s="14" t="e">
        <f t="shared" ref="V46:AL46" ca="1" si="11">$A46*H.Ar + $B46*H.Se + $C46*H.Ge + $D46*H.Ga</f>
        <v>#N/A</v>
      </c>
      <c r="W46" s="14" t="e">
        <f t="shared" ca="1" si="11"/>
        <v>#N/A</v>
      </c>
      <c r="X46" s="14" t="e">
        <f t="shared" ca="1" si="11"/>
        <v>#N/A</v>
      </c>
      <c r="Y46" s="14" t="e">
        <f t="shared" ca="1" si="11"/>
        <v>#N/A</v>
      </c>
      <c r="Z46" s="14" t="e">
        <f t="shared" ca="1" si="11"/>
        <v>#N/A</v>
      </c>
      <c r="AA46" s="14" t="e">
        <f t="shared" ca="1" si="11"/>
        <v>#N/A</v>
      </c>
      <c r="AB46" s="14" t="e">
        <f t="shared" ca="1" si="11"/>
        <v>#N/A</v>
      </c>
      <c r="AC46" s="14" t="e">
        <f t="shared" ca="1" si="11"/>
        <v>#N/A</v>
      </c>
      <c r="AD46" s="14" t="e">
        <f t="shared" ca="1" si="11"/>
        <v>#N/A</v>
      </c>
      <c r="AE46" s="14" t="e">
        <f t="shared" ca="1" si="11"/>
        <v>#N/A</v>
      </c>
      <c r="AF46" s="14" t="e">
        <f t="shared" ca="1" si="11"/>
        <v>#N/A</v>
      </c>
      <c r="AG46" s="14" t="e">
        <f t="shared" ca="1" si="11"/>
        <v>#N/A</v>
      </c>
      <c r="AH46" s="14" t="e">
        <f t="shared" ca="1" si="11"/>
        <v>#N/A</v>
      </c>
      <c r="AI46" s="14" t="e">
        <f t="shared" ca="1" si="11"/>
        <v>#N/A</v>
      </c>
      <c r="AJ46" s="14" t="e">
        <f t="shared" ca="1" si="11"/>
        <v>#N/A</v>
      </c>
      <c r="AK46" s="14" t="e">
        <f t="shared" ca="1" si="11"/>
        <v>#N/A</v>
      </c>
      <c r="AL46" s="14" t="e">
        <f t="shared" ca="1" si="11"/>
        <v>#N/A</v>
      </c>
    </row>
    <row r="47" spans="1:54" ht="21" hidden="1" customHeight="1" outlineLevel="1" thickBot="1" x14ac:dyDescent="0.4">
      <c r="A47" s="5">
        <f t="shared" si="9"/>
        <v>0</v>
      </c>
      <c r="B47" s="5">
        <f t="shared" si="9"/>
        <v>0</v>
      </c>
      <c r="C47" s="5">
        <f t="shared" si="9"/>
        <v>0</v>
      </c>
      <c r="D47" s="5">
        <f t="shared" si="9"/>
        <v>0</v>
      </c>
      <c r="E47" s="6">
        <f t="shared" si="9"/>
        <v>0</v>
      </c>
      <c r="F47" s="14" t="e">
        <f t="shared" ca="1" si="10"/>
        <v>#N/A</v>
      </c>
      <c r="G47" s="14" t="e">
        <f t="shared" ref="G47:AL54" ca="1" si="12">$A47*H.Ar + $B47*H.Se + $C47*H.Ge + $D47*H.Ga</f>
        <v>#N/A</v>
      </c>
      <c r="H47" s="14" t="e">
        <f t="shared" ca="1" si="12"/>
        <v>#N/A</v>
      </c>
      <c r="I47" s="14" t="e">
        <f t="shared" ca="1" si="12"/>
        <v>#N/A</v>
      </c>
      <c r="J47" s="14" t="e">
        <f t="shared" ca="1" si="12"/>
        <v>#N/A</v>
      </c>
      <c r="K47" s="14" t="e">
        <f t="shared" ca="1" si="12"/>
        <v>#N/A</v>
      </c>
      <c r="L47" s="14" t="e">
        <f t="shared" ca="1" si="12"/>
        <v>#N/A</v>
      </c>
      <c r="M47" s="14" t="e">
        <f t="shared" ca="1" si="12"/>
        <v>#N/A</v>
      </c>
      <c r="N47" s="14" t="e">
        <f t="shared" ca="1" si="12"/>
        <v>#N/A</v>
      </c>
      <c r="O47" s="14" t="e">
        <f t="shared" ca="1" si="12"/>
        <v>#N/A</v>
      </c>
      <c r="P47" s="14" t="e">
        <f t="shared" ca="1" si="12"/>
        <v>#N/A</v>
      </c>
      <c r="Q47" s="14" t="e">
        <f t="shared" ca="1" si="12"/>
        <v>#N/A</v>
      </c>
      <c r="R47" s="14" t="e">
        <f t="shared" ca="1" si="12"/>
        <v>#N/A</v>
      </c>
      <c r="S47" s="14" t="e">
        <f t="shared" ca="1" si="12"/>
        <v>#N/A</v>
      </c>
      <c r="T47" s="14" t="e">
        <f t="shared" ca="1" si="12"/>
        <v>#N/A</v>
      </c>
      <c r="U47" s="14" t="e">
        <f t="shared" ca="1" si="12"/>
        <v>#N/A</v>
      </c>
      <c r="V47" s="14" t="e">
        <f t="shared" ca="1" si="12"/>
        <v>#N/A</v>
      </c>
      <c r="W47" s="14" t="e">
        <f t="shared" ca="1" si="12"/>
        <v>#N/A</v>
      </c>
      <c r="X47" s="14" t="e">
        <f t="shared" ca="1" si="12"/>
        <v>#N/A</v>
      </c>
      <c r="Y47" s="14" t="e">
        <f t="shared" ca="1" si="12"/>
        <v>#N/A</v>
      </c>
      <c r="Z47" s="14" t="e">
        <f t="shared" ca="1" si="12"/>
        <v>#N/A</v>
      </c>
      <c r="AA47" s="14" t="e">
        <f t="shared" ca="1" si="12"/>
        <v>#N/A</v>
      </c>
      <c r="AB47" s="14" t="e">
        <f t="shared" ca="1" si="12"/>
        <v>#N/A</v>
      </c>
      <c r="AC47" s="14" t="e">
        <f t="shared" ca="1" si="12"/>
        <v>#N/A</v>
      </c>
      <c r="AD47" s="14" t="e">
        <f t="shared" ca="1" si="12"/>
        <v>#N/A</v>
      </c>
      <c r="AE47" s="14" t="e">
        <f t="shared" ca="1" si="12"/>
        <v>#N/A</v>
      </c>
      <c r="AF47" s="14" t="e">
        <f t="shared" ca="1" si="12"/>
        <v>#N/A</v>
      </c>
      <c r="AG47" s="14" t="e">
        <f t="shared" ca="1" si="12"/>
        <v>#N/A</v>
      </c>
      <c r="AH47" s="14" t="e">
        <f t="shared" ca="1" si="12"/>
        <v>#N/A</v>
      </c>
      <c r="AI47" s="14" t="e">
        <f t="shared" ca="1" si="12"/>
        <v>#N/A</v>
      </c>
      <c r="AJ47" s="14" t="e">
        <f t="shared" ca="1" si="12"/>
        <v>#N/A</v>
      </c>
      <c r="AK47" s="14" t="e">
        <f t="shared" ca="1" si="12"/>
        <v>#N/A</v>
      </c>
      <c r="AL47" s="14" t="e">
        <f t="shared" ca="1" si="12"/>
        <v>#N/A</v>
      </c>
    </row>
    <row r="48" spans="1:54" ht="21" hidden="1" customHeight="1" outlineLevel="1" thickBot="1" x14ac:dyDescent="0.4">
      <c r="A48" s="5">
        <f t="shared" si="9"/>
        <v>0</v>
      </c>
      <c r="B48" s="5">
        <f t="shared" si="9"/>
        <v>0</v>
      </c>
      <c r="C48" s="5">
        <f t="shared" si="9"/>
        <v>0</v>
      </c>
      <c r="D48" s="5">
        <f t="shared" si="9"/>
        <v>0</v>
      </c>
      <c r="E48" s="6">
        <f t="shared" si="9"/>
        <v>0</v>
      </c>
      <c r="F48" s="14" t="e">
        <f t="shared" ca="1" si="10"/>
        <v>#N/A</v>
      </c>
      <c r="G48" s="14" t="e">
        <f t="shared" ca="1" si="12"/>
        <v>#N/A</v>
      </c>
      <c r="H48" s="14" t="e">
        <f t="shared" ca="1" si="12"/>
        <v>#N/A</v>
      </c>
      <c r="I48" s="14" t="e">
        <f t="shared" ca="1" si="12"/>
        <v>#N/A</v>
      </c>
      <c r="J48" s="14" t="e">
        <f t="shared" ca="1" si="12"/>
        <v>#N/A</v>
      </c>
      <c r="K48" s="14" t="e">
        <f t="shared" ca="1" si="12"/>
        <v>#N/A</v>
      </c>
      <c r="L48" s="14" t="e">
        <f t="shared" ca="1" si="12"/>
        <v>#N/A</v>
      </c>
      <c r="M48" s="14" t="e">
        <f t="shared" ca="1" si="12"/>
        <v>#N/A</v>
      </c>
      <c r="N48" s="14" t="e">
        <f t="shared" ca="1" si="12"/>
        <v>#N/A</v>
      </c>
      <c r="O48" s="14" t="e">
        <f t="shared" ca="1" si="12"/>
        <v>#N/A</v>
      </c>
      <c r="P48" s="14" t="e">
        <f t="shared" ca="1" si="12"/>
        <v>#N/A</v>
      </c>
      <c r="Q48" s="14" t="e">
        <f t="shared" ca="1" si="12"/>
        <v>#N/A</v>
      </c>
      <c r="R48" s="14" t="e">
        <f t="shared" ca="1" si="12"/>
        <v>#N/A</v>
      </c>
      <c r="S48" s="14" t="e">
        <f t="shared" ca="1" si="12"/>
        <v>#N/A</v>
      </c>
      <c r="T48" s="14" t="e">
        <f t="shared" ca="1" si="12"/>
        <v>#N/A</v>
      </c>
      <c r="U48" s="14" t="e">
        <f t="shared" ca="1" si="12"/>
        <v>#N/A</v>
      </c>
      <c r="V48" s="14" t="e">
        <f t="shared" ca="1" si="12"/>
        <v>#N/A</v>
      </c>
      <c r="W48" s="14" t="e">
        <f t="shared" ca="1" si="12"/>
        <v>#N/A</v>
      </c>
      <c r="X48" s="14" t="e">
        <f t="shared" ca="1" si="12"/>
        <v>#N/A</v>
      </c>
      <c r="Y48" s="14" t="e">
        <f t="shared" ca="1" si="12"/>
        <v>#N/A</v>
      </c>
      <c r="Z48" s="14" t="e">
        <f t="shared" ca="1" si="12"/>
        <v>#N/A</v>
      </c>
      <c r="AA48" s="14" t="e">
        <f t="shared" ca="1" si="12"/>
        <v>#N/A</v>
      </c>
      <c r="AB48" s="14" t="e">
        <f t="shared" ca="1" si="12"/>
        <v>#N/A</v>
      </c>
      <c r="AC48" s="14" t="e">
        <f t="shared" ca="1" si="12"/>
        <v>#N/A</v>
      </c>
      <c r="AD48" s="14" t="e">
        <f t="shared" ca="1" si="12"/>
        <v>#N/A</v>
      </c>
      <c r="AE48" s="14" t="e">
        <f t="shared" ca="1" si="12"/>
        <v>#N/A</v>
      </c>
      <c r="AF48" s="14" t="e">
        <f t="shared" ca="1" si="12"/>
        <v>#N/A</v>
      </c>
      <c r="AG48" s="14" t="e">
        <f t="shared" ca="1" si="12"/>
        <v>#N/A</v>
      </c>
      <c r="AH48" s="14" t="e">
        <f t="shared" ca="1" si="12"/>
        <v>#N/A</v>
      </c>
      <c r="AI48" s="14" t="e">
        <f t="shared" ca="1" si="12"/>
        <v>#N/A</v>
      </c>
      <c r="AJ48" s="14" t="e">
        <f t="shared" ca="1" si="12"/>
        <v>#N/A</v>
      </c>
      <c r="AK48" s="14" t="e">
        <f t="shared" ca="1" si="12"/>
        <v>#N/A</v>
      </c>
      <c r="AL48" s="14" t="e">
        <f t="shared" ca="1" si="12"/>
        <v>#N/A</v>
      </c>
    </row>
    <row r="49" spans="1:38" ht="21" hidden="1" customHeight="1" outlineLevel="1" thickBot="1" x14ac:dyDescent="0.4">
      <c r="A49" s="5">
        <f t="shared" si="9"/>
        <v>0</v>
      </c>
      <c r="B49" s="5">
        <f t="shared" si="9"/>
        <v>0</v>
      </c>
      <c r="C49" s="5">
        <f t="shared" si="9"/>
        <v>0</v>
      </c>
      <c r="D49" s="5">
        <f t="shared" si="9"/>
        <v>0</v>
      </c>
      <c r="E49" s="6">
        <f t="shared" si="9"/>
        <v>0</v>
      </c>
      <c r="F49" s="14" t="e">
        <f t="shared" ca="1" si="10"/>
        <v>#N/A</v>
      </c>
      <c r="G49" s="14" t="e">
        <f t="shared" ca="1" si="12"/>
        <v>#N/A</v>
      </c>
      <c r="H49" s="14" t="e">
        <f t="shared" ca="1" si="12"/>
        <v>#N/A</v>
      </c>
      <c r="I49" s="14" t="e">
        <f t="shared" ca="1" si="12"/>
        <v>#N/A</v>
      </c>
      <c r="J49" s="14" t="e">
        <f t="shared" ca="1" si="12"/>
        <v>#N/A</v>
      </c>
      <c r="K49" s="14" t="e">
        <f t="shared" ca="1" si="12"/>
        <v>#N/A</v>
      </c>
      <c r="L49" s="14" t="e">
        <f t="shared" ca="1" si="12"/>
        <v>#N/A</v>
      </c>
      <c r="M49" s="14" t="e">
        <f t="shared" ca="1" si="12"/>
        <v>#N/A</v>
      </c>
      <c r="N49" s="14" t="e">
        <f t="shared" ca="1" si="12"/>
        <v>#N/A</v>
      </c>
      <c r="O49" s="14" t="e">
        <f t="shared" ca="1" si="12"/>
        <v>#N/A</v>
      </c>
      <c r="P49" s="14" t="e">
        <f t="shared" ca="1" si="12"/>
        <v>#N/A</v>
      </c>
      <c r="Q49" s="14" t="e">
        <f t="shared" ca="1" si="12"/>
        <v>#N/A</v>
      </c>
      <c r="R49" s="14" t="e">
        <f t="shared" ca="1" si="12"/>
        <v>#N/A</v>
      </c>
      <c r="S49" s="14" t="e">
        <f t="shared" ca="1" si="12"/>
        <v>#N/A</v>
      </c>
      <c r="T49" s="14" t="e">
        <f t="shared" ca="1" si="12"/>
        <v>#N/A</v>
      </c>
      <c r="U49" s="14" t="e">
        <f t="shared" ca="1" si="12"/>
        <v>#N/A</v>
      </c>
      <c r="V49" s="14" t="e">
        <f t="shared" ca="1" si="12"/>
        <v>#N/A</v>
      </c>
      <c r="W49" s="14" t="e">
        <f t="shared" ca="1" si="12"/>
        <v>#N/A</v>
      </c>
      <c r="X49" s="14" t="e">
        <f t="shared" ca="1" si="12"/>
        <v>#N/A</v>
      </c>
      <c r="Y49" s="14" t="e">
        <f t="shared" ca="1" si="12"/>
        <v>#N/A</v>
      </c>
      <c r="Z49" s="14" t="e">
        <f t="shared" ca="1" si="12"/>
        <v>#N/A</v>
      </c>
      <c r="AA49" s="14" t="e">
        <f t="shared" ca="1" si="12"/>
        <v>#N/A</v>
      </c>
      <c r="AB49" s="14" t="e">
        <f t="shared" ca="1" si="12"/>
        <v>#N/A</v>
      </c>
      <c r="AC49" s="14" t="e">
        <f t="shared" ca="1" si="12"/>
        <v>#N/A</v>
      </c>
      <c r="AD49" s="14" t="e">
        <f t="shared" ca="1" si="12"/>
        <v>#N/A</v>
      </c>
      <c r="AE49" s="14" t="e">
        <f t="shared" ca="1" si="12"/>
        <v>#N/A</v>
      </c>
      <c r="AF49" s="14" t="e">
        <f t="shared" ca="1" si="12"/>
        <v>#N/A</v>
      </c>
      <c r="AG49" s="14" t="e">
        <f t="shared" ca="1" si="12"/>
        <v>#N/A</v>
      </c>
      <c r="AH49" s="14" t="e">
        <f t="shared" ca="1" si="12"/>
        <v>#N/A</v>
      </c>
      <c r="AI49" s="14" t="e">
        <f t="shared" ca="1" si="12"/>
        <v>#N/A</v>
      </c>
      <c r="AJ49" s="14" t="e">
        <f t="shared" ca="1" si="12"/>
        <v>#N/A</v>
      </c>
      <c r="AK49" s="14" t="e">
        <f t="shared" ca="1" si="12"/>
        <v>#N/A</v>
      </c>
      <c r="AL49" s="14" t="e">
        <f t="shared" ca="1" si="12"/>
        <v>#N/A</v>
      </c>
    </row>
    <row r="50" spans="1:38" ht="21" hidden="1" customHeight="1" outlineLevel="1" thickBot="1" x14ac:dyDescent="0.4">
      <c r="A50" s="5">
        <f t="shared" si="9"/>
        <v>0</v>
      </c>
      <c r="B50" s="5">
        <f t="shared" si="9"/>
        <v>0</v>
      </c>
      <c r="C50" s="5">
        <f t="shared" si="9"/>
        <v>0</v>
      </c>
      <c r="D50" s="5">
        <f t="shared" si="9"/>
        <v>0</v>
      </c>
      <c r="E50" s="6">
        <f t="shared" si="9"/>
        <v>0</v>
      </c>
      <c r="F50" s="14" t="e">
        <f t="shared" ca="1" si="10"/>
        <v>#N/A</v>
      </c>
      <c r="G50" s="14" t="e">
        <f t="shared" ca="1" si="12"/>
        <v>#N/A</v>
      </c>
      <c r="H50" s="14" t="e">
        <f t="shared" ca="1" si="12"/>
        <v>#N/A</v>
      </c>
      <c r="I50" s="14" t="e">
        <f t="shared" ca="1" si="12"/>
        <v>#N/A</v>
      </c>
      <c r="J50" s="14" t="e">
        <f t="shared" ca="1" si="12"/>
        <v>#N/A</v>
      </c>
      <c r="K50" s="14" t="e">
        <f t="shared" ca="1" si="12"/>
        <v>#N/A</v>
      </c>
      <c r="L50" s="14" t="e">
        <f t="shared" ca="1" si="12"/>
        <v>#N/A</v>
      </c>
      <c r="M50" s="14" t="e">
        <f t="shared" ca="1" si="12"/>
        <v>#N/A</v>
      </c>
      <c r="N50" s="14" t="e">
        <f t="shared" ca="1" si="12"/>
        <v>#N/A</v>
      </c>
      <c r="O50" s="14" t="e">
        <f t="shared" ca="1" si="12"/>
        <v>#N/A</v>
      </c>
      <c r="P50" s="14" t="e">
        <f t="shared" ca="1" si="12"/>
        <v>#N/A</v>
      </c>
      <c r="Q50" s="14" t="e">
        <f t="shared" ca="1" si="12"/>
        <v>#N/A</v>
      </c>
      <c r="R50" s="14" t="e">
        <f t="shared" ca="1" si="12"/>
        <v>#N/A</v>
      </c>
      <c r="S50" s="14" t="e">
        <f t="shared" ca="1" si="12"/>
        <v>#N/A</v>
      </c>
      <c r="T50" s="14" t="e">
        <f t="shared" ca="1" si="12"/>
        <v>#N/A</v>
      </c>
      <c r="U50" s="14" t="e">
        <f t="shared" ca="1" si="12"/>
        <v>#N/A</v>
      </c>
      <c r="V50" s="14" t="e">
        <f t="shared" ca="1" si="12"/>
        <v>#N/A</v>
      </c>
      <c r="W50" s="14" t="e">
        <f t="shared" ca="1" si="12"/>
        <v>#N/A</v>
      </c>
      <c r="X50" s="14" t="e">
        <f t="shared" ca="1" si="12"/>
        <v>#N/A</v>
      </c>
      <c r="Y50" s="14" t="e">
        <f t="shared" ca="1" si="12"/>
        <v>#N/A</v>
      </c>
      <c r="Z50" s="14" t="e">
        <f t="shared" ca="1" si="12"/>
        <v>#N/A</v>
      </c>
      <c r="AA50" s="14" t="e">
        <f t="shared" ca="1" si="12"/>
        <v>#N/A</v>
      </c>
      <c r="AB50" s="14" t="e">
        <f t="shared" ca="1" si="12"/>
        <v>#N/A</v>
      </c>
      <c r="AC50" s="14" t="e">
        <f t="shared" ca="1" si="12"/>
        <v>#N/A</v>
      </c>
      <c r="AD50" s="14" t="e">
        <f t="shared" ca="1" si="12"/>
        <v>#N/A</v>
      </c>
      <c r="AE50" s="14" t="e">
        <f t="shared" ca="1" si="12"/>
        <v>#N/A</v>
      </c>
      <c r="AF50" s="14" t="e">
        <f t="shared" ca="1" si="12"/>
        <v>#N/A</v>
      </c>
      <c r="AG50" s="14" t="e">
        <f t="shared" ca="1" si="12"/>
        <v>#N/A</v>
      </c>
      <c r="AH50" s="14" t="e">
        <f t="shared" ca="1" si="12"/>
        <v>#N/A</v>
      </c>
      <c r="AI50" s="14" t="e">
        <f t="shared" ca="1" si="12"/>
        <v>#N/A</v>
      </c>
      <c r="AJ50" s="14" t="e">
        <f t="shared" ca="1" si="12"/>
        <v>#N/A</v>
      </c>
      <c r="AK50" s="14" t="e">
        <f t="shared" ca="1" si="12"/>
        <v>#N/A</v>
      </c>
      <c r="AL50" s="14" t="e">
        <f t="shared" ca="1" si="12"/>
        <v>#N/A</v>
      </c>
    </row>
    <row r="51" spans="1:38" ht="21" hidden="1" customHeight="1" outlineLevel="1" thickBot="1" x14ac:dyDescent="0.4">
      <c r="A51" s="5">
        <f t="shared" si="9"/>
        <v>0</v>
      </c>
      <c r="B51" s="5">
        <f t="shared" si="9"/>
        <v>0</v>
      </c>
      <c r="C51" s="5">
        <f t="shared" si="9"/>
        <v>0</v>
      </c>
      <c r="D51" s="5">
        <f t="shared" si="9"/>
        <v>0</v>
      </c>
      <c r="E51" s="6">
        <f t="shared" si="9"/>
        <v>0</v>
      </c>
      <c r="F51" s="14" t="e">
        <f t="shared" ca="1" si="10"/>
        <v>#N/A</v>
      </c>
      <c r="G51" s="14" t="e">
        <f t="shared" ca="1" si="12"/>
        <v>#N/A</v>
      </c>
      <c r="H51" s="14" t="e">
        <f t="shared" ca="1" si="12"/>
        <v>#N/A</v>
      </c>
      <c r="I51" s="14" t="e">
        <f t="shared" ca="1" si="12"/>
        <v>#N/A</v>
      </c>
      <c r="J51" s="14" t="e">
        <f t="shared" ca="1" si="12"/>
        <v>#N/A</v>
      </c>
      <c r="K51" s="14" t="e">
        <f t="shared" ca="1" si="12"/>
        <v>#N/A</v>
      </c>
      <c r="L51" s="14" t="e">
        <f t="shared" ca="1" si="12"/>
        <v>#N/A</v>
      </c>
      <c r="M51" s="14" t="e">
        <f t="shared" ca="1" si="12"/>
        <v>#N/A</v>
      </c>
      <c r="N51" s="14" t="e">
        <f t="shared" ca="1" si="12"/>
        <v>#N/A</v>
      </c>
      <c r="O51" s="14" t="e">
        <f t="shared" ca="1" si="12"/>
        <v>#N/A</v>
      </c>
      <c r="P51" s="14" t="e">
        <f t="shared" ca="1" si="12"/>
        <v>#N/A</v>
      </c>
      <c r="Q51" s="14" t="e">
        <f t="shared" ca="1" si="12"/>
        <v>#N/A</v>
      </c>
      <c r="R51" s="14" t="e">
        <f t="shared" ca="1" si="12"/>
        <v>#N/A</v>
      </c>
      <c r="S51" s="14" t="e">
        <f t="shared" ca="1" si="12"/>
        <v>#N/A</v>
      </c>
      <c r="T51" s="14" t="e">
        <f t="shared" ca="1" si="12"/>
        <v>#N/A</v>
      </c>
      <c r="U51" s="14" t="e">
        <f t="shared" ca="1" si="12"/>
        <v>#N/A</v>
      </c>
      <c r="V51" s="14" t="e">
        <f t="shared" ca="1" si="12"/>
        <v>#N/A</v>
      </c>
      <c r="W51" s="14" t="e">
        <f t="shared" ca="1" si="12"/>
        <v>#N/A</v>
      </c>
      <c r="X51" s="14" t="e">
        <f t="shared" ca="1" si="12"/>
        <v>#N/A</v>
      </c>
      <c r="Y51" s="14" t="e">
        <f t="shared" ca="1" si="12"/>
        <v>#N/A</v>
      </c>
      <c r="Z51" s="14" t="e">
        <f t="shared" ca="1" si="12"/>
        <v>#N/A</v>
      </c>
      <c r="AA51" s="14" t="e">
        <f t="shared" ca="1" si="12"/>
        <v>#N/A</v>
      </c>
      <c r="AB51" s="14" t="e">
        <f t="shared" ca="1" si="12"/>
        <v>#N/A</v>
      </c>
      <c r="AC51" s="14" t="e">
        <f t="shared" ca="1" si="12"/>
        <v>#N/A</v>
      </c>
      <c r="AD51" s="14" t="e">
        <f t="shared" ca="1" si="12"/>
        <v>#N/A</v>
      </c>
      <c r="AE51" s="14" t="e">
        <f t="shared" ca="1" si="12"/>
        <v>#N/A</v>
      </c>
      <c r="AF51" s="14" t="e">
        <f t="shared" ca="1" si="12"/>
        <v>#N/A</v>
      </c>
      <c r="AG51" s="14" t="e">
        <f t="shared" ca="1" si="12"/>
        <v>#N/A</v>
      </c>
      <c r="AH51" s="14" t="e">
        <f t="shared" ca="1" si="12"/>
        <v>#N/A</v>
      </c>
      <c r="AI51" s="14" t="e">
        <f t="shared" ca="1" si="12"/>
        <v>#N/A</v>
      </c>
      <c r="AJ51" s="14" t="e">
        <f t="shared" ca="1" si="12"/>
        <v>#N/A</v>
      </c>
      <c r="AK51" s="14" t="e">
        <f t="shared" ca="1" si="12"/>
        <v>#N/A</v>
      </c>
      <c r="AL51" s="14" t="e">
        <f t="shared" ca="1" si="12"/>
        <v>#N/A</v>
      </c>
    </row>
    <row r="52" spans="1:38" ht="21" hidden="1" customHeight="1" outlineLevel="1" thickBot="1" x14ac:dyDescent="0.4">
      <c r="A52" s="5">
        <f t="shared" si="9"/>
        <v>0</v>
      </c>
      <c r="B52" s="5">
        <f t="shared" si="9"/>
        <v>0</v>
      </c>
      <c r="C52" s="5">
        <f t="shared" si="9"/>
        <v>0</v>
      </c>
      <c r="D52" s="5">
        <f t="shared" si="9"/>
        <v>0</v>
      </c>
      <c r="E52" s="6">
        <f t="shared" si="9"/>
        <v>0</v>
      </c>
      <c r="F52" s="14" t="e">
        <f t="shared" ca="1" si="10"/>
        <v>#N/A</v>
      </c>
      <c r="G52" s="14" t="e">
        <f t="shared" ca="1" si="12"/>
        <v>#N/A</v>
      </c>
      <c r="H52" s="14" t="e">
        <f t="shared" ca="1" si="12"/>
        <v>#N/A</v>
      </c>
      <c r="I52" s="14" t="e">
        <f t="shared" ca="1" si="12"/>
        <v>#N/A</v>
      </c>
      <c r="J52" s="14" t="e">
        <f t="shared" ca="1" si="12"/>
        <v>#N/A</v>
      </c>
      <c r="K52" s="14" t="e">
        <f t="shared" ca="1" si="12"/>
        <v>#N/A</v>
      </c>
      <c r="L52" s="14" t="e">
        <f t="shared" ca="1" si="12"/>
        <v>#N/A</v>
      </c>
      <c r="M52" s="14" t="e">
        <f t="shared" ca="1" si="12"/>
        <v>#N/A</v>
      </c>
      <c r="N52" s="14" t="e">
        <f t="shared" ca="1" si="12"/>
        <v>#N/A</v>
      </c>
      <c r="O52" s="14" t="e">
        <f t="shared" ca="1" si="12"/>
        <v>#N/A</v>
      </c>
      <c r="P52" s="14" t="e">
        <f t="shared" ca="1" si="12"/>
        <v>#N/A</v>
      </c>
      <c r="Q52" s="14" t="e">
        <f t="shared" ca="1" si="12"/>
        <v>#N/A</v>
      </c>
      <c r="R52" s="14" t="e">
        <f t="shared" ca="1" si="12"/>
        <v>#N/A</v>
      </c>
      <c r="S52" s="14" t="e">
        <f t="shared" ca="1" si="12"/>
        <v>#N/A</v>
      </c>
      <c r="T52" s="14" t="e">
        <f t="shared" ca="1" si="12"/>
        <v>#N/A</v>
      </c>
      <c r="U52" s="14" t="e">
        <f t="shared" ca="1" si="12"/>
        <v>#N/A</v>
      </c>
      <c r="V52" s="14" t="e">
        <f t="shared" ca="1" si="12"/>
        <v>#N/A</v>
      </c>
      <c r="W52" s="14" t="e">
        <f t="shared" ca="1" si="12"/>
        <v>#N/A</v>
      </c>
      <c r="X52" s="14" t="e">
        <f t="shared" ca="1" si="12"/>
        <v>#N/A</v>
      </c>
      <c r="Y52" s="14" t="e">
        <f t="shared" ca="1" si="12"/>
        <v>#N/A</v>
      </c>
      <c r="Z52" s="14" t="e">
        <f t="shared" ca="1" si="12"/>
        <v>#N/A</v>
      </c>
      <c r="AA52" s="14" t="e">
        <f t="shared" ca="1" si="12"/>
        <v>#N/A</v>
      </c>
      <c r="AB52" s="14" t="e">
        <f t="shared" ca="1" si="12"/>
        <v>#N/A</v>
      </c>
      <c r="AC52" s="14" t="e">
        <f t="shared" ca="1" si="12"/>
        <v>#N/A</v>
      </c>
      <c r="AD52" s="14" t="e">
        <f t="shared" ca="1" si="12"/>
        <v>#N/A</v>
      </c>
      <c r="AE52" s="14" t="e">
        <f t="shared" ca="1" si="12"/>
        <v>#N/A</v>
      </c>
      <c r="AF52" s="14" t="e">
        <f t="shared" ca="1" si="12"/>
        <v>#N/A</v>
      </c>
      <c r="AG52" s="14" t="e">
        <f t="shared" ca="1" si="12"/>
        <v>#N/A</v>
      </c>
      <c r="AH52" s="14" t="e">
        <f t="shared" ca="1" si="12"/>
        <v>#N/A</v>
      </c>
      <c r="AI52" s="14" t="e">
        <f t="shared" ca="1" si="12"/>
        <v>#N/A</v>
      </c>
      <c r="AJ52" s="14" t="e">
        <f t="shared" ca="1" si="12"/>
        <v>#N/A</v>
      </c>
      <c r="AK52" s="14" t="e">
        <f t="shared" ca="1" si="12"/>
        <v>#N/A</v>
      </c>
      <c r="AL52" s="14" t="e">
        <f t="shared" ca="1" si="12"/>
        <v>#N/A</v>
      </c>
    </row>
    <row r="53" spans="1:38" ht="21" hidden="1" customHeight="1" outlineLevel="1" thickBot="1" x14ac:dyDescent="0.4">
      <c r="A53" s="5">
        <f t="shared" si="9"/>
        <v>0</v>
      </c>
      <c r="B53" s="5">
        <f t="shared" si="9"/>
        <v>0</v>
      </c>
      <c r="C53" s="5">
        <f t="shared" si="9"/>
        <v>0</v>
      </c>
      <c r="D53" s="5">
        <f t="shared" si="9"/>
        <v>0</v>
      </c>
      <c r="E53" s="6">
        <f t="shared" si="9"/>
        <v>0</v>
      </c>
      <c r="F53" s="14" t="e">
        <f t="shared" ca="1" si="10"/>
        <v>#N/A</v>
      </c>
      <c r="G53" s="14" t="e">
        <f t="shared" ca="1" si="12"/>
        <v>#N/A</v>
      </c>
      <c r="H53" s="14" t="e">
        <f t="shared" ca="1" si="12"/>
        <v>#N/A</v>
      </c>
      <c r="I53" s="14" t="e">
        <f t="shared" ca="1" si="12"/>
        <v>#N/A</v>
      </c>
      <c r="J53" s="14" t="e">
        <f t="shared" ca="1" si="12"/>
        <v>#N/A</v>
      </c>
      <c r="K53" s="14" t="e">
        <f t="shared" ca="1" si="12"/>
        <v>#N/A</v>
      </c>
      <c r="L53" s="14" t="e">
        <f t="shared" ca="1" si="12"/>
        <v>#N/A</v>
      </c>
      <c r="M53" s="14" t="e">
        <f t="shared" ca="1" si="12"/>
        <v>#N/A</v>
      </c>
      <c r="N53" s="14" t="e">
        <f t="shared" ca="1" si="12"/>
        <v>#N/A</v>
      </c>
      <c r="O53" s="14" t="e">
        <f t="shared" ca="1" si="12"/>
        <v>#N/A</v>
      </c>
      <c r="P53" s="14" t="e">
        <f t="shared" ca="1" si="12"/>
        <v>#N/A</v>
      </c>
      <c r="Q53" s="14" t="e">
        <f t="shared" ca="1" si="12"/>
        <v>#N/A</v>
      </c>
      <c r="R53" s="14" t="e">
        <f t="shared" ca="1" si="12"/>
        <v>#N/A</v>
      </c>
      <c r="S53" s="14" t="e">
        <f t="shared" ca="1" si="12"/>
        <v>#N/A</v>
      </c>
      <c r="T53" s="14" t="e">
        <f t="shared" ca="1" si="12"/>
        <v>#N/A</v>
      </c>
      <c r="U53" s="14" t="e">
        <f t="shared" ca="1" si="12"/>
        <v>#N/A</v>
      </c>
      <c r="V53" s="14" t="e">
        <f t="shared" ca="1" si="12"/>
        <v>#N/A</v>
      </c>
      <c r="W53" s="14" t="e">
        <f t="shared" ca="1" si="12"/>
        <v>#N/A</v>
      </c>
      <c r="X53" s="14" t="e">
        <f t="shared" ca="1" si="12"/>
        <v>#N/A</v>
      </c>
      <c r="Y53" s="14" t="e">
        <f t="shared" ca="1" si="12"/>
        <v>#N/A</v>
      </c>
      <c r="Z53" s="14" t="e">
        <f t="shared" ca="1" si="12"/>
        <v>#N/A</v>
      </c>
      <c r="AA53" s="14" t="e">
        <f t="shared" ca="1" si="12"/>
        <v>#N/A</v>
      </c>
      <c r="AB53" s="14" t="e">
        <f t="shared" ca="1" si="12"/>
        <v>#N/A</v>
      </c>
      <c r="AC53" s="14" t="e">
        <f t="shared" ca="1" si="12"/>
        <v>#N/A</v>
      </c>
      <c r="AD53" s="14" t="e">
        <f t="shared" ca="1" si="12"/>
        <v>#N/A</v>
      </c>
      <c r="AE53" s="14" t="e">
        <f t="shared" ca="1" si="12"/>
        <v>#N/A</v>
      </c>
      <c r="AF53" s="14" t="e">
        <f t="shared" ca="1" si="12"/>
        <v>#N/A</v>
      </c>
      <c r="AG53" s="14" t="e">
        <f t="shared" ca="1" si="12"/>
        <v>#N/A</v>
      </c>
      <c r="AH53" s="14" t="e">
        <f t="shared" ca="1" si="12"/>
        <v>#N/A</v>
      </c>
      <c r="AI53" s="14" t="e">
        <f t="shared" ca="1" si="12"/>
        <v>#N/A</v>
      </c>
      <c r="AJ53" s="14" t="e">
        <f t="shared" ca="1" si="12"/>
        <v>#N/A</v>
      </c>
      <c r="AK53" s="14" t="e">
        <f t="shared" ca="1" si="12"/>
        <v>#N/A</v>
      </c>
      <c r="AL53" s="14" t="e">
        <f t="shared" ca="1" si="12"/>
        <v>#N/A</v>
      </c>
    </row>
    <row r="54" spans="1:38" ht="21" hidden="1" customHeight="1" outlineLevel="1" thickBot="1" x14ac:dyDescent="0.4">
      <c r="A54" s="5">
        <f t="shared" si="9"/>
        <v>0</v>
      </c>
      <c r="B54" s="5">
        <f t="shared" si="9"/>
        <v>0</v>
      </c>
      <c r="C54" s="5">
        <f t="shared" si="9"/>
        <v>0</v>
      </c>
      <c r="D54" s="5">
        <f t="shared" si="9"/>
        <v>0</v>
      </c>
      <c r="E54" s="6">
        <f t="shared" si="9"/>
        <v>0</v>
      </c>
      <c r="F54" s="14" t="e">
        <f t="shared" ca="1" si="10"/>
        <v>#N/A</v>
      </c>
      <c r="G54" s="14" t="e">
        <f t="shared" ca="1" si="12"/>
        <v>#N/A</v>
      </c>
      <c r="H54" s="14" t="e">
        <f t="shared" ca="1" si="12"/>
        <v>#N/A</v>
      </c>
      <c r="I54" s="14" t="e">
        <f t="shared" ca="1" si="12"/>
        <v>#N/A</v>
      </c>
      <c r="J54" s="14" t="e">
        <f t="shared" ca="1" si="12"/>
        <v>#N/A</v>
      </c>
      <c r="K54" s="14" t="e">
        <f t="shared" ca="1" si="12"/>
        <v>#N/A</v>
      </c>
      <c r="L54" s="14" t="e">
        <f t="shared" ca="1" si="12"/>
        <v>#N/A</v>
      </c>
      <c r="M54" s="14" t="e">
        <f t="shared" ca="1" si="12"/>
        <v>#N/A</v>
      </c>
      <c r="N54" s="14" t="e">
        <f t="shared" ca="1" si="12"/>
        <v>#N/A</v>
      </c>
      <c r="O54" s="14" t="e">
        <f t="shared" ca="1" si="12"/>
        <v>#N/A</v>
      </c>
      <c r="P54" s="14" t="e">
        <f t="shared" ca="1" si="12"/>
        <v>#N/A</v>
      </c>
      <c r="Q54" s="14" t="e">
        <f t="shared" ca="1" si="12"/>
        <v>#N/A</v>
      </c>
      <c r="R54" s="14" t="e">
        <f t="shared" ca="1" si="12"/>
        <v>#N/A</v>
      </c>
      <c r="S54" s="14" t="e">
        <f t="shared" ca="1" si="12"/>
        <v>#N/A</v>
      </c>
      <c r="T54" s="14" t="e">
        <f t="shared" ca="1" si="12"/>
        <v>#N/A</v>
      </c>
      <c r="U54" s="14" t="e">
        <f t="shared" ref="U54:AL54" ca="1" si="13">$A54*H.Ar + $B54*H.Se + $C54*H.Ge + $D54*H.Ga</f>
        <v>#N/A</v>
      </c>
      <c r="V54" s="14" t="e">
        <f t="shared" ca="1" si="13"/>
        <v>#N/A</v>
      </c>
      <c r="W54" s="14" t="e">
        <f t="shared" ca="1" si="13"/>
        <v>#N/A</v>
      </c>
      <c r="X54" s="14" t="e">
        <f t="shared" ca="1" si="13"/>
        <v>#N/A</v>
      </c>
      <c r="Y54" s="14" t="e">
        <f t="shared" ca="1" si="13"/>
        <v>#N/A</v>
      </c>
      <c r="Z54" s="14" t="e">
        <f t="shared" ca="1" si="13"/>
        <v>#N/A</v>
      </c>
      <c r="AA54" s="14" t="e">
        <f t="shared" ca="1" si="13"/>
        <v>#N/A</v>
      </c>
      <c r="AB54" s="14" t="e">
        <f t="shared" ca="1" si="13"/>
        <v>#N/A</v>
      </c>
      <c r="AC54" s="14" t="e">
        <f t="shared" ca="1" si="13"/>
        <v>#N/A</v>
      </c>
      <c r="AD54" s="14" t="e">
        <f t="shared" ca="1" si="13"/>
        <v>#N/A</v>
      </c>
      <c r="AE54" s="14" t="e">
        <f t="shared" ca="1" si="13"/>
        <v>#N/A</v>
      </c>
      <c r="AF54" s="14" t="e">
        <f t="shared" ca="1" si="13"/>
        <v>#N/A</v>
      </c>
      <c r="AG54" s="14" t="e">
        <f t="shared" ca="1" si="13"/>
        <v>#N/A</v>
      </c>
      <c r="AH54" s="14" t="e">
        <f t="shared" ca="1" si="13"/>
        <v>#N/A</v>
      </c>
      <c r="AI54" s="14" t="e">
        <f t="shared" ca="1" si="13"/>
        <v>#N/A</v>
      </c>
      <c r="AJ54" s="14" t="e">
        <f t="shared" ca="1" si="13"/>
        <v>#N/A</v>
      </c>
      <c r="AK54" s="14" t="e">
        <f t="shared" ca="1" si="13"/>
        <v>#N/A</v>
      </c>
      <c r="AL54" s="14" t="e">
        <f t="shared" ca="1" si="13"/>
        <v>#N/A</v>
      </c>
    </row>
    <row r="55" spans="1:38" ht="21" hidden="1" customHeight="1" outlineLevel="1" thickBot="1" x14ac:dyDescent="0.4">
      <c r="A55" s="5">
        <f t="shared" si="9"/>
        <v>0</v>
      </c>
      <c r="B55" s="5">
        <f t="shared" si="9"/>
        <v>0</v>
      </c>
      <c r="C55" s="5">
        <f t="shared" si="9"/>
        <v>0</v>
      </c>
      <c r="D55" s="5">
        <f t="shared" si="9"/>
        <v>0</v>
      </c>
      <c r="E55" s="6">
        <f t="shared" si="9"/>
        <v>0</v>
      </c>
      <c r="F55" s="14" t="e">
        <f t="shared" ca="1" si="10"/>
        <v>#N/A</v>
      </c>
      <c r="G55" s="14" t="e">
        <f t="shared" ref="G55:AL62" ca="1" si="14">$A55*H.Ar + $B55*H.Se + $C55*H.Ge + $D55*H.Ga</f>
        <v>#N/A</v>
      </c>
      <c r="H55" s="14" t="e">
        <f t="shared" ca="1" si="14"/>
        <v>#N/A</v>
      </c>
      <c r="I55" s="14" t="e">
        <f t="shared" ca="1" si="14"/>
        <v>#N/A</v>
      </c>
      <c r="J55" s="14" t="e">
        <f t="shared" ca="1" si="14"/>
        <v>#N/A</v>
      </c>
      <c r="K55" s="14" t="e">
        <f t="shared" ca="1" si="14"/>
        <v>#N/A</v>
      </c>
      <c r="L55" s="14" t="e">
        <f t="shared" ca="1" si="14"/>
        <v>#N/A</v>
      </c>
      <c r="M55" s="14" t="e">
        <f t="shared" ca="1" si="14"/>
        <v>#N/A</v>
      </c>
      <c r="N55" s="14" t="e">
        <f t="shared" ca="1" si="14"/>
        <v>#N/A</v>
      </c>
      <c r="O55" s="14" t="e">
        <f t="shared" ca="1" si="14"/>
        <v>#N/A</v>
      </c>
      <c r="P55" s="14" t="e">
        <f t="shared" ca="1" si="14"/>
        <v>#N/A</v>
      </c>
      <c r="Q55" s="14" t="e">
        <f t="shared" ca="1" si="14"/>
        <v>#N/A</v>
      </c>
      <c r="R55" s="14" t="e">
        <f t="shared" ca="1" si="14"/>
        <v>#N/A</v>
      </c>
      <c r="S55" s="14" t="e">
        <f t="shared" ca="1" si="14"/>
        <v>#N/A</v>
      </c>
      <c r="T55" s="14" t="e">
        <f t="shared" ca="1" si="14"/>
        <v>#N/A</v>
      </c>
      <c r="U55" s="14" t="e">
        <f t="shared" ca="1" si="14"/>
        <v>#N/A</v>
      </c>
      <c r="V55" s="14" t="e">
        <f t="shared" ca="1" si="14"/>
        <v>#N/A</v>
      </c>
      <c r="W55" s="14" t="e">
        <f t="shared" ca="1" si="14"/>
        <v>#N/A</v>
      </c>
      <c r="X55" s="14" t="e">
        <f t="shared" ca="1" si="14"/>
        <v>#N/A</v>
      </c>
      <c r="Y55" s="14" t="e">
        <f t="shared" ca="1" si="14"/>
        <v>#N/A</v>
      </c>
      <c r="Z55" s="14" t="e">
        <f t="shared" ca="1" si="14"/>
        <v>#N/A</v>
      </c>
      <c r="AA55" s="14" t="e">
        <f t="shared" ca="1" si="14"/>
        <v>#N/A</v>
      </c>
      <c r="AB55" s="14" t="e">
        <f t="shared" ca="1" si="14"/>
        <v>#N/A</v>
      </c>
      <c r="AC55" s="14" t="e">
        <f t="shared" ca="1" si="14"/>
        <v>#N/A</v>
      </c>
      <c r="AD55" s="14" t="e">
        <f t="shared" ca="1" si="14"/>
        <v>#N/A</v>
      </c>
      <c r="AE55" s="14" t="e">
        <f t="shared" ca="1" si="14"/>
        <v>#N/A</v>
      </c>
      <c r="AF55" s="14" t="e">
        <f t="shared" ca="1" si="14"/>
        <v>#N/A</v>
      </c>
      <c r="AG55" s="14" t="e">
        <f t="shared" ca="1" si="14"/>
        <v>#N/A</v>
      </c>
      <c r="AH55" s="14" t="e">
        <f t="shared" ca="1" si="14"/>
        <v>#N/A</v>
      </c>
      <c r="AI55" s="14" t="e">
        <f t="shared" ca="1" si="14"/>
        <v>#N/A</v>
      </c>
      <c r="AJ55" s="14" t="e">
        <f t="shared" ca="1" si="14"/>
        <v>#N/A</v>
      </c>
      <c r="AK55" s="14" t="e">
        <f t="shared" ca="1" si="14"/>
        <v>#N/A</v>
      </c>
      <c r="AL55" s="14" t="e">
        <f t="shared" ca="1" si="14"/>
        <v>#N/A</v>
      </c>
    </row>
    <row r="56" spans="1:38" ht="21" hidden="1" customHeight="1" outlineLevel="1" thickBot="1" x14ac:dyDescent="0.4">
      <c r="A56" s="5">
        <f t="shared" ref="A56:E65" si="15">A14</f>
        <v>0</v>
      </c>
      <c r="B56" s="5">
        <f t="shared" si="15"/>
        <v>0</v>
      </c>
      <c r="C56" s="5">
        <f t="shared" si="15"/>
        <v>0</v>
      </c>
      <c r="D56" s="5">
        <f t="shared" si="15"/>
        <v>0</v>
      </c>
      <c r="E56" s="6">
        <f t="shared" si="15"/>
        <v>0</v>
      </c>
      <c r="F56" s="14" t="e">
        <f t="shared" ref="F56:U65" ca="1" si="16">$A56*H.Ar + $B56*H.Se + $C56*H.Ge + $D56*H.Ga</f>
        <v>#N/A</v>
      </c>
      <c r="G56" s="14" t="e">
        <f t="shared" ca="1" si="16"/>
        <v>#N/A</v>
      </c>
      <c r="H56" s="14" t="e">
        <f t="shared" ca="1" si="16"/>
        <v>#N/A</v>
      </c>
      <c r="I56" s="14" t="e">
        <f t="shared" ca="1" si="16"/>
        <v>#N/A</v>
      </c>
      <c r="J56" s="14" t="e">
        <f t="shared" ca="1" si="16"/>
        <v>#N/A</v>
      </c>
      <c r="K56" s="14" t="e">
        <f t="shared" ca="1" si="16"/>
        <v>#N/A</v>
      </c>
      <c r="L56" s="14" t="e">
        <f t="shared" ca="1" si="16"/>
        <v>#N/A</v>
      </c>
      <c r="M56" s="14" t="e">
        <f t="shared" ca="1" si="16"/>
        <v>#N/A</v>
      </c>
      <c r="N56" s="14" t="e">
        <f t="shared" ca="1" si="16"/>
        <v>#N/A</v>
      </c>
      <c r="O56" s="14" t="e">
        <f t="shared" ca="1" si="16"/>
        <v>#N/A</v>
      </c>
      <c r="P56" s="14" t="e">
        <f t="shared" ca="1" si="16"/>
        <v>#N/A</v>
      </c>
      <c r="Q56" s="14" t="e">
        <f t="shared" ca="1" si="16"/>
        <v>#N/A</v>
      </c>
      <c r="R56" s="14" t="e">
        <f t="shared" ca="1" si="16"/>
        <v>#N/A</v>
      </c>
      <c r="S56" s="14" t="e">
        <f t="shared" ca="1" si="16"/>
        <v>#N/A</v>
      </c>
      <c r="T56" s="14" t="e">
        <f t="shared" ca="1" si="16"/>
        <v>#N/A</v>
      </c>
      <c r="U56" s="14" t="e">
        <f t="shared" ca="1" si="16"/>
        <v>#N/A</v>
      </c>
      <c r="V56" s="14" t="e">
        <f t="shared" ca="1" si="14"/>
        <v>#N/A</v>
      </c>
      <c r="W56" s="14" t="e">
        <f t="shared" ca="1" si="14"/>
        <v>#N/A</v>
      </c>
      <c r="X56" s="14" t="e">
        <f t="shared" ca="1" si="14"/>
        <v>#N/A</v>
      </c>
      <c r="Y56" s="14" t="e">
        <f t="shared" ca="1" si="14"/>
        <v>#N/A</v>
      </c>
      <c r="Z56" s="14" t="e">
        <f t="shared" ca="1" si="14"/>
        <v>#N/A</v>
      </c>
      <c r="AA56" s="14" t="e">
        <f t="shared" ca="1" si="14"/>
        <v>#N/A</v>
      </c>
      <c r="AB56" s="14" t="e">
        <f t="shared" ca="1" si="14"/>
        <v>#N/A</v>
      </c>
      <c r="AC56" s="14" t="e">
        <f t="shared" ca="1" si="14"/>
        <v>#N/A</v>
      </c>
      <c r="AD56" s="14" t="e">
        <f t="shared" ca="1" si="14"/>
        <v>#N/A</v>
      </c>
      <c r="AE56" s="14" t="e">
        <f t="shared" ca="1" si="14"/>
        <v>#N/A</v>
      </c>
      <c r="AF56" s="14" t="e">
        <f t="shared" ca="1" si="14"/>
        <v>#N/A</v>
      </c>
      <c r="AG56" s="14" t="e">
        <f t="shared" ca="1" si="14"/>
        <v>#N/A</v>
      </c>
      <c r="AH56" s="14" t="e">
        <f t="shared" ca="1" si="14"/>
        <v>#N/A</v>
      </c>
      <c r="AI56" s="14" t="e">
        <f t="shared" ca="1" si="14"/>
        <v>#N/A</v>
      </c>
      <c r="AJ56" s="14" t="e">
        <f t="shared" ca="1" si="14"/>
        <v>#N/A</v>
      </c>
      <c r="AK56" s="14" t="e">
        <f t="shared" ca="1" si="14"/>
        <v>#N/A</v>
      </c>
      <c r="AL56" s="14" t="e">
        <f t="shared" ca="1" si="14"/>
        <v>#N/A</v>
      </c>
    </row>
    <row r="57" spans="1:38" ht="21" hidden="1" customHeight="1" outlineLevel="1" thickBot="1" x14ac:dyDescent="0.4">
      <c r="A57" s="5">
        <f t="shared" si="15"/>
        <v>0</v>
      </c>
      <c r="B57" s="5">
        <f t="shared" si="15"/>
        <v>0</v>
      </c>
      <c r="C57" s="5">
        <f t="shared" si="15"/>
        <v>0</v>
      </c>
      <c r="D57" s="5">
        <f t="shared" si="15"/>
        <v>0</v>
      </c>
      <c r="E57" s="6">
        <f t="shared" si="15"/>
        <v>0</v>
      </c>
      <c r="F57" s="14" t="e">
        <f t="shared" ca="1" si="16"/>
        <v>#N/A</v>
      </c>
      <c r="G57" s="14" t="e">
        <f t="shared" ca="1" si="14"/>
        <v>#N/A</v>
      </c>
      <c r="H57" s="14" t="e">
        <f t="shared" ca="1" si="14"/>
        <v>#N/A</v>
      </c>
      <c r="I57" s="14" t="e">
        <f t="shared" ca="1" si="14"/>
        <v>#N/A</v>
      </c>
      <c r="J57" s="14" t="e">
        <f t="shared" ca="1" si="14"/>
        <v>#N/A</v>
      </c>
      <c r="K57" s="14" t="e">
        <f t="shared" ca="1" si="14"/>
        <v>#N/A</v>
      </c>
      <c r="L57" s="14" t="e">
        <f t="shared" ca="1" si="14"/>
        <v>#N/A</v>
      </c>
      <c r="M57" s="14" t="e">
        <f t="shared" ca="1" si="14"/>
        <v>#N/A</v>
      </c>
      <c r="N57" s="14" t="e">
        <f t="shared" ca="1" si="14"/>
        <v>#N/A</v>
      </c>
      <c r="O57" s="14" t="e">
        <f t="shared" ca="1" si="14"/>
        <v>#N/A</v>
      </c>
      <c r="P57" s="14" t="e">
        <f t="shared" ca="1" si="14"/>
        <v>#N/A</v>
      </c>
      <c r="Q57" s="14" t="e">
        <f t="shared" ca="1" si="14"/>
        <v>#N/A</v>
      </c>
      <c r="R57" s="14" t="e">
        <f t="shared" ca="1" si="14"/>
        <v>#N/A</v>
      </c>
      <c r="S57" s="14" t="e">
        <f t="shared" ca="1" si="14"/>
        <v>#N/A</v>
      </c>
      <c r="T57" s="14" t="e">
        <f t="shared" ca="1" si="14"/>
        <v>#N/A</v>
      </c>
      <c r="U57" s="14" t="e">
        <f t="shared" ca="1" si="14"/>
        <v>#N/A</v>
      </c>
      <c r="V57" s="14" t="e">
        <f t="shared" ca="1" si="14"/>
        <v>#N/A</v>
      </c>
      <c r="W57" s="14" t="e">
        <f t="shared" ca="1" si="14"/>
        <v>#N/A</v>
      </c>
      <c r="X57" s="14" t="e">
        <f t="shared" ca="1" si="14"/>
        <v>#N/A</v>
      </c>
      <c r="Y57" s="14" t="e">
        <f t="shared" ca="1" si="14"/>
        <v>#N/A</v>
      </c>
      <c r="Z57" s="14" t="e">
        <f t="shared" ca="1" si="14"/>
        <v>#N/A</v>
      </c>
      <c r="AA57" s="14" t="e">
        <f t="shared" ca="1" si="14"/>
        <v>#N/A</v>
      </c>
      <c r="AB57" s="14" t="e">
        <f t="shared" ca="1" si="14"/>
        <v>#N/A</v>
      </c>
      <c r="AC57" s="14" t="e">
        <f t="shared" ca="1" si="14"/>
        <v>#N/A</v>
      </c>
      <c r="AD57" s="14" t="e">
        <f t="shared" ca="1" si="14"/>
        <v>#N/A</v>
      </c>
      <c r="AE57" s="14" t="e">
        <f t="shared" ca="1" si="14"/>
        <v>#N/A</v>
      </c>
      <c r="AF57" s="14" t="e">
        <f t="shared" ca="1" si="14"/>
        <v>#N/A</v>
      </c>
      <c r="AG57" s="14" t="e">
        <f t="shared" ca="1" si="14"/>
        <v>#N/A</v>
      </c>
      <c r="AH57" s="14" t="e">
        <f t="shared" ca="1" si="14"/>
        <v>#N/A</v>
      </c>
      <c r="AI57" s="14" t="e">
        <f t="shared" ca="1" si="14"/>
        <v>#N/A</v>
      </c>
      <c r="AJ57" s="14" t="e">
        <f t="shared" ca="1" si="14"/>
        <v>#N/A</v>
      </c>
      <c r="AK57" s="14" t="e">
        <f t="shared" ca="1" si="14"/>
        <v>#N/A</v>
      </c>
      <c r="AL57" s="14" t="e">
        <f t="shared" ca="1" si="14"/>
        <v>#N/A</v>
      </c>
    </row>
    <row r="58" spans="1:38" ht="21" hidden="1" customHeight="1" outlineLevel="1" thickBot="1" x14ac:dyDescent="0.4">
      <c r="A58" s="5">
        <f t="shared" si="15"/>
        <v>0</v>
      </c>
      <c r="B58" s="5">
        <f t="shared" si="15"/>
        <v>0</v>
      </c>
      <c r="C58" s="5">
        <f t="shared" si="15"/>
        <v>0</v>
      </c>
      <c r="D58" s="5">
        <f t="shared" si="15"/>
        <v>0</v>
      </c>
      <c r="E58" s="6">
        <f t="shared" si="15"/>
        <v>0</v>
      </c>
      <c r="F58" s="14" t="e">
        <f t="shared" ca="1" si="16"/>
        <v>#N/A</v>
      </c>
      <c r="G58" s="14" t="e">
        <f t="shared" ca="1" si="14"/>
        <v>#N/A</v>
      </c>
      <c r="H58" s="14" t="e">
        <f t="shared" ca="1" si="14"/>
        <v>#N/A</v>
      </c>
      <c r="I58" s="14" t="e">
        <f t="shared" ca="1" si="14"/>
        <v>#N/A</v>
      </c>
      <c r="J58" s="14" t="e">
        <f t="shared" ca="1" si="14"/>
        <v>#N/A</v>
      </c>
      <c r="K58" s="14" t="e">
        <f t="shared" ca="1" si="14"/>
        <v>#N/A</v>
      </c>
      <c r="L58" s="14" t="e">
        <f t="shared" ca="1" si="14"/>
        <v>#N/A</v>
      </c>
      <c r="M58" s="14" t="e">
        <f t="shared" ca="1" si="14"/>
        <v>#N/A</v>
      </c>
      <c r="N58" s="14" t="e">
        <f t="shared" ca="1" si="14"/>
        <v>#N/A</v>
      </c>
      <c r="O58" s="14" t="e">
        <f t="shared" ca="1" si="14"/>
        <v>#N/A</v>
      </c>
      <c r="P58" s="14" t="e">
        <f t="shared" ca="1" si="14"/>
        <v>#N/A</v>
      </c>
      <c r="Q58" s="14" t="e">
        <f t="shared" ca="1" si="14"/>
        <v>#N/A</v>
      </c>
      <c r="R58" s="14" t="e">
        <f t="shared" ca="1" si="14"/>
        <v>#N/A</v>
      </c>
      <c r="S58" s="14" t="e">
        <f t="shared" ca="1" si="14"/>
        <v>#N/A</v>
      </c>
      <c r="T58" s="14" t="e">
        <f t="shared" ca="1" si="14"/>
        <v>#N/A</v>
      </c>
      <c r="U58" s="14" t="e">
        <f t="shared" ca="1" si="14"/>
        <v>#N/A</v>
      </c>
      <c r="V58" s="14" t="e">
        <f t="shared" ca="1" si="14"/>
        <v>#N/A</v>
      </c>
      <c r="W58" s="14" t="e">
        <f t="shared" ca="1" si="14"/>
        <v>#N/A</v>
      </c>
      <c r="X58" s="14" t="e">
        <f t="shared" ca="1" si="14"/>
        <v>#N/A</v>
      </c>
      <c r="Y58" s="14" t="e">
        <f t="shared" ca="1" si="14"/>
        <v>#N/A</v>
      </c>
      <c r="Z58" s="14" t="e">
        <f t="shared" ca="1" si="14"/>
        <v>#N/A</v>
      </c>
      <c r="AA58" s="14" t="e">
        <f t="shared" ca="1" si="14"/>
        <v>#N/A</v>
      </c>
      <c r="AB58" s="14" t="e">
        <f t="shared" ca="1" si="14"/>
        <v>#N/A</v>
      </c>
      <c r="AC58" s="14" t="e">
        <f t="shared" ca="1" si="14"/>
        <v>#N/A</v>
      </c>
      <c r="AD58" s="14" t="e">
        <f t="shared" ca="1" si="14"/>
        <v>#N/A</v>
      </c>
      <c r="AE58" s="14" t="e">
        <f t="shared" ca="1" si="14"/>
        <v>#N/A</v>
      </c>
      <c r="AF58" s="14" t="e">
        <f t="shared" ca="1" si="14"/>
        <v>#N/A</v>
      </c>
      <c r="AG58" s="14" t="e">
        <f t="shared" ca="1" si="14"/>
        <v>#N/A</v>
      </c>
      <c r="AH58" s="14" t="e">
        <f t="shared" ca="1" si="14"/>
        <v>#N/A</v>
      </c>
      <c r="AI58" s="14" t="e">
        <f t="shared" ca="1" si="14"/>
        <v>#N/A</v>
      </c>
      <c r="AJ58" s="14" t="e">
        <f t="shared" ca="1" si="14"/>
        <v>#N/A</v>
      </c>
      <c r="AK58" s="14" t="e">
        <f t="shared" ca="1" si="14"/>
        <v>#N/A</v>
      </c>
      <c r="AL58" s="14" t="e">
        <f t="shared" ca="1" si="14"/>
        <v>#N/A</v>
      </c>
    </row>
    <row r="59" spans="1:38" ht="21" hidden="1" customHeight="1" outlineLevel="1" thickBot="1" x14ac:dyDescent="0.4">
      <c r="A59" s="5">
        <f t="shared" si="15"/>
        <v>0</v>
      </c>
      <c r="B59" s="5">
        <f t="shared" si="15"/>
        <v>0</v>
      </c>
      <c r="C59" s="5">
        <f t="shared" si="15"/>
        <v>0</v>
      </c>
      <c r="D59" s="5">
        <f t="shared" si="15"/>
        <v>0</v>
      </c>
      <c r="E59" s="6">
        <f t="shared" si="15"/>
        <v>0</v>
      </c>
      <c r="F59" s="14" t="e">
        <f t="shared" ca="1" si="16"/>
        <v>#N/A</v>
      </c>
      <c r="G59" s="14" t="e">
        <f t="shared" ca="1" si="14"/>
        <v>#N/A</v>
      </c>
      <c r="H59" s="14" t="e">
        <f t="shared" ca="1" si="14"/>
        <v>#N/A</v>
      </c>
      <c r="I59" s="14" t="e">
        <f t="shared" ca="1" si="14"/>
        <v>#N/A</v>
      </c>
      <c r="J59" s="14" t="e">
        <f t="shared" ca="1" si="14"/>
        <v>#N/A</v>
      </c>
      <c r="K59" s="14" t="e">
        <f t="shared" ca="1" si="14"/>
        <v>#N/A</v>
      </c>
      <c r="L59" s="14" t="e">
        <f t="shared" ca="1" si="14"/>
        <v>#N/A</v>
      </c>
      <c r="M59" s="14" t="e">
        <f t="shared" ca="1" si="14"/>
        <v>#N/A</v>
      </c>
      <c r="N59" s="14" t="e">
        <f t="shared" ca="1" si="14"/>
        <v>#N/A</v>
      </c>
      <c r="O59" s="14" t="e">
        <f t="shared" ca="1" si="14"/>
        <v>#N/A</v>
      </c>
      <c r="P59" s="14" t="e">
        <f t="shared" ca="1" si="14"/>
        <v>#N/A</v>
      </c>
      <c r="Q59" s="14" t="e">
        <f t="shared" ca="1" si="14"/>
        <v>#N/A</v>
      </c>
      <c r="R59" s="14" t="e">
        <f t="shared" ca="1" si="14"/>
        <v>#N/A</v>
      </c>
      <c r="S59" s="14" t="e">
        <f t="shared" ca="1" si="14"/>
        <v>#N/A</v>
      </c>
      <c r="T59" s="14" t="e">
        <f t="shared" ca="1" si="14"/>
        <v>#N/A</v>
      </c>
      <c r="U59" s="14" t="e">
        <f t="shared" ca="1" si="14"/>
        <v>#N/A</v>
      </c>
      <c r="V59" s="14" t="e">
        <f t="shared" ca="1" si="14"/>
        <v>#N/A</v>
      </c>
      <c r="W59" s="14" t="e">
        <f t="shared" ca="1" si="14"/>
        <v>#N/A</v>
      </c>
      <c r="X59" s="14" t="e">
        <f t="shared" ca="1" si="14"/>
        <v>#N/A</v>
      </c>
      <c r="Y59" s="14" t="e">
        <f t="shared" ca="1" si="14"/>
        <v>#N/A</v>
      </c>
      <c r="Z59" s="14" t="e">
        <f t="shared" ca="1" si="14"/>
        <v>#N/A</v>
      </c>
      <c r="AA59" s="14" t="e">
        <f t="shared" ca="1" si="14"/>
        <v>#N/A</v>
      </c>
      <c r="AB59" s="14" t="e">
        <f t="shared" ca="1" si="14"/>
        <v>#N/A</v>
      </c>
      <c r="AC59" s="14" t="e">
        <f t="shared" ca="1" si="14"/>
        <v>#N/A</v>
      </c>
      <c r="AD59" s="14" t="e">
        <f t="shared" ca="1" si="14"/>
        <v>#N/A</v>
      </c>
      <c r="AE59" s="14" t="e">
        <f t="shared" ca="1" si="14"/>
        <v>#N/A</v>
      </c>
      <c r="AF59" s="14" t="e">
        <f t="shared" ca="1" si="14"/>
        <v>#N/A</v>
      </c>
      <c r="AG59" s="14" t="e">
        <f t="shared" ca="1" si="14"/>
        <v>#N/A</v>
      </c>
      <c r="AH59" s="14" t="e">
        <f t="shared" ca="1" si="14"/>
        <v>#N/A</v>
      </c>
      <c r="AI59" s="14" t="e">
        <f t="shared" ca="1" si="14"/>
        <v>#N/A</v>
      </c>
      <c r="AJ59" s="14" t="e">
        <f t="shared" ca="1" si="14"/>
        <v>#N/A</v>
      </c>
      <c r="AK59" s="14" t="e">
        <f t="shared" ca="1" si="14"/>
        <v>#N/A</v>
      </c>
      <c r="AL59" s="14" t="e">
        <f t="shared" ca="1" si="14"/>
        <v>#N/A</v>
      </c>
    </row>
    <row r="60" spans="1:38" ht="21" hidden="1" customHeight="1" outlineLevel="1" thickBot="1" x14ac:dyDescent="0.4">
      <c r="A60" s="5">
        <f t="shared" si="15"/>
        <v>0</v>
      </c>
      <c r="B60" s="5">
        <f t="shared" si="15"/>
        <v>0</v>
      </c>
      <c r="C60" s="5">
        <f t="shared" si="15"/>
        <v>0</v>
      </c>
      <c r="D60" s="5">
        <f t="shared" si="15"/>
        <v>0</v>
      </c>
      <c r="E60" s="6">
        <f t="shared" si="15"/>
        <v>0</v>
      </c>
      <c r="F60" s="14" t="e">
        <f t="shared" ca="1" si="16"/>
        <v>#N/A</v>
      </c>
      <c r="G60" s="14" t="e">
        <f t="shared" ca="1" si="14"/>
        <v>#N/A</v>
      </c>
      <c r="H60" s="14" t="e">
        <f t="shared" ca="1" si="14"/>
        <v>#N/A</v>
      </c>
      <c r="I60" s="14" t="e">
        <f t="shared" ca="1" si="14"/>
        <v>#N/A</v>
      </c>
      <c r="J60" s="14" t="e">
        <f t="shared" ca="1" si="14"/>
        <v>#N/A</v>
      </c>
      <c r="K60" s="14" t="e">
        <f t="shared" ca="1" si="14"/>
        <v>#N/A</v>
      </c>
      <c r="L60" s="14" t="e">
        <f t="shared" ca="1" si="14"/>
        <v>#N/A</v>
      </c>
      <c r="M60" s="14" t="e">
        <f t="shared" ca="1" si="14"/>
        <v>#N/A</v>
      </c>
      <c r="N60" s="14" t="e">
        <f t="shared" ca="1" si="14"/>
        <v>#N/A</v>
      </c>
      <c r="O60" s="14" t="e">
        <f t="shared" ca="1" si="14"/>
        <v>#N/A</v>
      </c>
      <c r="P60" s="14" t="e">
        <f t="shared" ca="1" si="14"/>
        <v>#N/A</v>
      </c>
      <c r="Q60" s="14" t="e">
        <f t="shared" ca="1" si="14"/>
        <v>#N/A</v>
      </c>
      <c r="R60" s="14" t="e">
        <f t="shared" ca="1" si="14"/>
        <v>#N/A</v>
      </c>
      <c r="S60" s="14" t="e">
        <f t="shared" ca="1" si="14"/>
        <v>#N/A</v>
      </c>
      <c r="T60" s="14" t="e">
        <f t="shared" ca="1" si="14"/>
        <v>#N/A</v>
      </c>
      <c r="U60" s="14" t="e">
        <f t="shared" ca="1" si="14"/>
        <v>#N/A</v>
      </c>
      <c r="V60" s="14" t="e">
        <f t="shared" ca="1" si="14"/>
        <v>#N/A</v>
      </c>
      <c r="W60" s="14" t="e">
        <f t="shared" ca="1" si="14"/>
        <v>#N/A</v>
      </c>
      <c r="X60" s="14" t="e">
        <f t="shared" ca="1" si="14"/>
        <v>#N/A</v>
      </c>
      <c r="Y60" s="14" t="e">
        <f t="shared" ca="1" si="14"/>
        <v>#N/A</v>
      </c>
      <c r="Z60" s="14" t="e">
        <f t="shared" ca="1" si="14"/>
        <v>#N/A</v>
      </c>
      <c r="AA60" s="14" t="e">
        <f t="shared" ca="1" si="14"/>
        <v>#N/A</v>
      </c>
      <c r="AB60" s="14" t="e">
        <f t="shared" ca="1" si="14"/>
        <v>#N/A</v>
      </c>
      <c r="AC60" s="14" t="e">
        <f t="shared" ca="1" si="14"/>
        <v>#N/A</v>
      </c>
      <c r="AD60" s="14" t="e">
        <f t="shared" ca="1" si="14"/>
        <v>#N/A</v>
      </c>
      <c r="AE60" s="14" t="e">
        <f t="shared" ca="1" si="14"/>
        <v>#N/A</v>
      </c>
      <c r="AF60" s="14" t="e">
        <f t="shared" ca="1" si="14"/>
        <v>#N/A</v>
      </c>
      <c r="AG60" s="14" t="e">
        <f t="shared" ca="1" si="14"/>
        <v>#N/A</v>
      </c>
      <c r="AH60" s="14" t="e">
        <f t="shared" ca="1" si="14"/>
        <v>#N/A</v>
      </c>
      <c r="AI60" s="14" t="e">
        <f t="shared" ca="1" si="14"/>
        <v>#N/A</v>
      </c>
      <c r="AJ60" s="14" t="e">
        <f t="shared" ca="1" si="14"/>
        <v>#N/A</v>
      </c>
      <c r="AK60" s="14" t="e">
        <f t="shared" ca="1" si="14"/>
        <v>#N/A</v>
      </c>
      <c r="AL60" s="14" t="e">
        <f t="shared" ca="1" si="14"/>
        <v>#N/A</v>
      </c>
    </row>
    <row r="61" spans="1:38" ht="21" hidden="1" customHeight="1" outlineLevel="1" thickBot="1" x14ac:dyDescent="0.4">
      <c r="A61" s="5">
        <f t="shared" si="15"/>
        <v>0</v>
      </c>
      <c r="B61" s="5">
        <f t="shared" si="15"/>
        <v>0</v>
      </c>
      <c r="C61" s="5">
        <f t="shared" si="15"/>
        <v>0</v>
      </c>
      <c r="D61" s="5">
        <f t="shared" si="15"/>
        <v>0</v>
      </c>
      <c r="E61" s="6">
        <f t="shared" si="15"/>
        <v>0</v>
      </c>
      <c r="F61" s="14" t="e">
        <f t="shared" ca="1" si="16"/>
        <v>#N/A</v>
      </c>
      <c r="G61" s="14" t="e">
        <f t="shared" ca="1" si="14"/>
        <v>#N/A</v>
      </c>
      <c r="H61" s="14" t="e">
        <f t="shared" ca="1" si="14"/>
        <v>#N/A</v>
      </c>
      <c r="I61" s="14" t="e">
        <f t="shared" ca="1" si="14"/>
        <v>#N/A</v>
      </c>
      <c r="J61" s="14" t="e">
        <f t="shared" ca="1" si="14"/>
        <v>#N/A</v>
      </c>
      <c r="K61" s="14" t="e">
        <f t="shared" ca="1" si="14"/>
        <v>#N/A</v>
      </c>
      <c r="L61" s="14" t="e">
        <f t="shared" ca="1" si="14"/>
        <v>#N/A</v>
      </c>
      <c r="M61" s="14" t="e">
        <f t="shared" ca="1" si="14"/>
        <v>#N/A</v>
      </c>
      <c r="N61" s="14" t="e">
        <f t="shared" ca="1" si="14"/>
        <v>#N/A</v>
      </c>
      <c r="O61" s="14" t="e">
        <f t="shared" ca="1" si="14"/>
        <v>#N/A</v>
      </c>
      <c r="P61" s="14" t="e">
        <f t="shared" ca="1" si="14"/>
        <v>#N/A</v>
      </c>
      <c r="Q61" s="14" t="e">
        <f t="shared" ca="1" si="14"/>
        <v>#N/A</v>
      </c>
      <c r="R61" s="14" t="e">
        <f t="shared" ca="1" si="14"/>
        <v>#N/A</v>
      </c>
      <c r="S61" s="14" t="e">
        <f t="shared" ca="1" si="14"/>
        <v>#N/A</v>
      </c>
      <c r="T61" s="14" t="e">
        <f t="shared" ca="1" si="14"/>
        <v>#N/A</v>
      </c>
      <c r="U61" s="14" t="e">
        <f t="shared" ca="1" si="14"/>
        <v>#N/A</v>
      </c>
      <c r="V61" s="14" t="e">
        <f t="shared" ca="1" si="14"/>
        <v>#N/A</v>
      </c>
      <c r="W61" s="14" t="e">
        <f t="shared" ca="1" si="14"/>
        <v>#N/A</v>
      </c>
      <c r="X61" s="14" t="e">
        <f t="shared" ca="1" si="14"/>
        <v>#N/A</v>
      </c>
      <c r="Y61" s="14" t="e">
        <f t="shared" ca="1" si="14"/>
        <v>#N/A</v>
      </c>
      <c r="Z61" s="14" t="e">
        <f t="shared" ca="1" si="14"/>
        <v>#N/A</v>
      </c>
      <c r="AA61" s="14" t="e">
        <f t="shared" ca="1" si="14"/>
        <v>#N/A</v>
      </c>
      <c r="AB61" s="14" t="e">
        <f t="shared" ca="1" si="14"/>
        <v>#N/A</v>
      </c>
      <c r="AC61" s="14" t="e">
        <f t="shared" ca="1" si="14"/>
        <v>#N/A</v>
      </c>
      <c r="AD61" s="14" t="e">
        <f t="shared" ca="1" si="14"/>
        <v>#N/A</v>
      </c>
      <c r="AE61" s="14" t="e">
        <f t="shared" ca="1" si="14"/>
        <v>#N/A</v>
      </c>
      <c r="AF61" s="14" t="e">
        <f t="shared" ca="1" si="14"/>
        <v>#N/A</v>
      </c>
      <c r="AG61" s="14" t="e">
        <f t="shared" ca="1" si="14"/>
        <v>#N/A</v>
      </c>
      <c r="AH61" s="14" t="e">
        <f t="shared" ca="1" si="14"/>
        <v>#N/A</v>
      </c>
      <c r="AI61" s="14" t="e">
        <f t="shared" ca="1" si="14"/>
        <v>#N/A</v>
      </c>
      <c r="AJ61" s="14" t="e">
        <f t="shared" ca="1" si="14"/>
        <v>#N/A</v>
      </c>
      <c r="AK61" s="14" t="e">
        <f t="shared" ca="1" si="14"/>
        <v>#N/A</v>
      </c>
      <c r="AL61" s="14" t="e">
        <f t="shared" ca="1" si="14"/>
        <v>#N/A</v>
      </c>
    </row>
    <row r="62" spans="1:38" ht="21" hidden="1" customHeight="1" outlineLevel="1" thickBot="1" x14ac:dyDescent="0.4">
      <c r="A62" s="5">
        <f t="shared" si="15"/>
        <v>0</v>
      </c>
      <c r="B62" s="5">
        <f t="shared" si="15"/>
        <v>0</v>
      </c>
      <c r="C62" s="5">
        <f t="shared" si="15"/>
        <v>0</v>
      </c>
      <c r="D62" s="5">
        <f t="shared" si="15"/>
        <v>0</v>
      </c>
      <c r="E62" s="6">
        <f t="shared" si="15"/>
        <v>0</v>
      </c>
      <c r="F62" s="14" t="e">
        <f t="shared" ca="1" si="16"/>
        <v>#N/A</v>
      </c>
      <c r="G62" s="14" t="e">
        <f t="shared" ca="1" si="14"/>
        <v>#N/A</v>
      </c>
      <c r="H62" s="14" t="e">
        <f t="shared" ca="1" si="14"/>
        <v>#N/A</v>
      </c>
      <c r="I62" s="14" t="e">
        <f t="shared" ca="1" si="14"/>
        <v>#N/A</v>
      </c>
      <c r="J62" s="14" t="e">
        <f t="shared" ca="1" si="14"/>
        <v>#N/A</v>
      </c>
      <c r="K62" s="14" t="e">
        <f t="shared" ca="1" si="14"/>
        <v>#N/A</v>
      </c>
      <c r="L62" s="14" t="e">
        <f t="shared" ca="1" si="14"/>
        <v>#N/A</v>
      </c>
      <c r="M62" s="14" t="e">
        <f t="shared" ca="1" si="14"/>
        <v>#N/A</v>
      </c>
      <c r="N62" s="14" t="e">
        <f t="shared" ca="1" si="14"/>
        <v>#N/A</v>
      </c>
      <c r="O62" s="14" t="e">
        <f t="shared" ca="1" si="14"/>
        <v>#N/A</v>
      </c>
      <c r="P62" s="14" t="e">
        <f t="shared" ca="1" si="14"/>
        <v>#N/A</v>
      </c>
      <c r="Q62" s="14" t="e">
        <f t="shared" ca="1" si="14"/>
        <v>#N/A</v>
      </c>
      <c r="R62" s="14" t="e">
        <f t="shared" ca="1" si="14"/>
        <v>#N/A</v>
      </c>
      <c r="S62" s="14" t="e">
        <f t="shared" ca="1" si="14"/>
        <v>#N/A</v>
      </c>
      <c r="T62" s="14" t="e">
        <f t="shared" ca="1" si="14"/>
        <v>#N/A</v>
      </c>
      <c r="U62" s="14" t="e">
        <f t="shared" ca="1" si="14"/>
        <v>#N/A</v>
      </c>
      <c r="V62" s="14" t="e">
        <f t="shared" ca="1" si="14"/>
        <v>#N/A</v>
      </c>
      <c r="W62" s="14" t="e">
        <f t="shared" ca="1" si="14"/>
        <v>#N/A</v>
      </c>
      <c r="X62" s="14" t="e">
        <f t="shared" ca="1" si="14"/>
        <v>#N/A</v>
      </c>
      <c r="Y62" s="14" t="e">
        <f t="shared" ca="1" si="14"/>
        <v>#N/A</v>
      </c>
      <c r="Z62" s="14" t="e">
        <f t="shared" ca="1" si="14"/>
        <v>#N/A</v>
      </c>
      <c r="AA62" s="14" t="e">
        <f t="shared" ca="1" si="14"/>
        <v>#N/A</v>
      </c>
      <c r="AB62" s="14" t="e">
        <f t="shared" ca="1" si="14"/>
        <v>#N/A</v>
      </c>
      <c r="AC62" s="14" t="e">
        <f t="shared" ca="1" si="14"/>
        <v>#N/A</v>
      </c>
      <c r="AD62" s="14" t="e">
        <f t="shared" ca="1" si="14"/>
        <v>#N/A</v>
      </c>
      <c r="AE62" s="14" t="e">
        <f t="shared" ca="1" si="14"/>
        <v>#N/A</v>
      </c>
      <c r="AF62" s="14" t="e">
        <f t="shared" ca="1" si="14"/>
        <v>#N/A</v>
      </c>
      <c r="AG62" s="14" t="e">
        <f t="shared" ca="1" si="14"/>
        <v>#N/A</v>
      </c>
      <c r="AH62" s="14" t="e">
        <f t="shared" ca="1" si="14"/>
        <v>#N/A</v>
      </c>
      <c r="AI62" s="14" t="e">
        <f t="shared" ref="AI62:AL62" ca="1" si="17">$A62*H.Ar + $B62*H.Se + $C62*H.Ge + $D62*H.Ga</f>
        <v>#N/A</v>
      </c>
      <c r="AJ62" s="14" t="e">
        <f t="shared" ca="1" si="17"/>
        <v>#N/A</v>
      </c>
      <c r="AK62" s="14" t="e">
        <f t="shared" ca="1" si="17"/>
        <v>#N/A</v>
      </c>
      <c r="AL62" s="14" t="e">
        <f t="shared" ca="1" si="17"/>
        <v>#N/A</v>
      </c>
    </row>
    <row r="63" spans="1:38" ht="21" hidden="1" customHeight="1" outlineLevel="1" thickBot="1" x14ac:dyDescent="0.4">
      <c r="A63" s="5">
        <f t="shared" si="15"/>
        <v>0</v>
      </c>
      <c r="B63" s="5">
        <f t="shared" si="15"/>
        <v>0</v>
      </c>
      <c r="C63" s="5">
        <f t="shared" si="15"/>
        <v>0</v>
      </c>
      <c r="D63" s="5">
        <f t="shared" si="15"/>
        <v>0</v>
      </c>
      <c r="E63" s="6">
        <f t="shared" si="15"/>
        <v>0</v>
      </c>
      <c r="F63" s="14" t="e">
        <f t="shared" ca="1" si="16"/>
        <v>#N/A</v>
      </c>
      <c r="G63" s="14" t="e">
        <f t="shared" ref="G63:AL71" ca="1" si="18">$A63*H.Ar + $B63*H.Se + $C63*H.Ge + $D63*H.Ga</f>
        <v>#N/A</v>
      </c>
      <c r="H63" s="14" t="e">
        <f t="shared" ca="1" si="18"/>
        <v>#N/A</v>
      </c>
      <c r="I63" s="14" t="e">
        <f t="shared" ca="1" si="18"/>
        <v>#N/A</v>
      </c>
      <c r="J63" s="14" t="e">
        <f t="shared" ca="1" si="18"/>
        <v>#N/A</v>
      </c>
      <c r="K63" s="14" t="e">
        <f t="shared" ca="1" si="18"/>
        <v>#N/A</v>
      </c>
      <c r="L63" s="14" t="e">
        <f t="shared" ca="1" si="18"/>
        <v>#N/A</v>
      </c>
      <c r="M63" s="14" t="e">
        <f t="shared" ca="1" si="18"/>
        <v>#N/A</v>
      </c>
      <c r="N63" s="14" t="e">
        <f t="shared" ca="1" si="18"/>
        <v>#N/A</v>
      </c>
      <c r="O63" s="14" t="e">
        <f t="shared" ca="1" si="18"/>
        <v>#N/A</v>
      </c>
      <c r="P63" s="14" t="e">
        <f t="shared" ca="1" si="18"/>
        <v>#N/A</v>
      </c>
      <c r="Q63" s="14" t="e">
        <f t="shared" ca="1" si="18"/>
        <v>#N/A</v>
      </c>
      <c r="R63" s="14" t="e">
        <f t="shared" ca="1" si="18"/>
        <v>#N/A</v>
      </c>
      <c r="S63" s="14" t="e">
        <f t="shared" ca="1" si="18"/>
        <v>#N/A</v>
      </c>
      <c r="T63" s="14" t="e">
        <f t="shared" ca="1" si="18"/>
        <v>#N/A</v>
      </c>
      <c r="U63" s="14" t="e">
        <f t="shared" ca="1" si="18"/>
        <v>#N/A</v>
      </c>
      <c r="V63" s="14" t="e">
        <f t="shared" ca="1" si="18"/>
        <v>#N/A</v>
      </c>
      <c r="W63" s="14" t="e">
        <f t="shared" ca="1" si="18"/>
        <v>#N/A</v>
      </c>
      <c r="X63" s="14" t="e">
        <f t="shared" ca="1" si="18"/>
        <v>#N/A</v>
      </c>
      <c r="Y63" s="14" t="e">
        <f t="shared" ca="1" si="18"/>
        <v>#N/A</v>
      </c>
      <c r="Z63" s="14" t="e">
        <f t="shared" ca="1" si="18"/>
        <v>#N/A</v>
      </c>
      <c r="AA63" s="14" t="e">
        <f t="shared" ca="1" si="18"/>
        <v>#N/A</v>
      </c>
      <c r="AB63" s="14" t="e">
        <f t="shared" ca="1" si="18"/>
        <v>#N/A</v>
      </c>
      <c r="AC63" s="14" t="e">
        <f t="shared" ca="1" si="18"/>
        <v>#N/A</v>
      </c>
      <c r="AD63" s="14" t="e">
        <f t="shared" ca="1" si="18"/>
        <v>#N/A</v>
      </c>
      <c r="AE63" s="14" t="e">
        <f t="shared" ca="1" si="18"/>
        <v>#N/A</v>
      </c>
      <c r="AF63" s="14" t="e">
        <f t="shared" ca="1" si="18"/>
        <v>#N/A</v>
      </c>
      <c r="AG63" s="14" t="e">
        <f t="shared" ca="1" si="18"/>
        <v>#N/A</v>
      </c>
      <c r="AH63" s="14" t="e">
        <f t="shared" ca="1" si="18"/>
        <v>#N/A</v>
      </c>
      <c r="AI63" s="14" t="e">
        <f t="shared" ca="1" si="18"/>
        <v>#N/A</v>
      </c>
      <c r="AJ63" s="14" t="e">
        <f t="shared" ca="1" si="18"/>
        <v>#N/A</v>
      </c>
      <c r="AK63" s="14" t="e">
        <f t="shared" ca="1" si="18"/>
        <v>#N/A</v>
      </c>
      <c r="AL63" s="14" t="e">
        <f t="shared" ca="1" si="18"/>
        <v>#N/A</v>
      </c>
    </row>
    <row r="64" spans="1:38" ht="21" hidden="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 t="e">
        <f t="shared" ca="1" si="16"/>
        <v>#N/A</v>
      </c>
      <c r="G64" s="14" t="e">
        <f t="shared" ca="1" si="18"/>
        <v>#N/A</v>
      </c>
      <c r="H64" s="14" t="e">
        <f t="shared" ca="1" si="18"/>
        <v>#N/A</v>
      </c>
      <c r="I64" s="14" t="e">
        <f t="shared" ca="1" si="18"/>
        <v>#N/A</v>
      </c>
      <c r="J64" s="14" t="e">
        <f t="shared" ca="1" si="18"/>
        <v>#N/A</v>
      </c>
      <c r="K64" s="14" t="e">
        <f t="shared" ca="1" si="18"/>
        <v>#N/A</v>
      </c>
      <c r="L64" s="14" t="e">
        <f t="shared" ca="1" si="18"/>
        <v>#N/A</v>
      </c>
      <c r="M64" s="14" t="e">
        <f t="shared" ca="1" si="18"/>
        <v>#N/A</v>
      </c>
      <c r="N64" s="14" t="e">
        <f t="shared" ca="1" si="18"/>
        <v>#N/A</v>
      </c>
      <c r="O64" s="14" t="e">
        <f t="shared" ca="1" si="18"/>
        <v>#N/A</v>
      </c>
      <c r="P64" s="14" t="e">
        <f t="shared" ca="1" si="18"/>
        <v>#N/A</v>
      </c>
      <c r="Q64" s="14" t="e">
        <f t="shared" ca="1" si="18"/>
        <v>#N/A</v>
      </c>
      <c r="R64" s="14" t="e">
        <f t="shared" ca="1" si="18"/>
        <v>#N/A</v>
      </c>
      <c r="S64" s="14" t="e">
        <f t="shared" ca="1" si="18"/>
        <v>#N/A</v>
      </c>
      <c r="T64" s="14" t="e">
        <f t="shared" ca="1" si="18"/>
        <v>#N/A</v>
      </c>
      <c r="U64" s="14" t="e">
        <f t="shared" ca="1" si="18"/>
        <v>#N/A</v>
      </c>
      <c r="V64" s="14" t="e">
        <f t="shared" ca="1" si="18"/>
        <v>#N/A</v>
      </c>
      <c r="W64" s="14" t="e">
        <f t="shared" ca="1" si="18"/>
        <v>#N/A</v>
      </c>
      <c r="X64" s="14" t="e">
        <f t="shared" ca="1" si="18"/>
        <v>#N/A</v>
      </c>
      <c r="Y64" s="14" t="e">
        <f t="shared" ca="1" si="18"/>
        <v>#N/A</v>
      </c>
      <c r="Z64" s="14" t="e">
        <f t="shared" ca="1" si="18"/>
        <v>#N/A</v>
      </c>
      <c r="AA64" s="14" t="e">
        <f t="shared" ca="1" si="18"/>
        <v>#N/A</v>
      </c>
      <c r="AB64" s="14" t="e">
        <f t="shared" ca="1" si="18"/>
        <v>#N/A</v>
      </c>
      <c r="AC64" s="14" t="e">
        <f t="shared" ca="1" si="18"/>
        <v>#N/A</v>
      </c>
      <c r="AD64" s="14" t="e">
        <f t="shared" ca="1" si="18"/>
        <v>#N/A</v>
      </c>
      <c r="AE64" s="14" t="e">
        <f t="shared" ca="1" si="18"/>
        <v>#N/A</v>
      </c>
      <c r="AF64" s="14" t="e">
        <f t="shared" ca="1" si="18"/>
        <v>#N/A</v>
      </c>
      <c r="AG64" s="14" t="e">
        <f t="shared" ca="1" si="18"/>
        <v>#N/A</v>
      </c>
      <c r="AH64" s="14" t="e">
        <f t="shared" ca="1" si="18"/>
        <v>#N/A</v>
      </c>
      <c r="AI64" s="14" t="e">
        <f t="shared" ca="1" si="18"/>
        <v>#N/A</v>
      </c>
      <c r="AJ64" s="14" t="e">
        <f t="shared" ca="1" si="18"/>
        <v>#N/A</v>
      </c>
      <c r="AK64" s="14" t="e">
        <f t="shared" ca="1" si="18"/>
        <v>#N/A</v>
      </c>
      <c r="AL64" s="14" t="e">
        <f t="shared" ca="1" si="18"/>
        <v>#N/A</v>
      </c>
    </row>
    <row r="65" spans="1:54" ht="21" hidden="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 t="e">
        <f t="shared" ca="1" si="16"/>
        <v>#N/A</v>
      </c>
      <c r="G65" s="14" t="e">
        <f t="shared" ca="1" si="18"/>
        <v>#N/A</v>
      </c>
      <c r="H65" s="14" t="e">
        <f t="shared" ca="1" si="18"/>
        <v>#N/A</v>
      </c>
      <c r="I65" s="14" t="e">
        <f t="shared" ca="1" si="18"/>
        <v>#N/A</v>
      </c>
      <c r="J65" s="14" t="e">
        <f t="shared" ca="1" si="18"/>
        <v>#N/A</v>
      </c>
      <c r="K65" s="14" t="e">
        <f t="shared" ca="1" si="18"/>
        <v>#N/A</v>
      </c>
      <c r="L65" s="14" t="e">
        <f t="shared" ca="1" si="18"/>
        <v>#N/A</v>
      </c>
      <c r="M65" s="14" t="e">
        <f t="shared" ca="1" si="18"/>
        <v>#N/A</v>
      </c>
      <c r="N65" s="14" t="e">
        <f t="shared" ca="1" si="18"/>
        <v>#N/A</v>
      </c>
      <c r="O65" s="14" t="e">
        <f t="shared" ca="1" si="18"/>
        <v>#N/A</v>
      </c>
      <c r="P65" s="14" t="e">
        <f t="shared" ca="1" si="18"/>
        <v>#N/A</v>
      </c>
      <c r="Q65" s="14" t="e">
        <f t="shared" ca="1" si="18"/>
        <v>#N/A</v>
      </c>
      <c r="R65" s="14" t="e">
        <f t="shared" ca="1" si="18"/>
        <v>#N/A</v>
      </c>
      <c r="S65" s="14" t="e">
        <f t="shared" ca="1" si="18"/>
        <v>#N/A</v>
      </c>
      <c r="T65" s="14" t="e">
        <f t="shared" ca="1" si="18"/>
        <v>#N/A</v>
      </c>
      <c r="U65" s="14" t="e">
        <f t="shared" ca="1" si="18"/>
        <v>#N/A</v>
      </c>
      <c r="V65" s="14" t="e">
        <f t="shared" ca="1" si="18"/>
        <v>#N/A</v>
      </c>
      <c r="W65" s="14" t="e">
        <f t="shared" ca="1" si="18"/>
        <v>#N/A</v>
      </c>
      <c r="X65" s="14" t="e">
        <f t="shared" ca="1" si="18"/>
        <v>#N/A</v>
      </c>
      <c r="Y65" s="14" t="e">
        <f t="shared" ca="1" si="18"/>
        <v>#N/A</v>
      </c>
      <c r="Z65" s="14" t="e">
        <f t="shared" ca="1" si="18"/>
        <v>#N/A</v>
      </c>
      <c r="AA65" s="14" t="e">
        <f t="shared" ca="1" si="18"/>
        <v>#N/A</v>
      </c>
      <c r="AB65" s="14" t="e">
        <f t="shared" ca="1" si="18"/>
        <v>#N/A</v>
      </c>
      <c r="AC65" s="14" t="e">
        <f t="shared" ca="1" si="18"/>
        <v>#N/A</v>
      </c>
      <c r="AD65" s="14" t="e">
        <f t="shared" ca="1" si="18"/>
        <v>#N/A</v>
      </c>
      <c r="AE65" s="14" t="e">
        <f t="shared" ca="1" si="18"/>
        <v>#N/A</v>
      </c>
      <c r="AF65" s="14" t="e">
        <f t="shared" ca="1" si="18"/>
        <v>#N/A</v>
      </c>
      <c r="AG65" s="14" t="e">
        <f t="shared" ca="1" si="18"/>
        <v>#N/A</v>
      </c>
      <c r="AH65" s="14" t="e">
        <f t="shared" ca="1" si="18"/>
        <v>#N/A</v>
      </c>
      <c r="AI65" s="14" t="e">
        <f t="shared" ca="1" si="18"/>
        <v>#N/A</v>
      </c>
      <c r="AJ65" s="14" t="e">
        <f t="shared" ca="1" si="18"/>
        <v>#N/A</v>
      </c>
      <c r="AK65" s="14" t="e">
        <f t="shared" ca="1" si="18"/>
        <v>#N/A</v>
      </c>
      <c r="AL65" s="14" t="e">
        <f t="shared" ca="1" si="18"/>
        <v>#N/A</v>
      </c>
    </row>
    <row r="66" spans="1:54" ht="21" hidden="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 t="e">
        <f t="shared" ref="F66:U74" ca="1" si="20">$A66*H.Ar + $B66*H.Se + $C66*H.Ge + $D66*H.Ga</f>
        <v>#N/A</v>
      </c>
      <c r="G66" s="14" t="e">
        <f t="shared" ca="1" si="20"/>
        <v>#N/A</v>
      </c>
      <c r="H66" s="14" t="e">
        <f t="shared" ca="1" si="20"/>
        <v>#N/A</v>
      </c>
      <c r="I66" s="14" t="e">
        <f t="shared" ca="1" si="20"/>
        <v>#N/A</v>
      </c>
      <c r="J66" s="14" t="e">
        <f t="shared" ca="1" si="20"/>
        <v>#N/A</v>
      </c>
      <c r="K66" s="14" t="e">
        <f t="shared" ca="1" si="20"/>
        <v>#N/A</v>
      </c>
      <c r="L66" s="14" t="e">
        <f t="shared" ca="1" si="20"/>
        <v>#N/A</v>
      </c>
      <c r="M66" s="14" t="e">
        <f t="shared" ca="1" si="20"/>
        <v>#N/A</v>
      </c>
      <c r="N66" s="14" t="e">
        <f t="shared" ca="1" si="20"/>
        <v>#N/A</v>
      </c>
      <c r="O66" s="14" t="e">
        <f t="shared" ca="1" si="20"/>
        <v>#N/A</v>
      </c>
      <c r="P66" s="14" t="e">
        <f t="shared" ca="1" si="20"/>
        <v>#N/A</v>
      </c>
      <c r="Q66" s="14" t="e">
        <f t="shared" ca="1" si="20"/>
        <v>#N/A</v>
      </c>
      <c r="R66" s="14" t="e">
        <f t="shared" ca="1" si="20"/>
        <v>#N/A</v>
      </c>
      <c r="S66" s="14" t="e">
        <f t="shared" ca="1" si="20"/>
        <v>#N/A</v>
      </c>
      <c r="T66" s="14" t="e">
        <f t="shared" ca="1" si="20"/>
        <v>#N/A</v>
      </c>
      <c r="U66" s="14" t="e">
        <f t="shared" ca="1" si="20"/>
        <v>#N/A</v>
      </c>
      <c r="V66" s="14" t="e">
        <f t="shared" ca="1" si="18"/>
        <v>#N/A</v>
      </c>
      <c r="W66" s="14" t="e">
        <f t="shared" ca="1" si="18"/>
        <v>#N/A</v>
      </c>
      <c r="X66" s="14" t="e">
        <f t="shared" ca="1" si="18"/>
        <v>#N/A</v>
      </c>
      <c r="Y66" s="14" t="e">
        <f t="shared" ca="1" si="18"/>
        <v>#N/A</v>
      </c>
      <c r="Z66" s="14" t="e">
        <f t="shared" ca="1" si="18"/>
        <v>#N/A</v>
      </c>
      <c r="AA66" s="14" t="e">
        <f t="shared" ca="1" si="18"/>
        <v>#N/A</v>
      </c>
      <c r="AB66" s="14" t="e">
        <f t="shared" ca="1" si="18"/>
        <v>#N/A</v>
      </c>
      <c r="AC66" s="14" t="e">
        <f t="shared" ca="1" si="18"/>
        <v>#N/A</v>
      </c>
      <c r="AD66" s="14" t="e">
        <f t="shared" ca="1" si="18"/>
        <v>#N/A</v>
      </c>
      <c r="AE66" s="14" t="e">
        <f t="shared" ca="1" si="18"/>
        <v>#N/A</v>
      </c>
      <c r="AF66" s="14" t="e">
        <f t="shared" ca="1" si="18"/>
        <v>#N/A</v>
      </c>
      <c r="AG66" s="14" t="e">
        <f t="shared" ca="1" si="18"/>
        <v>#N/A</v>
      </c>
      <c r="AH66" s="14" t="e">
        <f t="shared" ca="1" si="18"/>
        <v>#N/A</v>
      </c>
      <c r="AI66" s="14" t="e">
        <f t="shared" ca="1" si="18"/>
        <v>#N/A</v>
      </c>
      <c r="AJ66" s="14" t="e">
        <f t="shared" ca="1" si="18"/>
        <v>#N/A</v>
      </c>
      <c r="AK66" s="14" t="e">
        <f t="shared" ca="1" si="18"/>
        <v>#N/A</v>
      </c>
      <c r="AL66" s="14" t="e">
        <f t="shared" ca="1" si="18"/>
        <v>#N/A</v>
      </c>
    </row>
    <row r="67" spans="1:54" ht="21" hidden="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 t="e">
        <f t="shared" ca="1" si="20"/>
        <v>#N/A</v>
      </c>
      <c r="G67" s="14" t="e">
        <f t="shared" ca="1" si="18"/>
        <v>#N/A</v>
      </c>
      <c r="H67" s="14" t="e">
        <f t="shared" ca="1" si="18"/>
        <v>#N/A</v>
      </c>
      <c r="I67" s="14" t="e">
        <f t="shared" ca="1" si="18"/>
        <v>#N/A</v>
      </c>
      <c r="J67" s="14" t="e">
        <f t="shared" ca="1" si="18"/>
        <v>#N/A</v>
      </c>
      <c r="K67" s="14" t="e">
        <f t="shared" ca="1" si="18"/>
        <v>#N/A</v>
      </c>
      <c r="L67" s="14" t="e">
        <f t="shared" ca="1" si="18"/>
        <v>#N/A</v>
      </c>
      <c r="M67" s="14" t="e">
        <f t="shared" ca="1" si="18"/>
        <v>#N/A</v>
      </c>
      <c r="N67" s="14" t="e">
        <f t="shared" ca="1" si="18"/>
        <v>#N/A</v>
      </c>
      <c r="O67" s="14" t="e">
        <f t="shared" ca="1" si="18"/>
        <v>#N/A</v>
      </c>
      <c r="P67" s="14" t="e">
        <f t="shared" ca="1" si="18"/>
        <v>#N/A</v>
      </c>
      <c r="Q67" s="14" t="e">
        <f t="shared" ca="1" si="18"/>
        <v>#N/A</v>
      </c>
      <c r="R67" s="14" t="e">
        <f t="shared" ca="1" si="18"/>
        <v>#N/A</v>
      </c>
      <c r="S67" s="14" t="e">
        <f t="shared" ca="1" si="18"/>
        <v>#N/A</v>
      </c>
      <c r="T67" s="14" t="e">
        <f t="shared" ca="1" si="18"/>
        <v>#N/A</v>
      </c>
      <c r="U67" s="14" t="e">
        <f t="shared" ca="1" si="18"/>
        <v>#N/A</v>
      </c>
      <c r="V67" s="14" t="e">
        <f t="shared" ca="1" si="18"/>
        <v>#N/A</v>
      </c>
      <c r="W67" s="14" t="e">
        <f t="shared" ca="1" si="18"/>
        <v>#N/A</v>
      </c>
      <c r="X67" s="14" t="e">
        <f t="shared" ca="1" si="18"/>
        <v>#N/A</v>
      </c>
      <c r="Y67" s="14" t="e">
        <f t="shared" ca="1" si="18"/>
        <v>#N/A</v>
      </c>
      <c r="Z67" s="14" t="e">
        <f t="shared" ca="1" si="18"/>
        <v>#N/A</v>
      </c>
      <c r="AA67" s="14" t="e">
        <f t="shared" ca="1" si="18"/>
        <v>#N/A</v>
      </c>
      <c r="AB67" s="14" t="e">
        <f t="shared" ca="1" si="18"/>
        <v>#N/A</v>
      </c>
      <c r="AC67" s="14" t="e">
        <f t="shared" ca="1" si="18"/>
        <v>#N/A</v>
      </c>
      <c r="AD67" s="14" t="e">
        <f t="shared" ca="1" si="18"/>
        <v>#N/A</v>
      </c>
      <c r="AE67" s="14" t="e">
        <f t="shared" ca="1" si="18"/>
        <v>#N/A</v>
      </c>
      <c r="AF67" s="14" t="e">
        <f t="shared" ca="1" si="18"/>
        <v>#N/A</v>
      </c>
      <c r="AG67" s="14" t="e">
        <f t="shared" ca="1" si="18"/>
        <v>#N/A</v>
      </c>
      <c r="AH67" s="14" t="e">
        <f t="shared" ca="1" si="18"/>
        <v>#N/A</v>
      </c>
      <c r="AI67" s="14" t="e">
        <f t="shared" ca="1" si="18"/>
        <v>#N/A</v>
      </c>
      <c r="AJ67" s="14" t="e">
        <f t="shared" ca="1" si="18"/>
        <v>#N/A</v>
      </c>
      <c r="AK67" s="14" t="e">
        <f t="shared" ca="1" si="18"/>
        <v>#N/A</v>
      </c>
      <c r="AL67" s="14" t="e">
        <f t="shared" ca="1" si="18"/>
        <v>#N/A</v>
      </c>
    </row>
    <row r="68" spans="1:54" ht="21" hidden="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 t="e">
        <f t="shared" ca="1" si="20"/>
        <v>#N/A</v>
      </c>
      <c r="G68" s="14" t="e">
        <f t="shared" ca="1" si="18"/>
        <v>#N/A</v>
      </c>
      <c r="H68" s="14" t="e">
        <f t="shared" ca="1" si="18"/>
        <v>#N/A</v>
      </c>
      <c r="I68" s="14" t="e">
        <f t="shared" ca="1" si="18"/>
        <v>#N/A</v>
      </c>
      <c r="J68" s="14" t="e">
        <f t="shared" ca="1" si="18"/>
        <v>#N/A</v>
      </c>
      <c r="K68" s="14" t="e">
        <f t="shared" ca="1" si="18"/>
        <v>#N/A</v>
      </c>
      <c r="L68" s="14" t="e">
        <f t="shared" ca="1" si="18"/>
        <v>#N/A</v>
      </c>
      <c r="M68" s="14" t="e">
        <f t="shared" ca="1" si="18"/>
        <v>#N/A</v>
      </c>
      <c r="N68" s="14" t="e">
        <f t="shared" ca="1" si="18"/>
        <v>#N/A</v>
      </c>
      <c r="O68" s="14" t="e">
        <f t="shared" ca="1" si="18"/>
        <v>#N/A</v>
      </c>
      <c r="P68" s="14" t="e">
        <f t="shared" ca="1" si="18"/>
        <v>#N/A</v>
      </c>
      <c r="Q68" s="14" t="e">
        <f t="shared" ca="1" si="18"/>
        <v>#N/A</v>
      </c>
      <c r="R68" s="14" t="e">
        <f t="shared" ca="1" si="18"/>
        <v>#N/A</v>
      </c>
      <c r="S68" s="14" t="e">
        <f t="shared" ca="1" si="18"/>
        <v>#N/A</v>
      </c>
      <c r="T68" s="14" t="e">
        <f t="shared" ca="1" si="18"/>
        <v>#N/A</v>
      </c>
      <c r="U68" s="14" t="e">
        <f t="shared" ca="1" si="18"/>
        <v>#N/A</v>
      </c>
      <c r="V68" s="14" t="e">
        <f t="shared" ca="1" si="18"/>
        <v>#N/A</v>
      </c>
      <c r="W68" s="14" t="e">
        <f t="shared" ca="1" si="18"/>
        <v>#N/A</v>
      </c>
      <c r="X68" s="14" t="e">
        <f t="shared" ca="1" si="18"/>
        <v>#N/A</v>
      </c>
      <c r="Y68" s="14" t="e">
        <f t="shared" ca="1" si="18"/>
        <v>#N/A</v>
      </c>
      <c r="Z68" s="14" t="e">
        <f t="shared" ca="1" si="18"/>
        <v>#N/A</v>
      </c>
      <c r="AA68" s="14" t="e">
        <f t="shared" ca="1" si="18"/>
        <v>#N/A</v>
      </c>
      <c r="AB68" s="14" t="e">
        <f t="shared" ca="1" si="18"/>
        <v>#N/A</v>
      </c>
      <c r="AC68" s="14" t="e">
        <f t="shared" ca="1" si="18"/>
        <v>#N/A</v>
      </c>
      <c r="AD68" s="14" t="e">
        <f t="shared" ca="1" si="18"/>
        <v>#N/A</v>
      </c>
      <c r="AE68" s="14" t="e">
        <f t="shared" ca="1" si="18"/>
        <v>#N/A</v>
      </c>
      <c r="AF68" s="14" t="e">
        <f t="shared" ca="1" si="18"/>
        <v>#N/A</v>
      </c>
      <c r="AG68" s="14" t="e">
        <f t="shared" ca="1" si="18"/>
        <v>#N/A</v>
      </c>
      <c r="AH68" s="14" t="e">
        <f t="shared" ca="1" si="18"/>
        <v>#N/A</v>
      </c>
      <c r="AI68" s="14" t="e">
        <f t="shared" ca="1" si="18"/>
        <v>#N/A</v>
      </c>
      <c r="AJ68" s="14" t="e">
        <f t="shared" ca="1" si="18"/>
        <v>#N/A</v>
      </c>
      <c r="AK68" s="14" t="e">
        <f t="shared" ca="1" si="18"/>
        <v>#N/A</v>
      </c>
      <c r="AL68" s="14" t="e">
        <f t="shared" ca="1" si="18"/>
        <v>#N/A</v>
      </c>
    </row>
    <row r="69" spans="1:54" ht="21" hidden="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 t="e">
        <f t="shared" ca="1" si="20"/>
        <v>#N/A</v>
      </c>
      <c r="G69" s="14" t="e">
        <f t="shared" ca="1" si="18"/>
        <v>#N/A</v>
      </c>
      <c r="H69" s="14" t="e">
        <f t="shared" ca="1" si="18"/>
        <v>#N/A</v>
      </c>
      <c r="I69" s="14" t="e">
        <f t="shared" ca="1" si="18"/>
        <v>#N/A</v>
      </c>
      <c r="J69" s="14" t="e">
        <f t="shared" ca="1" si="18"/>
        <v>#N/A</v>
      </c>
      <c r="K69" s="14" t="e">
        <f t="shared" ca="1" si="18"/>
        <v>#N/A</v>
      </c>
      <c r="L69" s="14" t="e">
        <f t="shared" ca="1" si="18"/>
        <v>#N/A</v>
      </c>
      <c r="M69" s="14" t="e">
        <f t="shared" ca="1" si="18"/>
        <v>#N/A</v>
      </c>
      <c r="N69" s="14" t="e">
        <f t="shared" ca="1" si="18"/>
        <v>#N/A</v>
      </c>
      <c r="O69" s="14" t="e">
        <f t="shared" ca="1" si="18"/>
        <v>#N/A</v>
      </c>
      <c r="P69" s="14" t="e">
        <f t="shared" ca="1" si="18"/>
        <v>#N/A</v>
      </c>
      <c r="Q69" s="14" t="e">
        <f t="shared" ca="1" si="18"/>
        <v>#N/A</v>
      </c>
      <c r="R69" s="14" t="e">
        <f t="shared" ca="1" si="18"/>
        <v>#N/A</v>
      </c>
      <c r="S69" s="14" t="e">
        <f t="shared" ca="1" si="18"/>
        <v>#N/A</v>
      </c>
      <c r="T69" s="14" t="e">
        <f t="shared" ca="1" si="18"/>
        <v>#N/A</v>
      </c>
      <c r="U69" s="14" t="e">
        <f t="shared" ca="1" si="18"/>
        <v>#N/A</v>
      </c>
      <c r="V69" s="14" t="e">
        <f t="shared" ca="1" si="18"/>
        <v>#N/A</v>
      </c>
      <c r="W69" s="14" t="e">
        <f t="shared" ca="1" si="18"/>
        <v>#N/A</v>
      </c>
      <c r="X69" s="14" t="e">
        <f t="shared" ca="1" si="18"/>
        <v>#N/A</v>
      </c>
      <c r="Y69" s="14" t="e">
        <f t="shared" ca="1" si="18"/>
        <v>#N/A</v>
      </c>
      <c r="Z69" s="14" t="e">
        <f t="shared" ca="1" si="18"/>
        <v>#N/A</v>
      </c>
      <c r="AA69" s="14" t="e">
        <f t="shared" ca="1" si="18"/>
        <v>#N/A</v>
      </c>
      <c r="AB69" s="14" t="e">
        <f t="shared" ca="1" si="18"/>
        <v>#N/A</v>
      </c>
      <c r="AC69" s="14" t="e">
        <f t="shared" ca="1" si="18"/>
        <v>#N/A</v>
      </c>
      <c r="AD69" s="14" t="e">
        <f t="shared" ca="1" si="18"/>
        <v>#N/A</v>
      </c>
      <c r="AE69" s="14" t="e">
        <f t="shared" ca="1" si="18"/>
        <v>#N/A</v>
      </c>
      <c r="AF69" s="14" t="e">
        <f t="shared" ca="1" si="18"/>
        <v>#N/A</v>
      </c>
      <c r="AG69" s="14" t="e">
        <f t="shared" ca="1" si="18"/>
        <v>#N/A</v>
      </c>
      <c r="AH69" s="14" t="e">
        <f t="shared" ca="1" si="18"/>
        <v>#N/A</v>
      </c>
      <c r="AI69" s="14" t="e">
        <f t="shared" ca="1" si="18"/>
        <v>#N/A</v>
      </c>
      <c r="AJ69" s="14" t="e">
        <f t="shared" ca="1" si="18"/>
        <v>#N/A</v>
      </c>
      <c r="AK69" s="14" t="e">
        <f t="shared" ca="1" si="18"/>
        <v>#N/A</v>
      </c>
      <c r="AL69" s="14" t="e">
        <f t="shared" ca="1" si="18"/>
        <v>#N/A</v>
      </c>
    </row>
    <row r="70" spans="1:54" ht="21" hidden="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 t="e">
        <f t="shared" ca="1" si="20"/>
        <v>#N/A</v>
      </c>
      <c r="G70" s="14" t="e">
        <f t="shared" ca="1" si="18"/>
        <v>#N/A</v>
      </c>
      <c r="H70" s="14" t="e">
        <f t="shared" ca="1" si="18"/>
        <v>#N/A</v>
      </c>
      <c r="I70" s="14" t="e">
        <f t="shared" ca="1" si="18"/>
        <v>#N/A</v>
      </c>
      <c r="J70" s="14" t="e">
        <f t="shared" ca="1" si="18"/>
        <v>#N/A</v>
      </c>
      <c r="K70" s="14" t="e">
        <f t="shared" ca="1" si="18"/>
        <v>#N/A</v>
      </c>
      <c r="L70" s="14" t="e">
        <f t="shared" ca="1" si="18"/>
        <v>#N/A</v>
      </c>
      <c r="M70" s="14" t="e">
        <f t="shared" ca="1" si="18"/>
        <v>#N/A</v>
      </c>
      <c r="N70" s="14" t="e">
        <f t="shared" ca="1" si="18"/>
        <v>#N/A</v>
      </c>
      <c r="O70" s="14" t="e">
        <f t="shared" ca="1" si="18"/>
        <v>#N/A</v>
      </c>
      <c r="P70" s="14" t="e">
        <f t="shared" ca="1" si="18"/>
        <v>#N/A</v>
      </c>
      <c r="Q70" s="14" t="e">
        <f t="shared" ca="1" si="18"/>
        <v>#N/A</v>
      </c>
      <c r="R70" s="14" t="e">
        <f t="shared" ca="1" si="18"/>
        <v>#N/A</v>
      </c>
      <c r="S70" s="14" t="e">
        <f t="shared" ca="1" si="18"/>
        <v>#N/A</v>
      </c>
      <c r="T70" s="14" t="e">
        <f t="shared" ca="1" si="18"/>
        <v>#N/A</v>
      </c>
      <c r="U70" s="14" t="e">
        <f t="shared" ca="1" si="18"/>
        <v>#N/A</v>
      </c>
      <c r="V70" s="14" t="e">
        <f t="shared" ca="1" si="18"/>
        <v>#N/A</v>
      </c>
      <c r="W70" s="14" t="e">
        <f t="shared" ca="1" si="18"/>
        <v>#N/A</v>
      </c>
      <c r="X70" s="14" t="e">
        <f t="shared" ca="1" si="18"/>
        <v>#N/A</v>
      </c>
      <c r="Y70" s="14" t="e">
        <f t="shared" ca="1" si="18"/>
        <v>#N/A</v>
      </c>
      <c r="Z70" s="14" t="e">
        <f t="shared" ca="1" si="18"/>
        <v>#N/A</v>
      </c>
      <c r="AA70" s="14" t="e">
        <f t="shared" ca="1" si="18"/>
        <v>#N/A</v>
      </c>
      <c r="AB70" s="14" t="e">
        <f t="shared" ca="1" si="18"/>
        <v>#N/A</v>
      </c>
      <c r="AC70" s="14" t="e">
        <f t="shared" ca="1" si="18"/>
        <v>#N/A</v>
      </c>
      <c r="AD70" s="14" t="e">
        <f t="shared" ca="1" si="18"/>
        <v>#N/A</v>
      </c>
      <c r="AE70" s="14" t="e">
        <f t="shared" ca="1" si="18"/>
        <v>#N/A</v>
      </c>
      <c r="AF70" s="14" t="e">
        <f t="shared" ca="1" si="18"/>
        <v>#N/A</v>
      </c>
      <c r="AG70" s="14" t="e">
        <f t="shared" ca="1" si="18"/>
        <v>#N/A</v>
      </c>
      <c r="AH70" s="14" t="e">
        <f t="shared" ca="1" si="18"/>
        <v>#N/A</v>
      </c>
      <c r="AI70" s="14" t="e">
        <f t="shared" ca="1" si="18"/>
        <v>#N/A</v>
      </c>
      <c r="AJ70" s="14" t="e">
        <f t="shared" ca="1" si="18"/>
        <v>#N/A</v>
      </c>
      <c r="AK70" s="14" t="e">
        <f t="shared" ca="1" si="18"/>
        <v>#N/A</v>
      </c>
      <c r="AL70" s="14" t="e">
        <f t="shared" ca="1" si="18"/>
        <v>#N/A</v>
      </c>
    </row>
    <row r="71" spans="1:54" ht="21" hidden="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 t="e">
        <f t="shared" ca="1" si="20"/>
        <v>#N/A</v>
      </c>
      <c r="G71" s="14" t="e">
        <f t="shared" ca="1" si="18"/>
        <v>#N/A</v>
      </c>
      <c r="H71" s="14" t="e">
        <f t="shared" ca="1" si="18"/>
        <v>#N/A</v>
      </c>
      <c r="I71" s="14" t="e">
        <f t="shared" ca="1" si="18"/>
        <v>#N/A</v>
      </c>
      <c r="J71" s="14" t="e">
        <f t="shared" ca="1" si="18"/>
        <v>#N/A</v>
      </c>
      <c r="K71" s="14" t="e">
        <f t="shared" ca="1" si="18"/>
        <v>#N/A</v>
      </c>
      <c r="L71" s="14" t="e">
        <f t="shared" ca="1" si="18"/>
        <v>#N/A</v>
      </c>
      <c r="M71" s="14" t="e">
        <f t="shared" ca="1" si="18"/>
        <v>#N/A</v>
      </c>
      <c r="N71" s="14" t="e">
        <f t="shared" ca="1" si="18"/>
        <v>#N/A</v>
      </c>
      <c r="O71" s="14" t="e">
        <f t="shared" ca="1" si="18"/>
        <v>#N/A</v>
      </c>
      <c r="P71" s="14" t="e">
        <f t="shared" ca="1" si="18"/>
        <v>#N/A</v>
      </c>
      <c r="Q71" s="14" t="e">
        <f t="shared" ref="Q71:AL71" ca="1" si="21">$A71*H.Ar + $B71*H.Se + $C71*H.Ge + $D71*H.Ga</f>
        <v>#N/A</v>
      </c>
      <c r="R71" s="14" t="e">
        <f t="shared" ca="1" si="21"/>
        <v>#N/A</v>
      </c>
      <c r="S71" s="14" t="e">
        <f t="shared" ca="1" si="21"/>
        <v>#N/A</v>
      </c>
      <c r="T71" s="14" t="e">
        <f t="shared" ca="1" si="21"/>
        <v>#N/A</v>
      </c>
      <c r="U71" s="14" t="e">
        <f t="shared" ca="1" si="21"/>
        <v>#N/A</v>
      </c>
      <c r="V71" s="14" t="e">
        <f t="shared" ca="1" si="21"/>
        <v>#N/A</v>
      </c>
      <c r="W71" s="14" t="e">
        <f t="shared" ca="1" si="21"/>
        <v>#N/A</v>
      </c>
      <c r="X71" s="14" t="e">
        <f t="shared" ca="1" si="21"/>
        <v>#N/A</v>
      </c>
      <c r="Y71" s="14" t="e">
        <f t="shared" ca="1" si="21"/>
        <v>#N/A</v>
      </c>
      <c r="Z71" s="14" t="e">
        <f t="shared" ca="1" si="21"/>
        <v>#N/A</v>
      </c>
      <c r="AA71" s="14" t="e">
        <f t="shared" ca="1" si="21"/>
        <v>#N/A</v>
      </c>
      <c r="AB71" s="14" t="e">
        <f t="shared" ca="1" si="21"/>
        <v>#N/A</v>
      </c>
      <c r="AC71" s="14" t="e">
        <f t="shared" ca="1" si="21"/>
        <v>#N/A</v>
      </c>
      <c r="AD71" s="14" t="e">
        <f t="shared" ca="1" si="21"/>
        <v>#N/A</v>
      </c>
      <c r="AE71" s="14" t="e">
        <f t="shared" ca="1" si="21"/>
        <v>#N/A</v>
      </c>
      <c r="AF71" s="14" t="e">
        <f t="shared" ca="1" si="21"/>
        <v>#N/A</v>
      </c>
      <c r="AG71" s="14" t="e">
        <f t="shared" ca="1" si="21"/>
        <v>#N/A</v>
      </c>
      <c r="AH71" s="14" t="e">
        <f t="shared" ca="1" si="21"/>
        <v>#N/A</v>
      </c>
      <c r="AI71" s="14" t="e">
        <f t="shared" ca="1" si="21"/>
        <v>#N/A</v>
      </c>
      <c r="AJ71" s="14" t="e">
        <f t="shared" ca="1" si="21"/>
        <v>#N/A</v>
      </c>
      <c r="AK71" s="14" t="e">
        <f t="shared" ca="1" si="21"/>
        <v>#N/A</v>
      </c>
      <c r="AL71" s="14" t="e">
        <f t="shared" ca="1" si="21"/>
        <v>#N/A</v>
      </c>
    </row>
    <row r="72" spans="1:54" ht="21" hidden="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 t="e">
        <f t="shared" ca="1" si="20"/>
        <v>#N/A</v>
      </c>
      <c r="G72" s="14" t="e">
        <f t="shared" ref="G72:AL74" ca="1" si="22">$A72*H.Ar + $B72*H.Se + $C72*H.Ge + $D72*H.Ga</f>
        <v>#N/A</v>
      </c>
      <c r="H72" s="14" t="e">
        <f t="shared" ca="1" si="22"/>
        <v>#N/A</v>
      </c>
      <c r="I72" s="14" t="e">
        <f t="shared" ca="1" si="22"/>
        <v>#N/A</v>
      </c>
      <c r="J72" s="14" t="e">
        <f t="shared" ca="1" si="22"/>
        <v>#N/A</v>
      </c>
      <c r="K72" s="14" t="e">
        <f t="shared" ca="1" si="22"/>
        <v>#N/A</v>
      </c>
      <c r="L72" s="14" t="e">
        <f t="shared" ca="1" si="22"/>
        <v>#N/A</v>
      </c>
      <c r="M72" s="14" t="e">
        <f t="shared" ca="1" si="22"/>
        <v>#N/A</v>
      </c>
      <c r="N72" s="14" t="e">
        <f t="shared" ca="1" si="22"/>
        <v>#N/A</v>
      </c>
      <c r="O72" s="14" t="e">
        <f t="shared" ca="1" si="22"/>
        <v>#N/A</v>
      </c>
      <c r="P72" s="14" t="e">
        <f t="shared" ca="1" si="22"/>
        <v>#N/A</v>
      </c>
      <c r="Q72" s="14" t="e">
        <f t="shared" ca="1" si="22"/>
        <v>#N/A</v>
      </c>
      <c r="R72" s="14" t="e">
        <f t="shared" ca="1" si="22"/>
        <v>#N/A</v>
      </c>
      <c r="S72" s="14" t="e">
        <f t="shared" ca="1" si="22"/>
        <v>#N/A</v>
      </c>
      <c r="T72" s="14" t="e">
        <f t="shared" ca="1" si="22"/>
        <v>#N/A</v>
      </c>
      <c r="U72" s="14" t="e">
        <f t="shared" ca="1" si="22"/>
        <v>#N/A</v>
      </c>
      <c r="V72" s="14" t="e">
        <f t="shared" ca="1" si="22"/>
        <v>#N/A</v>
      </c>
      <c r="W72" s="14" t="e">
        <f t="shared" ca="1" si="22"/>
        <v>#N/A</v>
      </c>
      <c r="X72" s="14" t="e">
        <f t="shared" ca="1" si="22"/>
        <v>#N/A</v>
      </c>
      <c r="Y72" s="14" t="e">
        <f t="shared" ca="1" si="22"/>
        <v>#N/A</v>
      </c>
      <c r="Z72" s="14" t="e">
        <f t="shared" ca="1" si="22"/>
        <v>#N/A</v>
      </c>
      <c r="AA72" s="14" t="e">
        <f t="shared" ca="1" si="22"/>
        <v>#N/A</v>
      </c>
      <c r="AB72" s="14" t="e">
        <f t="shared" ca="1" si="22"/>
        <v>#N/A</v>
      </c>
      <c r="AC72" s="14" t="e">
        <f t="shared" ca="1" si="22"/>
        <v>#N/A</v>
      </c>
      <c r="AD72" s="14" t="e">
        <f t="shared" ca="1" si="22"/>
        <v>#N/A</v>
      </c>
      <c r="AE72" s="14" t="e">
        <f t="shared" ca="1" si="22"/>
        <v>#N/A</v>
      </c>
      <c r="AF72" s="14" t="e">
        <f t="shared" ca="1" si="22"/>
        <v>#N/A</v>
      </c>
      <c r="AG72" s="14" t="e">
        <f t="shared" ca="1" si="22"/>
        <v>#N/A</v>
      </c>
      <c r="AH72" s="14" t="e">
        <f t="shared" ca="1" si="22"/>
        <v>#N/A</v>
      </c>
      <c r="AI72" s="14" t="e">
        <f t="shared" ca="1" si="22"/>
        <v>#N/A</v>
      </c>
      <c r="AJ72" s="14" t="e">
        <f t="shared" ca="1" si="22"/>
        <v>#N/A</v>
      </c>
      <c r="AK72" s="14" t="e">
        <f t="shared" ca="1" si="22"/>
        <v>#N/A</v>
      </c>
      <c r="AL72" s="14" t="e">
        <f t="shared" ca="1" si="22"/>
        <v>#N/A</v>
      </c>
    </row>
    <row r="73" spans="1:54" ht="21" hidden="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 t="e">
        <f t="shared" ca="1" si="20"/>
        <v>#N/A</v>
      </c>
      <c r="G73" s="14" t="e">
        <f t="shared" ca="1" si="22"/>
        <v>#N/A</v>
      </c>
      <c r="H73" s="14" t="e">
        <f t="shared" ca="1" si="22"/>
        <v>#N/A</v>
      </c>
      <c r="I73" s="14" t="e">
        <f t="shared" ca="1" si="22"/>
        <v>#N/A</v>
      </c>
      <c r="J73" s="14" t="e">
        <f t="shared" ca="1" si="22"/>
        <v>#N/A</v>
      </c>
      <c r="K73" s="14" t="e">
        <f t="shared" ca="1" si="22"/>
        <v>#N/A</v>
      </c>
      <c r="L73" s="14" t="e">
        <f t="shared" ca="1" si="22"/>
        <v>#N/A</v>
      </c>
      <c r="M73" s="14" t="e">
        <f t="shared" ca="1" si="22"/>
        <v>#N/A</v>
      </c>
      <c r="N73" s="14" t="e">
        <f t="shared" ca="1" si="22"/>
        <v>#N/A</v>
      </c>
      <c r="O73" s="14" t="e">
        <f t="shared" ca="1" si="22"/>
        <v>#N/A</v>
      </c>
      <c r="P73" s="14" t="e">
        <f t="shared" ca="1" si="22"/>
        <v>#N/A</v>
      </c>
      <c r="Q73" s="14" t="e">
        <f t="shared" ca="1" si="22"/>
        <v>#N/A</v>
      </c>
      <c r="R73" s="14" t="e">
        <f t="shared" ca="1" si="22"/>
        <v>#N/A</v>
      </c>
      <c r="S73" s="14" t="e">
        <f t="shared" ca="1" si="22"/>
        <v>#N/A</v>
      </c>
      <c r="T73" s="14" t="e">
        <f t="shared" ca="1" si="22"/>
        <v>#N/A</v>
      </c>
      <c r="U73" s="14" t="e">
        <f t="shared" ca="1" si="22"/>
        <v>#N/A</v>
      </c>
      <c r="V73" s="14" t="e">
        <f t="shared" ca="1" si="22"/>
        <v>#N/A</v>
      </c>
      <c r="W73" s="14" t="e">
        <f t="shared" ca="1" si="22"/>
        <v>#N/A</v>
      </c>
      <c r="X73" s="14" t="e">
        <f t="shared" ca="1" si="22"/>
        <v>#N/A</v>
      </c>
      <c r="Y73" s="14" t="e">
        <f t="shared" ca="1" si="22"/>
        <v>#N/A</v>
      </c>
      <c r="Z73" s="14" t="e">
        <f t="shared" ca="1" si="22"/>
        <v>#N/A</v>
      </c>
      <c r="AA73" s="14" t="e">
        <f t="shared" ca="1" si="22"/>
        <v>#N/A</v>
      </c>
      <c r="AB73" s="14" t="e">
        <f t="shared" ca="1" si="22"/>
        <v>#N/A</v>
      </c>
      <c r="AC73" s="14" t="e">
        <f t="shared" ca="1" si="22"/>
        <v>#N/A</v>
      </c>
      <c r="AD73" s="14" t="e">
        <f t="shared" ca="1" si="22"/>
        <v>#N/A</v>
      </c>
      <c r="AE73" s="14" t="e">
        <f t="shared" ca="1" si="22"/>
        <v>#N/A</v>
      </c>
      <c r="AF73" s="14" t="e">
        <f t="shared" ca="1" si="22"/>
        <v>#N/A</v>
      </c>
      <c r="AG73" s="14" t="e">
        <f t="shared" ca="1" si="22"/>
        <v>#N/A</v>
      </c>
      <c r="AH73" s="14" t="e">
        <f t="shared" ca="1" si="22"/>
        <v>#N/A</v>
      </c>
      <c r="AI73" s="14" t="e">
        <f t="shared" ca="1" si="22"/>
        <v>#N/A</v>
      </c>
      <c r="AJ73" s="14" t="e">
        <f t="shared" ca="1" si="22"/>
        <v>#N/A</v>
      </c>
      <c r="AK73" s="14" t="e">
        <f t="shared" ca="1" si="22"/>
        <v>#N/A</v>
      </c>
      <c r="AL73" s="14" t="e">
        <f t="shared" ca="1" si="22"/>
        <v>#N/A</v>
      </c>
    </row>
    <row r="74" spans="1:54" ht="21" hidden="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 t="e">
        <f t="shared" ca="1" si="20"/>
        <v>#N/A</v>
      </c>
      <c r="G74" s="14" t="e">
        <f t="shared" ca="1" si="22"/>
        <v>#N/A</v>
      </c>
      <c r="H74" s="14" t="e">
        <f t="shared" ca="1" si="22"/>
        <v>#N/A</v>
      </c>
      <c r="I74" s="14" t="e">
        <f t="shared" ca="1" si="22"/>
        <v>#N/A</v>
      </c>
      <c r="J74" s="14" t="e">
        <f t="shared" ca="1" si="22"/>
        <v>#N/A</v>
      </c>
      <c r="K74" s="14" t="e">
        <f t="shared" ca="1" si="22"/>
        <v>#N/A</v>
      </c>
      <c r="L74" s="14" t="e">
        <f t="shared" ca="1" si="22"/>
        <v>#N/A</v>
      </c>
      <c r="M74" s="14" t="e">
        <f t="shared" ca="1" si="22"/>
        <v>#N/A</v>
      </c>
      <c r="N74" s="14" t="e">
        <f t="shared" ca="1" si="22"/>
        <v>#N/A</v>
      </c>
      <c r="O74" s="14" t="e">
        <f t="shared" ca="1" si="22"/>
        <v>#N/A</v>
      </c>
      <c r="P74" s="14" t="e">
        <f t="shared" ca="1" si="22"/>
        <v>#N/A</v>
      </c>
      <c r="Q74" s="14" t="e">
        <f t="shared" ca="1" si="22"/>
        <v>#N/A</v>
      </c>
      <c r="R74" s="14" t="e">
        <f t="shared" ca="1" si="22"/>
        <v>#N/A</v>
      </c>
      <c r="S74" s="14" t="e">
        <f t="shared" ca="1" si="22"/>
        <v>#N/A</v>
      </c>
      <c r="T74" s="14" t="e">
        <f t="shared" ca="1" si="22"/>
        <v>#N/A</v>
      </c>
      <c r="U74" s="14" t="e">
        <f t="shared" ca="1" si="22"/>
        <v>#N/A</v>
      </c>
      <c r="V74" s="14" t="e">
        <f t="shared" ca="1" si="22"/>
        <v>#N/A</v>
      </c>
      <c r="W74" s="14" t="e">
        <f t="shared" ca="1" si="22"/>
        <v>#N/A</v>
      </c>
      <c r="X74" s="14" t="e">
        <f t="shared" ca="1" si="22"/>
        <v>#N/A</v>
      </c>
      <c r="Y74" s="14" t="e">
        <f t="shared" ca="1" si="22"/>
        <v>#N/A</v>
      </c>
      <c r="Z74" s="14" t="e">
        <f t="shared" ca="1" si="22"/>
        <v>#N/A</v>
      </c>
      <c r="AA74" s="14" t="e">
        <f t="shared" ca="1" si="22"/>
        <v>#N/A</v>
      </c>
      <c r="AB74" s="14" t="e">
        <f t="shared" ca="1" si="22"/>
        <v>#N/A</v>
      </c>
      <c r="AC74" s="14" t="e">
        <f t="shared" ca="1" si="22"/>
        <v>#N/A</v>
      </c>
      <c r="AD74" s="14" t="e">
        <f t="shared" ca="1" si="22"/>
        <v>#N/A</v>
      </c>
      <c r="AE74" s="14" t="e">
        <f t="shared" ca="1" si="22"/>
        <v>#N/A</v>
      </c>
      <c r="AF74" s="14" t="e">
        <f t="shared" ca="1" si="22"/>
        <v>#N/A</v>
      </c>
      <c r="AG74" s="14" t="e">
        <f t="shared" ca="1" si="22"/>
        <v>#N/A</v>
      </c>
      <c r="AH74" s="14" t="e">
        <f t="shared" ca="1" si="22"/>
        <v>#N/A</v>
      </c>
      <c r="AI74" s="14" t="e">
        <f t="shared" ca="1" si="22"/>
        <v>#N/A</v>
      </c>
      <c r="AJ74" s="14" t="e">
        <f t="shared" ca="1" si="22"/>
        <v>#N/A</v>
      </c>
      <c r="AK74" s="14" t="e">
        <f t="shared" ca="1" si="22"/>
        <v>#N/A</v>
      </c>
      <c r="AL74" s="14" t="e">
        <f t="shared" ca="1" si="22"/>
        <v>#N/A</v>
      </c>
    </row>
    <row r="75" spans="1:54" ht="21" hidden="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hidden="1" customHeight="1" outlineLevel="1" x14ac:dyDescent="0.35">
      <c r="U76" s="55"/>
      <c r="V76" s="55"/>
      <c r="W76" s="55"/>
    </row>
    <row r="77" spans="1:54" ht="21" customHeight="1" collapsed="1" x14ac:dyDescent="0.35">
      <c r="U77" s="55"/>
      <c r="V77" s="55"/>
      <c r="W77" s="55"/>
    </row>
    <row r="78" spans="1:54" ht="21" customHeight="1" x14ac:dyDescent="0.4">
      <c r="A78" s="88"/>
      <c r="B78" s="88"/>
      <c r="C78" s="89">
        <f>E41</f>
        <v>1.4</v>
      </c>
      <c r="D78" s="75"/>
      <c r="E78" s="74" t="s">
        <v>23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3">E45</f>
        <v>0</v>
      </c>
      <c r="F79" s="3">
        <f t="shared" ref="F79:AL79" si="24">F3</f>
        <v>0</v>
      </c>
      <c r="G79" s="3">
        <f t="shared" si="24"/>
        <v>0</v>
      </c>
      <c r="H79" s="3">
        <f t="shared" si="24"/>
        <v>0</v>
      </c>
      <c r="I79" s="3">
        <f t="shared" si="24"/>
        <v>0</v>
      </c>
      <c r="J79" s="3">
        <f t="shared" si="24"/>
        <v>0</v>
      </c>
      <c r="K79" s="3">
        <f t="shared" si="24"/>
        <v>0</v>
      </c>
      <c r="L79" s="3">
        <f t="shared" si="24"/>
        <v>0</v>
      </c>
      <c r="M79" s="3">
        <f t="shared" si="24"/>
        <v>0</v>
      </c>
      <c r="N79" s="3">
        <f t="shared" si="24"/>
        <v>0</v>
      </c>
      <c r="O79" s="3">
        <f t="shared" si="24"/>
        <v>0</v>
      </c>
      <c r="P79" s="3">
        <f t="shared" si="24"/>
        <v>0</v>
      </c>
      <c r="Q79" s="3">
        <f t="shared" si="24"/>
        <v>0</v>
      </c>
      <c r="R79" s="3">
        <f t="shared" si="24"/>
        <v>0</v>
      </c>
      <c r="S79" s="3">
        <f t="shared" si="24"/>
        <v>0</v>
      </c>
      <c r="T79" s="3">
        <f t="shared" si="24"/>
        <v>0</v>
      </c>
      <c r="U79" s="3">
        <f t="shared" si="24"/>
        <v>0</v>
      </c>
      <c r="V79" s="3">
        <f t="shared" si="24"/>
        <v>0</v>
      </c>
      <c r="W79" s="3">
        <f t="shared" si="24"/>
        <v>0</v>
      </c>
      <c r="X79" s="3">
        <f t="shared" si="24"/>
        <v>0</v>
      </c>
      <c r="Y79" s="3">
        <f t="shared" si="24"/>
        <v>0</v>
      </c>
      <c r="Z79" s="3">
        <f t="shared" si="24"/>
        <v>0</v>
      </c>
      <c r="AA79" s="3">
        <f t="shared" si="24"/>
        <v>0</v>
      </c>
      <c r="AB79" s="3">
        <f t="shared" si="24"/>
        <v>0</v>
      </c>
      <c r="AC79" s="3">
        <f t="shared" si="24"/>
        <v>0</v>
      </c>
      <c r="AD79" s="3">
        <f t="shared" si="24"/>
        <v>0</v>
      </c>
      <c r="AE79" s="3">
        <f t="shared" si="24"/>
        <v>0</v>
      </c>
      <c r="AF79" s="3">
        <f t="shared" si="24"/>
        <v>0</v>
      </c>
      <c r="AG79" s="3">
        <f t="shared" si="24"/>
        <v>0</v>
      </c>
      <c r="AH79" s="3">
        <f t="shared" si="24"/>
        <v>0</v>
      </c>
      <c r="AI79" s="3">
        <f t="shared" si="24"/>
        <v>0</v>
      </c>
      <c r="AJ79" s="3">
        <f t="shared" si="24"/>
        <v>0</v>
      </c>
      <c r="AK79" s="3">
        <f t="shared" si="24"/>
        <v>0</v>
      </c>
      <c r="AL79" s="3">
        <f t="shared" si="24"/>
        <v>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5">B46</f>
        <v>0</v>
      </c>
      <c r="C80" s="5">
        <f t="shared" si="25"/>
        <v>0</v>
      </c>
      <c r="D80" s="5">
        <f t="shared" si="25"/>
        <v>0</v>
      </c>
      <c r="E80" s="6">
        <f t="shared" si="23"/>
        <v>0</v>
      </c>
      <c r="F80" s="14">
        <f t="shared" ref="F80:AL80" si="26">F4*$C$78</f>
        <v>0</v>
      </c>
      <c r="G80" s="14">
        <f t="shared" si="26"/>
        <v>0</v>
      </c>
      <c r="H80" s="14">
        <f t="shared" si="26"/>
        <v>0</v>
      </c>
      <c r="I80" s="14">
        <f t="shared" si="26"/>
        <v>0</v>
      </c>
      <c r="J80" s="14">
        <f t="shared" si="26"/>
        <v>0</v>
      </c>
      <c r="K80" s="14">
        <f t="shared" si="26"/>
        <v>0</v>
      </c>
      <c r="L80" s="14">
        <f t="shared" si="26"/>
        <v>0</v>
      </c>
      <c r="M80" s="14">
        <f t="shared" si="26"/>
        <v>0</v>
      </c>
      <c r="N80" s="14">
        <f t="shared" si="26"/>
        <v>0</v>
      </c>
      <c r="O80" s="14">
        <f t="shared" si="26"/>
        <v>0</v>
      </c>
      <c r="P80" s="14">
        <f t="shared" si="26"/>
        <v>0</v>
      </c>
      <c r="Q80" s="14">
        <f t="shared" si="26"/>
        <v>0</v>
      </c>
      <c r="R80" s="14">
        <f t="shared" si="26"/>
        <v>0</v>
      </c>
      <c r="S80" s="14">
        <f t="shared" si="26"/>
        <v>0</v>
      </c>
      <c r="T80" s="14">
        <f t="shared" si="26"/>
        <v>0</v>
      </c>
      <c r="U80" s="14">
        <f t="shared" si="26"/>
        <v>0</v>
      </c>
      <c r="V80" s="14">
        <f t="shared" si="26"/>
        <v>0</v>
      </c>
      <c r="W80" s="14">
        <f t="shared" si="26"/>
        <v>0</v>
      </c>
      <c r="X80" s="14">
        <f t="shared" si="26"/>
        <v>0</v>
      </c>
      <c r="Y80" s="14">
        <f t="shared" si="26"/>
        <v>0</v>
      </c>
      <c r="Z80" s="14">
        <f t="shared" si="26"/>
        <v>0</v>
      </c>
      <c r="AA80" s="14">
        <f t="shared" si="26"/>
        <v>0</v>
      </c>
      <c r="AB80" s="14">
        <f t="shared" si="26"/>
        <v>0</v>
      </c>
      <c r="AC80" s="14">
        <f t="shared" si="26"/>
        <v>0</v>
      </c>
      <c r="AD80" s="14">
        <f t="shared" si="26"/>
        <v>0</v>
      </c>
      <c r="AE80" s="14">
        <f t="shared" si="26"/>
        <v>0</v>
      </c>
      <c r="AF80" s="14">
        <f t="shared" si="26"/>
        <v>0</v>
      </c>
      <c r="AG80" s="14">
        <f t="shared" si="26"/>
        <v>0</v>
      </c>
      <c r="AH80" s="14">
        <f t="shared" si="26"/>
        <v>0</v>
      </c>
      <c r="AI80" s="14">
        <f t="shared" si="26"/>
        <v>0</v>
      </c>
      <c r="AJ80" s="14">
        <f t="shared" si="26"/>
        <v>0</v>
      </c>
      <c r="AK80" s="14">
        <f t="shared" si="26"/>
        <v>0</v>
      </c>
      <c r="AL80" s="14">
        <f t="shared" si="26"/>
        <v>0</v>
      </c>
    </row>
    <row r="81" spans="1:38" ht="21" hidden="1" customHeight="1" outlineLevel="1" thickBot="1" x14ac:dyDescent="0.4">
      <c r="A81" s="5">
        <f t="shared" ref="A81:D96" si="27">A47</f>
        <v>0</v>
      </c>
      <c r="B81" s="5">
        <f t="shared" si="27"/>
        <v>0</v>
      </c>
      <c r="C81" s="5">
        <f t="shared" si="27"/>
        <v>0</v>
      </c>
      <c r="D81" s="5">
        <f t="shared" si="27"/>
        <v>0</v>
      </c>
      <c r="E81" s="6">
        <f t="shared" si="23"/>
        <v>0</v>
      </c>
      <c r="F81" s="14">
        <f t="shared" ref="F81:AL81" si="28">F5*$C$78</f>
        <v>0</v>
      </c>
      <c r="G81" s="14">
        <f t="shared" si="28"/>
        <v>0</v>
      </c>
      <c r="H81" s="14">
        <f t="shared" si="28"/>
        <v>0</v>
      </c>
      <c r="I81" s="14">
        <f t="shared" si="28"/>
        <v>0</v>
      </c>
      <c r="J81" s="14">
        <f t="shared" si="28"/>
        <v>0</v>
      </c>
      <c r="K81" s="14">
        <f t="shared" si="28"/>
        <v>0</v>
      </c>
      <c r="L81" s="14">
        <f t="shared" si="28"/>
        <v>0</v>
      </c>
      <c r="M81" s="14">
        <f t="shared" si="28"/>
        <v>0</v>
      </c>
      <c r="N81" s="14">
        <f t="shared" si="28"/>
        <v>0</v>
      </c>
      <c r="O81" s="14">
        <f t="shared" si="28"/>
        <v>0</v>
      </c>
      <c r="P81" s="14">
        <f t="shared" si="28"/>
        <v>0</v>
      </c>
      <c r="Q81" s="14">
        <f t="shared" si="28"/>
        <v>0</v>
      </c>
      <c r="R81" s="14">
        <f t="shared" si="28"/>
        <v>0</v>
      </c>
      <c r="S81" s="14">
        <f t="shared" si="28"/>
        <v>0</v>
      </c>
      <c r="T81" s="14">
        <f t="shared" si="28"/>
        <v>0</v>
      </c>
      <c r="U81" s="14">
        <f t="shared" si="28"/>
        <v>0</v>
      </c>
      <c r="V81" s="14">
        <f t="shared" si="28"/>
        <v>0</v>
      </c>
      <c r="W81" s="14">
        <f t="shared" si="28"/>
        <v>0</v>
      </c>
      <c r="X81" s="14">
        <f t="shared" si="28"/>
        <v>0</v>
      </c>
      <c r="Y81" s="14">
        <f t="shared" si="28"/>
        <v>0</v>
      </c>
      <c r="Z81" s="14">
        <f t="shared" si="28"/>
        <v>0</v>
      </c>
      <c r="AA81" s="14">
        <f t="shared" si="28"/>
        <v>0</v>
      </c>
      <c r="AB81" s="14">
        <f t="shared" si="28"/>
        <v>0</v>
      </c>
      <c r="AC81" s="14">
        <f t="shared" si="28"/>
        <v>0</v>
      </c>
      <c r="AD81" s="14">
        <f t="shared" si="28"/>
        <v>0</v>
      </c>
      <c r="AE81" s="14">
        <f t="shared" si="28"/>
        <v>0</v>
      </c>
      <c r="AF81" s="14">
        <f t="shared" si="28"/>
        <v>0</v>
      </c>
      <c r="AG81" s="14">
        <f t="shared" si="28"/>
        <v>0</v>
      </c>
      <c r="AH81" s="14">
        <f t="shared" si="28"/>
        <v>0</v>
      </c>
      <c r="AI81" s="14">
        <f t="shared" si="28"/>
        <v>0</v>
      </c>
      <c r="AJ81" s="14">
        <f t="shared" si="28"/>
        <v>0</v>
      </c>
      <c r="AK81" s="14">
        <f t="shared" si="28"/>
        <v>0</v>
      </c>
      <c r="AL81" s="14">
        <f t="shared" si="28"/>
        <v>0</v>
      </c>
    </row>
    <row r="82" spans="1:38" ht="21" hidden="1" customHeight="1" outlineLevel="1" thickBot="1" x14ac:dyDescent="0.4">
      <c r="A82" s="5">
        <f t="shared" si="27"/>
        <v>0</v>
      </c>
      <c r="B82" s="5">
        <f t="shared" si="27"/>
        <v>0</v>
      </c>
      <c r="C82" s="5">
        <f t="shared" si="27"/>
        <v>0</v>
      </c>
      <c r="D82" s="5">
        <f t="shared" si="27"/>
        <v>0</v>
      </c>
      <c r="E82" s="6">
        <f t="shared" si="23"/>
        <v>0</v>
      </c>
      <c r="F82" s="14">
        <f t="shared" ref="F82:AL82" si="29">F6*$C$78</f>
        <v>0</v>
      </c>
      <c r="G82" s="14">
        <f t="shared" si="29"/>
        <v>0</v>
      </c>
      <c r="H82" s="14">
        <f t="shared" si="29"/>
        <v>0</v>
      </c>
      <c r="I82" s="14">
        <f t="shared" si="29"/>
        <v>0</v>
      </c>
      <c r="J82" s="14">
        <f t="shared" si="29"/>
        <v>0</v>
      </c>
      <c r="K82" s="14">
        <f t="shared" si="29"/>
        <v>0</v>
      </c>
      <c r="L82" s="14">
        <f t="shared" si="29"/>
        <v>0</v>
      </c>
      <c r="M82" s="14">
        <f t="shared" si="29"/>
        <v>0</v>
      </c>
      <c r="N82" s="14">
        <f t="shared" si="29"/>
        <v>0</v>
      </c>
      <c r="O82" s="14">
        <f t="shared" si="29"/>
        <v>0</v>
      </c>
      <c r="P82" s="14">
        <f t="shared" si="29"/>
        <v>0</v>
      </c>
      <c r="Q82" s="14">
        <f t="shared" si="29"/>
        <v>0</v>
      </c>
      <c r="R82" s="14">
        <f t="shared" si="29"/>
        <v>0</v>
      </c>
      <c r="S82" s="14">
        <f t="shared" si="29"/>
        <v>0</v>
      </c>
      <c r="T82" s="14">
        <f t="shared" si="29"/>
        <v>0</v>
      </c>
      <c r="U82" s="14">
        <f t="shared" si="29"/>
        <v>0</v>
      </c>
      <c r="V82" s="14">
        <f t="shared" si="29"/>
        <v>0</v>
      </c>
      <c r="W82" s="14">
        <f t="shared" si="29"/>
        <v>0</v>
      </c>
      <c r="X82" s="14">
        <f t="shared" si="29"/>
        <v>0</v>
      </c>
      <c r="Y82" s="14">
        <f t="shared" si="29"/>
        <v>0</v>
      </c>
      <c r="Z82" s="14">
        <f t="shared" si="29"/>
        <v>0</v>
      </c>
      <c r="AA82" s="14">
        <f t="shared" si="29"/>
        <v>0</v>
      </c>
      <c r="AB82" s="14">
        <f t="shared" si="29"/>
        <v>0</v>
      </c>
      <c r="AC82" s="14">
        <f t="shared" si="29"/>
        <v>0</v>
      </c>
      <c r="AD82" s="14">
        <f t="shared" si="29"/>
        <v>0</v>
      </c>
      <c r="AE82" s="14">
        <f t="shared" si="29"/>
        <v>0</v>
      </c>
      <c r="AF82" s="14">
        <f t="shared" si="29"/>
        <v>0</v>
      </c>
      <c r="AG82" s="14">
        <f t="shared" si="29"/>
        <v>0</v>
      </c>
      <c r="AH82" s="14">
        <f t="shared" si="29"/>
        <v>0</v>
      </c>
      <c r="AI82" s="14">
        <f t="shared" si="29"/>
        <v>0</v>
      </c>
      <c r="AJ82" s="14">
        <f t="shared" si="29"/>
        <v>0</v>
      </c>
      <c r="AK82" s="14">
        <f t="shared" si="29"/>
        <v>0</v>
      </c>
      <c r="AL82" s="14">
        <f t="shared" si="29"/>
        <v>0</v>
      </c>
    </row>
    <row r="83" spans="1:38" ht="21" hidden="1" customHeight="1" outlineLevel="1" thickBot="1" x14ac:dyDescent="0.4">
      <c r="A83" s="5">
        <f t="shared" si="27"/>
        <v>0</v>
      </c>
      <c r="B83" s="5">
        <f t="shared" si="27"/>
        <v>0</v>
      </c>
      <c r="C83" s="5">
        <f t="shared" si="27"/>
        <v>0</v>
      </c>
      <c r="D83" s="5">
        <f t="shared" si="27"/>
        <v>0</v>
      </c>
      <c r="E83" s="6">
        <f t="shared" si="23"/>
        <v>0</v>
      </c>
      <c r="F83" s="14">
        <f t="shared" ref="F83:AL83" si="30">F7*$C$78</f>
        <v>0</v>
      </c>
      <c r="G83" s="14">
        <f t="shared" si="30"/>
        <v>0</v>
      </c>
      <c r="H83" s="14">
        <f t="shared" si="30"/>
        <v>0</v>
      </c>
      <c r="I83" s="14">
        <f t="shared" si="30"/>
        <v>0</v>
      </c>
      <c r="J83" s="14">
        <f t="shared" si="30"/>
        <v>0</v>
      </c>
      <c r="K83" s="14">
        <f t="shared" si="30"/>
        <v>0</v>
      </c>
      <c r="L83" s="14">
        <f t="shared" si="30"/>
        <v>0</v>
      </c>
      <c r="M83" s="14">
        <f t="shared" si="30"/>
        <v>0</v>
      </c>
      <c r="N83" s="14">
        <f t="shared" si="30"/>
        <v>0</v>
      </c>
      <c r="O83" s="14">
        <f t="shared" si="30"/>
        <v>0</v>
      </c>
      <c r="P83" s="14">
        <f t="shared" si="30"/>
        <v>0</v>
      </c>
      <c r="Q83" s="14">
        <f t="shared" si="30"/>
        <v>0</v>
      </c>
      <c r="R83" s="14">
        <f t="shared" si="30"/>
        <v>0</v>
      </c>
      <c r="S83" s="14">
        <f t="shared" si="30"/>
        <v>0</v>
      </c>
      <c r="T83" s="14">
        <f t="shared" si="30"/>
        <v>0</v>
      </c>
      <c r="U83" s="14">
        <f t="shared" si="30"/>
        <v>0</v>
      </c>
      <c r="V83" s="14">
        <f t="shared" si="30"/>
        <v>0</v>
      </c>
      <c r="W83" s="14">
        <f t="shared" si="30"/>
        <v>0</v>
      </c>
      <c r="X83" s="14">
        <f t="shared" si="30"/>
        <v>0</v>
      </c>
      <c r="Y83" s="14">
        <f t="shared" si="30"/>
        <v>0</v>
      </c>
      <c r="Z83" s="14">
        <f t="shared" si="30"/>
        <v>0</v>
      </c>
      <c r="AA83" s="14">
        <f t="shared" si="30"/>
        <v>0</v>
      </c>
      <c r="AB83" s="14">
        <f t="shared" si="30"/>
        <v>0</v>
      </c>
      <c r="AC83" s="14">
        <f t="shared" si="30"/>
        <v>0</v>
      </c>
      <c r="AD83" s="14">
        <f t="shared" si="30"/>
        <v>0</v>
      </c>
      <c r="AE83" s="14">
        <f t="shared" si="30"/>
        <v>0</v>
      </c>
      <c r="AF83" s="14">
        <f t="shared" si="30"/>
        <v>0</v>
      </c>
      <c r="AG83" s="14">
        <f t="shared" si="30"/>
        <v>0</v>
      </c>
      <c r="AH83" s="14">
        <f t="shared" si="30"/>
        <v>0</v>
      </c>
      <c r="AI83" s="14">
        <f t="shared" si="30"/>
        <v>0</v>
      </c>
      <c r="AJ83" s="14">
        <f t="shared" si="30"/>
        <v>0</v>
      </c>
      <c r="AK83" s="14">
        <f t="shared" si="30"/>
        <v>0</v>
      </c>
      <c r="AL83" s="14">
        <f t="shared" si="30"/>
        <v>0</v>
      </c>
    </row>
    <row r="84" spans="1:38" ht="21" hidden="1" customHeight="1" outlineLevel="1" thickBot="1" x14ac:dyDescent="0.4">
      <c r="A84" s="5">
        <f t="shared" si="27"/>
        <v>0</v>
      </c>
      <c r="B84" s="5">
        <f t="shared" si="27"/>
        <v>0</v>
      </c>
      <c r="C84" s="5">
        <f t="shared" si="27"/>
        <v>0</v>
      </c>
      <c r="D84" s="5">
        <f t="shared" si="27"/>
        <v>0</v>
      </c>
      <c r="E84" s="6">
        <f t="shared" si="23"/>
        <v>0</v>
      </c>
      <c r="F84" s="14">
        <f t="shared" ref="F84:AL84" si="31">F8*$C$78</f>
        <v>0</v>
      </c>
      <c r="G84" s="14">
        <f t="shared" si="31"/>
        <v>0</v>
      </c>
      <c r="H84" s="14">
        <f t="shared" si="31"/>
        <v>0</v>
      </c>
      <c r="I84" s="14">
        <f t="shared" si="31"/>
        <v>0</v>
      </c>
      <c r="J84" s="14">
        <f t="shared" si="31"/>
        <v>0</v>
      </c>
      <c r="K84" s="14">
        <f t="shared" si="31"/>
        <v>0</v>
      </c>
      <c r="L84" s="14">
        <f t="shared" si="31"/>
        <v>0</v>
      </c>
      <c r="M84" s="14">
        <f t="shared" si="31"/>
        <v>0</v>
      </c>
      <c r="N84" s="14">
        <f t="shared" si="31"/>
        <v>0</v>
      </c>
      <c r="O84" s="14">
        <f t="shared" si="31"/>
        <v>0</v>
      </c>
      <c r="P84" s="14">
        <f t="shared" si="31"/>
        <v>0</v>
      </c>
      <c r="Q84" s="14">
        <f t="shared" si="31"/>
        <v>0</v>
      </c>
      <c r="R84" s="14">
        <f t="shared" si="31"/>
        <v>0</v>
      </c>
      <c r="S84" s="14">
        <f t="shared" si="31"/>
        <v>0</v>
      </c>
      <c r="T84" s="14">
        <f t="shared" si="31"/>
        <v>0</v>
      </c>
      <c r="U84" s="14">
        <f t="shared" si="31"/>
        <v>0</v>
      </c>
      <c r="V84" s="14">
        <f t="shared" si="31"/>
        <v>0</v>
      </c>
      <c r="W84" s="14">
        <f t="shared" si="31"/>
        <v>0</v>
      </c>
      <c r="X84" s="14">
        <f t="shared" si="31"/>
        <v>0</v>
      </c>
      <c r="Y84" s="14">
        <f t="shared" si="31"/>
        <v>0</v>
      </c>
      <c r="Z84" s="14">
        <f t="shared" si="31"/>
        <v>0</v>
      </c>
      <c r="AA84" s="14">
        <f t="shared" si="31"/>
        <v>0</v>
      </c>
      <c r="AB84" s="14">
        <f t="shared" si="31"/>
        <v>0</v>
      </c>
      <c r="AC84" s="14">
        <f t="shared" si="31"/>
        <v>0</v>
      </c>
      <c r="AD84" s="14">
        <f t="shared" si="31"/>
        <v>0</v>
      </c>
      <c r="AE84" s="14">
        <f t="shared" si="31"/>
        <v>0</v>
      </c>
      <c r="AF84" s="14">
        <f t="shared" si="31"/>
        <v>0</v>
      </c>
      <c r="AG84" s="14">
        <f t="shared" si="31"/>
        <v>0</v>
      </c>
      <c r="AH84" s="14">
        <f t="shared" si="31"/>
        <v>0</v>
      </c>
      <c r="AI84" s="14">
        <f t="shared" si="31"/>
        <v>0</v>
      </c>
      <c r="AJ84" s="14">
        <f t="shared" si="31"/>
        <v>0</v>
      </c>
      <c r="AK84" s="14">
        <f t="shared" si="31"/>
        <v>0</v>
      </c>
      <c r="AL84" s="14">
        <f t="shared" si="31"/>
        <v>0</v>
      </c>
    </row>
    <row r="85" spans="1:38" ht="21" hidden="1" customHeight="1" outlineLevel="1" thickBot="1" x14ac:dyDescent="0.4">
      <c r="A85" s="5">
        <f t="shared" si="27"/>
        <v>0</v>
      </c>
      <c r="B85" s="5">
        <f t="shared" si="27"/>
        <v>0</v>
      </c>
      <c r="C85" s="5">
        <f t="shared" si="27"/>
        <v>0</v>
      </c>
      <c r="D85" s="5">
        <f t="shared" si="27"/>
        <v>0</v>
      </c>
      <c r="E85" s="6">
        <f t="shared" si="23"/>
        <v>0</v>
      </c>
      <c r="F85" s="14">
        <f t="shared" ref="F85:AL85" si="32">F9*$C$78</f>
        <v>0</v>
      </c>
      <c r="G85" s="14">
        <f t="shared" si="32"/>
        <v>0</v>
      </c>
      <c r="H85" s="14">
        <f t="shared" si="32"/>
        <v>0</v>
      </c>
      <c r="I85" s="14">
        <f t="shared" si="32"/>
        <v>0</v>
      </c>
      <c r="J85" s="14">
        <f t="shared" si="32"/>
        <v>0</v>
      </c>
      <c r="K85" s="14">
        <f t="shared" si="32"/>
        <v>0</v>
      </c>
      <c r="L85" s="14">
        <f t="shared" si="32"/>
        <v>0</v>
      </c>
      <c r="M85" s="14">
        <f t="shared" si="32"/>
        <v>0</v>
      </c>
      <c r="N85" s="14">
        <f t="shared" si="32"/>
        <v>0</v>
      </c>
      <c r="O85" s="14">
        <f t="shared" si="32"/>
        <v>0</v>
      </c>
      <c r="P85" s="14">
        <f t="shared" si="32"/>
        <v>0</v>
      </c>
      <c r="Q85" s="14">
        <f t="shared" si="32"/>
        <v>0</v>
      </c>
      <c r="R85" s="14">
        <f t="shared" si="32"/>
        <v>0</v>
      </c>
      <c r="S85" s="14">
        <f t="shared" si="32"/>
        <v>0</v>
      </c>
      <c r="T85" s="14">
        <f t="shared" si="32"/>
        <v>0</v>
      </c>
      <c r="U85" s="14">
        <f t="shared" si="32"/>
        <v>0</v>
      </c>
      <c r="V85" s="14">
        <f t="shared" si="32"/>
        <v>0</v>
      </c>
      <c r="W85" s="14">
        <f t="shared" si="32"/>
        <v>0</v>
      </c>
      <c r="X85" s="14">
        <f t="shared" si="32"/>
        <v>0</v>
      </c>
      <c r="Y85" s="14">
        <f t="shared" si="32"/>
        <v>0</v>
      </c>
      <c r="Z85" s="14">
        <f t="shared" si="32"/>
        <v>0</v>
      </c>
      <c r="AA85" s="14">
        <f t="shared" si="32"/>
        <v>0</v>
      </c>
      <c r="AB85" s="14">
        <f t="shared" si="32"/>
        <v>0</v>
      </c>
      <c r="AC85" s="14">
        <f t="shared" si="32"/>
        <v>0</v>
      </c>
      <c r="AD85" s="14">
        <f t="shared" si="32"/>
        <v>0</v>
      </c>
      <c r="AE85" s="14">
        <f t="shared" si="32"/>
        <v>0</v>
      </c>
      <c r="AF85" s="14">
        <f t="shared" si="32"/>
        <v>0</v>
      </c>
      <c r="AG85" s="14">
        <f t="shared" si="32"/>
        <v>0</v>
      </c>
      <c r="AH85" s="14">
        <f t="shared" si="32"/>
        <v>0</v>
      </c>
      <c r="AI85" s="14">
        <f t="shared" si="32"/>
        <v>0</v>
      </c>
      <c r="AJ85" s="14">
        <f t="shared" si="32"/>
        <v>0</v>
      </c>
      <c r="AK85" s="14">
        <f t="shared" si="32"/>
        <v>0</v>
      </c>
      <c r="AL85" s="14">
        <f t="shared" si="32"/>
        <v>0</v>
      </c>
    </row>
    <row r="86" spans="1:38" ht="21" hidden="1" customHeight="1" outlineLevel="1" thickBot="1" x14ac:dyDescent="0.4">
      <c r="A86" s="5">
        <f t="shared" si="27"/>
        <v>0</v>
      </c>
      <c r="B86" s="5">
        <f t="shared" si="27"/>
        <v>0</v>
      </c>
      <c r="C86" s="5">
        <f t="shared" si="27"/>
        <v>0</v>
      </c>
      <c r="D86" s="5">
        <f t="shared" si="27"/>
        <v>0</v>
      </c>
      <c r="E86" s="6">
        <f t="shared" si="23"/>
        <v>0</v>
      </c>
      <c r="F86" s="14">
        <f t="shared" ref="F86:AL86" si="33">F10*$C$78</f>
        <v>0</v>
      </c>
      <c r="G86" s="14">
        <f t="shared" si="33"/>
        <v>0</v>
      </c>
      <c r="H86" s="14">
        <f t="shared" si="33"/>
        <v>0</v>
      </c>
      <c r="I86" s="14">
        <f t="shared" si="33"/>
        <v>0</v>
      </c>
      <c r="J86" s="14">
        <f t="shared" si="33"/>
        <v>0</v>
      </c>
      <c r="K86" s="14">
        <f t="shared" si="33"/>
        <v>0</v>
      </c>
      <c r="L86" s="14">
        <f t="shared" si="33"/>
        <v>0</v>
      </c>
      <c r="M86" s="14">
        <f t="shared" si="33"/>
        <v>0</v>
      </c>
      <c r="N86" s="14">
        <f t="shared" si="33"/>
        <v>0</v>
      </c>
      <c r="O86" s="14">
        <f t="shared" si="33"/>
        <v>0</v>
      </c>
      <c r="P86" s="14">
        <f t="shared" si="33"/>
        <v>0</v>
      </c>
      <c r="Q86" s="14">
        <f t="shared" si="33"/>
        <v>0</v>
      </c>
      <c r="R86" s="14">
        <f t="shared" si="33"/>
        <v>0</v>
      </c>
      <c r="S86" s="14">
        <f t="shared" si="33"/>
        <v>0</v>
      </c>
      <c r="T86" s="14">
        <f t="shared" si="33"/>
        <v>0</v>
      </c>
      <c r="U86" s="14">
        <f t="shared" si="33"/>
        <v>0</v>
      </c>
      <c r="V86" s="14">
        <f t="shared" si="33"/>
        <v>0</v>
      </c>
      <c r="W86" s="14">
        <f t="shared" si="33"/>
        <v>0</v>
      </c>
      <c r="X86" s="14">
        <f t="shared" si="33"/>
        <v>0</v>
      </c>
      <c r="Y86" s="14">
        <f t="shared" si="33"/>
        <v>0</v>
      </c>
      <c r="Z86" s="14">
        <f t="shared" si="33"/>
        <v>0</v>
      </c>
      <c r="AA86" s="14">
        <f t="shared" si="33"/>
        <v>0</v>
      </c>
      <c r="AB86" s="14">
        <f t="shared" si="33"/>
        <v>0</v>
      </c>
      <c r="AC86" s="14">
        <f t="shared" si="33"/>
        <v>0</v>
      </c>
      <c r="AD86" s="14">
        <f t="shared" si="33"/>
        <v>0</v>
      </c>
      <c r="AE86" s="14">
        <f t="shared" si="33"/>
        <v>0</v>
      </c>
      <c r="AF86" s="14">
        <f t="shared" si="33"/>
        <v>0</v>
      </c>
      <c r="AG86" s="14">
        <f t="shared" si="33"/>
        <v>0</v>
      </c>
      <c r="AH86" s="14">
        <f t="shared" si="33"/>
        <v>0</v>
      </c>
      <c r="AI86" s="14">
        <f t="shared" si="33"/>
        <v>0</v>
      </c>
      <c r="AJ86" s="14">
        <f t="shared" si="33"/>
        <v>0</v>
      </c>
      <c r="AK86" s="14">
        <f t="shared" si="33"/>
        <v>0</v>
      </c>
      <c r="AL86" s="14">
        <f t="shared" si="33"/>
        <v>0</v>
      </c>
    </row>
    <row r="87" spans="1:38" ht="21" hidden="1" customHeight="1" outlineLevel="1" thickBot="1" x14ac:dyDescent="0.4">
      <c r="A87" s="5">
        <f t="shared" si="27"/>
        <v>0</v>
      </c>
      <c r="B87" s="5">
        <f t="shared" si="27"/>
        <v>0</v>
      </c>
      <c r="C87" s="5">
        <f t="shared" si="27"/>
        <v>0</v>
      </c>
      <c r="D87" s="5">
        <f t="shared" si="27"/>
        <v>0</v>
      </c>
      <c r="E87" s="6">
        <f t="shared" si="23"/>
        <v>0</v>
      </c>
      <c r="F87" s="14">
        <f t="shared" ref="F87:AL87" si="34">F11*$C$78</f>
        <v>0</v>
      </c>
      <c r="G87" s="14">
        <f t="shared" si="34"/>
        <v>0</v>
      </c>
      <c r="H87" s="14">
        <f t="shared" si="34"/>
        <v>0</v>
      </c>
      <c r="I87" s="14">
        <f t="shared" si="34"/>
        <v>0</v>
      </c>
      <c r="J87" s="14">
        <f t="shared" si="34"/>
        <v>0</v>
      </c>
      <c r="K87" s="14">
        <f t="shared" si="34"/>
        <v>0</v>
      </c>
      <c r="L87" s="14">
        <f t="shared" si="34"/>
        <v>0</v>
      </c>
      <c r="M87" s="14">
        <f t="shared" si="34"/>
        <v>0</v>
      </c>
      <c r="N87" s="14">
        <f t="shared" si="34"/>
        <v>0</v>
      </c>
      <c r="O87" s="14">
        <f t="shared" si="34"/>
        <v>0</v>
      </c>
      <c r="P87" s="14">
        <f t="shared" si="34"/>
        <v>0</v>
      </c>
      <c r="Q87" s="14">
        <f t="shared" si="34"/>
        <v>0</v>
      </c>
      <c r="R87" s="14">
        <f t="shared" si="34"/>
        <v>0</v>
      </c>
      <c r="S87" s="14">
        <f t="shared" si="34"/>
        <v>0</v>
      </c>
      <c r="T87" s="14">
        <f t="shared" si="34"/>
        <v>0</v>
      </c>
      <c r="U87" s="14">
        <f t="shared" si="34"/>
        <v>0</v>
      </c>
      <c r="V87" s="14">
        <f t="shared" si="34"/>
        <v>0</v>
      </c>
      <c r="W87" s="14">
        <f t="shared" si="34"/>
        <v>0</v>
      </c>
      <c r="X87" s="14">
        <f t="shared" si="34"/>
        <v>0</v>
      </c>
      <c r="Y87" s="14">
        <f t="shared" si="34"/>
        <v>0</v>
      </c>
      <c r="Z87" s="14">
        <f t="shared" si="34"/>
        <v>0</v>
      </c>
      <c r="AA87" s="14">
        <f t="shared" si="34"/>
        <v>0</v>
      </c>
      <c r="AB87" s="14">
        <f t="shared" si="34"/>
        <v>0</v>
      </c>
      <c r="AC87" s="14">
        <f t="shared" si="34"/>
        <v>0</v>
      </c>
      <c r="AD87" s="14">
        <f t="shared" si="34"/>
        <v>0</v>
      </c>
      <c r="AE87" s="14">
        <f t="shared" si="34"/>
        <v>0</v>
      </c>
      <c r="AF87" s="14">
        <f t="shared" si="34"/>
        <v>0</v>
      </c>
      <c r="AG87" s="14">
        <f t="shared" si="34"/>
        <v>0</v>
      </c>
      <c r="AH87" s="14">
        <f t="shared" si="34"/>
        <v>0</v>
      </c>
      <c r="AI87" s="14">
        <f t="shared" si="34"/>
        <v>0</v>
      </c>
      <c r="AJ87" s="14">
        <f t="shared" si="34"/>
        <v>0</v>
      </c>
      <c r="AK87" s="14">
        <f t="shared" si="34"/>
        <v>0</v>
      </c>
      <c r="AL87" s="14">
        <f t="shared" si="34"/>
        <v>0</v>
      </c>
    </row>
    <row r="88" spans="1:38" ht="21" hidden="1" customHeight="1" outlineLevel="1" thickBot="1" x14ac:dyDescent="0.4">
      <c r="A88" s="5">
        <f t="shared" si="27"/>
        <v>0</v>
      </c>
      <c r="B88" s="5">
        <f t="shared" si="27"/>
        <v>0</v>
      </c>
      <c r="C88" s="5">
        <f t="shared" si="27"/>
        <v>0</v>
      </c>
      <c r="D88" s="5">
        <f t="shared" si="27"/>
        <v>0</v>
      </c>
      <c r="E88" s="6">
        <f t="shared" si="23"/>
        <v>0</v>
      </c>
      <c r="F88" s="14">
        <f t="shared" ref="F88:AL88" si="35">F12*$C$78</f>
        <v>0</v>
      </c>
      <c r="G88" s="14">
        <f t="shared" si="35"/>
        <v>0</v>
      </c>
      <c r="H88" s="14">
        <f t="shared" si="35"/>
        <v>0</v>
      </c>
      <c r="I88" s="14">
        <f t="shared" si="35"/>
        <v>0</v>
      </c>
      <c r="J88" s="14">
        <f t="shared" si="35"/>
        <v>0</v>
      </c>
      <c r="K88" s="14">
        <f t="shared" si="35"/>
        <v>0</v>
      </c>
      <c r="L88" s="14">
        <f t="shared" si="35"/>
        <v>0</v>
      </c>
      <c r="M88" s="14">
        <f t="shared" si="35"/>
        <v>0</v>
      </c>
      <c r="N88" s="14">
        <f t="shared" si="35"/>
        <v>0</v>
      </c>
      <c r="O88" s="14">
        <f t="shared" si="35"/>
        <v>0</v>
      </c>
      <c r="P88" s="14">
        <f t="shared" si="35"/>
        <v>0</v>
      </c>
      <c r="Q88" s="14">
        <f t="shared" si="35"/>
        <v>0</v>
      </c>
      <c r="R88" s="14">
        <f t="shared" si="35"/>
        <v>0</v>
      </c>
      <c r="S88" s="14">
        <f t="shared" si="35"/>
        <v>0</v>
      </c>
      <c r="T88" s="14">
        <f t="shared" si="35"/>
        <v>0</v>
      </c>
      <c r="U88" s="14">
        <f t="shared" si="35"/>
        <v>0</v>
      </c>
      <c r="V88" s="14">
        <f t="shared" si="35"/>
        <v>0</v>
      </c>
      <c r="W88" s="14">
        <f t="shared" si="35"/>
        <v>0</v>
      </c>
      <c r="X88" s="14">
        <f t="shared" si="35"/>
        <v>0</v>
      </c>
      <c r="Y88" s="14">
        <f t="shared" si="35"/>
        <v>0</v>
      </c>
      <c r="Z88" s="14">
        <f t="shared" si="35"/>
        <v>0</v>
      </c>
      <c r="AA88" s="14">
        <f t="shared" si="35"/>
        <v>0</v>
      </c>
      <c r="AB88" s="14">
        <f t="shared" si="35"/>
        <v>0</v>
      </c>
      <c r="AC88" s="14">
        <f t="shared" si="35"/>
        <v>0</v>
      </c>
      <c r="AD88" s="14">
        <f t="shared" si="35"/>
        <v>0</v>
      </c>
      <c r="AE88" s="14">
        <f t="shared" si="35"/>
        <v>0</v>
      </c>
      <c r="AF88" s="14">
        <f t="shared" si="35"/>
        <v>0</v>
      </c>
      <c r="AG88" s="14">
        <f t="shared" si="35"/>
        <v>0</v>
      </c>
      <c r="AH88" s="14">
        <f t="shared" si="35"/>
        <v>0</v>
      </c>
      <c r="AI88" s="14">
        <f t="shared" si="35"/>
        <v>0</v>
      </c>
      <c r="AJ88" s="14">
        <f t="shared" si="35"/>
        <v>0</v>
      </c>
      <c r="AK88" s="14">
        <f t="shared" si="35"/>
        <v>0</v>
      </c>
      <c r="AL88" s="14">
        <f t="shared" si="35"/>
        <v>0</v>
      </c>
    </row>
    <row r="89" spans="1:38" ht="21" hidden="1" customHeight="1" outlineLevel="1" thickBot="1" x14ac:dyDescent="0.4">
      <c r="A89" s="5">
        <f t="shared" si="27"/>
        <v>0</v>
      </c>
      <c r="B89" s="5">
        <f t="shared" si="27"/>
        <v>0</v>
      </c>
      <c r="C89" s="5">
        <f t="shared" si="27"/>
        <v>0</v>
      </c>
      <c r="D89" s="5">
        <f t="shared" si="27"/>
        <v>0</v>
      </c>
      <c r="E89" s="6">
        <f t="shared" si="23"/>
        <v>0</v>
      </c>
      <c r="F89" s="14">
        <f t="shared" ref="F89:AL89" si="36">F13*$C$78</f>
        <v>0</v>
      </c>
      <c r="G89" s="14">
        <f t="shared" si="36"/>
        <v>0</v>
      </c>
      <c r="H89" s="14">
        <f t="shared" si="36"/>
        <v>0</v>
      </c>
      <c r="I89" s="14">
        <f t="shared" si="36"/>
        <v>0</v>
      </c>
      <c r="J89" s="14">
        <f t="shared" si="36"/>
        <v>0</v>
      </c>
      <c r="K89" s="14">
        <f t="shared" si="36"/>
        <v>0</v>
      </c>
      <c r="L89" s="14">
        <f t="shared" si="36"/>
        <v>0</v>
      </c>
      <c r="M89" s="14">
        <f t="shared" si="36"/>
        <v>0</v>
      </c>
      <c r="N89" s="14">
        <f t="shared" si="36"/>
        <v>0</v>
      </c>
      <c r="O89" s="14">
        <f t="shared" si="36"/>
        <v>0</v>
      </c>
      <c r="P89" s="14">
        <f t="shared" si="36"/>
        <v>0</v>
      </c>
      <c r="Q89" s="14">
        <f t="shared" si="36"/>
        <v>0</v>
      </c>
      <c r="R89" s="14">
        <f t="shared" si="36"/>
        <v>0</v>
      </c>
      <c r="S89" s="14">
        <f t="shared" si="36"/>
        <v>0</v>
      </c>
      <c r="T89" s="14">
        <f t="shared" si="36"/>
        <v>0</v>
      </c>
      <c r="U89" s="14">
        <f t="shared" si="36"/>
        <v>0</v>
      </c>
      <c r="V89" s="14">
        <f t="shared" si="36"/>
        <v>0</v>
      </c>
      <c r="W89" s="14">
        <f t="shared" si="36"/>
        <v>0</v>
      </c>
      <c r="X89" s="14">
        <f t="shared" si="36"/>
        <v>0</v>
      </c>
      <c r="Y89" s="14">
        <f t="shared" si="36"/>
        <v>0</v>
      </c>
      <c r="Z89" s="14">
        <f t="shared" si="36"/>
        <v>0</v>
      </c>
      <c r="AA89" s="14">
        <f t="shared" si="36"/>
        <v>0</v>
      </c>
      <c r="AB89" s="14">
        <f t="shared" si="36"/>
        <v>0</v>
      </c>
      <c r="AC89" s="14">
        <f t="shared" si="36"/>
        <v>0</v>
      </c>
      <c r="AD89" s="14">
        <f t="shared" si="36"/>
        <v>0</v>
      </c>
      <c r="AE89" s="14">
        <f t="shared" si="36"/>
        <v>0</v>
      </c>
      <c r="AF89" s="14">
        <f t="shared" si="36"/>
        <v>0</v>
      </c>
      <c r="AG89" s="14">
        <f t="shared" si="36"/>
        <v>0</v>
      </c>
      <c r="AH89" s="14">
        <f t="shared" si="36"/>
        <v>0</v>
      </c>
      <c r="AI89" s="14">
        <f t="shared" si="36"/>
        <v>0</v>
      </c>
      <c r="AJ89" s="14">
        <f t="shared" si="36"/>
        <v>0</v>
      </c>
      <c r="AK89" s="14">
        <f t="shared" si="36"/>
        <v>0</v>
      </c>
      <c r="AL89" s="14">
        <f t="shared" si="36"/>
        <v>0</v>
      </c>
    </row>
    <row r="90" spans="1:38" ht="21" hidden="1" customHeight="1" outlineLevel="1" thickBot="1" x14ac:dyDescent="0.4">
      <c r="A90" s="5">
        <f t="shared" si="27"/>
        <v>0</v>
      </c>
      <c r="B90" s="5">
        <f t="shared" si="27"/>
        <v>0</v>
      </c>
      <c r="C90" s="5">
        <f t="shared" si="27"/>
        <v>0</v>
      </c>
      <c r="D90" s="5">
        <f t="shared" si="27"/>
        <v>0</v>
      </c>
      <c r="E90" s="6">
        <f t="shared" si="23"/>
        <v>0</v>
      </c>
      <c r="F90" s="14">
        <f t="shared" ref="F90:AL90" si="37">F14*$C$78</f>
        <v>0</v>
      </c>
      <c r="G90" s="14">
        <f t="shared" si="37"/>
        <v>0</v>
      </c>
      <c r="H90" s="14">
        <f t="shared" si="37"/>
        <v>0</v>
      </c>
      <c r="I90" s="14">
        <f t="shared" si="37"/>
        <v>0</v>
      </c>
      <c r="J90" s="14">
        <f t="shared" si="37"/>
        <v>0</v>
      </c>
      <c r="K90" s="14">
        <f t="shared" si="37"/>
        <v>0</v>
      </c>
      <c r="L90" s="14">
        <f t="shared" si="37"/>
        <v>0</v>
      </c>
      <c r="M90" s="14">
        <f t="shared" si="37"/>
        <v>0</v>
      </c>
      <c r="N90" s="14">
        <f t="shared" si="37"/>
        <v>0</v>
      </c>
      <c r="O90" s="14">
        <f t="shared" si="37"/>
        <v>0</v>
      </c>
      <c r="P90" s="14">
        <f t="shared" si="37"/>
        <v>0</v>
      </c>
      <c r="Q90" s="14">
        <f t="shared" si="37"/>
        <v>0</v>
      </c>
      <c r="R90" s="14">
        <f t="shared" si="37"/>
        <v>0</v>
      </c>
      <c r="S90" s="14">
        <f t="shared" si="37"/>
        <v>0</v>
      </c>
      <c r="T90" s="14">
        <f t="shared" si="37"/>
        <v>0</v>
      </c>
      <c r="U90" s="14">
        <f t="shared" si="37"/>
        <v>0</v>
      </c>
      <c r="V90" s="14">
        <f t="shared" si="37"/>
        <v>0</v>
      </c>
      <c r="W90" s="14">
        <f t="shared" si="37"/>
        <v>0</v>
      </c>
      <c r="X90" s="14">
        <f t="shared" si="37"/>
        <v>0</v>
      </c>
      <c r="Y90" s="14">
        <f t="shared" si="37"/>
        <v>0</v>
      </c>
      <c r="Z90" s="14">
        <f t="shared" si="37"/>
        <v>0</v>
      </c>
      <c r="AA90" s="14">
        <f t="shared" si="37"/>
        <v>0</v>
      </c>
      <c r="AB90" s="14">
        <f t="shared" si="37"/>
        <v>0</v>
      </c>
      <c r="AC90" s="14">
        <f t="shared" si="37"/>
        <v>0</v>
      </c>
      <c r="AD90" s="14">
        <f t="shared" si="37"/>
        <v>0</v>
      </c>
      <c r="AE90" s="14">
        <f t="shared" si="37"/>
        <v>0</v>
      </c>
      <c r="AF90" s="14">
        <f t="shared" si="37"/>
        <v>0</v>
      </c>
      <c r="AG90" s="14">
        <f t="shared" si="37"/>
        <v>0</v>
      </c>
      <c r="AH90" s="14">
        <f t="shared" si="37"/>
        <v>0</v>
      </c>
      <c r="AI90" s="14">
        <f t="shared" si="37"/>
        <v>0</v>
      </c>
      <c r="AJ90" s="14">
        <f t="shared" si="37"/>
        <v>0</v>
      </c>
      <c r="AK90" s="14">
        <f t="shared" si="37"/>
        <v>0</v>
      </c>
      <c r="AL90" s="14">
        <f t="shared" si="37"/>
        <v>0</v>
      </c>
    </row>
    <row r="91" spans="1:38" ht="21" hidden="1" customHeight="1" outlineLevel="1" thickBot="1" x14ac:dyDescent="0.4">
      <c r="A91" s="5">
        <f t="shared" si="27"/>
        <v>0</v>
      </c>
      <c r="B91" s="5">
        <f t="shared" si="27"/>
        <v>0</v>
      </c>
      <c r="C91" s="5">
        <f t="shared" si="27"/>
        <v>0</v>
      </c>
      <c r="D91" s="5">
        <f t="shared" si="27"/>
        <v>0</v>
      </c>
      <c r="E91" s="6">
        <f t="shared" si="23"/>
        <v>0</v>
      </c>
      <c r="F91" s="14">
        <f t="shared" ref="F91:AL91" si="38">F15*$C$78</f>
        <v>0</v>
      </c>
      <c r="G91" s="14">
        <f t="shared" si="38"/>
        <v>0</v>
      </c>
      <c r="H91" s="14">
        <f t="shared" si="38"/>
        <v>0</v>
      </c>
      <c r="I91" s="14">
        <f t="shared" si="38"/>
        <v>0</v>
      </c>
      <c r="J91" s="14">
        <f t="shared" si="38"/>
        <v>0</v>
      </c>
      <c r="K91" s="14">
        <f t="shared" si="38"/>
        <v>0</v>
      </c>
      <c r="L91" s="14">
        <f t="shared" si="38"/>
        <v>0</v>
      </c>
      <c r="M91" s="14">
        <f t="shared" si="38"/>
        <v>0</v>
      </c>
      <c r="N91" s="14">
        <f t="shared" si="38"/>
        <v>0</v>
      </c>
      <c r="O91" s="14">
        <f t="shared" si="38"/>
        <v>0</v>
      </c>
      <c r="P91" s="14">
        <f t="shared" si="38"/>
        <v>0</v>
      </c>
      <c r="Q91" s="14">
        <f t="shared" si="38"/>
        <v>0</v>
      </c>
      <c r="R91" s="14">
        <f t="shared" si="38"/>
        <v>0</v>
      </c>
      <c r="S91" s="14">
        <f t="shared" si="38"/>
        <v>0</v>
      </c>
      <c r="T91" s="14">
        <f t="shared" si="38"/>
        <v>0</v>
      </c>
      <c r="U91" s="14">
        <f t="shared" si="38"/>
        <v>0</v>
      </c>
      <c r="V91" s="14">
        <f t="shared" si="38"/>
        <v>0</v>
      </c>
      <c r="W91" s="14">
        <f t="shared" si="38"/>
        <v>0</v>
      </c>
      <c r="X91" s="14">
        <f t="shared" si="38"/>
        <v>0</v>
      </c>
      <c r="Y91" s="14">
        <f t="shared" si="38"/>
        <v>0</v>
      </c>
      <c r="Z91" s="14">
        <f t="shared" si="38"/>
        <v>0</v>
      </c>
      <c r="AA91" s="14">
        <f t="shared" si="38"/>
        <v>0</v>
      </c>
      <c r="AB91" s="14">
        <f t="shared" si="38"/>
        <v>0</v>
      </c>
      <c r="AC91" s="14">
        <f t="shared" si="38"/>
        <v>0</v>
      </c>
      <c r="AD91" s="14">
        <f t="shared" si="38"/>
        <v>0</v>
      </c>
      <c r="AE91" s="14">
        <f t="shared" si="38"/>
        <v>0</v>
      </c>
      <c r="AF91" s="14">
        <f t="shared" si="38"/>
        <v>0</v>
      </c>
      <c r="AG91" s="14">
        <f t="shared" si="38"/>
        <v>0</v>
      </c>
      <c r="AH91" s="14">
        <f t="shared" si="38"/>
        <v>0</v>
      </c>
      <c r="AI91" s="14">
        <f t="shared" si="38"/>
        <v>0</v>
      </c>
      <c r="AJ91" s="14">
        <f t="shared" si="38"/>
        <v>0</v>
      </c>
      <c r="AK91" s="14">
        <f t="shared" si="38"/>
        <v>0</v>
      </c>
      <c r="AL91" s="14">
        <f t="shared" si="38"/>
        <v>0</v>
      </c>
    </row>
    <row r="92" spans="1:38" ht="21" hidden="1" customHeight="1" outlineLevel="1" thickBot="1" x14ac:dyDescent="0.4">
      <c r="A92" s="5">
        <f t="shared" si="27"/>
        <v>0</v>
      </c>
      <c r="B92" s="5">
        <f t="shared" si="27"/>
        <v>0</v>
      </c>
      <c r="C92" s="5">
        <f t="shared" si="27"/>
        <v>0</v>
      </c>
      <c r="D92" s="5">
        <f t="shared" si="27"/>
        <v>0</v>
      </c>
      <c r="E92" s="6">
        <f t="shared" si="23"/>
        <v>0</v>
      </c>
      <c r="F92" s="14">
        <f t="shared" ref="F92:AL92" si="39">F16*$C$78</f>
        <v>0</v>
      </c>
      <c r="G92" s="14">
        <f t="shared" si="39"/>
        <v>0</v>
      </c>
      <c r="H92" s="14">
        <f t="shared" si="39"/>
        <v>0</v>
      </c>
      <c r="I92" s="14">
        <f t="shared" si="39"/>
        <v>0</v>
      </c>
      <c r="J92" s="14">
        <f t="shared" si="39"/>
        <v>0</v>
      </c>
      <c r="K92" s="14">
        <f t="shared" si="39"/>
        <v>0</v>
      </c>
      <c r="L92" s="14">
        <f t="shared" si="39"/>
        <v>0</v>
      </c>
      <c r="M92" s="14">
        <f t="shared" si="39"/>
        <v>0</v>
      </c>
      <c r="N92" s="14">
        <f t="shared" si="39"/>
        <v>0</v>
      </c>
      <c r="O92" s="14">
        <f t="shared" si="39"/>
        <v>0</v>
      </c>
      <c r="P92" s="14">
        <f t="shared" si="39"/>
        <v>0</v>
      </c>
      <c r="Q92" s="14">
        <f t="shared" si="39"/>
        <v>0</v>
      </c>
      <c r="R92" s="14">
        <f t="shared" si="39"/>
        <v>0</v>
      </c>
      <c r="S92" s="14">
        <f t="shared" si="39"/>
        <v>0</v>
      </c>
      <c r="T92" s="14">
        <f t="shared" si="39"/>
        <v>0</v>
      </c>
      <c r="U92" s="14">
        <f t="shared" si="39"/>
        <v>0</v>
      </c>
      <c r="V92" s="14">
        <f t="shared" si="39"/>
        <v>0</v>
      </c>
      <c r="W92" s="14">
        <f t="shared" si="39"/>
        <v>0</v>
      </c>
      <c r="X92" s="14">
        <f t="shared" si="39"/>
        <v>0</v>
      </c>
      <c r="Y92" s="14">
        <f t="shared" si="39"/>
        <v>0</v>
      </c>
      <c r="Z92" s="14">
        <f t="shared" si="39"/>
        <v>0</v>
      </c>
      <c r="AA92" s="14">
        <f t="shared" si="39"/>
        <v>0</v>
      </c>
      <c r="AB92" s="14">
        <f t="shared" si="39"/>
        <v>0</v>
      </c>
      <c r="AC92" s="14">
        <f t="shared" si="39"/>
        <v>0</v>
      </c>
      <c r="AD92" s="14">
        <f t="shared" si="39"/>
        <v>0</v>
      </c>
      <c r="AE92" s="14">
        <f t="shared" si="39"/>
        <v>0</v>
      </c>
      <c r="AF92" s="14">
        <f t="shared" si="39"/>
        <v>0</v>
      </c>
      <c r="AG92" s="14">
        <f t="shared" si="39"/>
        <v>0</v>
      </c>
      <c r="AH92" s="14">
        <f t="shared" si="39"/>
        <v>0</v>
      </c>
      <c r="AI92" s="14">
        <f t="shared" si="39"/>
        <v>0</v>
      </c>
      <c r="AJ92" s="14">
        <f t="shared" si="39"/>
        <v>0</v>
      </c>
      <c r="AK92" s="14">
        <f t="shared" si="39"/>
        <v>0</v>
      </c>
      <c r="AL92" s="14">
        <f t="shared" si="39"/>
        <v>0</v>
      </c>
    </row>
    <row r="93" spans="1:38" ht="21" hidden="1" customHeight="1" outlineLevel="1" thickBot="1" x14ac:dyDescent="0.4">
      <c r="A93" s="5">
        <f t="shared" si="27"/>
        <v>0</v>
      </c>
      <c r="B93" s="5">
        <f t="shared" si="27"/>
        <v>0</v>
      </c>
      <c r="C93" s="5">
        <f t="shared" si="27"/>
        <v>0</v>
      </c>
      <c r="D93" s="5">
        <f t="shared" si="27"/>
        <v>0</v>
      </c>
      <c r="E93" s="6">
        <f t="shared" si="23"/>
        <v>0</v>
      </c>
      <c r="F93" s="14">
        <f t="shared" ref="F93:AL93" si="40">F17*$C$78</f>
        <v>0</v>
      </c>
      <c r="G93" s="14">
        <f t="shared" si="40"/>
        <v>0</v>
      </c>
      <c r="H93" s="14">
        <f t="shared" si="40"/>
        <v>0</v>
      </c>
      <c r="I93" s="14">
        <f t="shared" si="40"/>
        <v>0</v>
      </c>
      <c r="J93" s="14">
        <f t="shared" si="40"/>
        <v>0</v>
      </c>
      <c r="K93" s="14">
        <f t="shared" si="40"/>
        <v>0</v>
      </c>
      <c r="L93" s="14">
        <f t="shared" si="40"/>
        <v>0</v>
      </c>
      <c r="M93" s="14">
        <f t="shared" si="40"/>
        <v>0</v>
      </c>
      <c r="N93" s="14">
        <f t="shared" si="40"/>
        <v>0</v>
      </c>
      <c r="O93" s="14">
        <f t="shared" si="40"/>
        <v>0</v>
      </c>
      <c r="P93" s="14">
        <f t="shared" si="40"/>
        <v>0</v>
      </c>
      <c r="Q93" s="14">
        <f t="shared" si="40"/>
        <v>0</v>
      </c>
      <c r="R93" s="14">
        <f t="shared" si="40"/>
        <v>0</v>
      </c>
      <c r="S93" s="14">
        <f t="shared" si="40"/>
        <v>0</v>
      </c>
      <c r="T93" s="14">
        <f t="shared" si="40"/>
        <v>0</v>
      </c>
      <c r="U93" s="14">
        <f t="shared" si="40"/>
        <v>0</v>
      </c>
      <c r="V93" s="14">
        <f t="shared" si="40"/>
        <v>0</v>
      </c>
      <c r="W93" s="14">
        <f t="shared" si="40"/>
        <v>0</v>
      </c>
      <c r="X93" s="14">
        <f t="shared" si="40"/>
        <v>0</v>
      </c>
      <c r="Y93" s="14">
        <f t="shared" si="40"/>
        <v>0</v>
      </c>
      <c r="Z93" s="14">
        <f t="shared" si="40"/>
        <v>0</v>
      </c>
      <c r="AA93" s="14">
        <f t="shared" si="40"/>
        <v>0</v>
      </c>
      <c r="AB93" s="14">
        <f t="shared" si="40"/>
        <v>0</v>
      </c>
      <c r="AC93" s="14">
        <f t="shared" si="40"/>
        <v>0</v>
      </c>
      <c r="AD93" s="14">
        <f t="shared" si="40"/>
        <v>0</v>
      </c>
      <c r="AE93" s="14">
        <f t="shared" si="40"/>
        <v>0</v>
      </c>
      <c r="AF93" s="14">
        <f t="shared" si="40"/>
        <v>0</v>
      </c>
      <c r="AG93" s="14">
        <f t="shared" si="40"/>
        <v>0</v>
      </c>
      <c r="AH93" s="14">
        <f t="shared" si="40"/>
        <v>0</v>
      </c>
      <c r="AI93" s="14">
        <f t="shared" si="40"/>
        <v>0</v>
      </c>
      <c r="AJ93" s="14">
        <f t="shared" si="40"/>
        <v>0</v>
      </c>
      <c r="AK93" s="14">
        <f t="shared" si="40"/>
        <v>0</v>
      </c>
      <c r="AL93" s="14">
        <f t="shared" si="40"/>
        <v>0</v>
      </c>
    </row>
    <row r="94" spans="1:38" ht="21" hidden="1" customHeight="1" outlineLevel="1" thickBot="1" x14ac:dyDescent="0.4">
      <c r="A94" s="5">
        <f t="shared" si="27"/>
        <v>0</v>
      </c>
      <c r="B94" s="5">
        <f t="shared" si="27"/>
        <v>0</v>
      </c>
      <c r="C94" s="5">
        <f t="shared" si="27"/>
        <v>0</v>
      </c>
      <c r="D94" s="5">
        <f t="shared" si="27"/>
        <v>0</v>
      </c>
      <c r="E94" s="6">
        <f t="shared" si="23"/>
        <v>0</v>
      </c>
      <c r="F94" s="14">
        <f t="shared" ref="F94:AL94" si="41">F18*$C$78</f>
        <v>0</v>
      </c>
      <c r="G94" s="14">
        <f t="shared" si="41"/>
        <v>0</v>
      </c>
      <c r="H94" s="14">
        <f t="shared" si="41"/>
        <v>0</v>
      </c>
      <c r="I94" s="14">
        <f t="shared" si="41"/>
        <v>0</v>
      </c>
      <c r="J94" s="14">
        <f t="shared" si="41"/>
        <v>0</v>
      </c>
      <c r="K94" s="14">
        <f t="shared" si="41"/>
        <v>0</v>
      </c>
      <c r="L94" s="14">
        <f t="shared" si="41"/>
        <v>0</v>
      </c>
      <c r="M94" s="14">
        <f t="shared" si="41"/>
        <v>0</v>
      </c>
      <c r="N94" s="14">
        <f t="shared" si="41"/>
        <v>0</v>
      </c>
      <c r="O94" s="14">
        <f t="shared" si="41"/>
        <v>0</v>
      </c>
      <c r="P94" s="14">
        <f t="shared" si="41"/>
        <v>0</v>
      </c>
      <c r="Q94" s="14">
        <f t="shared" si="41"/>
        <v>0</v>
      </c>
      <c r="R94" s="14">
        <f t="shared" si="41"/>
        <v>0</v>
      </c>
      <c r="S94" s="14">
        <f t="shared" si="41"/>
        <v>0</v>
      </c>
      <c r="T94" s="14">
        <f t="shared" si="41"/>
        <v>0</v>
      </c>
      <c r="U94" s="14">
        <f t="shared" si="41"/>
        <v>0</v>
      </c>
      <c r="V94" s="14">
        <f t="shared" si="41"/>
        <v>0</v>
      </c>
      <c r="W94" s="14">
        <f t="shared" si="41"/>
        <v>0</v>
      </c>
      <c r="X94" s="14">
        <f t="shared" si="41"/>
        <v>0</v>
      </c>
      <c r="Y94" s="14">
        <f t="shared" si="41"/>
        <v>0</v>
      </c>
      <c r="Z94" s="14">
        <f t="shared" si="41"/>
        <v>0</v>
      </c>
      <c r="AA94" s="14">
        <f t="shared" si="41"/>
        <v>0</v>
      </c>
      <c r="AB94" s="14">
        <f t="shared" si="41"/>
        <v>0</v>
      </c>
      <c r="AC94" s="14">
        <f t="shared" si="41"/>
        <v>0</v>
      </c>
      <c r="AD94" s="14">
        <f t="shared" si="41"/>
        <v>0</v>
      </c>
      <c r="AE94" s="14">
        <f t="shared" si="41"/>
        <v>0</v>
      </c>
      <c r="AF94" s="14">
        <f t="shared" si="41"/>
        <v>0</v>
      </c>
      <c r="AG94" s="14">
        <f t="shared" si="41"/>
        <v>0</v>
      </c>
      <c r="AH94" s="14">
        <f t="shared" si="41"/>
        <v>0</v>
      </c>
      <c r="AI94" s="14">
        <f t="shared" si="41"/>
        <v>0</v>
      </c>
      <c r="AJ94" s="14">
        <f t="shared" si="41"/>
        <v>0</v>
      </c>
      <c r="AK94" s="14">
        <f t="shared" si="41"/>
        <v>0</v>
      </c>
      <c r="AL94" s="14">
        <f t="shared" si="41"/>
        <v>0</v>
      </c>
    </row>
    <row r="95" spans="1:38" ht="21" hidden="1" customHeight="1" outlineLevel="1" thickBot="1" x14ac:dyDescent="0.4">
      <c r="A95" s="5">
        <f t="shared" si="27"/>
        <v>0</v>
      </c>
      <c r="B95" s="5">
        <f t="shared" si="27"/>
        <v>0</v>
      </c>
      <c r="C95" s="5">
        <f t="shared" si="27"/>
        <v>0</v>
      </c>
      <c r="D95" s="5">
        <f t="shared" si="27"/>
        <v>0</v>
      </c>
      <c r="E95" s="6">
        <f t="shared" si="23"/>
        <v>0</v>
      </c>
      <c r="F95" s="14">
        <f t="shared" ref="F95:AL95" si="42">F19*$C$78</f>
        <v>0</v>
      </c>
      <c r="G95" s="14">
        <f t="shared" si="42"/>
        <v>0</v>
      </c>
      <c r="H95" s="14">
        <f t="shared" si="42"/>
        <v>0</v>
      </c>
      <c r="I95" s="14">
        <f t="shared" si="42"/>
        <v>0</v>
      </c>
      <c r="J95" s="14">
        <f t="shared" si="42"/>
        <v>0</v>
      </c>
      <c r="K95" s="14">
        <f t="shared" si="42"/>
        <v>0</v>
      </c>
      <c r="L95" s="14">
        <f t="shared" si="42"/>
        <v>0</v>
      </c>
      <c r="M95" s="14">
        <f t="shared" si="42"/>
        <v>0</v>
      </c>
      <c r="N95" s="14">
        <f t="shared" si="42"/>
        <v>0</v>
      </c>
      <c r="O95" s="14">
        <f t="shared" si="42"/>
        <v>0</v>
      </c>
      <c r="P95" s="14">
        <f t="shared" si="42"/>
        <v>0</v>
      </c>
      <c r="Q95" s="14">
        <f t="shared" si="42"/>
        <v>0</v>
      </c>
      <c r="R95" s="14">
        <f t="shared" si="42"/>
        <v>0</v>
      </c>
      <c r="S95" s="14">
        <f t="shared" si="42"/>
        <v>0</v>
      </c>
      <c r="T95" s="14">
        <f t="shared" si="42"/>
        <v>0</v>
      </c>
      <c r="U95" s="14">
        <f t="shared" si="42"/>
        <v>0</v>
      </c>
      <c r="V95" s="14">
        <f t="shared" si="42"/>
        <v>0</v>
      </c>
      <c r="W95" s="14">
        <f t="shared" si="42"/>
        <v>0</v>
      </c>
      <c r="X95" s="14">
        <f t="shared" si="42"/>
        <v>0</v>
      </c>
      <c r="Y95" s="14">
        <f t="shared" si="42"/>
        <v>0</v>
      </c>
      <c r="Z95" s="14">
        <f t="shared" si="42"/>
        <v>0</v>
      </c>
      <c r="AA95" s="14">
        <f t="shared" si="42"/>
        <v>0</v>
      </c>
      <c r="AB95" s="14">
        <f t="shared" si="42"/>
        <v>0</v>
      </c>
      <c r="AC95" s="14">
        <f t="shared" si="42"/>
        <v>0</v>
      </c>
      <c r="AD95" s="14">
        <f t="shared" si="42"/>
        <v>0</v>
      </c>
      <c r="AE95" s="14">
        <f t="shared" si="42"/>
        <v>0</v>
      </c>
      <c r="AF95" s="14">
        <f t="shared" si="42"/>
        <v>0</v>
      </c>
      <c r="AG95" s="14">
        <f t="shared" si="42"/>
        <v>0</v>
      </c>
      <c r="AH95" s="14">
        <f t="shared" si="42"/>
        <v>0</v>
      </c>
      <c r="AI95" s="14">
        <f t="shared" si="42"/>
        <v>0</v>
      </c>
      <c r="AJ95" s="14">
        <f t="shared" si="42"/>
        <v>0</v>
      </c>
      <c r="AK95" s="14">
        <f t="shared" si="42"/>
        <v>0</v>
      </c>
      <c r="AL95" s="14">
        <f t="shared" si="42"/>
        <v>0</v>
      </c>
    </row>
    <row r="96" spans="1:38" ht="21" hidden="1" customHeight="1" outlineLevel="1" thickBot="1" x14ac:dyDescent="0.4">
      <c r="A96" s="5">
        <f t="shared" si="27"/>
        <v>0</v>
      </c>
      <c r="B96" s="5">
        <f t="shared" si="27"/>
        <v>0</v>
      </c>
      <c r="C96" s="5">
        <f t="shared" si="27"/>
        <v>0</v>
      </c>
      <c r="D96" s="5">
        <f t="shared" si="27"/>
        <v>0</v>
      </c>
      <c r="E96" s="6">
        <f t="shared" si="23"/>
        <v>0</v>
      </c>
      <c r="F96" s="14">
        <f t="shared" ref="F96:AL96" si="43">F20*$C$78</f>
        <v>0</v>
      </c>
      <c r="G96" s="14">
        <f t="shared" si="43"/>
        <v>0</v>
      </c>
      <c r="H96" s="14">
        <f t="shared" si="43"/>
        <v>0</v>
      </c>
      <c r="I96" s="14">
        <f t="shared" si="43"/>
        <v>0</v>
      </c>
      <c r="J96" s="14">
        <f t="shared" si="43"/>
        <v>0</v>
      </c>
      <c r="K96" s="14">
        <f t="shared" si="43"/>
        <v>0</v>
      </c>
      <c r="L96" s="14">
        <f t="shared" si="43"/>
        <v>0</v>
      </c>
      <c r="M96" s="14">
        <f t="shared" si="43"/>
        <v>0</v>
      </c>
      <c r="N96" s="14">
        <f t="shared" si="43"/>
        <v>0</v>
      </c>
      <c r="O96" s="14">
        <f t="shared" si="43"/>
        <v>0</v>
      </c>
      <c r="P96" s="14">
        <f t="shared" si="43"/>
        <v>0</v>
      </c>
      <c r="Q96" s="14">
        <f t="shared" si="43"/>
        <v>0</v>
      </c>
      <c r="R96" s="14">
        <f t="shared" si="43"/>
        <v>0</v>
      </c>
      <c r="S96" s="14">
        <f t="shared" si="43"/>
        <v>0</v>
      </c>
      <c r="T96" s="14">
        <f t="shared" si="43"/>
        <v>0</v>
      </c>
      <c r="U96" s="14">
        <f t="shared" si="43"/>
        <v>0</v>
      </c>
      <c r="V96" s="14">
        <f t="shared" si="43"/>
        <v>0</v>
      </c>
      <c r="W96" s="14">
        <f t="shared" si="43"/>
        <v>0</v>
      </c>
      <c r="X96" s="14">
        <f t="shared" si="43"/>
        <v>0</v>
      </c>
      <c r="Y96" s="14">
        <f t="shared" si="43"/>
        <v>0</v>
      </c>
      <c r="Z96" s="14">
        <f t="shared" si="43"/>
        <v>0</v>
      </c>
      <c r="AA96" s="14">
        <f t="shared" si="43"/>
        <v>0</v>
      </c>
      <c r="AB96" s="14">
        <f t="shared" si="43"/>
        <v>0</v>
      </c>
      <c r="AC96" s="14">
        <f t="shared" si="43"/>
        <v>0</v>
      </c>
      <c r="AD96" s="14">
        <f t="shared" si="43"/>
        <v>0</v>
      </c>
      <c r="AE96" s="14">
        <f t="shared" si="43"/>
        <v>0</v>
      </c>
      <c r="AF96" s="14">
        <f t="shared" si="43"/>
        <v>0</v>
      </c>
      <c r="AG96" s="14">
        <f t="shared" si="43"/>
        <v>0</v>
      </c>
      <c r="AH96" s="14">
        <f t="shared" si="43"/>
        <v>0</v>
      </c>
      <c r="AI96" s="14">
        <f t="shared" si="43"/>
        <v>0</v>
      </c>
      <c r="AJ96" s="14">
        <f t="shared" si="43"/>
        <v>0</v>
      </c>
      <c r="AK96" s="14">
        <f t="shared" si="43"/>
        <v>0</v>
      </c>
      <c r="AL96" s="14">
        <f t="shared" si="43"/>
        <v>0</v>
      </c>
    </row>
    <row r="97" spans="1:54" ht="21" hidden="1" customHeight="1" outlineLevel="1" thickBot="1" x14ac:dyDescent="0.4">
      <c r="A97" s="5">
        <f t="shared" ref="A97:D109" si="44">A63</f>
        <v>0</v>
      </c>
      <c r="B97" s="5">
        <f t="shared" si="44"/>
        <v>0</v>
      </c>
      <c r="C97" s="5">
        <f t="shared" si="44"/>
        <v>0</v>
      </c>
      <c r="D97" s="5">
        <f t="shared" si="44"/>
        <v>0</v>
      </c>
      <c r="E97" s="6">
        <f t="shared" si="23"/>
        <v>0</v>
      </c>
      <c r="F97" s="14">
        <f t="shared" ref="F97:AL97" si="45">F21*$C$78</f>
        <v>0</v>
      </c>
      <c r="G97" s="14">
        <f t="shared" si="45"/>
        <v>0</v>
      </c>
      <c r="H97" s="14">
        <f t="shared" si="45"/>
        <v>0</v>
      </c>
      <c r="I97" s="14">
        <f t="shared" si="45"/>
        <v>0</v>
      </c>
      <c r="J97" s="14">
        <f t="shared" si="45"/>
        <v>0</v>
      </c>
      <c r="K97" s="14">
        <f t="shared" si="45"/>
        <v>0</v>
      </c>
      <c r="L97" s="14">
        <f t="shared" si="45"/>
        <v>0</v>
      </c>
      <c r="M97" s="14">
        <f t="shared" si="45"/>
        <v>0</v>
      </c>
      <c r="N97" s="14">
        <f t="shared" si="45"/>
        <v>0</v>
      </c>
      <c r="O97" s="14">
        <f t="shared" si="45"/>
        <v>0</v>
      </c>
      <c r="P97" s="14">
        <f t="shared" si="45"/>
        <v>0</v>
      </c>
      <c r="Q97" s="14">
        <f t="shared" si="45"/>
        <v>0</v>
      </c>
      <c r="R97" s="14">
        <f t="shared" si="45"/>
        <v>0</v>
      </c>
      <c r="S97" s="14">
        <f t="shared" si="45"/>
        <v>0</v>
      </c>
      <c r="T97" s="14">
        <f t="shared" si="45"/>
        <v>0</v>
      </c>
      <c r="U97" s="14">
        <f t="shared" si="45"/>
        <v>0</v>
      </c>
      <c r="V97" s="14">
        <f t="shared" si="45"/>
        <v>0</v>
      </c>
      <c r="W97" s="14">
        <f t="shared" si="45"/>
        <v>0</v>
      </c>
      <c r="X97" s="14">
        <f t="shared" si="45"/>
        <v>0</v>
      </c>
      <c r="Y97" s="14">
        <f t="shared" si="45"/>
        <v>0</v>
      </c>
      <c r="Z97" s="14">
        <f t="shared" si="45"/>
        <v>0</v>
      </c>
      <c r="AA97" s="14">
        <f t="shared" si="45"/>
        <v>0</v>
      </c>
      <c r="AB97" s="14">
        <f t="shared" si="45"/>
        <v>0</v>
      </c>
      <c r="AC97" s="14">
        <f t="shared" si="45"/>
        <v>0</v>
      </c>
      <c r="AD97" s="14">
        <f t="shared" si="45"/>
        <v>0</v>
      </c>
      <c r="AE97" s="14">
        <f t="shared" si="45"/>
        <v>0</v>
      </c>
      <c r="AF97" s="14">
        <f t="shared" si="45"/>
        <v>0</v>
      </c>
      <c r="AG97" s="14">
        <f t="shared" si="45"/>
        <v>0</v>
      </c>
      <c r="AH97" s="14">
        <f t="shared" si="45"/>
        <v>0</v>
      </c>
      <c r="AI97" s="14">
        <f t="shared" si="45"/>
        <v>0</v>
      </c>
      <c r="AJ97" s="14">
        <f t="shared" si="45"/>
        <v>0</v>
      </c>
      <c r="AK97" s="14">
        <f t="shared" si="45"/>
        <v>0</v>
      </c>
      <c r="AL97" s="14">
        <f t="shared" si="45"/>
        <v>0</v>
      </c>
    </row>
    <row r="98" spans="1:54" ht="21" hidden="1" customHeight="1" outlineLevel="1" thickBot="1" x14ac:dyDescent="0.4">
      <c r="A98" s="5">
        <f t="shared" si="44"/>
        <v>0</v>
      </c>
      <c r="B98" s="5">
        <f t="shared" si="44"/>
        <v>0</v>
      </c>
      <c r="C98" s="5">
        <f t="shared" si="44"/>
        <v>0</v>
      </c>
      <c r="D98" s="5">
        <f t="shared" si="44"/>
        <v>0</v>
      </c>
      <c r="E98" s="6">
        <f t="shared" si="23"/>
        <v>0</v>
      </c>
      <c r="F98" s="14">
        <f t="shared" ref="F98:AL98" si="46">F22*$C$78</f>
        <v>0</v>
      </c>
      <c r="G98" s="14">
        <f t="shared" si="46"/>
        <v>0</v>
      </c>
      <c r="H98" s="14">
        <f t="shared" si="46"/>
        <v>0</v>
      </c>
      <c r="I98" s="14">
        <f t="shared" si="46"/>
        <v>0</v>
      </c>
      <c r="J98" s="14">
        <f t="shared" si="46"/>
        <v>0</v>
      </c>
      <c r="K98" s="14">
        <f t="shared" si="46"/>
        <v>0</v>
      </c>
      <c r="L98" s="14">
        <f t="shared" si="46"/>
        <v>0</v>
      </c>
      <c r="M98" s="14">
        <f t="shared" si="46"/>
        <v>0</v>
      </c>
      <c r="N98" s="14">
        <f t="shared" si="46"/>
        <v>0</v>
      </c>
      <c r="O98" s="14">
        <f t="shared" si="46"/>
        <v>0</v>
      </c>
      <c r="P98" s="14">
        <f t="shared" si="46"/>
        <v>0</v>
      </c>
      <c r="Q98" s="14">
        <f t="shared" si="46"/>
        <v>0</v>
      </c>
      <c r="R98" s="14">
        <f t="shared" si="46"/>
        <v>0</v>
      </c>
      <c r="S98" s="14">
        <f t="shared" si="46"/>
        <v>0</v>
      </c>
      <c r="T98" s="14">
        <f t="shared" si="46"/>
        <v>0</v>
      </c>
      <c r="U98" s="14">
        <f t="shared" si="46"/>
        <v>0</v>
      </c>
      <c r="V98" s="14">
        <f t="shared" si="46"/>
        <v>0</v>
      </c>
      <c r="W98" s="14">
        <f t="shared" si="46"/>
        <v>0</v>
      </c>
      <c r="X98" s="14">
        <f t="shared" si="46"/>
        <v>0</v>
      </c>
      <c r="Y98" s="14">
        <f t="shared" si="46"/>
        <v>0</v>
      </c>
      <c r="Z98" s="14">
        <f t="shared" si="46"/>
        <v>0</v>
      </c>
      <c r="AA98" s="14">
        <f t="shared" si="46"/>
        <v>0</v>
      </c>
      <c r="AB98" s="14">
        <f t="shared" si="46"/>
        <v>0</v>
      </c>
      <c r="AC98" s="14">
        <f t="shared" si="46"/>
        <v>0</v>
      </c>
      <c r="AD98" s="14">
        <f t="shared" si="46"/>
        <v>0</v>
      </c>
      <c r="AE98" s="14">
        <f t="shared" si="46"/>
        <v>0</v>
      </c>
      <c r="AF98" s="14">
        <f t="shared" si="46"/>
        <v>0</v>
      </c>
      <c r="AG98" s="14">
        <f t="shared" si="46"/>
        <v>0</v>
      </c>
      <c r="AH98" s="14">
        <f t="shared" si="46"/>
        <v>0</v>
      </c>
      <c r="AI98" s="14">
        <f t="shared" si="46"/>
        <v>0</v>
      </c>
      <c r="AJ98" s="14">
        <f t="shared" si="46"/>
        <v>0</v>
      </c>
      <c r="AK98" s="14">
        <f t="shared" si="46"/>
        <v>0</v>
      </c>
      <c r="AL98" s="14">
        <f t="shared" si="46"/>
        <v>0</v>
      </c>
    </row>
    <row r="99" spans="1:54" ht="21" hidden="1" customHeight="1" outlineLevel="1" thickBot="1" x14ac:dyDescent="0.4">
      <c r="A99" s="5">
        <f t="shared" si="44"/>
        <v>0</v>
      </c>
      <c r="B99" s="5">
        <f t="shared" si="44"/>
        <v>0</v>
      </c>
      <c r="C99" s="5">
        <f t="shared" si="44"/>
        <v>0</v>
      </c>
      <c r="D99" s="5">
        <f t="shared" si="44"/>
        <v>0</v>
      </c>
      <c r="E99" s="6">
        <f t="shared" si="23"/>
        <v>0</v>
      </c>
      <c r="F99" s="14">
        <f t="shared" ref="F99:AL99" si="47">F23*$C$78</f>
        <v>0</v>
      </c>
      <c r="G99" s="14">
        <f t="shared" si="47"/>
        <v>0</v>
      </c>
      <c r="H99" s="14">
        <f t="shared" si="47"/>
        <v>0</v>
      </c>
      <c r="I99" s="14">
        <f t="shared" si="47"/>
        <v>0</v>
      </c>
      <c r="J99" s="14">
        <f t="shared" si="47"/>
        <v>0</v>
      </c>
      <c r="K99" s="14">
        <f t="shared" si="47"/>
        <v>0</v>
      </c>
      <c r="L99" s="14">
        <f t="shared" si="47"/>
        <v>0</v>
      </c>
      <c r="M99" s="14">
        <f t="shared" si="47"/>
        <v>0</v>
      </c>
      <c r="N99" s="14">
        <f t="shared" si="47"/>
        <v>0</v>
      </c>
      <c r="O99" s="14">
        <f t="shared" si="47"/>
        <v>0</v>
      </c>
      <c r="P99" s="14">
        <f t="shared" si="47"/>
        <v>0</v>
      </c>
      <c r="Q99" s="14">
        <f t="shared" si="47"/>
        <v>0</v>
      </c>
      <c r="R99" s="14">
        <f t="shared" si="47"/>
        <v>0</v>
      </c>
      <c r="S99" s="14">
        <f t="shared" si="47"/>
        <v>0</v>
      </c>
      <c r="T99" s="14">
        <f t="shared" si="47"/>
        <v>0</v>
      </c>
      <c r="U99" s="14">
        <f t="shared" si="47"/>
        <v>0</v>
      </c>
      <c r="V99" s="14">
        <f t="shared" si="47"/>
        <v>0</v>
      </c>
      <c r="W99" s="14">
        <f t="shared" si="47"/>
        <v>0</v>
      </c>
      <c r="X99" s="14">
        <f t="shared" si="47"/>
        <v>0</v>
      </c>
      <c r="Y99" s="14">
        <f t="shared" si="47"/>
        <v>0</v>
      </c>
      <c r="Z99" s="14">
        <f t="shared" si="47"/>
        <v>0</v>
      </c>
      <c r="AA99" s="14">
        <f t="shared" si="47"/>
        <v>0</v>
      </c>
      <c r="AB99" s="14">
        <f t="shared" si="47"/>
        <v>0</v>
      </c>
      <c r="AC99" s="14">
        <f t="shared" si="47"/>
        <v>0</v>
      </c>
      <c r="AD99" s="14">
        <f t="shared" si="47"/>
        <v>0</v>
      </c>
      <c r="AE99" s="14">
        <f t="shared" si="47"/>
        <v>0</v>
      </c>
      <c r="AF99" s="14">
        <f t="shared" si="47"/>
        <v>0</v>
      </c>
      <c r="AG99" s="14">
        <f t="shared" si="47"/>
        <v>0</v>
      </c>
      <c r="AH99" s="14">
        <f t="shared" si="47"/>
        <v>0</v>
      </c>
      <c r="AI99" s="14">
        <f t="shared" si="47"/>
        <v>0</v>
      </c>
      <c r="AJ99" s="14">
        <f t="shared" si="47"/>
        <v>0</v>
      </c>
      <c r="AK99" s="14">
        <f t="shared" si="47"/>
        <v>0</v>
      </c>
      <c r="AL99" s="14">
        <f t="shared" si="47"/>
        <v>0</v>
      </c>
    </row>
    <row r="100" spans="1:54" ht="21" hidden="1" customHeight="1" outlineLevel="1" thickBot="1" x14ac:dyDescent="0.4">
      <c r="A100" s="5">
        <f t="shared" si="44"/>
        <v>0</v>
      </c>
      <c r="B100" s="5">
        <f t="shared" si="44"/>
        <v>0</v>
      </c>
      <c r="C100" s="5">
        <f t="shared" si="44"/>
        <v>0</v>
      </c>
      <c r="D100" s="5">
        <f t="shared" si="44"/>
        <v>0</v>
      </c>
      <c r="E100" s="6">
        <f t="shared" si="23"/>
        <v>0</v>
      </c>
      <c r="F100" s="14">
        <f t="shared" ref="F100:AL100" si="48">F24*$C$78</f>
        <v>0</v>
      </c>
      <c r="G100" s="14">
        <f t="shared" si="48"/>
        <v>0</v>
      </c>
      <c r="H100" s="14">
        <f t="shared" si="48"/>
        <v>0</v>
      </c>
      <c r="I100" s="14">
        <f t="shared" si="48"/>
        <v>0</v>
      </c>
      <c r="J100" s="14">
        <f t="shared" si="48"/>
        <v>0</v>
      </c>
      <c r="K100" s="14">
        <f t="shared" si="48"/>
        <v>0</v>
      </c>
      <c r="L100" s="14">
        <f t="shared" si="48"/>
        <v>0</v>
      </c>
      <c r="M100" s="14">
        <f t="shared" si="48"/>
        <v>0</v>
      </c>
      <c r="N100" s="14">
        <f t="shared" si="48"/>
        <v>0</v>
      </c>
      <c r="O100" s="14">
        <f t="shared" si="48"/>
        <v>0</v>
      </c>
      <c r="P100" s="14">
        <f t="shared" si="48"/>
        <v>0</v>
      </c>
      <c r="Q100" s="14">
        <f t="shared" si="48"/>
        <v>0</v>
      </c>
      <c r="R100" s="14">
        <f t="shared" si="48"/>
        <v>0</v>
      </c>
      <c r="S100" s="14">
        <f t="shared" si="48"/>
        <v>0</v>
      </c>
      <c r="T100" s="14">
        <f t="shared" si="48"/>
        <v>0</v>
      </c>
      <c r="U100" s="14">
        <f t="shared" si="48"/>
        <v>0</v>
      </c>
      <c r="V100" s="14">
        <f t="shared" si="48"/>
        <v>0</v>
      </c>
      <c r="W100" s="14">
        <f t="shared" si="48"/>
        <v>0</v>
      </c>
      <c r="X100" s="14">
        <f t="shared" si="48"/>
        <v>0</v>
      </c>
      <c r="Y100" s="14">
        <f t="shared" si="48"/>
        <v>0</v>
      </c>
      <c r="Z100" s="14">
        <f t="shared" si="48"/>
        <v>0</v>
      </c>
      <c r="AA100" s="14">
        <f t="shared" si="48"/>
        <v>0</v>
      </c>
      <c r="AB100" s="14">
        <f t="shared" si="48"/>
        <v>0</v>
      </c>
      <c r="AC100" s="14">
        <f t="shared" si="48"/>
        <v>0</v>
      </c>
      <c r="AD100" s="14">
        <f t="shared" si="48"/>
        <v>0</v>
      </c>
      <c r="AE100" s="14">
        <f t="shared" si="48"/>
        <v>0</v>
      </c>
      <c r="AF100" s="14">
        <f t="shared" si="48"/>
        <v>0</v>
      </c>
      <c r="AG100" s="14">
        <f t="shared" si="48"/>
        <v>0</v>
      </c>
      <c r="AH100" s="14">
        <f t="shared" si="48"/>
        <v>0</v>
      </c>
      <c r="AI100" s="14">
        <f t="shared" si="48"/>
        <v>0</v>
      </c>
      <c r="AJ100" s="14">
        <f t="shared" si="48"/>
        <v>0</v>
      </c>
      <c r="AK100" s="14">
        <f t="shared" si="48"/>
        <v>0</v>
      </c>
      <c r="AL100" s="14">
        <f t="shared" si="48"/>
        <v>0</v>
      </c>
    </row>
    <row r="101" spans="1:54" ht="21" hidden="1" customHeight="1" outlineLevel="1" thickBot="1" x14ac:dyDescent="0.4">
      <c r="A101" s="5">
        <f t="shared" si="44"/>
        <v>0</v>
      </c>
      <c r="B101" s="5">
        <f t="shared" si="44"/>
        <v>0</v>
      </c>
      <c r="C101" s="5">
        <f t="shared" si="44"/>
        <v>0</v>
      </c>
      <c r="D101" s="5">
        <f t="shared" si="44"/>
        <v>0</v>
      </c>
      <c r="E101" s="6">
        <f t="shared" si="23"/>
        <v>0</v>
      </c>
      <c r="F101" s="14">
        <f t="shared" ref="F101:AL101" si="49">F25*$C$78</f>
        <v>0</v>
      </c>
      <c r="G101" s="14">
        <f t="shared" si="49"/>
        <v>0</v>
      </c>
      <c r="H101" s="14">
        <f t="shared" si="49"/>
        <v>0</v>
      </c>
      <c r="I101" s="14">
        <f t="shared" si="49"/>
        <v>0</v>
      </c>
      <c r="J101" s="14">
        <f t="shared" si="49"/>
        <v>0</v>
      </c>
      <c r="K101" s="14">
        <f t="shared" si="49"/>
        <v>0</v>
      </c>
      <c r="L101" s="14">
        <f t="shared" si="49"/>
        <v>0</v>
      </c>
      <c r="M101" s="14">
        <f t="shared" si="49"/>
        <v>0</v>
      </c>
      <c r="N101" s="14">
        <f t="shared" si="49"/>
        <v>0</v>
      </c>
      <c r="O101" s="14">
        <f t="shared" si="49"/>
        <v>0</v>
      </c>
      <c r="P101" s="14">
        <f t="shared" si="49"/>
        <v>0</v>
      </c>
      <c r="Q101" s="14">
        <f t="shared" si="49"/>
        <v>0</v>
      </c>
      <c r="R101" s="14">
        <f t="shared" si="49"/>
        <v>0</v>
      </c>
      <c r="S101" s="14">
        <f t="shared" si="49"/>
        <v>0</v>
      </c>
      <c r="T101" s="14">
        <f t="shared" si="49"/>
        <v>0</v>
      </c>
      <c r="U101" s="14">
        <f t="shared" si="49"/>
        <v>0</v>
      </c>
      <c r="V101" s="14">
        <f t="shared" si="49"/>
        <v>0</v>
      </c>
      <c r="W101" s="14">
        <f t="shared" si="49"/>
        <v>0</v>
      </c>
      <c r="X101" s="14">
        <f t="shared" si="49"/>
        <v>0</v>
      </c>
      <c r="Y101" s="14">
        <f t="shared" si="49"/>
        <v>0</v>
      </c>
      <c r="Z101" s="14">
        <f t="shared" si="49"/>
        <v>0</v>
      </c>
      <c r="AA101" s="14">
        <f t="shared" si="49"/>
        <v>0</v>
      </c>
      <c r="AB101" s="14">
        <f t="shared" si="49"/>
        <v>0</v>
      </c>
      <c r="AC101" s="14">
        <f t="shared" si="49"/>
        <v>0</v>
      </c>
      <c r="AD101" s="14">
        <f t="shared" si="49"/>
        <v>0</v>
      </c>
      <c r="AE101" s="14">
        <f t="shared" si="49"/>
        <v>0</v>
      </c>
      <c r="AF101" s="14">
        <f t="shared" si="49"/>
        <v>0</v>
      </c>
      <c r="AG101" s="14">
        <f t="shared" si="49"/>
        <v>0</v>
      </c>
      <c r="AH101" s="14">
        <f t="shared" si="49"/>
        <v>0</v>
      </c>
      <c r="AI101" s="14">
        <f t="shared" si="49"/>
        <v>0</v>
      </c>
      <c r="AJ101" s="14">
        <f t="shared" si="49"/>
        <v>0</v>
      </c>
      <c r="AK101" s="14">
        <f t="shared" si="49"/>
        <v>0</v>
      </c>
      <c r="AL101" s="14">
        <f t="shared" si="49"/>
        <v>0</v>
      </c>
    </row>
    <row r="102" spans="1:54" ht="21" hidden="1" customHeight="1" outlineLevel="1" thickBot="1" x14ac:dyDescent="0.4">
      <c r="A102" s="5">
        <f t="shared" si="44"/>
        <v>0</v>
      </c>
      <c r="B102" s="5">
        <f t="shared" si="44"/>
        <v>0</v>
      </c>
      <c r="C102" s="5">
        <f t="shared" si="44"/>
        <v>0</v>
      </c>
      <c r="D102" s="5">
        <f t="shared" si="44"/>
        <v>0</v>
      </c>
      <c r="E102" s="6">
        <f t="shared" si="23"/>
        <v>0</v>
      </c>
      <c r="F102" s="14">
        <f t="shared" ref="F102:AL102" si="50">F26*$C$78</f>
        <v>0</v>
      </c>
      <c r="G102" s="14">
        <f t="shared" si="50"/>
        <v>0</v>
      </c>
      <c r="H102" s="14">
        <f t="shared" si="50"/>
        <v>0</v>
      </c>
      <c r="I102" s="14">
        <f t="shared" si="50"/>
        <v>0</v>
      </c>
      <c r="J102" s="14">
        <f t="shared" si="50"/>
        <v>0</v>
      </c>
      <c r="K102" s="14">
        <f t="shared" si="50"/>
        <v>0</v>
      </c>
      <c r="L102" s="14">
        <f t="shared" si="50"/>
        <v>0</v>
      </c>
      <c r="M102" s="14">
        <f t="shared" si="50"/>
        <v>0</v>
      </c>
      <c r="N102" s="14">
        <f t="shared" si="50"/>
        <v>0</v>
      </c>
      <c r="O102" s="14">
        <f t="shared" si="50"/>
        <v>0</v>
      </c>
      <c r="P102" s="14">
        <f t="shared" si="50"/>
        <v>0</v>
      </c>
      <c r="Q102" s="14">
        <f t="shared" si="50"/>
        <v>0</v>
      </c>
      <c r="R102" s="14">
        <f t="shared" si="50"/>
        <v>0</v>
      </c>
      <c r="S102" s="14">
        <f t="shared" si="50"/>
        <v>0</v>
      </c>
      <c r="T102" s="14">
        <f t="shared" si="50"/>
        <v>0</v>
      </c>
      <c r="U102" s="14">
        <f t="shared" si="50"/>
        <v>0</v>
      </c>
      <c r="V102" s="14">
        <f t="shared" si="50"/>
        <v>0</v>
      </c>
      <c r="W102" s="14">
        <f t="shared" si="50"/>
        <v>0</v>
      </c>
      <c r="X102" s="14">
        <f t="shared" si="50"/>
        <v>0</v>
      </c>
      <c r="Y102" s="14">
        <f t="shared" si="50"/>
        <v>0</v>
      </c>
      <c r="Z102" s="14">
        <f t="shared" si="50"/>
        <v>0</v>
      </c>
      <c r="AA102" s="14">
        <f t="shared" si="50"/>
        <v>0</v>
      </c>
      <c r="AB102" s="14">
        <f t="shared" si="50"/>
        <v>0</v>
      </c>
      <c r="AC102" s="14">
        <f t="shared" si="50"/>
        <v>0</v>
      </c>
      <c r="AD102" s="14">
        <f t="shared" si="50"/>
        <v>0</v>
      </c>
      <c r="AE102" s="14">
        <f t="shared" si="50"/>
        <v>0</v>
      </c>
      <c r="AF102" s="14">
        <f t="shared" si="50"/>
        <v>0</v>
      </c>
      <c r="AG102" s="14">
        <f t="shared" si="50"/>
        <v>0</v>
      </c>
      <c r="AH102" s="14">
        <f t="shared" si="50"/>
        <v>0</v>
      </c>
      <c r="AI102" s="14">
        <f t="shared" si="50"/>
        <v>0</v>
      </c>
      <c r="AJ102" s="14">
        <f t="shared" si="50"/>
        <v>0</v>
      </c>
      <c r="AK102" s="14">
        <f t="shared" si="50"/>
        <v>0</v>
      </c>
      <c r="AL102" s="14">
        <f t="shared" si="50"/>
        <v>0</v>
      </c>
    </row>
    <row r="103" spans="1:54" ht="21" hidden="1" customHeight="1" outlineLevel="1" thickBot="1" x14ac:dyDescent="0.4">
      <c r="A103" s="5">
        <f t="shared" si="44"/>
        <v>0</v>
      </c>
      <c r="B103" s="5">
        <f t="shared" si="44"/>
        <v>0</v>
      </c>
      <c r="C103" s="5">
        <f t="shared" si="44"/>
        <v>0</v>
      </c>
      <c r="D103" s="5">
        <f t="shared" si="44"/>
        <v>0</v>
      </c>
      <c r="E103" s="6">
        <f t="shared" si="23"/>
        <v>0</v>
      </c>
      <c r="F103" s="14">
        <f t="shared" ref="F103:AL103" si="51">F27*$C$78</f>
        <v>0</v>
      </c>
      <c r="G103" s="14">
        <f t="shared" si="51"/>
        <v>0</v>
      </c>
      <c r="H103" s="14">
        <f t="shared" si="51"/>
        <v>0</v>
      </c>
      <c r="I103" s="14">
        <f t="shared" si="51"/>
        <v>0</v>
      </c>
      <c r="J103" s="14">
        <f t="shared" si="51"/>
        <v>0</v>
      </c>
      <c r="K103" s="14">
        <f t="shared" si="51"/>
        <v>0</v>
      </c>
      <c r="L103" s="14">
        <f t="shared" si="51"/>
        <v>0</v>
      </c>
      <c r="M103" s="14">
        <f t="shared" si="51"/>
        <v>0</v>
      </c>
      <c r="N103" s="14">
        <f t="shared" si="51"/>
        <v>0</v>
      </c>
      <c r="O103" s="14">
        <f t="shared" si="51"/>
        <v>0</v>
      </c>
      <c r="P103" s="14">
        <f t="shared" si="51"/>
        <v>0</v>
      </c>
      <c r="Q103" s="14">
        <f t="shared" si="51"/>
        <v>0</v>
      </c>
      <c r="R103" s="14">
        <f t="shared" si="51"/>
        <v>0</v>
      </c>
      <c r="S103" s="14">
        <f t="shared" si="51"/>
        <v>0</v>
      </c>
      <c r="T103" s="14">
        <f t="shared" si="51"/>
        <v>0</v>
      </c>
      <c r="U103" s="14">
        <f t="shared" si="51"/>
        <v>0</v>
      </c>
      <c r="V103" s="14">
        <f t="shared" si="51"/>
        <v>0</v>
      </c>
      <c r="W103" s="14">
        <f t="shared" si="51"/>
        <v>0</v>
      </c>
      <c r="X103" s="14">
        <f t="shared" si="51"/>
        <v>0</v>
      </c>
      <c r="Y103" s="14">
        <f t="shared" si="51"/>
        <v>0</v>
      </c>
      <c r="Z103" s="14">
        <f t="shared" si="51"/>
        <v>0</v>
      </c>
      <c r="AA103" s="14">
        <f t="shared" si="51"/>
        <v>0</v>
      </c>
      <c r="AB103" s="14">
        <f t="shared" si="51"/>
        <v>0</v>
      </c>
      <c r="AC103" s="14">
        <f t="shared" si="51"/>
        <v>0</v>
      </c>
      <c r="AD103" s="14">
        <f t="shared" si="51"/>
        <v>0</v>
      </c>
      <c r="AE103" s="14">
        <f t="shared" si="51"/>
        <v>0</v>
      </c>
      <c r="AF103" s="14">
        <f t="shared" si="51"/>
        <v>0</v>
      </c>
      <c r="AG103" s="14">
        <f t="shared" si="51"/>
        <v>0</v>
      </c>
      <c r="AH103" s="14">
        <f t="shared" si="51"/>
        <v>0</v>
      </c>
      <c r="AI103" s="14">
        <f t="shared" si="51"/>
        <v>0</v>
      </c>
      <c r="AJ103" s="14">
        <f t="shared" si="51"/>
        <v>0</v>
      </c>
      <c r="AK103" s="14">
        <f t="shared" si="51"/>
        <v>0</v>
      </c>
      <c r="AL103" s="14">
        <f t="shared" si="51"/>
        <v>0</v>
      </c>
    </row>
    <row r="104" spans="1:54" ht="21" hidden="1" customHeight="1" outlineLevel="1" thickBot="1" x14ac:dyDescent="0.4">
      <c r="A104" s="5">
        <f t="shared" si="44"/>
        <v>0</v>
      </c>
      <c r="B104" s="5">
        <f t="shared" si="44"/>
        <v>0</v>
      </c>
      <c r="C104" s="5">
        <f t="shared" si="44"/>
        <v>0</v>
      </c>
      <c r="D104" s="5">
        <f t="shared" si="44"/>
        <v>0</v>
      </c>
      <c r="E104" s="6">
        <f t="shared" si="23"/>
        <v>0</v>
      </c>
      <c r="F104" s="14">
        <f t="shared" ref="F104:AL104" si="52">F28*$C$78</f>
        <v>0</v>
      </c>
      <c r="G104" s="14">
        <f t="shared" si="52"/>
        <v>0</v>
      </c>
      <c r="H104" s="14">
        <f t="shared" si="52"/>
        <v>0</v>
      </c>
      <c r="I104" s="14">
        <f t="shared" si="52"/>
        <v>0</v>
      </c>
      <c r="J104" s="14">
        <f t="shared" si="52"/>
        <v>0</v>
      </c>
      <c r="K104" s="14">
        <f t="shared" si="52"/>
        <v>0</v>
      </c>
      <c r="L104" s="14">
        <f t="shared" si="52"/>
        <v>0</v>
      </c>
      <c r="M104" s="14">
        <f t="shared" si="52"/>
        <v>0</v>
      </c>
      <c r="N104" s="14">
        <f t="shared" si="52"/>
        <v>0</v>
      </c>
      <c r="O104" s="14">
        <f t="shared" si="52"/>
        <v>0</v>
      </c>
      <c r="P104" s="14">
        <f t="shared" si="52"/>
        <v>0</v>
      </c>
      <c r="Q104" s="14">
        <f t="shared" si="52"/>
        <v>0</v>
      </c>
      <c r="R104" s="14">
        <f t="shared" si="52"/>
        <v>0</v>
      </c>
      <c r="S104" s="14">
        <f t="shared" si="52"/>
        <v>0</v>
      </c>
      <c r="T104" s="14">
        <f t="shared" si="52"/>
        <v>0</v>
      </c>
      <c r="U104" s="14">
        <f t="shared" si="52"/>
        <v>0</v>
      </c>
      <c r="V104" s="14">
        <f t="shared" si="52"/>
        <v>0</v>
      </c>
      <c r="W104" s="14">
        <f t="shared" si="52"/>
        <v>0</v>
      </c>
      <c r="X104" s="14">
        <f t="shared" si="52"/>
        <v>0</v>
      </c>
      <c r="Y104" s="14">
        <f t="shared" si="52"/>
        <v>0</v>
      </c>
      <c r="Z104" s="14">
        <f t="shared" si="52"/>
        <v>0</v>
      </c>
      <c r="AA104" s="14">
        <f t="shared" si="52"/>
        <v>0</v>
      </c>
      <c r="AB104" s="14">
        <f t="shared" si="52"/>
        <v>0</v>
      </c>
      <c r="AC104" s="14">
        <f t="shared" si="52"/>
        <v>0</v>
      </c>
      <c r="AD104" s="14">
        <f t="shared" si="52"/>
        <v>0</v>
      </c>
      <c r="AE104" s="14">
        <f t="shared" si="52"/>
        <v>0</v>
      </c>
      <c r="AF104" s="14">
        <f t="shared" si="52"/>
        <v>0</v>
      </c>
      <c r="AG104" s="14">
        <f t="shared" si="52"/>
        <v>0</v>
      </c>
      <c r="AH104" s="14">
        <f t="shared" si="52"/>
        <v>0</v>
      </c>
      <c r="AI104" s="14">
        <f t="shared" si="52"/>
        <v>0</v>
      </c>
      <c r="AJ104" s="14">
        <f t="shared" si="52"/>
        <v>0</v>
      </c>
      <c r="AK104" s="14">
        <f t="shared" si="52"/>
        <v>0</v>
      </c>
      <c r="AL104" s="14">
        <f t="shared" si="52"/>
        <v>0</v>
      </c>
    </row>
    <row r="105" spans="1:54" ht="21" hidden="1" customHeight="1" outlineLevel="1" thickBot="1" x14ac:dyDescent="0.4">
      <c r="A105" s="5">
        <f t="shared" si="44"/>
        <v>0</v>
      </c>
      <c r="B105" s="5">
        <f t="shared" si="44"/>
        <v>0</v>
      </c>
      <c r="C105" s="5">
        <f t="shared" si="44"/>
        <v>0</v>
      </c>
      <c r="D105" s="5">
        <f t="shared" si="44"/>
        <v>0</v>
      </c>
      <c r="E105" s="6">
        <f t="shared" si="23"/>
        <v>0</v>
      </c>
      <c r="F105" s="14">
        <f t="shared" ref="F105:AL105" si="53">F29*$C$78</f>
        <v>0</v>
      </c>
      <c r="G105" s="14">
        <f t="shared" si="53"/>
        <v>0</v>
      </c>
      <c r="H105" s="14">
        <f t="shared" si="53"/>
        <v>0</v>
      </c>
      <c r="I105" s="14">
        <f t="shared" si="53"/>
        <v>0</v>
      </c>
      <c r="J105" s="14">
        <f t="shared" si="53"/>
        <v>0</v>
      </c>
      <c r="K105" s="14">
        <f t="shared" si="53"/>
        <v>0</v>
      </c>
      <c r="L105" s="14">
        <f t="shared" si="53"/>
        <v>0</v>
      </c>
      <c r="M105" s="14">
        <f t="shared" si="53"/>
        <v>0</v>
      </c>
      <c r="N105" s="14">
        <f t="shared" si="53"/>
        <v>0</v>
      </c>
      <c r="O105" s="14">
        <f t="shared" si="53"/>
        <v>0</v>
      </c>
      <c r="P105" s="14">
        <f t="shared" si="53"/>
        <v>0</v>
      </c>
      <c r="Q105" s="14">
        <f t="shared" si="53"/>
        <v>0</v>
      </c>
      <c r="R105" s="14">
        <f t="shared" si="53"/>
        <v>0</v>
      </c>
      <c r="S105" s="14">
        <f t="shared" si="53"/>
        <v>0</v>
      </c>
      <c r="T105" s="14">
        <f t="shared" si="53"/>
        <v>0</v>
      </c>
      <c r="U105" s="14">
        <f t="shared" si="53"/>
        <v>0</v>
      </c>
      <c r="V105" s="14">
        <f t="shared" si="53"/>
        <v>0</v>
      </c>
      <c r="W105" s="14">
        <f t="shared" si="53"/>
        <v>0</v>
      </c>
      <c r="X105" s="14">
        <f t="shared" si="53"/>
        <v>0</v>
      </c>
      <c r="Y105" s="14">
        <f t="shared" si="53"/>
        <v>0</v>
      </c>
      <c r="Z105" s="14">
        <f t="shared" si="53"/>
        <v>0</v>
      </c>
      <c r="AA105" s="14">
        <f t="shared" si="53"/>
        <v>0</v>
      </c>
      <c r="AB105" s="14">
        <f t="shared" si="53"/>
        <v>0</v>
      </c>
      <c r="AC105" s="14">
        <f t="shared" si="53"/>
        <v>0</v>
      </c>
      <c r="AD105" s="14">
        <f t="shared" si="53"/>
        <v>0</v>
      </c>
      <c r="AE105" s="14">
        <f t="shared" si="53"/>
        <v>0</v>
      </c>
      <c r="AF105" s="14">
        <f t="shared" si="53"/>
        <v>0</v>
      </c>
      <c r="AG105" s="14">
        <f t="shared" si="53"/>
        <v>0</v>
      </c>
      <c r="AH105" s="14">
        <f t="shared" si="53"/>
        <v>0</v>
      </c>
      <c r="AI105" s="14">
        <f t="shared" si="53"/>
        <v>0</v>
      </c>
      <c r="AJ105" s="14">
        <f t="shared" si="53"/>
        <v>0</v>
      </c>
      <c r="AK105" s="14">
        <f t="shared" si="53"/>
        <v>0</v>
      </c>
      <c r="AL105" s="14">
        <f t="shared" si="53"/>
        <v>0</v>
      </c>
    </row>
    <row r="106" spans="1:54" ht="21" hidden="1" customHeight="1" outlineLevel="1" thickBot="1" x14ac:dyDescent="0.4">
      <c r="A106" s="5">
        <f t="shared" si="44"/>
        <v>0</v>
      </c>
      <c r="B106" s="5">
        <f t="shared" si="44"/>
        <v>0</v>
      </c>
      <c r="C106" s="5">
        <f t="shared" si="44"/>
        <v>0</v>
      </c>
      <c r="D106" s="5">
        <f t="shared" si="44"/>
        <v>0</v>
      </c>
      <c r="E106" s="6">
        <f t="shared" si="23"/>
        <v>0</v>
      </c>
      <c r="F106" s="14">
        <f t="shared" ref="F106:AL106" si="54">F30*$C$78</f>
        <v>0</v>
      </c>
      <c r="G106" s="14">
        <f t="shared" si="54"/>
        <v>0</v>
      </c>
      <c r="H106" s="14">
        <f t="shared" si="54"/>
        <v>0</v>
      </c>
      <c r="I106" s="14">
        <f t="shared" si="54"/>
        <v>0</v>
      </c>
      <c r="J106" s="14">
        <f t="shared" si="54"/>
        <v>0</v>
      </c>
      <c r="K106" s="14">
        <f t="shared" si="54"/>
        <v>0</v>
      </c>
      <c r="L106" s="14">
        <f t="shared" si="54"/>
        <v>0</v>
      </c>
      <c r="M106" s="14">
        <f t="shared" si="54"/>
        <v>0</v>
      </c>
      <c r="N106" s="14">
        <f t="shared" si="54"/>
        <v>0</v>
      </c>
      <c r="O106" s="14">
        <f t="shared" si="54"/>
        <v>0</v>
      </c>
      <c r="P106" s="14">
        <f t="shared" si="54"/>
        <v>0</v>
      </c>
      <c r="Q106" s="14">
        <f t="shared" si="54"/>
        <v>0</v>
      </c>
      <c r="R106" s="14">
        <f t="shared" si="54"/>
        <v>0</v>
      </c>
      <c r="S106" s="14">
        <f t="shared" si="54"/>
        <v>0</v>
      </c>
      <c r="T106" s="14">
        <f t="shared" si="54"/>
        <v>0</v>
      </c>
      <c r="U106" s="14">
        <f t="shared" si="54"/>
        <v>0</v>
      </c>
      <c r="V106" s="14">
        <f t="shared" si="54"/>
        <v>0</v>
      </c>
      <c r="W106" s="14">
        <f t="shared" si="54"/>
        <v>0</v>
      </c>
      <c r="X106" s="14">
        <f t="shared" si="54"/>
        <v>0</v>
      </c>
      <c r="Y106" s="14">
        <f t="shared" si="54"/>
        <v>0</v>
      </c>
      <c r="Z106" s="14">
        <f t="shared" si="54"/>
        <v>0</v>
      </c>
      <c r="AA106" s="14">
        <f t="shared" si="54"/>
        <v>0</v>
      </c>
      <c r="AB106" s="14">
        <f t="shared" si="54"/>
        <v>0</v>
      </c>
      <c r="AC106" s="14">
        <f t="shared" si="54"/>
        <v>0</v>
      </c>
      <c r="AD106" s="14">
        <f t="shared" si="54"/>
        <v>0</v>
      </c>
      <c r="AE106" s="14">
        <f t="shared" si="54"/>
        <v>0</v>
      </c>
      <c r="AF106" s="14">
        <f t="shared" si="54"/>
        <v>0</v>
      </c>
      <c r="AG106" s="14">
        <f t="shared" si="54"/>
        <v>0</v>
      </c>
      <c r="AH106" s="14">
        <f t="shared" si="54"/>
        <v>0</v>
      </c>
      <c r="AI106" s="14">
        <f t="shared" si="54"/>
        <v>0</v>
      </c>
      <c r="AJ106" s="14">
        <f t="shared" si="54"/>
        <v>0</v>
      </c>
      <c r="AK106" s="14">
        <f t="shared" si="54"/>
        <v>0</v>
      </c>
      <c r="AL106" s="14">
        <f t="shared" si="54"/>
        <v>0</v>
      </c>
    </row>
    <row r="107" spans="1:54" ht="21" hidden="1" customHeight="1" outlineLevel="1" thickBot="1" x14ac:dyDescent="0.4">
      <c r="A107" s="5">
        <f t="shared" si="44"/>
        <v>0</v>
      </c>
      <c r="B107" s="5">
        <f t="shared" si="44"/>
        <v>0</v>
      </c>
      <c r="C107" s="5">
        <f t="shared" si="44"/>
        <v>0</v>
      </c>
      <c r="D107" s="5">
        <f t="shared" si="44"/>
        <v>0</v>
      </c>
      <c r="E107" s="6">
        <f t="shared" si="23"/>
        <v>0</v>
      </c>
      <c r="F107" s="14">
        <f t="shared" ref="F107:AL107" si="55">F31*$C$78</f>
        <v>0</v>
      </c>
      <c r="G107" s="14">
        <f t="shared" si="55"/>
        <v>0</v>
      </c>
      <c r="H107" s="14">
        <f t="shared" si="55"/>
        <v>0</v>
      </c>
      <c r="I107" s="14">
        <f t="shared" si="55"/>
        <v>0</v>
      </c>
      <c r="J107" s="14">
        <f t="shared" si="55"/>
        <v>0</v>
      </c>
      <c r="K107" s="14">
        <f t="shared" si="55"/>
        <v>0</v>
      </c>
      <c r="L107" s="14">
        <f t="shared" si="55"/>
        <v>0</v>
      </c>
      <c r="M107" s="14">
        <f t="shared" si="55"/>
        <v>0</v>
      </c>
      <c r="N107" s="14">
        <f t="shared" si="55"/>
        <v>0</v>
      </c>
      <c r="O107" s="14">
        <f t="shared" si="55"/>
        <v>0</v>
      </c>
      <c r="P107" s="14">
        <f t="shared" si="55"/>
        <v>0</v>
      </c>
      <c r="Q107" s="14">
        <f t="shared" si="55"/>
        <v>0</v>
      </c>
      <c r="R107" s="14">
        <f t="shared" si="55"/>
        <v>0</v>
      </c>
      <c r="S107" s="14">
        <f t="shared" si="55"/>
        <v>0</v>
      </c>
      <c r="T107" s="14">
        <f t="shared" si="55"/>
        <v>0</v>
      </c>
      <c r="U107" s="14">
        <f t="shared" si="55"/>
        <v>0</v>
      </c>
      <c r="V107" s="14">
        <f t="shared" si="55"/>
        <v>0</v>
      </c>
      <c r="W107" s="14">
        <f t="shared" si="55"/>
        <v>0</v>
      </c>
      <c r="X107" s="14">
        <f t="shared" si="55"/>
        <v>0</v>
      </c>
      <c r="Y107" s="14">
        <f t="shared" si="55"/>
        <v>0</v>
      </c>
      <c r="Z107" s="14">
        <f t="shared" si="55"/>
        <v>0</v>
      </c>
      <c r="AA107" s="14">
        <f t="shared" si="55"/>
        <v>0</v>
      </c>
      <c r="AB107" s="14">
        <f t="shared" si="55"/>
        <v>0</v>
      </c>
      <c r="AC107" s="14">
        <f t="shared" si="55"/>
        <v>0</v>
      </c>
      <c r="AD107" s="14">
        <f t="shared" si="55"/>
        <v>0</v>
      </c>
      <c r="AE107" s="14">
        <f t="shared" si="55"/>
        <v>0</v>
      </c>
      <c r="AF107" s="14">
        <f t="shared" si="55"/>
        <v>0</v>
      </c>
      <c r="AG107" s="14">
        <f t="shared" si="55"/>
        <v>0</v>
      </c>
      <c r="AH107" s="14">
        <f t="shared" si="55"/>
        <v>0</v>
      </c>
      <c r="AI107" s="14">
        <f t="shared" si="55"/>
        <v>0</v>
      </c>
      <c r="AJ107" s="14">
        <f t="shared" si="55"/>
        <v>0</v>
      </c>
      <c r="AK107" s="14">
        <f t="shared" si="55"/>
        <v>0</v>
      </c>
      <c r="AL107" s="14">
        <f t="shared" si="55"/>
        <v>0</v>
      </c>
    </row>
    <row r="108" spans="1:54" ht="21" hidden="1" customHeight="1" outlineLevel="1" thickBot="1" x14ac:dyDescent="0.4">
      <c r="A108" s="5">
        <f t="shared" si="44"/>
        <v>0</v>
      </c>
      <c r="B108" s="5">
        <f t="shared" si="44"/>
        <v>0</v>
      </c>
      <c r="C108" s="5">
        <f t="shared" si="44"/>
        <v>0</v>
      </c>
      <c r="D108" s="5">
        <f t="shared" si="44"/>
        <v>0</v>
      </c>
      <c r="E108" s="6">
        <f t="shared" si="23"/>
        <v>0</v>
      </c>
      <c r="F108" s="14">
        <f t="shared" ref="F108:AL108" si="56">F32*$C$78</f>
        <v>0</v>
      </c>
      <c r="G108" s="14">
        <f t="shared" si="56"/>
        <v>0</v>
      </c>
      <c r="H108" s="14">
        <f t="shared" si="56"/>
        <v>0</v>
      </c>
      <c r="I108" s="14">
        <f t="shared" si="56"/>
        <v>0</v>
      </c>
      <c r="J108" s="14">
        <f t="shared" si="56"/>
        <v>0</v>
      </c>
      <c r="K108" s="14">
        <f t="shared" si="56"/>
        <v>0</v>
      </c>
      <c r="L108" s="14">
        <f t="shared" si="56"/>
        <v>0</v>
      </c>
      <c r="M108" s="14">
        <f t="shared" si="56"/>
        <v>0</v>
      </c>
      <c r="N108" s="14">
        <f t="shared" si="56"/>
        <v>0</v>
      </c>
      <c r="O108" s="14">
        <f t="shared" si="56"/>
        <v>0</v>
      </c>
      <c r="P108" s="14">
        <f t="shared" si="56"/>
        <v>0</v>
      </c>
      <c r="Q108" s="14">
        <f t="shared" si="56"/>
        <v>0</v>
      </c>
      <c r="R108" s="14">
        <f t="shared" si="56"/>
        <v>0</v>
      </c>
      <c r="S108" s="14">
        <f t="shared" si="56"/>
        <v>0</v>
      </c>
      <c r="T108" s="14">
        <f t="shared" si="56"/>
        <v>0</v>
      </c>
      <c r="U108" s="14">
        <f t="shared" si="56"/>
        <v>0</v>
      </c>
      <c r="V108" s="14">
        <f t="shared" si="56"/>
        <v>0</v>
      </c>
      <c r="W108" s="14">
        <f t="shared" si="56"/>
        <v>0</v>
      </c>
      <c r="X108" s="14">
        <f t="shared" si="56"/>
        <v>0</v>
      </c>
      <c r="Y108" s="14">
        <f t="shared" si="56"/>
        <v>0</v>
      </c>
      <c r="Z108" s="14">
        <f t="shared" si="56"/>
        <v>0</v>
      </c>
      <c r="AA108" s="14">
        <f t="shared" si="56"/>
        <v>0</v>
      </c>
      <c r="AB108" s="14">
        <f t="shared" si="56"/>
        <v>0</v>
      </c>
      <c r="AC108" s="14">
        <f t="shared" si="56"/>
        <v>0</v>
      </c>
      <c r="AD108" s="14">
        <f t="shared" si="56"/>
        <v>0</v>
      </c>
      <c r="AE108" s="14">
        <f t="shared" si="56"/>
        <v>0</v>
      </c>
      <c r="AF108" s="14">
        <f t="shared" si="56"/>
        <v>0</v>
      </c>
      <c r="AG108" s="14">
        <f t="shared" si="56"/>
        <v>0</v>
      </c>
      <c r="AH108" s="14">
        <f t="shared" si="56"/>
        <v>0</v>
      </c>
      <c r="AI108" s="14">
        <f t="shared" si="56"/>
        <v>0</v>
      </c>
      <c r="AJ108" s="14">
        <f t="shared" si="56"/>
        <v>0</v>
      </c>
      <c r="AK108" s="14">
        <f t="shared" si="56"/>
        <v>0</v>
      </c>
      <c r="AL108" s="14">
        <f t="shared" si="56"/>
        <v>0</v>
      </c>
    </row>
    <row r="109" spans="1:54" ht="21" hidden="1" customHeight="1" outlineLevel="1" thickBot="1" x14ac:dyDescent="0.4">
      <c r="A109" s="5">
        <f t="shared" si="44"/>
        <v>0</v>
      </c>
      <c r="B109" s="5">
        <f t="shared" si="44"/>
        <v>0</v>
      </c>
      <c r="C109" s="5">
        <f t="shared" si="44"/>
        <v>0</v>
      </c>
      <c r="D109" s="5">
        <f t="shared" si="44"/>
        <v>0</v>
      </c>
      <c r="E109" s="6">
        <f t="shared" si="23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U110" s="55"/>
      <c r="V110" s="55"/>
      <c r="W110" s="55"/>
    </row>
    <row r="111" spans="1:54" ht="21" customHeight="1" collapsed="1" x14ac:dyDescent="0.35">
      <c r="U111" s="55"/>
      <c r="V111" s="55"/>
      <c r="W111" s="55"/>
    </row>
    <row r="112" spans="1:54" ht="21" customHeight="1" thickBot="1" x14ac:dyDescent="0.45">
      <c r="A112" s="75"/>
      <c r="B112" s="75"/>
      <c r="C112" s="75"/>
      <c r="D112" s="75"/>
      <c r="E112" s="74" t="s">
        <v>24</v>
      </c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</row>
    <row r="113" spans="1:38" ht="21" customHeight="1" outlineLevel="1" thickTop="1" thickBot="1" x14ac:dyDescent="0.4">
      <c r="A113" s="92" t="s">
        <v>10</v>
      </c>
      <c r="B113" s="93"/>
      <c r="C113" s="23" t="s">
        <v>11</v>
      </c>
      <c r="D113" s="15" t="s">
        <v>12</v>
      </c>
      <c r="E113" s="15"/>
      <c r="F113" s="4">
        <f t="shared" ref="F113:AL113" si="57">F3</f>
        <v>0</v>
      </c>
      <c r="G113" s="4">
        <f t="shared" si="57"/>
        <v>0</v>
      </c>
      <c r="H113" s="4">
        <f t="shared" si="57"/>
        <v>0</v>
      </c>
      <c r="I113" s="4">
        <f t="shared" si="57"/>
        <v>0</v>
      </c>
      <c r="J113" s="4">
        <f t="shared" si="57"/>
        <v>0</v>
      </c>
      <c r="K113" s="4">
        <f t="shared" si="57"/>
        <v>0</v>
      </c>
      <c r="L113" s="4">
        <f t="shared" si="57"/>
        <v>0</v>
      </c>
      <c r="M113" s="4">
        <f t="shared" si="57"/>
        <v>0</v>
      </c>
      <c r="N113" s="4">
        <f t="shared" si="57"/>
        <v>0</v>
      </c>
      <c r="O113" s="4">
        <f t="shared" si="57"/>
        <v>0</v>
      </c>
      <c r="P113" s="4">
        <f t="shared" si="57"/>
        <v>0</v>
      </c>
      <c r="Q113" s="4">
        <f t="shared" si="57"/>
        <v>0</v>
      </c>
      <c r="R113" s="4">
        <f t="shared" si="57"/>
        <v>0</v>
      </c>
      <c r="S113" s="4">
        <f t="shared" si="57"/>
        <v>0</v>
      </c>
      <c r="T113" s="4">
        <f t="shared" si="57"/>
        <v>0</v>
      </c>
      <c r="U113" s="4">
        <f t="shared" si="57"/>
        <v>0</v>
      </c>
      <c r="V113" s="4">
        <f t="shared" si="57"/>
        <v>0</v>
      </c>
      <c r="W113" s="4">
        <f t="shared" si="57"/>
        <v>0</v>
      </c>
      <c r="X113" s="4">
        <f t="shared" si="57"/>
        <v>0</v>
      </c>
      <c r="Y113" s="4">
        <f t="shared" si="57"/>
        <v>0</v>
      </c>
      <c r="Z113" s="4">
        <f t="shared" si="57"/>
        <v>0</v>
      </c>
      <c r="AA113" s="4">
        <f t="shared" si="57"/>
        <v>0</v>
      </c>
      <c r="AB113" s="4">
        <f t="shared" si="57"/>
        <v>0</v>
      </c>
      <c r="AC113" s="4">
        <f t="shared" si="57"/>
        <v>0</v>
      </c>
      <c r="AD113" s="4">
        <f t="shared" si="57"/>
        <v>0</v>
      </c>
      <c r="AE113" s="4">
        <f t="shared" si="57"/>
        <v>0</v>
      </c>
      <c r="AF113" s="4">
        <f t="shared" si="57"/>
        <v>0</v>
      </c>
      <c r="AG113" s="4">
        <f t="shared" si="57"/>
        <v>0</v>
      </c>
      <c r="AH113" s="4">
        <f t="shared" si="57"/>
        <v>0</v>
      </c>
      <c r="AI113" s="4">
        <f t="shared" si="57"/>
        <v>0</v>
      </c>
      <c r="AJ113" s="4">
        <f t="shared" si="57"/>
        <v>0</v>
      </c>
      <c r="AK113" s="4">
        <f t="shared" si="57"/>
        <v>0</v>
      </c>
      <c r="AL113" s="4">
        <f t="shared" si="57"/>
        <v>0</v>
      </c>
    </row>
    <row r="114" spans="1:38" ht="21" customHeight="1" outlineLevel="1" thickTop="1" thickBot="1" x14ac:dyDescent="0.4">
      <c r="A114" s="21">
        <f>$A$2</f>
        <v>700</v>
      </c>
      <c r="B114" s="50" t="e">
        <f ca="1">MIN(MIN(F114:AL117),MIN(F41:AL41))</f>
        <v>#N/A</v>
      </c>
      <c r="C114" s="24">
        <f>COUNTA(E114:E121)+1</f>
        <v>5</v>
      </c>
      <c r="E114" s="17" t="s">
        <v>33</v>
      </c>
      <c r="F114" s="52" t="e">
        <f t="shared" ref="F114:AL114" ca="1" si="58">F$113*$B$2*SUMPRODUCT(F$90:F$91,F$56:F$57)/1000</f>
        <v>#N/A</v>
      </c>
      <c r="G114" s="52" t="e">
        <f t="shared" ca="1" si="58"/>
        <v>#N/A</v>
      </c>
      <c r="H114" s="52" t="e">
        <f t="shared" ca="1" si="58"/>
        <v>#N/A</v>
      </c>
      <c r="I114" s="52" t="e">
        <f t="shared" ca="1" si="58"/>
        <v>#N/A</v>
      </c>
      <c r="J114" s="52" t="e">
        <f t="shared" ca="1" si="58"/>
        <v>#N/A</v>
      </c>
      <c r="K114" s="52" t="e">
        <f t="shared" ca="1" si="58"/>
        <v>#N/A</v>
      </c>
      <c r="L114" s="52" t="e">
        <f t="shared" ca="1" si="58"/>
        <v>#N/A</v>
      </c>
      <c r="M114" s="52" t="e">
        <f t="shared" ca="1" si="58"/>
        <v>#N/A</v>
      </c>
      <c r="N114" s="52" t="e">
        <f t="shared" ca="1" si="58"/>
        <v>#N/A</v>
      </c>
      <c r="O114" s="52" t="e">
        <f t="shared" ca="1" si="58"/>
        <v>#N/A</v>
      </c>
      <c r="P114" s="52" t="e">
        <f t="shared" ca="1" si="58"/>
        <v>#N/A</v>
      </c>
      <c r="Q114" s="52" t="e">
        <f t="shared" ca="1" si="58"/>
        <v>#N/A</v>
      </c>
      <c r="R114" s="52" t="e">
        <f t="shared" ca="1" si="58"/>
        <v>#N/A</v>
      </c>
      <c r="S114" s="52" t="e">
        <f t="shared" ca="1" si="58"/>
        <v>#N/A</v>
      </c>
      <c r="T114" s="52" t="e">
        <f t="shared" ca="1" si="58"/>
        <v>#N/A</v>
      </c>
      <c r="U114" s="52" t="e">
        <f t="shared" ca="1" si="58"/>
        <v>#N/A</v>
      </c>
      <c r="V114" s="52" t="e">
        <f t="shared" ca="1" si="58"/>
        <v>#N/A</v>
      </c>
      <c r="W114" s="52" t="e">
        <f t="shared" ca="1" si="58"/>
        <v>#N/A</v>
      </c>
      <c r="X114" s="52" t="e">
        <f t="shared" ca="1" si="58"/>
        <v>#N/A</v>
      </c>
      <c r="Y114" s="52" t="e">
        <f t="shared" ca="1" si="58"/>
        <v>#N/A</v>
      </c>
      <c r="Z114" s="52" t="e">
        <f t="shared" ca="1" si="58"/>
        <v>#N/A</v>
      </c>
      <c r="AA114" s="52" t="e">
        <f t="shared" ca="1" si="58"/>
        <v>#N/A</v>
      </c>
      <c r="AB114" s="52" t="e">
        <f t="shared" ca="1" si="58"/>
        <v>#N/A</v>
      </c>
      <c r="AC114" s="52" t="e">
        <f t="shared" ca="1" si="58"/>
        <v>#N/A</v>
      </c>
      <c r="AD114" s="52" t="e">
        <f t="shared" ca="1" si="58"/>
        <v>#N/A</v>
      </c>
      <c r="AE114" s="52" t="e">
        <f t="shared" ca="1" si="58"/>
        <v>#N/A</v>
      </c>
      <c r="AF114" s="52" t="e">
        <f t="shared" ca="1" si="58"/>
        <v>#N/A</v>
      </c>
      <c r="AG114" s="52" t="e">
        <f t="shared" ca="1" si="58"/>
        <v>#N/A</v>
      </c>
      <c r="AH114" s="52" t="e">
        <f t="shared" ca="1" si="58"/>
        <v>#N/A</v>
      </c>
      <c r="AI114" s="52" t="e">
        <f t="shared" ca="1" si="58"/>
        <v>#N/A</v>
      </c>
      <c r="AJ114" s="52" t="e">
        <f t="shared" ca="1" si="58"/>
        <v>#N/A</v>
      </c>
      <c r="AK114" s="52" t="e">
        <f t="shared" ca="1" si="58"/>
        <v>#N/A</v>
      </c>
      <c r="AL114" s="52" t="e">
        <f t="shared" ca="1" si="58"/>
        <v>#N/A</v>
      </c>
    </row>
    <row r="115" spans="1:38" ht="21" customHeight="1" outlineLevel="1" thickBot="1" x14ac:dyDescent="0.4">
      <c r="A115" s="22">
        <f>$A$114</f>
        <v>700</v>
      </c>
      <c r="B115" s="51" t="e">
        <f ca="1">MAX(MAX(F114:AL117),MAX(F41:AL41))</f>
        <v>#N/A</v>
      </c>
      <c r="C115" s="25">
        <f xml:space="preserve"> COUNTIF(F113:AL113,"&lt;&gt;"&amp;0)</f>
        <v>0</v>
      </c>
      <c r="E115" s="17" t="s">
        <v>14</v>
      </c>
      <c r="F115" s="14" t="e">
        <f t="shared" ref="F115:AL115" ca="1" si="59">F$113*$B$2*SUMPRODUCT(F$87:F$88,F$53:F$54)/1000</f>
        <v>#N/A</v>
      </c>
      <c r="G115" s="14" t="e">
        <f t="shared" ca="1" si="59"/>
        <v>#N/A</v>
      </c>
      <c r="H115" s="14" t="e">
        <f t="shared" ca="1" si="59"/>
        <v>#N/A</v>
      </c>
      <c r="I115" s="14" t="e">
        <f t="shared" ca="1" si="59"/>
        <v>#N/A</v>
      </c>
      <c r="J115" s="14" t="e">
        <f t="shared" ca="1" si="59"/>
        <v>#N/A</v>
      </c>
      <c r="K115" s="14" t="e">
        <f t="shared" ca="1" si="59"/>
        <v>#N/A</v>
      </c>
      <c r="L115" s="14" t="e">
        <f t="shared" ca="1" si="59"/>
        <v>#N/A</v>
      </c>
      <c r="M115" s="14" t="e">
        <f t="shared" ca="1" si="59"/>
        <v>#N/A</v>
      </c>
      <c r="N115" s="14" t="e">
        <f t="shared" ca="1" si="59"/>
        <v>#N/A</v>
      </c>
      <c r="O115" s="14" t="e">
        <f t="shared" ca="1" si="59"/>
        <v>#N/A</v>
      </c>
      <c r="P115" s="14" t="e">
        <f t="shared" ca="1" si="59"/>
        <v>#N/A</v>
      </c>
      <c r="Q115" s="14" t="e">
        <f t="shared" ca="1" si="59"/>
        <v>#N/A</v>
      </c>
      <c r="R115" s="14" t="e">
        <f t="shared" ca="1" si="59"/>
        <v>#N/A</v>
      </c>
      <c r="S115" s="14" t="e">
        <f t="shared" ca="1" si="59"/>
        <v>#N/A</v>
      </c>
      <c r="T115" s="14" t="e">
        <f t="shared" ca="1" si="59"/>
        <v>#N/A</v>
      </c>
      <c r="U115" s="14" t="e">
        <f t="shared" ca="1" si="59"/>
        <v>#N/A</v>
      </c>
      <c r="V115" s="14" t="e">
        <f t="shared" ca="1" si="59"/>
        <v>#N/A</v>
      </c>
      <c r="W115" s="14" t="e">
        <f t="shared" ca="1" si="59"/>
        <v>#N/A</v>
      </c>
      <c r="X115" s="14" t="e">
        <f t="shared" ca="1" si="59"/>
        <v>#N/A</v>
      </c>
      <c r="Y115" s="14" t="e">
        <f t="shared" ca="1" si="59"/>
        <v>#N/A</v>
      </c>
      <c r="Z115" s="14" t="e">
        <f t="shared" ca="1" si="59"/>
        <v>#N/A</v>
      </c>
      <c r="AA115" s="14" t="e">
        <f t="shared" ca="1" si="59"/>
        <v>#N/A</v>
      </c>
      <c r="AB115" s="14" t="e">
        <f t="shared" ca="1" si="59"/>
        <v>#N/A</v>
      </c>
      <c r="AC115" s="14" t="e">
        <f t="shared" ca="1" si="59"/>
        <v>#N/A</v>
      </c>
      <c r="AD115" s="14" t="e">
        <f t="shared" ca="1" si="59"/>
        <v>#N/A</v>
      </c>
      <c r="AE115" s="14" t="e">
        <f t="shared" ca="1" si="59"/>
        <v>#N/A</v>
      </c>
      <c r="AF115" s="14" t="e">
        <f t="shared" ca="1" si="59"/>
        <v>#N/A</v>
      </c>
      <c r="AG115" s="14" t="e">
        <f t="shared" ca="1" si="59"/>
        <v>#N/A</v>
      </c>
      <c r="AH115" s="14" t="e">
        <f t="shared" ca="1" si="59"/>
        <v>#N/A</v>
      </c>
      <c r="AI115" s="14" t="e">
        <f t="shared" ca="1" si="59"/>
        <v>#N/A</v>
      </c>
      <c r="AJ115" s="14" t="e">
        <f t="shared" ca="1" si="59"/>
        <v>#N/A</v>
      </c>
      <c r="AK115" s="14" t="e">
        <f t="shared" ca="1" si="59"/>
        <v>#N/A</v>
      </c>
      <c r="AL115" s="14" t="e">
        <f t="shared" ca="1" si="59"/>
        <v>#N/A</v>
      </c>
    </row>
    <row r="116" spans="1:38" ht="21" customHeight="1" outlineLevel="1" thickBot="1" x14ac:dyDescent="0.4">
      <c r="E116" s="17" t="s">
        <v>15</v>
      </c>
      <c r="F116" s="14" t="e">
        <f t="shared" ref="F116:AL116" ca="1" si="60">F$113*$B$2*SUMPRODUCT(F$87:F$89,F$53:F$55)/1000</f>
        <v>#N/A</v>
      </c>
      <c r="G116" s="14" t="e">
        <f t="shared" ca="1" si="60"/>
        <v>#N/A</v>
      </c>
      <c r="H116" s="14" t="e">
        <f t="shared" ca="1" si="60"/>
        <v>#N/A</v>
      </c>
      <c r="I116" s="14" t="e">
        <f t="shared" ca="1" si="60"/>
        <v>#N/A</v>
      </c>
      <c r="J116" s="14" t="e">
        <f t="shared" ca="1" si="60"/>
        <v>#N/A</v>
      </c>
      <c r="K116" s="14" t="e">
        <f t="shared" ca="1" si="60"/>
        <v>#N/A</v>
      </c>
      <c r="L116" s="14" t="e">
        <f t="shared" ca="1" si="60"/>
        <v>#N/A</v>
      </c>
      <c r="M116" s="14" t="e">
        <f t="shared" ca="1" si="60"/>
        <v>#N/A</v>
      </c>
      <c r="N116" s="14" t="e">
        <f t="shared" ca="1" si="60"/>
        <v>#N/A</v>
      </c>
      <c r="O116" s="14" t="e">
        <f t="shared" ca="1" si="60"/>
        <v>#N/A</v>
      </c>
      <c r="P116" s="14" t="e">
        <f t="shared" ca="1" si="60"/>
        <v>#N/A</v>
      </c>
      <c r="Q116" s="14" t="e">
        <f t="shared" ca="1" si="60"/>
        <v>#N/A</v>
      </c>
      <c r="R116" s="14" t="e">
        <f t="shared" ca="1" si="60"/>
        <v>#N/A</v>
      </c>
      <c r="S116" s="14" t="e">
        <f t="shared" ca="1" si="60"/>
        <v>#N/A</v>
      </c>
      <c r="T116" s="14" t="e">
        <f t="shared" ca="1" si="60"/>
        <v>#N/A</v>
      </c>
      <c r="U116" s="14" t="e">
        <f t="shared" ca="1" si="60"/>
        <v>#N/A</v>
      </c>
      <c r="V116" s="14" t="e">
        <f t="shared" ca="1" si="60"/>
        <v>#N/A</v>
      </c>
      <c r="W116" s="14" t="e">
        <f t="shared" ca="1" si="60"/>
        <v>#N/A</v>
      </c>
      <c r="X116" s="14" t="e">
        <f t="shared" ca="1" si="60"/>
        <v>#N/A</v>
      </c>
      <c r="Y116" s="14" t="e">
        <f t="shared" ca="1" si="60"/>
        <v>#N/A</v>
      </c>
      <c r="Z116" s="14" t="e">
        <f t="shared" ca="1" si="60"/>
        <v>#N/A</v>
      </c>
      <c r="AA116" s="14" t="e">
        <f t="shared" ca="1" si="60"/>
        <v>#N/A</v>
      </c>
      <c r="AB116" s="14" t="e">
        <f t="shared" ca="1" si="60"/>
        <v>#N/A</v>
      </c>
      <c r="AC116" s="14" t="e">
        <f t="shared" ca="1" si="60"/>
        <v>#N/A</v>
      </c>
      <c r="AD116" s="14" t="e">
        <f t="shared" ca="1" si="60"/>
        <v>#N/A</v>
      </c>
      <c r="AE116" s="14" t="e">
        <f t="shared" ca="1" si="60"/>
        <v>#N/A</v>
      </c>
      <c r="AF116" s="14" t="e">
        <f t="shared" ca="1" si="60"/>
        <v>#N/A</v>
      </c>
      <c r="AG116" s="14" t="e">
        <f t="shared" ca="1" si="60"/>
        <v>#N/A</v>
      </c>
      <c r="AH116" s="14" t="e">
        <f t="shared" ca="1" si="60"/>
        <v>#N/A</v>
      </c>
      <c r="AI116" s="14" t="e">
        <f t="shared" ca="1" si="60"/>
        <v>#N/A</v>
      </c>
      <c r="AJ116" s="14" t="e">
        <f t="shared" ca="1" si="60"/>
        <v>#N/A</v>
      </c>
      <c r="AK116" s="14" t="e">
        <f t="shared" ca="1" si="60"/>
        <v>#N/A</v>
      </c>
      <c r="AL116" s="14" t="e">
        <f t="shared" ca="1" si="60"/>
        <v>#N/A</v>
      </c>
    </row>
    <row r="117" spans="1:38" ht="21" customHeight="1" outlineLevel="1" thickBot="1" x14ac:dyDescent="0.4">
      <c r="E117" s="17" t="s">
        <v>34</v>
      </c>
      <c r="F117" s="14" t="e">
        <f ca="1">F115+F114</f>
        <v>#N/A</v>
      </c>
      <c r="G117" s="14" t="e">
        <f t="shared" ref="G117:AL117" ca="1" si="61">G115+G114</f>
        <v>#N/A</v>
      </c>
      <c r="H117" s="14" t="e">
        <f t="shared" ca="1" si="61"/>
        <v>#N/A</v>
      </c>
      <c r="I117" s="14" t="e">
        <f t="shared" ca="1" si="61"/>
        <v>#N/A</v>
      </c>
      <c r="J117" s="14" t="e">
        <f t="shared" ca="1" si="61"/>
        <v>#N/A</v>
      </c>
      <c r="K117" s="14" t="e">
        <f t="shared" ca="1" si="61"/>
        <v>#N/A</v>
      </c>
      <c r="L117" s="14" t="e">
        <f t="shared" ca="1" si="61"/>
        <v>#N/A</v>
      </c>
      <c r="M117" s="14" t="e">
        <f t="shared" ca="1" si="61"/>
        <v>#N/A</v>
      </c>
      <c r="N117" s="14" t="e">
        <f t="shared" ca="1" si="61"/>
        <v>#N/A</v>
      </c>
      <c r="O117" s="14" t="e">
        <f t="shared" ca="1" si="61"/>
        <v>#N/A</v>
      </c>
      <c r="P117" s="14" t="e">
        <f t="shared" ca="1" si="61"/>
        <v>#N/A</v>
      </c>
      <c r="Q117" s="14" t="e">
        <f t="shared" ca="1" si="61"/>
        <v>#N/A</v>
      </c>
      <c r="R117" s="14" t="e">
        <f t="shared" ca="1" si="61"/>
        <v>#N/A</v>
      </c>
      <c r="S117" s="14" t="e">
        <f t="shared" ca="1" si="61"/>
        <v>#N/A</v>
      </c>
      <c r="T117" s="14" t="e">
        <f t="shared" ca="1" si="61"/>
        <v>#N/A</v>
      </c>
      <c r="U117" s="14" t="e">
        <f t="shared" ca="1" si="61"/>
        <v>#N/A</v>
      </c>
      <c r="V117" s="14" t="e">
        <f t="shared" ca="1" si="61"/>
        <v>#N/A</v>
      </c>
      <c r="W117" s="14" t="e">
        <f t="shared" ca="1" si="61"/>
        <v>#N/A</v>
      </c>
      <c r="X117" s="14" t="e">
        <f t="shared" ca="1" si="61"/>
        <v>#N/A</v>
      </c>
      <c r="Y117" s="14" t="e">
        <f t="shared" ca="1" si="61"/>
        <v>#N/A</v>
      </c>
      <c r="Z117" s="14" t="e">
        <f t="shared" ca="1" si="61"/>
        <v>#N/A</v>
      </c>
      <c r="AA117" s="14" t="e">
        <f t="shared" ca="1" si="61"/>
        <v>#N/A</v>
      </c>
      <c r="AB117" s="14" t="e">
        <f t="shared" ca="1" si="61"/>
        <v>#N/A</v>
      </c>
      <c r="AC117" s="14" t="e">
        <f t="shared" ca="1" si="61"/>
        <v>#N/A</v>
      </c>
      <c r="AD117" s="14" t="e">
        <f t="shared" ca="1" si="61"/>
        <v>#N/A</v>
      </c>
      <c r="AE117" s="14" t="e">
        <f t="shared" ca="1" si="61"/>
        <v>#N/A</v>
      </c>
      <c r="AF117" s="14" t="e">
        <f t="shared" ca="1" si="61"/>
        <v>#N/A</v>
      </c>
      <c r="AG117" s="14" t="e">
        <f t="shared" ca="1" si="61"/>
        <v>#N/A</v>
      </c>
      <c r="AH117" s="14" t="e">
        <f t="shared" ca="1" si="61"/>
        <v>#N/A</v>
      </c>
      <c r="AI117" s="14" t="e">
        <f t="shared" ca="1" si="61"/>
        <v>#N/A</v>
      </c>
      <c r="AJ117" s="14" t="e">
        <f t="shared" ca="1" si="61"/>
        <v>#N/A</v>
      </c>
      <c r="AK117" s="14" t="e">
        <f t="shared" ca="1" si="61"/>
        <v>#N/A</v>
      </c>
      <c r="AL117" s="14" t="e">
        <f t="shared" ca="1" si="61"/>
        <v>#N/A</v>
      </c>
    </row>
    <row r="118" spans="1:38" ht="21" customHeight="1" outlineLevel="1" thickBot="1" x14ac:dyDescent="0.4">
      <c r="E118" s="17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</row>
    <row r="119" spans="1:38" ht="21" customHeight="1" outlineLevel="1" thickBot="1" x14ac:dyDescent="0.4">
      <c r="E119" s="17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  <row r="120" spans="1:38" ht="21" customHeight="1" outlineLevel="1" thickBot="1" x14ac:dyDescent="0.4">
      <c r="E120" s="17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</row>
    <row r="121" spans="1:38" ht="21" customHeight="1" outlineLevel="1" thickBot="1" x14ac:dyDescent="0.4">
      <c r="E121" s="18"/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65">
        <f ca="1"/>
        <v>0</v>
      </c>
      <c r="V122" s="66">
        <f ca="1"/>
        <v>0</v>
      </c>
      <c r="W122" s="68">
        <f ca="1"/>
        <v>0</v>
      </c>
      <c r="X122" s="62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</row>
    <row r="123" spans="1:38" ht="21" customHeight="1" outlineLevel="1" thickTop="1" thickBot="1" x14ac:dyDescent="0.4">
      <c r="E123" s="17" t="str">
        <f ca="1"/>
        <v xml:space="preserve">Расвор: </v>
      </c>
      <c r="F123" s="14" t="str">
        <f ca="1"/>
        <v xml:space="preserve">Расвор: </v>
      </c>
      <c r="G123" s="14" t="str">
        <f ca="1"/>
        <v xml:space="preserve">Расвор: </v>
      </c>
      <c r="H123" s="14" t="str">
        <f ca="1"/>
        <v xml:space="preserve">Расвор: </v>
      </c>
      <c r="I123" s="14" t="str">
        <f ca="1"/>
        <v xml:space="preserve">Расвор: </v>
      </c>
      <c r="J123" s="14" t="str">
        <f ca="1"/>
        <v xml:space="preserve">Расвор: </v>
      </c>
      <c r="K123" s="14" t="str">
        <f ca="1"/>
        <v xml:space="preserve">Расвор: </v>
      </c>
      <c r="L123" s="14" t="str">
        <f ca="1"/>
        <v xml:space="preserve">Расвор: </v>
      </c>
      <c r="M123" s="14" t="str">
        <f ca="1"/>
        <v xml:space="preserve">Расвор: </v>
      </c>
      <c r="N123" s="14" t="str">
        <f ca="1"/>
        <v xml:space="preserve">Расвор: </v>
      </c>
      <c r="O123" s="14" t="str">
        <f ca="1"/>
        <v xml:space="preserve">Расвор: </v>
      </c>
      <c r="P123" s="14" t="str">
        <f ca="1"/>
        <v xml:space="preserve">Расвор: </v>
      </c>
      <c r="Q123" s="14" t="str">
        <f ca="1"/>
        <v xml:space="preserve">Расвор: </v>
      </c>
      <c r="R123" s="14" t="str">
        <f ca="1"/>
        <v xml:space="preserve">Расвор: </v>
      </c>
      <c r="S123" s="14" t="str">
        <f ca="1"/>
        <v xml:space="preserve">Расвор: </v>
      </c>
      <c r="T123" s="14" t="str">
        <f ca="1"/>
        <v xml:space="preserve">Расвор: </v>
      </c>
      <c r="U123" s="14" t="str">
        <f ca="1"/>
        <v xml:space="preserve">Расвор: </v>
      </c>
      <c r="V123" s="14" t="str">
        <f ca="1"/>
        <v xml:space="preserve">Расвор: </v>
      </c>
      <c r="W123" s="14" t="str">
        <f ca="1"/>
        <v xml:space="preserve">Расвор: </v>
      </c>
      <c r="X123" s="14" t="str">
        <f ca="1"/>
        <v xml:space="preserve">Расвор: </v>
      </c>
      <c r="Y123" s="14" t="str">
        <f ca="1"/>
        <v xml:space="preserve">Расвор: </v>
      </c>
      <c r="Z123" s="14" t="str">
        <f ca="1"/>
        <v xml:space="preserve">Расвор: </v>
      </c>
      <c r="AA123" s="14" t="str">
        <f ca="1"/>
        <v xml:space="preserve">Расвор: </v>
      </c>
      <c r="AB123" s="14" t="str">
        <f ca="1"/>
        <v xml:space="preserve">Расвор: </v>
      </c>
      <c r="AC123" s="14" t="str">
        <f ca="1"/>
        <v xml:space="preserve">Расвор: </v>
      </c>
      <c r="AD123" s="14" t="str">
        <f ca="1"/>
        <v xml:space="preserve">Расвор: </v>
      </c>
      <c r="AE123" s="14" t="str">
        <f ca="1"/>
        <v xml:space="preserve">Расвор: </v>
      </c>
      <c r="AF123" s="14" t="str">
        <f ca="1"/>
        <v xml:space="preserve">Расвор: </v>
      </c>
      <c r="AG123" s="14" t="str">
        <f ca="1"/>
        <v xml:space="preserve">Расвор: </v>
      </c>
      <c r="AH123" s="14" t="str">
        <f ca="1"/>
        <v xml:space="preserve">Расвор: </v>
      </c>
      <c r="AI123" s="14" t="str">
        <f ca="1"/>
        <v xml:space="preserve">Расвор: </v>
      </c>
      <c r="AJ123" s="14" t="str">
        <f ca="1"/>
        <v xml:space="preserve">Расвор: </v>
      </c>
      <c r="AK123" s="14" t="str">
        <f ca="1"/>
        <v xml:space="preserve">Расвор: </v>
      </c>
      <c r="AL123" s="14" t="str">
        <f ca="1"/>
        <v xml:space="preserve">Расвор: 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14" t="str">
        <f ca="1"/>
        <v xml:space="preserve">Газовая без Ar: </v>
      </c>
      <c r="G124" s="14" t="str">
        <f ca="1"/>
        <v xml:space="preserve">Газовая без Ar: </v>
      </c>
      <c r="H124" s="14" t="str">
        <f ca="1"/>
        <v xml:space="preserve">Газовая без Ar: </v>
      </c>
      <c r="I124" s="14" t="str">
        <f ca="1"/>
        <v xml:space="preserve">Газовая без Ar: </v>
      </c>
      <c r="J124" s="14" t="str">
        <f ca="1"/>
        <v xml:space="preserve">Газовая без Ar: </v>
      </c>
      <c r="K124" s="14" t="str">
        <f ca="1"/>
        <v xml:space="preserve">Газовая без Ar: </v>
      </c>
      <c r="L124" s="14" t="str">
        <f ca="1"/>
        <v xml:space="preserve">Газовая без Ar: </v>
      </c>
      <c r="M124" s="14" t="str">
        <f ca="1"/>
        <v xml:space="preserve">Газовая без Ar: </v>
      </c>
      <c r="N124" s="14" t="str">
        <f ca="1"/>
        <v xml:space="preserve">Газовая без Ar: </v>
      </c>
      <c r="O124" s="14" t="str">
        <f ca="1"/>
        <v xml:space="preserve">Газовая без Ar: </v>
      </c>
      <c r="P124" s="14" t="str">
        <f ca="1"/>
        <v xml:space="preserve">Газовая без Ar: </v>
      </c>
      <c r="Q124" s="14" t="str">
        <f ca="1"/>
        <v xml:space="preserve">Газовая без Ar: </v>
      </c>
      <c r="R124" s="14" t="str">
        <f ca="1"/>
        <v xml:space="preserve">Газовая без Ar: </v>
      </c>
      <c r="S124" s="14" t="str">
        <f ca="1"/>
        <v xml:space="preserve">Газовая без Ar: </v>
      </c>
      <c r="T124" s="14" t="str">
        <f ca="1"/>
        <v xml:space="preserve">Газовая без Ar: </v>
      </c>
      <c r="U124" s="14" t="str">
        <f ca="1"/>
        <v xml:space="preserve">Газовая без Ar: </v>
      </c>
      <c r="V124" s="14" t="str">
        <f ca="1"/>
        <v xml:space="preserve">Газовая без Ar: </v>
      </c>
      <c r="W124" s="14" t="str">
        <f ca="1"/>
        <v xml:space="preserve">Газовая без Ar: </v>
      </c>
      <c r="X124" s="14" t="str">
        <f ca="1"/>
        <v xml:space="preserve">Газовая без Ar: </v>
      </c>
      <c r="Y124" s="14" t="str">
        <f ca="1"/>
        <v xml:space="preserve">Газовая без Ar: </v>
      </c>
      <c r="Z124" s="14" t="str">
        <f ca="1"/>
        <v xml:space="preserve">Газовая без Ar: </v>
      </c>
      <c r="AA124" s="14" t="str">
        <f ca="1"/>
        <v xml:space="preserve">Газовая без Ar: </v>
      </c>
      <c r="AB124" s="14" t="str">
        <f ca="1"/>
        <v xml:space="preserve">Газовая без Ar: </v>
      </c>
      <c r="AC124" s="14" t="str">
        <f ca="1"/>
        <v xml:space="preserve">Газовая без Ar: </v>
      </c>
      <c r="AD124" s="14" t="str">
        <f ca="1"/>
        <v xml:space="preserve">Газовая без Ar: </v>
      </c>
      <c r="AE124" s="14" t="str">
        <f ca="1"/>
        <v xml:space="preserve">Газовая без Ar: </v>
      </c>
      <c r="AF124" s="14" t="str">
        <f ca="1"/>
        <v xml:space="preserve">Газовая без Ar: </v>
      </c>
      <c r="AG124" s="14" t="str">
        <f ca="1"/>
        <v xml:space="preserve">Газовая без Ar: </v>
      </c>
      <c r="AH124" s="14" t="str">
        <f ca="1"/>
        <v xml:space="preserve">Газовая без Ar: </v>
      </c>
      <c r="AI124" s="14" t="str">
        <f ca="1"/>
        <v xml:space="preserve">Газовая без Ar: </v>
      </c>
      <c r="AJ124" s="14" t="str">
        <f ca="1"/>
        <v xml:space="preserve">Газовая без Ar: </v>
      </c>
      <c r="AK124" s="14" t="str">
        <f ca="1"/>
        <v xml:space="preserve">Газовая без Ar: </v>
      </c>
      <c r="AL124" s="14" t="str">
        <f ca="1"/>
        <v xml:space="preserve">Газовая без Ar: </v>
      </c>
    </row>
    <row r="125" spans="1:38" ht="21" customHeight="1" outlineLevel="1" thickBot="1" x14ac:dyDescent="0.4">
      <c r="E125" s="17" t="str">
        <f ca="1"/>
        <v xml:space="preserve">Газовая: </v>
      </c>
      <c r="F125" s="14" t="str">
        <f ca="1"/>
        <v xml:space="preserve">Газовая: </v>
      </c>
      <c r="G125" s="14" t="str">
        <f ca="1"/>
        <v xml:space="preserve">Газовая: </v>
      </c>
      <c r="H125" s="14" t="str">
        <f ca="1"/>
        <v xml:space="preserve">Газовая: </v>
      </c>
      <c r="I125" s="14" t="str">
        <f ca="1"/>
        <v xml:space="preserve">Газовая: </v>
      </c>
      <c r="J125" s="14" t="str">
        <f ca="1"/>
        <v xml:space="preserve">Газовая: </v>
      </c>
      <c r="K125" s="14" t="str">
        <f ca="1"/>
        <v xml:space="preserve">Газовая: </v>
      </c>
      <c r="L125" s="14" t="str">
        <f ca="1"/>
        <v xml:space="preserve">Газовая: </v>
      </c>
      <c r="M125" s="14" t="str">
        <f ca="1"/>
        <v xml:space="preserve">Газовая: </v>
      </c>
      <c r="N125" s="14" t="str">
        <f ca="1"/>
        <v xml:space="preserve">Газовая: </v>
      </c>
      <c r="O125" s="14" t="str">
        <f ca="1"/>
        <v xml:space="preserve">Газовая: </v>
      </c>
      <c r="P125" s="14" t="str">
        <f ca="1"/>
        <v xml:space="preserve">Газовая: </v>
      </c>
      <c r="Q125" s="14" t="str">
        <f ca="1"/>
        <v xml:space="preserve">Газовая: </v>
      </c>
      <c r="R125" s="14" t="str">
        <f ca="1"/>
        <v xml:space="preserve">Газовая: </v>
      </c>
      <c r="S125" s="14" t="str">
        <f ca="1"/>
        <v xml:space="preserve">Газовая: </v>
      </c>
      <c r="T125" s="14" t="str">
        <f ca="1"/>
        <v xml:space="preserve">Газовая: </v>
      </c>
      <c r="U125" s="14" t="str">
        <f ca="1"/>
        <v xml:space="preserve">Газовая: </v>
      </c>
      <c r="V125" s="14" t="str">
        <f ca="1"/>
        <v xml:space="preserve">Газовая: </v>
      </c>
      <c r="W125" s="14" t="str">
        <f ca="1"/>
        <v xml:space="preserve">Газовая: </v>
      </c>
      <c r="X125" s="14" t="str">
        <f ca="1"/>
        <v xml:space="preserve">Газовая: </v>
      </c>
      <c r="Y125" s="14" t="str">
        <f ca="1"/>
        <v xml:space="preserve">Газовая: </v>
      </c>
      <c r="Z125" s="14" t="str">
        <f ca="1"/>
        <v xml:space="preserve">Газовая: </v>
      </c>
      <c r="AA125" s="14" t="str">
        <f ca="1"/>
        <v xml:space="preserve">Газовая: </v>
      </c>
      <c r="AB125" s="14" t="str">
        <f ca="1"/>
        <v xml:space="preserve">Газовая: </v>
      </c>
      <c r="AC125" s="14" t="str">
        <f ca="1"/>
        <v xml:space="preserve">Газовая: </v>
      </c>
      <c r="AD125" s="14" t="str">
        <f ca="1"/>
        <v xml:space="preserve">Газовая: </v>
      </c>
      <c r="AE125" s="14" t="str">
        <f ca="1"/>
        <v xml:space="preserve">Газовая: </v>
      </c>
      <c r="AF125" s="14" t="str">
        <f ca="1"/>
        <v xml:space="preserve">Газовая: </v>
      </c>
      <c r="AG125" s="14" t="str">
        <f ca="1"/>
        <v xml:space="preserve">Газовая: </v>
      </c>
      <c r="AH125" s="14" t="str">
        <f ca="1"/>
        <v xml:space="preserve">Газовая: </v>
      </c>
      <c r="AI125" s="14" t="str">
        <f ca="1"/>
        <v xml:space="preserve">Газовая: </v>
      </c>
      <c r="AJ125" s="14" t="str">
        <f ca="1"/>
        <v xml:space="preserve">Газовая: </v>
      </c>
      <c r="AK125" s="14" t="str">
        <f ca="1"/>
        <v xml:space="preserve">Газовая: </v>
      </c>
      <c r="AL125" s="14" t="str">
        <f ca="1"/>
        <v xml:space="preserve">Газовая: </v>
      </c>
    </row>
    <row r="126" spans="1:38" ht="21" customHeight="1" outlineLevel="1" thickBot="1" x14ac:dyDescent="0.4">
      <c r="E126" s="17" t="str">
        <f ca="1"/>
        <v>Раствор + газовая без Ar</v>
      </c>
      <c r="F126" s="14" t="str">
        <f ca="1"/>
        <v>Раствор + газовая без Ar</v>
      </c>
      <c r="G126" s="14" t="str">
        <f ca="1"/>
        <v>Раствор + газовая без Ar</v>
      </c>
      <c r="H126" s="14" t="str">
        <f ca="1"/>
        <v>Раствор + газовая без Ar</v>
      </c>
      <c r="I126" s="14" t="str">
        <f ca="1"/>
        <v>Раствор + газовая без Ar</v>
      </c>
      <c r="J126" s="14" t="str">
        <f ca="1"/>
        <v>Раствор + газовая без Ar</v>
      </c>
      <c r="K126" s="14" t="str">
        <f ca="1"/>
        <v>Раствор + газовая без Ar</v>
      </c>
      <c r="L126" s="14" t="str">
        <f ca="1"/>
        <v>Раствор + газовая без Ar</v>
      </c>
      <c r="M126" s="14" t="str">
        <f ca="1"/>
        <v>Раствор + газовая без Ar</v>
      </c>
      <c r="N126" s="14" t="str">
        <f ca="1"/>
        <v>Раствор + газовая без Ar</v>
      </c>
      <c r="O126" s="14" t="str">
        <f ca="1"/>
        <v>Раствор + газовая без Ar</v>
      </c>
      <c r="P126" s="14" t="str">
        <f ca="1"/>
        <v>Раствор + газовая без Ar</v>
      </c>
      <c r="Q126" s="14" t="str">
        <f ca="1"/>
        <v>Раствор + газовая без Ar</v>
      </c>
      <c r="R126" s="14" t="str">
        <f ca="1"/>
        <v>Раствор + газовая без Ar</v>
      </c>
      <c r="S126" s="14" t="str">
        <f ca="1"/>
        <v>Раствор + газовая без Ar</v>
      </c>
      <c r="T126" s="14" t="str">
        <f ca="1"/>
        <v>Раствор + газовая без Ar</v>
      </c>
      <c r="U126" s="14" t="str">
        <f ca="1"/>
        <v>Раствор + газовая без Ar</v>
      </c>
      <c r="V126" s="14" t="str">
        <f ca="1"/>
        <v>Раствор + газовая без Ar</v>
      </c>
      <c r="W126" s="14" t="str">
        <f ca="1"/>
        <v>Раствор + газовая без Ar</v>
      </c>
      <c r="X126" s="14" t="str">
        <f ca="1"/>
        <v>Раствор + газовая без Ar</v>
      </c>
      <c r="Y126" s="14" t="str">
        <f ca="1"/>
        <v>Раствор + газовая без Ar</v>
      </c>
      <c r="Z126" s="14" t="str">
        <f ca="1"/>
        <v>Раствор + газовая без Ar</v>
      </c>
      <c r="AA126" s="14" t="str">
        <f ca="1"/>
        <v>Раствор + газовая без Ar</v>
      </c>
      <c r="AB126" s="14" t="str">
        <f ca="1"/>
        <v>Раствор + газовая без Ar</v>
      </c>
      <c r="AC126" s="14" t="str">
        <f ca="1"/>
        <v>Раствор + газовая без Ar</v>
      </c>
      <c r="AD126" s="14" t="str">
        <f ca="1"/>
        <v>Раствор + газовая без Ar</v>
      </c>
      <c r="AE126" s="14" t="str">
        <f ca="1"/>
        <v>Раствор + газовая без Ar</v>
      </c>
      <c r="AF126" s="14" t="str">
        <f ca="1"/>
        <v>Раствор + газовая без Ar</v>
      </c>
      <c r="AG126" s="14" t="str">
        <f ca="1"/>
        <v>Раствор + газовая без Ar</v>
      </c>
      <c r="AH126" s="14" t="str">
        <f ca="1"/>
        <v>Раствор + газовая без Ar</v>
      </c>
      <c r="AI126" s="14" t="str">
        <f ca="1"/>
        <v>Раствор + газовая без Ar</v>
      </c>
      <c r="AJ126" s="14" t="str">
        <f ca="1"/>
        <v>Раствор + газовая без Ar</v>
      </c>
      <c r="AK126" s="14" t="str">
        <f ca="1"/>
        <v>Раствор + газовая без Ar</v>
      </c>
      <c r="AL126" s="14" t="str">
        <f ca="1"/>
        <v>Раствор + газовая без Ar</v>
      </c>
    </row>
    <row r="127" spans="1:38" ht="21" customHeight="1" outlineLevel="1" thickBot="1" x14ac:dyDescent="0.4">
      <c r="E127" s="17" t="e">
        <f ca="1"/>
        <v>#N/A</v>
      </c>
      <c r="F127" s="14" t="e">
        <f ca="1"/>
        <v>#N/A</v>
      </c>
      <c r="G127" s="14" t="e">
        <f ca="1"/>
        <v>#N/A</v>
      </c>
      <c r="H127" s="14" t="e">
        <f ca="1"/>
        <v>#N/A</v>
      </c>
      <c r="I127" s="14" t="e">
        <f ca="1"/>
        <v>#N/A</v>
      </c>
      <c r="J127" s="14" t="e">
        <f ca="1"/>
        <v>#N/A</v>
      </c>
      <c r="K127" s="14" t="e">
        <f ca="1"/>
        <v>#N/A</v>
      </c>
      <c r="L127" s="14" t="e">
        <f ca="1"/>
        <v>#N/A</v>
      </c>
      <c r="M127" s="14" t="e">
        <f ca="1"/>
        <v>#N/A</v>
      </c>
      <c r="N127" s="14" t="e">
        <f ca="1"/>
        <v>#N/A</v>
      </c>
      <c r="O127" s="14" t="e">
        <f ca="1"/>
        <v>#N/A</v>
      </c>
      <c r="P127" s="14" t="e">
        <f ca="1"/>
        <v>#N/A</v>
      </c>
      <c r="Q127" s="14" t="e">
        <f ca="1"/>
        <v>#N/A</v>
      </c>
      <c r="R127" s="14" t="e">
        <f ca="1"/>
        <v>#N/A</v>
      </c>
      <c r="S127" s="14" t="e">
        <f ca="1"/>
        <v>#N/A</v>
      </c>
      <c r="T127" s="14" t="e">
        <f ca="1"/>
        <v>#N/A</v>
      </c>
      <c r="U127" s="14" t="e">
        <f ca="1"/>
        <v>#N/A</v>
      </c>
      <c r="V127" s="14" t="e">
        <f ca="1"/>
        <v>#N/A</v>
      </c>
      <c r="W127" s="14" t="e">
        <f ca="1"/>
        <v>#N/A</v>
      </c>
      <c r="X127" s="14" t="e">
        <f ca="1"/>
        <v>#N/A</v>
      </c>
      <c r="Y127" s="14" t="e">
        <f ca="1"/>
        <v>#N/A</v>
      </c>
      <c r="Z127" s="14" t="e">
        <f ca="1"/>
        <v>#N/A</v>
      </c>
      <c r="AA127" s="14" t="e">
        <f ca="1"/>
        <v>#N/A</v>
      </c>
      <c r="AB127" s="14" t="e">
        <f ca="1"/>
        <v>#N/A</v>
      </c>
      <c r="AC127" s="14" t="e">
        <f ca="1"/>
        <v>#N/A</v>
      </c>
      <c r="AD127" s="14" t="e">
        <f ca="1"/>
        <v>#N/A</v>
      </c>
      <c r="AE127" s="14" t="e">
        <f ca="1"/>
        <v>#N/A</v>
      </c>
      <c r="AF127" s="14" t="e">
        <f ca="1"/>
        <v>#N/A</v>
      </c>
      <c r="AG127" s="14" t="e">
        <f ca="1"/>
        <v>#N/A</v>
      </c>
      <c r="AH127" s="14" t="e">
        <f ca="1"/>
        <v>#N/A</v>
      </c>
      <c r="AI127" s="14" t="e">
        <f ca="1"/>
        <v>#N/A</v>
      </c>
      <c r="AJ127" s="14" t="e">
        <f ca="1"/>
        <v>#N/A</v>
      </c>
      <c r="AK127" s="14" t="e">
        <f ca="1"/>
        <v>#N/A</v>
      </c>
      <c r="AL127" s="14" t="e">
        <f ca="1"/>
        <v>#N/A</v>
      </c>
    </row>
    <row r="128" spans="1:38" ht="21" customHeight="1" outlineLevel="1" thickBot="1" x14ac:dyDescent="0.4">
      <c r="E128" s="17" t="e">
        <f ca="1"/>
        <v>#N/A</v>
      </c>
      <c r="F128" s="14" t="e">
        <f ca="1"/>
        <v>#N/A</v>
      </c>
      <c r="G128" s="14" t="e">
        <f ca="1"/>
        <v>#N/A</v>
      </c>
      <c r="H128" s="14" t="e">
        <f ca="1"/>
        <v>#N/A</v>
      </c>
      <c r="I128" s="14" t="e">
        <f ca="1"/>
        <v>#N/A</v>
      </c>
      <c r="J128" s="14" t="e">
        <f ca="1"/>
        <v>#N/A</v>
      </c>
      <c r="K128" s="14" t="e">
        <f ca="1"/>
        <v>#N/A</v>
      </c>
      <c r="L128" s="14" t="e">
        <f ca="1"/>
        <v>#N/A</v>
      </c>
      <c r="M128" s="14" t="e">
        <f ca="1"/>
        <v>#N/A</v>
      </c>
      <c r="N128" s="14" t="e">
        <f ca="1"/>
        <v>#N/A</v>
      </c>
      <c r="O128" s="14" t="e">
        <f ca="1"/>
        <v>#N/A</v>
      </c>
      <c r="P128" s="14" t="e">
        <f ca="1"/>
        <v>#N/A</v>
      </c>
      <c r="Q128" s="14" t="e">
        <f ca="1"/>
        <v>#N/A</v>
      </c>
      <c r="R128" s="14" t="e">
        <f ca="1"/>
        <v>#N/A</v>
      </c>
      <c r="S128" s="14" t="e">
        <f ca="1"/>
        <v>#N/A</v>
      </c>
      <c r="T128" s="14" t="e">
        <f ca="1"/>
        <v>#N/A</v>
      </c>
      <c r="U128" s="14" t="e">
        <f ca="1"/>
        <v>#N/A</v>
      </c>
      <c r="V128" s="14" t="e">
        <f ca="1"/>
        <v>#N/A</v>
      </c>
      <c r="W128" s="14" t="e">
        <f ca="1"/>
        <v>#N/A</v>
      </c>
      <c r="X128" s="14" t="e">
        <f ca="1"/>
        <v>#N/A</v>
      </c>
      <c r="Y128" s="14" t="e">
        <f ca="1"/>
        <v>#N/A</v>
      </c>
      <c r="Z128" s="14" t="e">
        <f ca="1"/>
        <v>#N/A</v>
      </c>
      <c r="AA128" s="14" t="e">
        <f ca="1"/>
        <v>#N/A</v>
      </c>
      <c r="AB128" s="14" t="e">
        <f ca="1"/>
        <v>#N/A</v>
      </c>
      <c r="AC128" s="14" t="e">
        <f ca="1"/>
        <v>#N/A</v>
      </c>
      <c r="AD128" s="14" t="e">
        <f ca="1"/>
        <v>#N/A</v>
      </c>
      <c r="AE128" s="14" t="e">
        <f ca="1"/>
        <v>#N/A</v>
      </c>
      <c r="AF128" s="14" t="e">
        <f ca="1"/>
        <v>#N/A</v>
      </c>
      <c r="AG128" s="14" t="e">
        <f ca="1"/>
        <v>#N/A</v>
      </c>
      <c r="AH128" s="14" t="e">
        <f ca="1"/>
        <v>#N/A</v>
      </c>
      <c r="AI128" s="14" t="e">
        <f ca="1"/>
        <v>#N/A</v>
      </c>
      <c r="AJ128" s="14" t="e">
        <f ca="1"/>
        <v>#N/A</v>
      </c>
      <c r="AK128" s="14" t="e">
        <f ca="1"/>
        <v>#N/A</v>
      </c>
      <c r="AL128" s="14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14" t="e">
        <f ca="1"/>
        <v>#N/A</v>
      </c>
      <c r="G129" s="14" t="e">
        <f ca="1"/>
        <v>#N/A</v>
      </c>
      <c r="H129" s="14" t="e">
        <f ca="1"/>
        <v>#N/A</v>
      </c>
      <c r="I129" s="14" t="e">
        <f ca="1"/>
        <v>#N/A</v>
      </c>
      <c r="J129" s="14" t="e">
        <f ca="1"/>
        <v>#N/A</v>
      </c>
      <c r="K129" s="14" t="e">
        <f ca="1"/>
        <v>#N/A</v>
      </c>
      <c r="L129" s="14" t="e">
        <f ca="1"/>
        <v>#N/A</v>
      </c>
      <c r="M129" s="14" t="e">
        <f ca="1"/>
        <v>#N/A</v>
      </c>
      <c r="N129" s="14" t="e">
        <f ca="1"/>
        <v>#N/A</v>
      </c>
      <c r="O129" s="14" t="e">
        <f ca="1"/>
        <v>#N/A</v>
      </c>
      <c r="P129" s="14" t="e">
        <f ca="1"/>
        <v>#N/A</v>
      </c>
      <c r="Q129" s="14" t="e">
        <f ca="1"/>
        <v>#N/A</v>
      </c>
      <c r="R129" s="14" t="e">
        <f ca="1"/>
        <v>#N/A</v>
      </c>
      <c r="S129" s="14" t="e">
        <f ca="1"/>
        <v>#N/A</v>
      </c>
      <c r="T129" s="14" t="e">
        <f ca="1"/>
        <v>#N/A</v>
      </c>
      <c r="U129" s="14" t="e">
        <f ca="1"/>
        <v>#N/A</v>
      </c>
      <c r="V129" s="14" t="e">
        <f ca="1"/>
        <v>#N/A</v>
      </c>
      <c r="W129" s="14" t="e">
        <f ca="1"/>
        <v>#N/A</v>
      </c>
      <c r="X129" s="14" t="e">
        <f ca="1"/>
        <v>#N/A</v>
      </c>
      <c r="Y129" s="14" t="e">
        <f ca="1"/>
        <v>#N/A</v>
      </c>
      <c r="Z129" s="14" t="e">
        <f ca="1"/>
        <v>#N/A</v>
      </c>
      <c r="AA129" s="14" t="e">
        <f ca="1"/>
        <v>#N/A</v>
      </c>
      <c r="AB129" s="14" t="e">
        <f ca="1"/>
        <v>#N/A</v>
      </c>
      <c r="AC129" s="14" t="e">
        <f ca="1"/>
        <v>#N/A</v>
      </c>
      <c r="AD129" s="14" t="e">
        <f ca="1"/>
        <v>#N/A</v>
      </c>
      <c r="AE129" s="14" t="e">
        <f ca="1"/>
        <v>#N/A</v>
      </c>
      <c r="AF129" s="14" t="e">
        <f ca="1"/>
        <v>#N/A</v>
      </c>
      <c r="AG129" s="14" t="e">
        <f ca="1"/>
        <v>#N/A</v>
      </c>
      <c r="AH129" s="14" t="e">
        <f ca="1"/>
        <v>#N/A</v>
      </c>
      <c r="AI129" s="14" t="e">
        <f ca="1"/>
        <v>#N/A</v>
      </c>
      <c r="AJ129" s="14" t="e">
        <f ca="1"/>
        <v>#N/A</v>
      </c>
      <c r="AK129" s="14" t="e">
        <f ca="1"/>
        <v>#N/A</v>
      </c>
      <c r="AL129" s="14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14" t="e">
        <f ca="1"/>
        <v>#N/A</v>
      </c>
      <c r="G130" s="14" t="e">
        <f ca="1"/>
        <v>#N/A</v>
      </c>
      <c r="H130" s="14" t="e">
        <f ca="1"/>
        <v>#N/A</v>
      </c>
      <c r="I130" s="14" t="e">
        <f ca="1"/>
        <v>#N/A</v>
      </c>
      <c r="J130" s="14" t="e">
        <f ca="1"/>
        <v>#N/A</v>
      </c>
      <c r="K130" s="14" t="e">
        <f ca="1"/>
        <v>#N/A</v>
      </c>
      <c r="L130" s="14" t="e">
        <f ca="1"/>
        <v>#N/A</v>
      </c>
      <c r="M130" s="14" t="e">
        <f ca="1"/>
        <v>#N/A</v>
      </c>
      <c r="N130" s="14" t="e">
        <f ca="1"/>
        <v>#N/A</v>
      </c>
      <c r="O130" s="14" t="e">
        <f ca="1"/>
        <v>#N/A</v>
      </c>
      <c r="P130" s="14" t="e">
        <f ca="1"/>
        <v>#N/A</v>
      </c>
      <c r="Q130" s="14" t="e">
        <f ca="1"/>
        <v>#N/A</v>
      </c>
      <c r="R130" s="14" t="e">
        <f ca="1"/>
        <v>#N/A</v>
      </c>
      <c r="S130" s="14" t="e">
        <f ca="1"/>
        <v>#N/A</v>
      </c>
      <c r="T130" s="14" t="e">
        <f ca="1"/>
        <v>#N/A</v>
      </c>
      <c r="U130" s="14" t="e">
        <f ca="1"/>
        <v>#N/A</v>
      </c>
      <c r="V130" s="14" t="e">
        <f ca="1"/>
        <v>#N/A</v>
      </c>
      <c r="W130" s="14" t="e">
        <f ca="1"/>
        <v>#N/A</v>
      </c>
      <c r="X130" s="14" t="e">
        <f ca="1"/>
        <v>#N/A</v>
      </c>
      <c r="Y130" s="14" t="e">
        <f ca="1"/>
        <v>#N/A</v>
      </c>
      <c r="Z130" s="14" t="e">
        <f ca="1"/>
        <v>#N/A</v>
      </c>
      <c r="AA130" s="14" t="e">
        <f ca="1"/>
        <v>#N/A</v>
      </c>
      <c r="AB130" s="14" t="e">
        <f ca="1"/>
        <v>#N/A</v>
      </c>
      <c r="AC130" s="14" t="e">
        <f ca="1"/>
        <v>#N/A</v>
      </c>
      <c r="AD130" s="14" t="e">
        <f ca="1"/>
        <v>#N/A</v>
      </c>
      <c r="AE130" s="14" t="e">
        <f ca="1"/>
        <v>#N/A</v>
      </c>
      <c r="AF130" s="14" t="e">
        <f ca="1"/>
        <v>#N/A</v>
      </c>
      <c r="AG130" s="14" t="e">
        <f ca="1"/>
        <v>#N/A</v>
      </c>
      <c r="AH130" s="14" t="e">
        <f ca="1"/>
        <v>#N/A</v>
      </c>
      <c r="AI130" s="14" t="e">
        <f ca="1"/>
        <v>#N/A</v>
      </c>
      <c r="AJ130" s="14" t="e">
        <f ca="1"/>
        <v>#N/A</v>
      </c>
      <c r="AK130" s="14" t="e">
        <f ca="1"/>
        <v>#N/A</v>
      </c>
      <c r="AL130" s="14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14" t="e">
        <f ca="1"/>
        <v>#N/A</v>
      </c>
      <c r="G131" s="14" t="e">
        <f ca="1"/>
        <v>#N/A</v>
      </c>
      <c r="H131" s="14" t="e">
        <f ca="1"/>
        <v>#N/A</v>
      </c>
      <c r="I131" s="14" t="e">
        <f ca="1"/>
        <v>#N/A</v>
      </c>
      <c r="J131" s="14" t="e">
        <f ca="1"/>
        <v>#N/A</v>
      </c>
      <c r="K131" s="14" t="e">
        <f ca="1"/>
        <v>#N/A</v>
      </c>
      <c r="L131" s="14" t="e">
        <f ca="1"/>
        <v>#N/A</v>
      </c>
      <c r="M131" s="14" t="e">
        <f ca="1"/>
        <v>#N/A</v>
      </c>
      <c r="N131" s="14" t="e">
        <f ca="1"/>
        <v>#N/A</v>
      </c>
      <c r="O131" s="14" t="e">
        <f ca="1"/>
        <v>#N/A</v>
      </c>
      <c r="P131" s="14" t="e">
        <f ca="1"/>
        <v>#N/A</v>
      </c>
      <c r="Q131" s="14" t="e">
        <f ca="1"/>
        <v>#N/A</v>
      </c>
      <c r="R131" s="14" t="e">
        <f ca="1"/>
        <v>#N/A</v>
      </c>
      <c r="S131" s="14" t="e">
        <f ca="1"/>
        <v>#N/A</v>
      </c>
      <c r="T131" s="14" t="e">
        <f ca="1"/>
        <v>#N/A</v>
      </c>
      <c r="U131" s="14" t="e">
        <f ca="1"/>
        <v>#N/A</v>
      </c>
      <c r="V131" s="14" t="e">
        <f ca="1"/>
        <v>#N/A</v>
      </c>
      <c r="W131" s="14" t="e">
        <f ca="1"/>
        <v>#N/A</v>
      </c>
      <c r="X131" s="14" t="e">
        <f ca="1"/>
        <v>#N/A</v>
      </c>
      <c r="Y131" s="14" t="e">
        <f ca="1"/>
        <v>#N/A</v>
      </c>
      <c r="Z131" s="14" t="e">
        <f ca="1"/>
        <v>#N/A</v>
      </c>
      <c r="AA131" s="14" t="e">
        <f ca="1"/>
        <v>#N/A</v>
      </c>
      <c r="AB131" s="14" t="e">
        <f ca="1"/>
        <v>#N/A</v>
      </c>
      <c r="AC131" s="14" t="e">
        <f ca="1"/>
        <v>#N/A</v>
      </c>
      <c r="AD131" s="14" t="e">
        <f ca="1"/>
        <v>#N/A</v>
      </c>
      <c r="AE131" s="14" t="e">
        <f ca="1"/>
        <v>#N/A</v>
      </c>
      <c r="AF131" s="14" t="e">
        <f ca="1"/>
        <v>#N/A</v>
      </c>
      <c r="AG131" s="14" t="e">
        <f ca="1"/>
        <v>#N/A</v>
      </c>
      <c r="AH131" s="14" t="e">
        <f ca="1"/>
        <v>#N/A</v>
      </c>
      <c r="AI131" s="14" t="e">
        <f ca="1"/>
        <v>#N/A</v>
      </c>
      <c r="AJ131" s="14" t="e">
        <f ca="1"/>
        <v>#N/A</v>
      </c>
      <c r="AK131" s="14" t="e">
        <f ca="1"/>
        <v>#N/A</v>
      </c>
      <c r="AL131" s="14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14" t="e">
        <f ca="1"/>
        <v>#N/A</v>
      </c>
      <c r="G132" s="14" t="e">
        <f ca="1"/>
        <v>#N/A</v>
      </c>
      <c r="H132" s="14" t="e">
        <f ca="1"/>
        <v>#N/A</v>
      </c>
      <c r="I132" s="14" t="e">
        <f ca="1"/>
        <v>#N/A</v>
      </c>
      <c r="J132" s="14" t="e">
        <f ca="1"/>
        <v>#N/A</v>
      </c>
      <c r="K132" s="14" t="e">
        <f ca="1"/>
        <v>#N/A</v>
      </c>
      <c r="L132" s="14" t="e">
        <f ca="1"/>
        <v>#N/A</v>
      </c>
      <c r="M132" s="14" t="e">
        <f ca="1"/>
        <v>#N/A</v>
      </c>
      <c r="N132" s="14" t="e">
        <f ca="1"/>
        <v>#N/A</v>
      </c>
      <c r="O132" s="14" t="e">
        <f ca="1"/>
        <v>#N/A</v>
      </c>
      <c r="P132" s="14" t="e">
        <f ca="1"/>
        <v>#N/A</v>
      </c>
      <c r="Q132" s="14" t="e">
        <f ca="1"/>
        <v>#N/A</v>
      </c>
      <c r="R132" s="14" t="e">
        <f ca="1"/>
        <v>#N/A</v>
      </c>
      <c r="S132" s="14" t="e">
        <f ca="1"/>
        <v>#N/A</v>
      </c>
      <c r="T132" s="14" t="e">
        <f ca="1"/>
        <v>#N/A</v>
      </c>
      <c r="U132" s="14" t="e">
        <f ca="1"/>
        <v>#N/A</v>
      </c>
      <c r="V132" s="14" t="e">
        <f ca="1"/>
        <v>#N/A</v>
      </c>
      <c r="W132" s="14" t="e">
        <f ca="1"/>
        <v>#N/A</v>
      </c>
      <c r="X132" s="14" t="e">
        <f ca="1"/>
        <v>#N/A</v>
      </c>
      <c r="Y132" s="14" t="e">
        <f ca="1"/>
        <v>#N/A</v>
      </c>
      <c r="Z132" s="14" t="e">
        <f ca="1"/>
        <v>#N/A</v>
      </c>
      <c r="AA132" s="14" t="e">
        <f ca="1"/>
        <v>#N/A</v>
      </c>
      <c r="AB132" s="14" t="e">
        <f ca="1"/>
        <v>#N/A</v>
      </c>
      <c r="AC132" s="14" t="e">
        <f ca="1"/>
        <v>#N/A</v>
      </c>
      <c r="AD132" s="14" t="e">
        <f ca="1"/>
        <v>#N/A</v>
      </c>
      <c r="AE132" s="14" t="e">
        <f ca="1"/>
        <v>#N/A</v>
      </c>
      <c r="AF132" s="14" t="e">
        <f ca="1"/>
        <v>#N/A</v>
      </c>
      <c r="AG132" s="14" t="e">
        <f ca="1"/>
        <v>#N/A</v>
      </c>
      <c r="AH132" s="14" t="e">
        <f ca="1"/>
        <v>#N/A</v>
      </c>
      <c r="AI132" s="14" t="e">
        <f ca="1"/>
        <v>#N/A</v>
      </c>
      <c r="AJ132" s="14" t="e">
        <f ca="1"/>
        <v>#N/A</v>
      </c>
      <c r="AK132" s="14" t="e">
        <f ca="1"/>
        <v>#N/A</v>
      </c>
      <c r="AL132" s="14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14" t="e">
        <f ca="1"/>
        <v>#N/A</v>
      </c>
      <c r="G133" s="14" t="e">
        <f ca="1"/>
        <v>#N/A</v>
      </c>
      <c r="H133" s="14" t="e">
        <f ca="1"/>
        <v>#N/A</v>
      </c>
      <c r="I133" s="14" t="e">
        <f ca="1"/>
        <v>#N/A</v>
      </c>
      <c r="J133" s="14" t="e">
        <f ca="1"/>
        <v>#N/A</v>
      </c>
      <c r="K133" s="14" t="e">
        <f ca="1"/>
        <v>#N/A</v>
      </c>
      <c r="L133" s="14" t="e">
        <f ca="1"/>
        <v>#N/A</v>
      </c>
      <c r="M133" s="14" t="e">
        <f ca="1"/>
        <v>#N/A</v>
      </c>
      <c r="N133" s="14" t="e">
        <f ca="1"/>
        <v>#N/A</v>
      </c>
      <c r="O133" s="14" t="e">
        <f ca="1"/>
        <v>#N/A</v>
      </c>
      <c r="P133" s="14" t="e">
        <f ca="1"/>
        <v>#N/A</v>
      </c>
      <c r="Q133" s="14" t="e">
        <f ca="1"/>
        <v>#N/A</v>
      </c>
      <c r="R133" s="14" t="e">
        <f ca="1"/>
        <v>#N/A</v>
      </c>
      <c r="S133" s="14" t="e">
        <f ca="1"/>
        <v>#N/A</v>
      </c>
      <c r="T133" s="14" t="e">
        <f ca="1"/>
        <v>#N/A</v>
      </c>
      <c r="U133" s="14" t="e">
        <f ca="1"/>
        <v>#N/A</v>
      </c>
      <c r="V133" s="14" t="e">
        <f ca="1"/>
        <v>#N/A</v>
      </c>
      <c r="W133" s="14" t="e">
        <f ca="1"/>
        <v>#N/A</v>
      </c>
      <c r="X133" s="14" t="e">
        <f ca="1"/>
        <v>#N/A</v>
      </c>
      <c r="Y133" s="14" t="e">
        <f ca="1"/>
        <v>#N/A</v>
      </c>
      <c r="Z133" s="14" t="e">
        <f ca="1"/>
        <v>#N/A</v>
      </c>
      <c r="AA133" s="14" t="e">
        <f ca="1"/>
        <v>#N/A</v>
      </c>
      <c r="AB133" s="14" t="e">
        <f ca="1"/>
        <v>#N/A</v>
      </c>
      <c r="AC133" s="14" t="e">
        <f ca="1"/>
        <v>#N/A</v>
      </c>
      <c r="AD133" s="14" t="e">
        <f ca="1"/>
        <v>#N/A</v>
      </c>
      <c r="AE133" s="14" t="e">
        <f ca="1"/>
        <v>#N/A</v>
      </c>
      <c r="AF133" s="14" t="e">
        <f ca="1"/>
        <v>#N/A</v>
      </c>
      <c r="AG133" s="14" t="e">
        <f ca="1"/>
        <v>#N/A</v>
      </c>
      <c r="AH133" s="14" t="e">
        <f ca="1"/>
        <v>#N/A</v>
      </c>
      <c r="AI133" s="14" t="e">
        <f ca="1"/>
        <v>#N/A</v>
      </c>
      <c r="AJ133" s="14" t="e">
        <f ca="1"/>
        <v>#N/A</v>
      </c>
      <c r="AK133" s="14" t="e">
        <f ca="1"/>
        <v>#N/A</v>
      </c>
      <c r="AL133" s="14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14" t="e">
        <f ca="1"/>
        <v>#N/A</v>
      </c>
      <c r="G134" s="14" t="e">
        <f ca="1"/>
        <v>#N/A</v>
      </c>
      <c r="H134" s="14" t="e">
        <f ca="1"/>
        <v>#N/A</v>
      </c>
      <c r="I134" s="14" t="e">
        <f ca="1"/>
        <v>#N/A</v>
      </c>
      <c r="J134" s="14" t="e">
        <f ca="1"/>
        <v>#N/A</v>
      </c>
      <c r="K134" s="14" t="e">
        <f ca="1"/>
        <v>#N/A</v>
      </c>
      <c r="L134" s="14" t="e">
        <f ca="1"/>
        <v>#N/A</v>
      </c>
      <c r="M134" s="14" t="e">
        <f ca="1"/>
        <v>#N/A</v>
      </c>
      <c r="N134" s="14" t="e">
        <f ca="1"/>
        <v>#N/A</v>
      </c>
      <c r="O134" s="14" t="e">
        <f ca="1"/>
        <v>#N/A</v>
      </c>
      <c r="P134" s="14" t="e">
        <f ca="1"/>
        <v>#N/A</v>
      </c>
      <c r="Q134" s="14" t="e">
        <f ca="1"/>
        <v>#N/A</v>
      </c>
      <c r="R134" s="14" t="e">
        <f ca="1"/>
        <v>#N/A</v>
      </c>
      <c r="S134" s="14" t="e">
        <f ca="1"/>
        <v>#N/A</v>
      </c>
      <c r="T134" s="14" t="e">
        <f ca="1"/>
        <v>#N/A</v>
      </c>
      <c r="U134" s="14" t="e">
        <f ca="1"/>
        <v>#N/A</v>
      </c>
      <c r="V134" s="14" t="e">
        <f ca="1"/>
        <v>#N/A</v>
      </c>
      <c r="W134" s="14" t="e">
        <f ca="1"/>
        <v>#N/A</v>
      </c>
      <c r="X134" s="14" t="e">
        <f ca="1"/>
        <v>#N/A</v>
      </c>
      <c r="Y134" s="14" t="e">
        <f ca="1"/>
        <v>#N/A</v>
      </c>
      <c r="Z134" s="14" t="e">
        <f ca="1"/>
        <v>#N/A</v>
      </c>
      <c r="AA134" s="14" t="e">
        <f ca="1"/>
        <v>#N/A</v>
      </c>
      <c r="AB134" s="14" t="e">
        <f ca="1"/>
        <v>#N/A</v>
      </c>
      <c r="AC134" s="14" t="e">
        <f ca="1"/>
        <v>#N/A</v>
      </c>
      <c r="AD134" s="14" t="e">
        <f ca="1"/>
        <v>#N/A</v>
      </c>
      <c r="AE134" s="14" t="e">
        <f ca="1"/>
        <v>#N/A</v>
      </c>
      <c r="AF134" s="14" t="e">
        <f ca="1"/>
        <v>#N/A</v>
      </c>
      <c r="AG134" s="14" t="e">
        <f ca="1"/>
        <v>#N/A</v>
      </c>
      <c r="AH134" s="14" t="e">
        <f ca="1"/>
        <v>#N/A</v>
      </c>
      <c r="AI134" s="14" t="e">
        <f ca="1"/>
        <v>#N/A</v>
      </c>
      <c r="AJ134" s="14" t="e">
        <f ca="1"/>
        <v>#N/A</v>
      </c>
      <c r="AK134" s="14" t="e">
        <f ca="1"/>
        <v>#N/A</v>
      </c>
      <c r="AL134" s="14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14" t="e">
        <f ca="1"/>
        <v>#N/A</v>
      </c>
      <c r="G135" s="14" t="e">
        <f ca="1"/>
        <v>#N/A</v>
      </c>
      <c r="H135" s="14" t="e">
        <f ca="1"/>
        <v>#N/A</v>
      </c>
      <c r="I135" s="14" t="e">
        <f ca="1"/>
        <v>#N/A</v>
      </c>
      <c r="J135" s="14" t="e">
        <f ca="1"/>
        <v>#N/A</v>
      </c>
      <c r="K135" s="14" t="e">
        <f ca="1"/>
        <v>#N/A</v>
      </c>
      <c r="L135" s="14" t="e">
        <f ca="1"/>
        <v>#N/A</v>
      </c>
      <c r="M135" s="14" t="e">
        <f ca="1"/>
        <v>#N/A</v>
      </c>
      <c r="N135" s="14" t="e">
        <f ca="1"/>
        <v>#N/A</v>
      </c>
      <c r="O135" s="14" t="e">
        <f ca="1"/>
        <v>#N/A</v>
      </c>
      <c r="P135" s="14" t="e">
        <f ca="1"/>
        <v>#N/A</v>
      </c>
      <c r="Q135" s="14" t="e">
        <f ca="1"/>
        <v>#N/A</v>
      </c>
      <c r="R135" s="14" t="e">
        <f ca="1"/>
        <v>#N/A</v>
      </c>
      <c r="S135" s="14" t="e">
        <f ca="1"/>
        <v>#N/A</v>
      </c>
      <c r="T135" s="14" t="e">
        <f ca="1"/>
        <v>#N/A</v>
      </c>
      <c r="U135" s="14" t="e">
        <f ca="1"/>
        <v>#N/A</v>
      </c>
      <c r="V135" s="14" t="e">
        <f ca="1"/>
        <v>#N/A</v>
      </c>
      <c r="W135" s="14" t="e">
        <f ca="1"/>
        <v>#N/A</v>
      </c>
      <c r="X135" s="14" t="e">
        <f ca="1"/>
        <v>#N/A</v>
      </c>
      <c r="Y135" s="14" t="e">
        <f ca="1"/>
        <v>#N/A</v>
      </c>
      <c r="Z135" s="14" t="e">
        <f ca="1"/>
        <v>#N/A</v>
      </c>
      <c r="AA135" s="14" t="e">
        <f ca="1"/>
        <v>#N/A</v>
      </c>
      <c r="AB135" s="14" t="e">
        <f ca="1"/>
        <v>#N/A</v>
      </c>
      <c r="AC135" s="14" t="e">
        <f ca="1"/>
        <v>#N/A</v>
      </c>
      <c r="AD135" s="14" t="e">
        <f ca="1"/>
        <v>#N/A</v>
      </c>
      <c r="AE135" s="14" t="e">
        <f ca="1"/>
        <v>#N/A</v>
      </c>
      <c r="AF135" s="14" t="e">
        <f ca="1"/>
        <v>#N/A</v>
      </c>
      <c r="AG135" s="14" t="e">
        <f ca="1"/>
        <v>#N/A</v>
      </c>
      <c r="AH135" s="14" t="e">
        <f ca="1"/>
        <v>#N/A</v>
      </c>
      <c r="AI135" s="14" t="e">
        <f ca="1"/>
        <v>#N/A</v>
      </c>
      <c r="AJ135" s="14" t="e">
        <f ca="1"/>
        <v>#N/A</v>
      </c>
      <c r="AK135" s="14" t="e">
        <f ca="1"/>
        <v>#N/A</v>
      </c>
      <c r="AL135" s="14" t="e">
        <f ca="1"/>
        <v>#N/A</v>
      </c>
    </row>
    <row r="136" spans="5:38" ht="21" customHeight="1" outlineLevel="1" thickBot="1" x14ac:dyDescent="0.4">
      <c r="E136" s="18"/>
    </row>
  </sheetData>
  <mergeCells count="2">
    <mergeCell ref="A1:BB1"/>
    <mergeCell ref="A113:B113"/>
  </mergeCells>
  <conditionalFormatting sqref="A4:D33">
    <cfRule type="cellIs" dxfId="5" priority="49" operator="equal">
      <formula>0</formula>
    </cfRule>
  </conditionalFormatting>
  <conditionalFormatting sqref="A80:D109">
    <cfRule type="cellIs" dxfId="4" priority="48" operator="equal">
      <formula>0</formula>
    </cfRule>
  </conditionalFormatting>
  <conditionalFormatting sqref="F32:AL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3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BC6C071D-4003-4C5C-9A78-C18F168C0DA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SOLID!F29:AK29</xm:f>
              <xm:sqref>AL29</xm:sqref>
            </x14:sparkline>
            <x14:sparkline>
              <xm:f>SOLID!F30:AK30</xm:f>
              <xm:sqref>AL30</xm:sqref>
            </x14:sparkline>
            <x14:sparkline>
              <xm:f>SOLID!F31:AK31</xm:f>
              <xm:sqref>AL31</xm:sqref>
            </x14:sparkline>
            <x14:sparkline>
              <xm:f>SOLID!F32:AK32</xm:f>
              <xm:sqref>AL32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Q156"/>
  <sheetViews>
    <sheetView zoomScale="85" zoomScaleNormal="85" workbookViewId="0">
      <pane ySplit="1" topLeftCell="A112" activePane="bottomLeft" state="frozen"/>
      <selection pane="bottomLeft" activeCell="CW150" sqref="CW150"/>
    </sheetView>
  </sheetViews>
  <sheetFormatPr defaultRowHeight="21" outlineLevelRow="1" x14ac:dyDescent="0.35"/>
  <cols>
    <col min="1" max="1" width="13.81640625" bestFit="1" customWidth="1"/>
    <col min="2" max="5" width="4.26953125" style="38" customWidth="1"/>
    <col min="6" max="33" width="4.26953125" hidden="1" customWidth="1"/>
    <col min="34" max="34" width="4.26953125" customWidth="1"/>
    <col min="35" max="94" width="4.26953125" hidden="1" customWidth="1"/>
    <col min="95" max="95" width="3.453125" style="55" customWidth="1"/>
    <col min="96" max="16384" width="8.7265625" style="37"/>
  </cols>
  <sheetData>
    <row r="1" spans="1:94" ht="18.75" customHeight="1" thickBot="1" x14ac:dyDescent="0.4">
      <c r="A1" s="34" t="s">
        <v>18</v>
      </c>
      <c r="B1" s="39">
        <v>290</v>
      </c>
      <c r="C1" s="69">
        <v>1000</v>
      </c>
      <c r="D1" s="70" t="s">
        <v>19</v>
      </c>
      <c r="E1" s="71">
        <v>80</v>
      </c>
      <c r="F1" s="37"/>
      <c r="G1" s="37"/>
      <c r="H1" s="37"/>
      <c r="I1" s="37"/>
      <c r="J1" s="37"/>
    </row>
    <row r="2" spans="1:94" ht="23.25" customHeight="1" thickTop="1" thickBot="1" x14ac:dyDescent="0.4">
      <c r="A2" s="4" t="s">
        <v>29</v>
      </c>
      <c r="B2" s="72">
        <f>FLUID!F45</f>
        <v>0</v>
      </c>
      <c r="C2" s="72">
        <f>FLUID!G45</f>
        <v>0</v>
      </c>
      <c r="D2" s="72">
        <f>FLUID!H45</f>
        <v>0</v>
      </c>
      <c r="E2" s="72">
        <f>FLUID!I45</f>
        <v>0</v>
      </c>
      <c r="F2" s="72">
        <f>FLUID!J45</f>
        <v>0</v>
      </c>
      <c r="G2" s="72">
        <f>FLUID!K45</f>
        <v>0</v>
      </c>
      <c r="H2" s="72">
        <f>FLUID!L45</f>
        <v>0</v>
      </c>
      <c r="I2" s="72">
        <f>FLUID!M45</f>
        <v>0</v>
      </c>
      <c r="J2" s="72">
        <f>FLUID!N45</f>
        <v>0</v>
      </c>
      <c r="K2" s="72">
        <f>FLUID!O45</f>
        <v>0</v>
      </c>
      <c r="L2" s="72">
        <f>FLUID!P45</f>
        <v>0</v>
      </c>
      <c r="M2" s="72">
        <f>FLUID!Q45</f>
        <v>0</v>
      </c>
      <c r="N2" s="72">
        <f>FLUID!R45</f>
        <v>0</v>
      </c>
      <c r="O2" s="72">
        <f>FLUID!S45</f>
        <v>0</v>
      </c>
      <c r="P2" s="72">
        <f>FLUID!T45</f>
        <v>0</v>
      </c>
      <c r="Q2" s="72">
        <f>FLUID!U45</f>
        <v>0</v>
      </c>
      <c r="R2" s="72">
        <f>FLUID!V45</f>
        <v>0</v>
      </c>
      <c r="S2" s="72">
        <f>FLUID!W45</f>
        <v>0</v>
      </c>
      <c r="T2" s="72">
        <f>FLUID!X45</f>
        <v>0</v>
      </c>
      <c r="U2" s="72">
        <f>FLUID!Y45</f>
        <v>0</v>
      </c>
      <c r="V2" s="72">
        <f>FLUID!Z45</f>
        <v>0</v>
      </c>
      <c r="W2" s="72">
        <f>FLUID!AA45</f>
        <v>0</v>
      </c>
      <c r="X2" s="72">
        <f>FLUID!AB45</f>
        <v>0</v>
      </c>
      <c r="Y2" s="72">
        <f>FLUID!AC45</f>
        <v>0</v>
      </c>
      <c r="Z2" s="72">
        <f>FLUID!AD45</f>
        <v>0</v>
      </c>
      <c r="AA2" s="72">
        <f>FLUID!AE45</f>
        <v>0</v>
      </c>
      <c r="AB2" s="72">
        <f>FLUID!AF45</f>
        <v>0</v>
      </c>
      <c r="AC2" s="72">
        <f>FLUID!AG45</f>
        <v>0</v>
      </c>
      <c r="AD2" s="72">
        <f>FLUID!AH45</f>
        <v>0</v>
      </c>
      <c r="AE2" s="72">
        <f>FLUID!AI45</f>
        <v>0</v>
      </c>
      <c r="AF2" s="72">
        <f>FLUID!AJ45</f>
        <v>0</v>
      </c>
      <c r="AG2" s="72">
        <f>FLUID!AK45</f>
        <v>0</v>
      </c>
      <c r="AH2" s="72">
        <f>FLUID!AL45</f>
        <v>0</v>
      </c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</row>
    <row r="3" spans="1:94" ht="22.5" hidden="1" outlineLevel="1" thickTop="1" thickBot="1" x14ac:dyDescent="0.4">
      <c r="A3" s="48">
        <f>FLUID!E46</f>
        <v>0</v>
      </c>
      <c r="B3" s="16" t="e">
        <f ca="1">FLUID!F46</f>
        <v>#N/A</v>
      </c>
      <c r="C3" s="16" t="e">
        <f ca="1">FLUID!G46</f>
        <v>#N/A</v>
      </c>
      <c r="D3" s="16" t="e">
        <f ca="1">FLUID!H46</f>
        <v>#N/A</v>
      </c>
      <c r="E3" s="16" t="e">
        <f ca="1">FLUID!I46</f>
        <v>#N/A</v>
      </c>
      <c r="F3" s="14" t="e">
        <f ca="1">FLUID!J46</f>
        <v>#N/A</v>
      </c>
      <c r="G3" s="14" t="e">
        <f ca="1">FLUID!K46</f>
        <v>#N/A</v>
      </c>
      <c r="H3" s="14" t="e">
        <f ca="1">FLUID!L46</f>
        <v>#N/A</v>
      </c>
      <c r="I3" s="14" t="e">
        <f ca="1">FLUID!M46</f>
        <v>#N/A</v>
      </c>
      <c r="J3" s="14" t="e">
        <f ca="1">FLUID!N46</f>
        <v>#N/A</v>
      </c>
      <c r="K3" s="14" t="e">
        <f ca="1">FLUID!O46</f>
        <v>#N/A</v>
      </c>
      <c r="L3" s="14" t="e">
        <f ca="1">FLUID!P46</f>
        <v>#N/A</v>
      </c>
      <c r="M3" s="14" t="e">
        <f ca="1">FLUID!Q46</f>
        <v>#N/A</v>
      </c>
      <c r="N3" s="14" t="e">
        <f ca="1">FLUID!R46</f>
        <v>#N/A</v>
      </c>
      <c r="O3" s="14" t="e">
        <f ca="1">FLUID!S46</f>
        <v>#N/A</v>
      </c>
      <c r="P3" s="14" t="e">
        <f ca="1">FLUID!T46</f>
        <v>#N/A</v>
      </c>
      <c r="Q3" s="14" t="e">
        <f ca="1">FLUID!U46</f>
        <v>#N/A</v>
      </c>
      <c r="R3" s="14" t="e">
        <f ca="1">FLUID!V46</f>
        <v>#N/A</v>
      </c>
      <c r="S3" s="14" t="e">
        <f ca="1">FLUID!W46</f>
        <v>#N/A</v>
      </c>
      <c r="T3" s="14" t="e">
        <f ca="1">FLUID!X46</f>
        <v>#N/A</v>
      </c>
      <c r="U3" s="14" t="e">
        <f ca="1">FLUID!Y46</f>
        <v>#N/A</v>
      </c>
      <c r="V3" s="14" t="e">
        <f ca="1">FLUID!Z46</f>
        <v>#N/A</v>
      </c>
      <c r="W3" s="14" t="e">
        <f ca="1">FLUID!AA46</f>
        <v>#N/A</v>
      </c>
      <c r="X3" s="14" t="e">
        <f ca="1">FLUID!AB46</f>
        <v>#N/A</v>
      </c>
      <c r="Y3" s="14" t="e">
        <f ca="1">FLUID!AC46</f>
        <v>#N/A</v>
      </c>
      <c r="Z3" s="14" t="e">
        <f ca="1">FLUID!AD46</f>
        <v>#N/A</v>
      </c>
      <c r="AA3" s="14" t="e">
        <f ca="1">FLUID!AE46</f>
        <v>#N/A</v>
      </c>
      <c r="AB3" s="14" t="e">
        <f ca="1">FLUID!AF46</f>
        <v>#N/A</v>
      </c>
      <c r="AC3" s="14" t="e">
        <f ca="1">FLUID!AG46</f>
        <v>#N/A</v>
      </c>
      <c r="AD3" s="14" t="e">
        <f ca="1">FLUID!AH46</f>
        <v>#N/A</v>
      </c>
      <c r="AE3" s="14" t="e">
        <f ca="1">FLUID!AI46</f>
        <v>#N/A</v>
      </c>
      <c r="AF3" s="14" t="e">
        <f ca="1">FLUID!AJ46</f>
        <v>#N/A</v>
      </c>
      <c r="AG3" s="14" t="e">
        <f ca="1">FLUID!AK46</f>
        <v>#N/A</v>
      </c>
      <c r="AH3" s="14" t="e">
        <f ca="1">FLUID!AL46</f>
        <v>#N/A</v>
      </c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</row>
    <row r="4" spans="1:94" ht="22.5" hidden="1" outlineLevel="1" thickTop="1" thickBot="1" x14ac:dyDescent="0.4">
      <c r="A4" s="36">
        <f>FLUID!E47</f>
        <v>0</v>
      </c>
      <c r="B4" s="16" t="e">
        <f ca="1">FLUID!F47</f>
        <v>#N/A</v>
      </c>
      <c r="C4" s="16" t="e">
        <f ca="1">FLUID!G47</f>
        <v>#N/A</v>
      </c>
      <c r="D4" s="16" t="e">
        <f ca="1">FLUID!H47</f>
        <v>#N/A</v>
      </c>
      <c r="E4" s="16" t="e">
        <f ca="1">FLUID!I47</f>
        <v>#N/A</v>
      </c>
      <c r="F4" s="14" t="e">
        <f ca="1">FLUID!J47</f>
        <v>#N/A</v>
      </c>
      <c r="G4" s="14" t="e">
        <f ca="1">FLUID!K47</f>
        <v>#N/A</v>
      </c>
      <c r="H4" s="14" t="e">
        <f ca="1">FLUID!L47</f>
        <v>#N/A</v>
      </c>
      <c r="I4" s="14" t="e">
        <f ca="1">FLUID!M47</f>
        <v>#N/A</v>
      </c>
      <c r="J4" s="14" t="e">
        <f ca="1">FLUID!N47</f>
        <v>#N/A</v>
      </c>
      <c r="K4" s="14" t="e">
        <f ca="1">FLUID!O47</f>
        <v>#N/A</v>
      </c>
      <c r="L4" s="14" t="e">
        <f ca="1">FLUID!P47</f>
        <v>#N/A</v>
      </c>
      <c r="M4" s="14" t="e">
        <f ca="1">FLUID!Q47</f>
        <v>#N/A</v>
      </c>
      <c r="N4" s="14" t="e">
        <f ca="1">FLUID!R47</f>
        <v>#N/A</v>
      </c>
      <c r="O4" s="14" t="e">
        <f ca="1">FLUID!S47</f>
        <v>#N/A</v>
      </c>
      <c r="P4" s="14" t="e">
        <f ca="1">FLUID!T47</f>
        <v>#N/A</v>
      </c>
      <c r="Q4" s="14" t="e">
        <f ca="1">FLUID!U47</f>
        <v>#N/A</v>
      </c>
      <c r="R4" s="14" t="e">
        <f ca="1">FLUID!V47</f>
        <v>#N/A</v>
      </c>
      <c r="S4" s="14" t="e">
        <f ca="1">FLUID!W47</f>
        <v>#N/A</v>
      </c>
      <c r="T4" s="14" t="e">
        <f ca="1">FLUID!X47</f>
        <v>#N/A</v>
      </c>
      <c r="U4" s="14" t="e">
        <f ca="1">FLUID!Y47</f>
        <v>#N/A</v>
      </c>
      <c r="V4" s="14" t="e">
        <f ca="1">FLUID!Z47</f>
        <v>#N/A</v>
      </c>
      <c r="W4" s="14" t="e">
        <f ca="1">FLUID!AA47</f>
        <v>#N/A</v>
      </c>
      <c r="X4" s="14" t="e">
        <f ca="1">FLUID!AB47</f>
        <v>#N/A</v>
      </c>
      <c r="Y4" s="14" t="e">
        <f ca="1">FLUID!AC47</f>
        <v>#N/A</v>
      </c>
      <c r="Z4" s="14" t="e">
        <f ca="1">FLUID!AD47</f>
        <v>#N/A</v>
      </c>
      <c r="AA4" s="14" t="e">
        <f ca="1">FLUID!AE47</f>
        <v>#N/A</v>
      </c>
      <c r="AB4" s="14" t="e">
        <f ca="1">FLUID!AF47</f>
        <v>#N/A</v>
      </c>
      <c r="AC4" s="14" t="e">
        <f ca="1">FLUID!AG47</f>
        <v>#N/A</v>
      </c>
      <c r="AD4" s="14" t="e">
        <f ca="1">FLUID!AH47</f>
        <v>#N/A</v>
      </c>
      <c r="AE4" s="14" t="e">
        <f ca="1">FLUID!AI47</f>
        <v>#N/A</v>
      </c>
      <c r="AF4" s="14" t="e">
        <f ca="1">FLUID!AJ47</f>
        <v>#N/A</v>
      </c>
      <c r="AG4" s="14" t="e">
        <f ca="1">FLUID!AK47</f>
        <v>#N/A</v>
      </c>
      <c r="AH4" s="14" t="e">
        <f ca="1">FLUID!AL47</f>
        <v>#N/A</v>
      </c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</row>
    <row r="5" spans="1:94" ht="22.5" hidden="1" outlineLevel="1" thickTop="1" thickBot="1" x14ac:dyDescent="0.4">
      <c r="A5" s="36">
        <f>FLUID!E48</f>
        <v>0</v>
      </c>
      <c r="B5" s="16" t="e">
        <f ca="1">FLUID!F48</f>
        <v>#N/A</v>
      </c>
      <c r="C5" s="16" t="e">
        <f ca="1">FLUID!G48</f>
        <v>#N/A</v>
      </c>
      <c r="D5" s="16" t="e">
        <f ca="1">FLUID!H48</f>
        <v>#N/A</v>
      </c>
      <c r="E5" s="16" t="e">
        <f ca="1">FLUID!I48</f>
        <v>#N/A</v>
      </c>
      <c r="F5" s="14" t="e">
        <f ca="1">FLUID!J48</f>
        <v>#N/A</v>
      </c>
      <c r="G5" s="14" t="e">
        <f ca="1">FLUID!K48</f>
        <v>#N/A</v>
      </c>
      <c r="H5" s="14" t="e">
        <f ca="1">FLUID!L48</f>
        <v>#N/A</v>
      </c>
      <c r="I5" s="14" t="e">
        <f ca="1">FLUID!M48</f>
        <v>#N/A</v>
      </c>
      <c r="J5" s="14" t="e">
        <f ca="1">FLUID!N48</f>
        <v>#N/A</v>
      </c>
      <c r="K5" s="14" t="e">
        <f ca="1">FLUID!O48</f>
        <v>#N/A</v>
      </c>
      <c r="L5" s="14" t="e">
        <f ca="1">FLUID!P48</f>
        <v>#N/A</v>
      </c>
      <c r="M5" s="14" t="e">
        <f ca="1">FLUID!Q48</f>
        <v>#N/A</v>
      </c>
      <c r="N5" s="14" t="e">
        <f ca="1">FLUID!R48</f>
        <v>#N/A</v>
      </c>
      <c r="O5" s="14" t="e">
        <f ca="1">FLUID!S48</f>
        <v>#N/A</v>
      </c>
      <c r="P5" s="14" t="e">
        <f ca="1">FLUID!T48</f>
        <v>#N/A</v>
      </c>
      <c r="Q5" s="14" t="e">
        <f ca="1">FLUID!U48</f>
        <v>#N/A</v>
      </c>
      <c r="R5" s="14" t="e">
        <f ca="1">FLUID!V48</f>
        <v>#N/A</v>
      </c>
      <c r="S5" s="14" t="e">
        <f ca="1">FLUID!W48</f>
        <v>#N/A</v>
      </c>
      <c r="T5" s="14" t="e">
        <f ca="1">FLUID!X48</f>
        <v>#N/A</v>
      </c>
      <c r="U5" s="14" t="e">
        <f ca="1">FLUID!Y48</f>
        <v>#N/A</v>
      </c>
      <c r="V5" s="14" t="e">
        <f ca="1">FLUID!Z48</f>
        <v>#N/A</v>
      </c>
      <c r="W5" s="14" t="e">
        <f ca="1">FLUID!AA48</f>
        <v>#N/A</v>
      </c>
      <c r="X5" s="14" t="e">
        <f ca="1">FLUID!AB48</f>
        <v>#N/A</v>
      </c>
      <c r="Y5" s="14" t="e">
        <f ca="1">FLUID!AC48</f>
        <v>#N/A</v>
      </c>
      <c r="Z5" s="14" t="e">
        <f ca="1">FLUID!AD48</f>
        <v>#N/A</v>
      </c>
      <c r="AA5" s="14" t="e">
        <f ca="1">FLUID!AE48</f>
        <v>#N/A</v>
      </c>
      <c r="AB5" s="14" t="e">
        <f ca="1">FLUID!AF48</f>
        <v>#N/A</v>
      </c>
      <c r="AC5" s="14" t="e">
        <f ca="1">FLUID!AG48</f>
        <v>#N/A</v>
      </c>
      <c r="AD5" s="14" t="e">
        <f ca="1">FLUID!AH48</f>
        <v>#N/A</v>
      </c>
      <c r="AE5" s="14" t="e">
        <f ca="1">FLUID!AI48</f>
        <v>#N/A</v>
      </c>
      <c r="AF5" s="14" t="e">
        <f ca="1">FLUID!AJ48</f>
        <v>#N/A</v>
      </c>
      <c r="AG5" s="14" t="e">
        <f ca="1">FLUID!AK48</f>
        <v>#N/A</v>
      </c>
      <c r="AH5" s="14" t="e">
        <f ca="1">FLUID!AL48</f>
        <v>#N/A</v>
      </c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</row>
    <row r="6" spans="1:94" ht="22.5" hidden="1" outlineLevel="1" thickTop="1" thickBot="1" x14ac:dyDescent="0.4">
      <c r="A6" s="36">
        <f>FLUID!E49</f>
        <v>0</v>
      </c>
      <c r="B6" s="16" t="e">
        <f ca="1">FLUID!F49</f>
        <v>#N/A</v>
      </c>
      <c r="C6" s="16" t="e">
        <f ca="1">FLUID!G49</f>
        <v>#N/A</v>
      </c>
      <c r="D6" s="16" t="e">
        <f ca="1">FLUID!H49</f>
        <v>#N/A</v>
      </c>
      <c r="E6" s="16" t="e">
        <f ca="1">FLUID!I49</f>
        <v>#N/A</v>
      </c>
      <c r="F6" s="14" t="e">
        <f ca="1">FLUID!J49</f>
        <v>#N/A</v>
      </c>
      <c r="G6" s="14" t="e">
        <f ca="1">FLUID!K49</f>
        <v>#N/A</v>
      </c>
      <c r="H6" s="14" t="e">
        <f ca="1">FLUID!L49</f>
        <v>#N/A</v>
      </c>
      <c r="I6" s="14" t="e">
        <f ca="1">FLUID!M49</f>
        <v>#N/A</v>
      </c>
      <c r="J6" s="14" t="e">
        <f ca="1">FLUID!N49</f>
        <v>#N/A</v>
      </c>
      <c r="K6" s="14" t="e">
        <f ca="1">FLUID!O49</f>
        <v>#N/A</v>
      </c>
      <c r="L6" s="14" t="e">
        <f ca="1">FLUID!P49</f>
        <v>#N/A</v>
      </c>
      <c r="M6" s="14" t="e">
        <f ca="1">FLUID!Q49</f>
        <v>#N/A</v>
      </c>
      <c r="N6" s="14" t="e">
        <f ca="1">FLUID!R49</f>
        <v>#N/A</v>
      </c>
      <c r="O6" s="14" t="e">
        <f ca="1">FLUID!S49</f>
        <v>#N/A</v>
      </c>
      <c r="P6" s="14" t="e">
        <f ca="1">FLUID!T49</f>
        <v>#N/A</v>
      </c>
      <c r="Q6" s="14" t="e">
        <f ca="1">FLUID!U49</f>
        <v>#N/A</v>
      </c>
      <c r="R6" s="14" t="e">
        <f ca="1">FLUID!V49</f>
        <v>#N/A</v>
      </c>
      <c r="S6" s="14" t="e">
        <f ca="1">FLUID!W49</f>
        <v>#N/A</v>
      </c>
      <c r="T6" s="14" t="e">
        <f ca="1">FLUID!X49</f>
        <v>#N/A</v>
      </c>
      <c r="U6" s="14" t="e">
        <f ca="1">FLUID!Y49</f>
        <v>#N/A</v>
      </c>
      <c r="V6" s="14" t="e">
        <f ca="1">FLUID!Z49</f>
        <v>#N/A</v>
      </c>
      <c r="W6" s="14" t="e">
        <f ca="1">FLUID!AA49</f>
        <v>#N/A</v>
      </c>
      <c r="X6" s="14" t="e">
        <f ca="1">FLUID!AB49</f>
        <v>#N/A</v>
      </c>
      <c r="Y6" s="14" t="e">
        <f ca="1">FLUID!AC49</f>
        <v>#N/A</v>
      </c>
      <c r="Z6" s="14" t="e">
        <f ca="1">FLUID!AD49</f>
        <v>#N/A</v>
      </c>
      <c r="AA6" s="14" t="e">
        <f ca="1">FLUID!AE49</f>
        <v>#N/A</v>
      </c>
      <c r="AB6" s="14" t="e">
        <f ca="1">FLUID!AF49</f>
        <v>#N/A</v>
      </c>
      <c r="AC6" s="14" t="e">
        <f ca="1">FLUID!AG49</f>
        <v>#N/A</v>
      </c>
      <c r="AD6" s="14" t="e">
        <f ca="1">FLUID!AH49</f>
        <v>#N/A</v>
      </c>
      <c r="AE6" s="14" t="e">
        <f ca="1">FLUID!AI49</f>
        <v>#N/A</v>
      </c>
      <c r="AF6" s="14" t="e">
        <f ca="1">FLUID!AJ49</f>
        <v>#N/A</v>
      </c>
      <c r="AG6" s="14" t="e">
        <f ca="1">FLUID!AK49</f>
        <v>#N/A</v>
      </c>
      <c r="AH6" s="14" t="e">
        <f ca="1">FLUID!AL49</f>
        <v>#N/A</v>
      </c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</row>
    <row r="7" spans="1:94" ht="22.5" hidden="1" outlineLevel="1" thickTop="1" thickBot="1" x14ac:dyDescent="0.4">
      <c r="A7" s="36">
        <f>FLUID!E50</f>
        <v>0</v>
      </c>
      <c r="B7" s="16" t="e">
        <f ca="1">FLUID!F50</f>
        <v>#N/A</v>
      </c>
      <c r="C7" s="16" t="e">
        <f ca="1">FLUID!G50</f>
        <v>#N/A</v>
      </c>
      <c r="D7" s="16" t="e">
        <f ca="1">FLUID!H50</f>
        <v>#N/A</v>
      </c>
      <c r="E7" s="16" t="e">
        <f ca="1">FLUID!I50</f>
        <v>#N/A</v>
      </c>
      <c r="F7" s="14" t="e">
        <f ca="1">FLUID!J50</f>
        <v>#N/A</v>
      </c>
      <c r="G7" s="14" t="e">
        <f ca="1">FLUID!K50</f>
        <v>#N/A</v>
      </c>
      <c r="H7" s="14" t="e">
        <f ca="1">FLUID!L50</f>
        <v>#N/A</v>
      </c>
      <c r="I7" s="14" t="e">
        <f ca="1">FLUID!M50</f>
        <v>#N/A</v>
      </c>
      <c r="J7" s="14" t="e">
        <f ca="1">FLUID!N50</f>
        <v>#N/A</v>
      </c>
      <c r="K7" s="14" t="e">
        <f ca="1">FLUID!O50</f>
        <v>#N/A</v>
      </c>
      <c r="L7" s="14" t="e">
        <f ca="1">FLUID!P50</f>
        <v>#N/A</v>
      </c>
      <c r="M7" s="14" t="e">
        <f ca="1">FLUID!Q50</f>
        <v>#N/A</v>
      </c>
      <c r="N7" s="14" t="e">
        <f ca="1">FLUID!R50</f>
        <v>#N/A</v>
      </c>
      <c r="O7" s="14" t="e">
        <f ca="1">FLUID!S50</f>
        <v>#N/A</v>
      </c>
      <c r="P7" s="14" t="e">
        <f ca="1">FLUID!T50</f>
        <v>#N/A</v>
      </c>
      <c r="Q7" s="14" t="e">
        <f ca="1">FLUID!U50</f>
        <v>#N/A</v>
      </c>
      <c r="R7" s="14" t="e">
        <f ca="1">FLUID!V50</f>
        <v>#N/A</v>
      </c>
      <c r="S7" s="14" t="e">
        <f ca="1">FLUID!W50</f>
        <v>#N/A</v>
      </c>
      <c r="T7" s="14" t="e">
        <f ca="1">FLUID!X50</f>
        <v>#N/A</v>
      </c>
      <c r="U7" s="14" t="e">
        <f ca="1">FLUID!Y50</f>
        <v>#N/A</v>
      </c>
      <c r="V7" s="14" t="e">
        <f ca="1">FLUID!Z50</f>
        <v>#N/A</v>
      </c>
      <c r="W7" s="14" t="e">
        <f ca="1">FLUID!AA50</f>
        <v>#N/A</v>
      </c>
      <c r="X7" s="14" t="e">
        <f ca="1">FLUID!AB50</f>
        <v>#N/A</v>
      </c>
      <c r="Y7" s="14" t="e">
        <f ca="1">FLUID!AC50</f>
        <v>#N/A</v>
      </c>
      <c r="Z7" s="14" t="e">
        <f ca="1">FLUID!AD50</f>
        <v>#N/A</v>
      </c>
      <c r="AA7" s="14" t="e">
        <f ca="1">FLUID!AE50</f>
        <v>#N/A</v>
      </c>
      <c r="AB7" s="14" t="e">
        <f ca="1">FLUID!AF50</f>
        <v>#N/A</v>
      </c>
      <c r="AC7" s="14" t="e">
        <f ca="1">FLUID!AG50</f>
        <v>#N/A</v>
      </c>
      <c r="AD7" s="14" t="e">
        <f ca="1">FLUID!AH50</f>
        <v>#N/A</v>
      </c>
      <c r="AE7" s="14" t="e">
        <f ca="1">FLUID!AI50</f>
        <v>#N/A</v>
      </c>
      <c r="AF7" s="14" t="e">
        <f ca="1">FLUID!AJ50</f>
        <v>#N/A</v>
      </c>
      <c r="AG7" s="14" t="e">
        <f ca="1">FLUID!AK50</f>
        <v>#N/A</v>
      </c>
      <c r="AH7" s="14" t="e">
        <f ca="1">FLUID!AL50</f>
        <v>#N/A</v>
      </c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</row>
    <row r="8" spans="1:94" ht="22.5" hidden="1" outlineLevel="1" thickTop="1" thickBot="1" x14ac:dyDescent="0.4">
      <c r="A8" s="36">
        <f>FLUID!E51</f>
        <v>0</v>
      </c>
      <c r="B8" s="16" t="e">
        <f ca="1">FLUID!F51</f>
        <v>#N/A</v>
      </c>
      <c r="C8" s="16" t="e">
        <f ca="1">FLUID!G51</f>
        <v>#N/A</v>
      </c>
      <c r="D8" s="16" t="e">
        <f ca="1">FLUID!H51</f>
        <v>#N/A</v>
      </c>
      <c r="E8" s="16" t="e">
        <f ca="1">FLUID!I51</f>
        <v>#N/A</v>
      </c>
      <c r="F8" s="14" t="e">
        <f ca="1">FLUID!J51</f>
        <v>#N/A</v>
      </c>
      <c r="G8" s="14" t="e">
        <f ca="1">FLUID!K51</f>
        <v>#N/A</v>
      </c>
      <c r="H8" s="14" t="e">
        <f ca="1">FLUID!L51</f>
        <v>#N/A</v>
      </c>
      <c r="I8" s="14" t="e">
        <f ca="1">FLUID!M51</f>
        <v>#N/A</v>
      </c>
      <c r="J8" s="14" t="e">
        <f ca="1">FLUID!N51</f>
        <v>#N/A</v>
      </c>
      <c r="K8" s="14" t="e">
        <f ca="1">FLUID!O51</f>
        <v>#N/A</v>
      </c>
      <c r="L8" s="14" t="e">
        <f ca="1">FLUID!P51</f>
        <v>#N/A</v>
      </c>
      <c r="M8" s="14" t="e">
        <f ca="1">FLUID!Q51</f>
        <v>#N/A</v>
      </c>
      <c r="N8" s="14" t="e">
        <f ca="1">FLUID!R51</f>
        <v>#N/A</v>
      </c>
      <c r="O8" s="14" t="e">
        <f ca="1">FLUID!S51</f>
        <v>#N/A</v>
      </c>
      <c r="P8" s="14" t="e">
        <f ca="1">FLUID!T51</f>
        <v>#N/A</v>
      </c>
      <c r="Q8" s="14" t="e">
        <f ca="1">FLUID!U51</f>
        <v>#N/A</v>
      </c>
      <c r="R8" s="14" t="e">
        <f ca="1">FLUID!V51</f>
        <v>#N/A</v>
      </c>
      <c r="S8" s="14" t="e">
        <f ca="1">FLUID!W51</f>
        <v>#N/A</v>
      </c>
      <c r="T8" s="14" t="e">
        <f ca="1">FLUID!X51</f>
        <v>#N/A</v>
      </c>
      <c r="U8" s="14" t="e">
        <f ca="1">FLUID!Y51</f>
        <v>#N/A</v>
      </c>
      <c r="V8" s="14" t="e">
        <f ca="1">FLUID!Z51</f>
        <v>#N/A</v>
      </c>
      <c r="W8" s="14" t="e">
        <f ca="1">FLUID!AA51</f>
        <v>#N/A</v>
      </c>
      <c r="X8" s="14" t="e">
        <f ca="1">FLUID!AB51</f>
        <v>#N/A</v>
      </c>
      <c r="Y8" s="14" t="e">
        <f ca="1">FLUID!AC51</f>
        <v>#N/A</v>
      </c>
      <c r="Z8" s="14" t="e">
        <f ca="1">FLUID!AD51</f>
        <v>#N/A</v>
      </c>
      <c r="AA8" s="14" t="e">
        <f ca="1">FLUID!AE51</f>
        <v>#N/A</v>
      </c>
      <c r="AB8" s="14" t="e">
        <f ca="1">FLUID!AF51</f>
        <v>#N/A</v>
      </c>
      <c r="AC8" s="14" t="e">
        <f ca="1">FLUID!AG51</f>
        <v>#N/A</v>
      </c>
      <c r="AD8" s="14" t="e">
        <f ca="1">FLUID!AH51</f>
        <v>#N/A</v>
      </c>
      <c r="AE8" s="14" t="e">
        <f ca="1">FLUID!AI51</f>
        <v>#N/A</v>
      </c>
      <c r="AF8" s="14" t="e">
        <f ca="1">FLUID!AJ51</f>
        <v>#N/A</v>
      </c>
      <c r="AG8" s="14" t="e">
        <f ca="1">FLUID!AK51</f>
        <v>#N/A</v>
      </c>
      <c r="AH8" s="14" t="e">
        <f ca="1">FLUID!AL51</f>
        <v>#N/A</v>
      </c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</row>
    <row r="9" spans="1:94" ht="22.5" hidden="1" outlineLevel="1" thickTop="1" thickBot="1" x14ac:dyDescent="0.4">
      <c r="A9" s="36">
        <f>FLUID!E52</f>
        <v>0</v>
      </c>
      <c r="B9" s="16" t="e">
        <f ca="1">FLUID!F52</f>
        <v>#N/A</v>
      </c>
      <c r="C9" s="16" t="e">
        <f ca="1">FLUID!G52</f>
        <v>#N/A</v>
      </c>
      <c r="D9" s="16" t="e">
        <f ca="1">FLUID!H52</f>
        <v>#N/A</v>
      </c>
      <c r="E9" s="16" t="e">
        <f ca="1">FLUID!I52</f>
        <v>#N/A</v>
      </c>
      <c r="F9" s="14" t="e">
        <f ca="1">FLUID!J52</f>
        <v>#N/A</v>
      </c>
      <c r="G9" s="14" t="e">
        <f ca="1">FLUID!K52</f>
        <v>#N/A</v>
      </c>
      <c r="H9" s="14" t="e">
        <f ca="1">FLUID!L52</f>
        <v>#N/A</v>
      </c>
      <c r="I9" s="14" t="e">
        <f ca="1">FLUID!M52</f>
        <v>#N/A</v>
      </c>
      <c r="J9" s="14" t="e">
        <f ca="1">FLUID!N52</f>
        <v>#N/A</v>
      </c>
      <c r="K9" s="14" t="e">
        <f ca="1">FLUID!O52</f>
        <v>#N/A</v>
      </c>
      <c r="L9" s="14" t="e">
        <f ca="1">FLUID!P52</f>
        <v>#N/A</v>
      </c>
      <c r="M9" s="14" t="e">
        <f ca="1">FLUID!Q52</f>
        <v>#N/A</v>
      </c>
      <c r="N9" s="14" t="e">
        <f ca="1">FLUID!R52</f>
        <v>#N/A</v>
      </c>
      <c r="O9" s="14" t="e">
        <f ca="1">FLUID!S52</f>
        <v>#N/A</v>
      </c>
      <c r="P9" s="14" t="e">
        <f ca="1">FLUID!T52</f>
        <v>#N/A</v>
      </c>
      <c r="Q9" s="14" t="e">
        <f ca="1">FLUID!U52</f>
        <v>#N/A</v>
      </c>
      <c r="R9" s="14" t="e">
        <f ca="1">FLUID!V52</f>
        <v>#N/A</v>
      </c>
      <c r="S9" s="14" t="e">
        <f ca="1">FLUID!W52</f>
        <v>#N/A</v>
      </c>
      <c r="T9" s="14" t="e">
        <f ca="1">FLUID!X52</f>
        <v>#N/A</v>
      </c>
      <c r="U9" s="14" t="e">
        <f ca="1">FLUID!Y52</f>
        <v>#N/A</v>
      </c>
      <c r="V9" s="14" t="e">
        <f ca="1">FLUID!Z52</f>
        <v>#N/A</v>
      </c>
      <c r="W9" s="14" t="e">
        <f ca="1">FLUID!AA52</f>
        <v>#N/A</v>
      </c>
      <c r="X9" s="14" t="e">
        <f ca="1">FLUID!AB52</f>
        <v>#N/A</v>
      </c>
      <c r="Y9" s="14" t="e">
        <f ca="1">FLUID!AC52</f>
        <v>#N/A</v>
      </c>
      <c r="Z9" s="14" t="e">
        <f ca="1">FLUID!AD52</f>
        <v>#N/A</v>
      </c>
      <c r="AA9" s="14" t="e">
        <f ca="1">FLUID!AE52</f>
        <v>#N/A</v>
      </c>
      <c r="AB9" s="14" t="e">
        <f ca="1">FLUID!AF52</f>
        <v>#N/A</v>
      </c>
      <c r="AC9" s="14" t="e">
        <f ca="1">FLUID!AG52</f>
        <v>#N/A</v>
      </c>
      <c r="AD9" s="14" t="e">
        <f ca="1">FLUID!AH52</f>
        <v>#N/A</v>
      </c>
      <c r="AE9" s="14" t="e">
        <f ca="1">FLUID!AI52</f>
        <v>#N/A</v>
      </c>
      <c r="AF9" s="14" t="e">
        <f ca="1">FLUID!AJ52</f>
        <v>#N/A</v>
      </c>
      <c r="AG9" s="14" t="e">
        <f ca="1">FLUID!AK52</f>
        <v>#N/A</v>
      </c>
      <c r="AH9" s="14" t="e">
        <f ca="1">FLUID!AL52</f>
        <v>#N/A</v>
      </c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</row>
    <row r="10" spans="1:94" ht="22.5" hidden="1" outlineLevel="1" thickTop="1" thickBot="1" x14ac:dyDescent="0.4">
      <c r="A10" s="36">
        <f>FLUID!E53</f>
        <v>0</v>
      </c>
      <c r="B10" s="16" t="e">
        <f ca="1">FLUID!F53</f>
        <v>#N/A</v>
      </c>
      <c r="C10" s="16" t="e">
        <f ca="1">FLUID!G53</f>
        <v>#N/A</v>
      </c>
      <c r="D10" s="16" t="e">
        <f ca="1">FLUID!H53</f>
        <v>#N/A</v>
      </c>
      <c r="E10" s="16" t="e">
        <f ca="1">FLUID!I53</f>
        <v>#N/A</v>
      </c>
      <c r="F10" s="14" t="e">
        <f ca="1">FLUID!J53</f>
        <v>#N/A</v>
      </c>
      <c r="G10" s="14" t="e">
        <f ca="1">FLUID!K53</f>
        <v>#N/A</v>
      </c>
      <c r="H10" s="14" t="e">
        <f ca="1">FLUID!L53</f>
        <v>#N/A</v>
      </c>
      <c r="I10" s="14" t="e">
        <f ca="1">FLUID!M53</f>
        <v>#N/A</v>
      </c>
      <c r="J10" s="14" t="e">
        <f ca="1">FLUID!N53</f>
        <v>#N/A</v>
      </c>
      <c r="K10" s="14" t="e">
        <f ca="1">FLUID!O53</f>
        <v>#N/A</v>
      </c>
      <c r="L10" s="14" t="e">
        <f ca="1">FLUID!P53</f>
        <v>#N/A</v>
      </c>
      <c r="M10" s="14" t="e">
        <f ca="1">FLUID!Q53</f>
        <v>#N/A</v>
      </c>
      <c r="N10" s="14" t="e">
        <f ca="1">FLUID!R53</f>
        <v>#N/A</v>
      </c>
      <c r="O10" s="14" t="e">
        <f ca="1">FLUID!S53</f>
        <v>#N/A</v>
      </c>
      <c r="P10" s="14" t="e">
        <f ca="1">FLUID!T53</f>
        <v>#N/A</v>
      </c>
      <c r="Q10" s="14" t="e">
        <f ca="1">FLUID!U53</f>
        <v>#N/A</v>
      </c>
      <c r="R10" s="14" t="e">
        <f ca="1">FLUID!V53</f>
        <v>#N/A</v>
      </c>
      <c r="S10" s="14" t="e">
        <f ca="1">FLUID!W53</f>
        <v>#N/A</v>
      </c>
      <c r="T10" s="14" t="e">
        <f ca="1">FLUID!X53</f>
        <v>#N/A</v>
      </c>
      <c r="U10" s="14" t="e">
        <f ca="1">FLUID!Y53</f>
        <v>#N/A</v>
      </c>
      <c r="V10" s="14" t="e">
        <f ca="1">FLUID!Z53</f>
        <v>#N/A</v>
      </c>
      <c r="W10" s="14" t="e">
        <f ca="1">FLUID!AA53</f>
        <v>#N/A</v>
      </c>
      <c r="X10" s="14" t="e">
        <f ca="1">FLUID!AB53</f>
        <v>#N/A</v>
      </c>
      <c r="Y10" s="14" t="e">
        <f ca="1">FLUID!AC53</f>
        <v>#N/A</v>
      </c>
      <c r="Z10" s="14" t="e">
        <f ca="1">FLUID!AD53</f>
        <v>#N/A</v>
      </c>
      <c r="AA10" s="14" t="e">
        <f ca="1">FLUID!AE53</f>
        <v>#N/A</v>
      </c>
      <c r="AB10" s="14" t="e">
        <f ca="1">FLUID!AF53</f>
        <v>#N/A</v>
      </c>
      <c r="AC10" s="14" t="e">
        <f ca="1">FLUID!AG53</f>
        <v>#N/A</v>
      </c>
      <c r="AD10" s="14" t="e">
        <f ca="1">FLUID!AH53</f>
        <v>#N/A</v>
      </c>
      <c r="AE10" s="14" t="e">
        <f ca="1">FLUID!AI53</f>
        <v>#N/A</v>
      </c>
      <c r="AF10" s="14" t="e">
        <f ca="1">FLUID!AJ53</f>
        <v>#N/A</v>
      </c>
      <c r="AG10" s="14" t="e">
        <f ca="1">FLUID!AK53</f>
        <v>#N/A</v>
      </c>
      <c r="AH10" s="14" t="e">
        <f ca="1">FLUID!AL53</f>
        <v>#N/A</v>
      </c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55"/>
      <c r="CO10" s="55"/>
      <c r="CP10" s="55"/>
    </row>
    <row r="11" spans="1:94" ht="22.5" hidden="1" outlineLevel="1" thickTop="1" thickBot="1" x14ac:dyDescent="0.4">
      <c r="A11" s="36">
        <f>FLUID!E54</f>
        <v>0</v>
      </c>
      <c r="B11" s="16" t="e">
        <f ca="1">FLUID!F54</f>
        <v>#N/A</v>
      </c>
      <c r="C11" s="16" t="e">
        <f ca="1">FLUID!G54</f>
        <v>#N/A</v>
      </c>
      <c r="D11" s="16" t="e">
        <f ca="1">FLUID!H54</f>
        <v>#N/A</v>
      </c>
      <c r="E11" s="16" t="e">
        <f ca="1">FLUID!I54</f>
        <v>#N/A</v>
      </c>
      <c r="F11" s="14" t="e">
        <f ca="1">FLUID!J54</f>
        <v>#N/A</v>
      </c>
      <c r="G11" s="14" t="e">
        <f ca="1">FLUID!K54</f>
        <v>#N/A</v>
      </c>
      <c r="H11" s="14" t="e">
        <f ca="1">FLUID!L54</f>
        <v>#N/A</v>
      </c>
      <c r="I11" s="14" t="e">
        <f ca="1">FLUID!M54</f>
        <v>#N/A</v>
      </c>
      <c r="J11" s="14" t="e">
        <f ca="1">FLUID!N54</f>
        <v>#N/A</v>
      </c>
      <c r="K11" s="14" t="e">
        <f ca="1">FLUID!O54</f>
        <v>#N/A</v>
      </c>
      <c r="L11" s="14" t="e">
        <f ca="1">FLUID!P54</f>
        <v>#N/A</v>
      </c>
      <c r="M11" s="14" t="e">
        <f ca="1">FLUID!Q54</f>
        <v>#N/A</v>
      </c>
      <c r="N11" s="14" t="e">
        <f ca="1">FLUID!R54</f>
        <v>#N/A</v>
      </c>
      <c r="O11" s="14" t="e">
        <f ca="1">FLUID!S54</f>
        <v>#N/A</v>
      </c>
      <c r="P11" s="14" t="e">
        <f ca="1">FLUID!T54</f>
        <v>#N/A</v>
      </c>
      <c r="Q11" s="14" t="e">
        <f ca="1">FLUID!U54</f>
        <v>#N/A</v>
      </c>
      <c r="R11" s="14" t="e">
        <f ca="1">FLUID!V54</f>
        <v>#N/A</v>
      </c>
      <c r="S11" s="14" t="e">
        <f ca="1">FLUID!W54</f>
        <v>#N/A</v>
      </c>
      <c r="T11" s="14" t="e">
        <f ca="1">FLUID!X54</f>
        <v>#N/A</v>
      </c>
      <c r="U11" s="14" t="e">
        <f ca="1">FLUID!Y54</f>
        <v>#N/A</v>
      </c>
      <c r="V11" s="14" t="e">
        <f ca="1">FLUID!Z54</f>
        <v>#N/A</v>
      </c>
      <c r="W11" s="14" t="e">
        <f ca="1">FLUID!AA54</f>
        <v>#N/A</v>
      </c>
      <c r="X11" s="14" t="e">
        <f ca="1">FLUID!AB54</f>
        <v>#N/A</v>
      </c>
      <c r="Y11" s="14" t="e">
        <f ca="1">FLUID!AC54</f>
        <v>#N/A</v>
      </c>
      <c r="Z11" s="14" t="e">
        <f ca="1">FLUID!AD54</f>
        <v>#N/A</v>
      </c>
      <c r="AA11" s="14" t="e">
        <f ca="1">FLUID!AE54</f>
        <v>#N/A</v>
      </c>
      <c r="AB11" s="14" t="e">
        <f ca="1">FLUID!AF54</f>
        <v>#N/A</v>
      </c>
      <c r="AC11" s="14" t="e">
        <f ca="1">FLUID!AG54</f>
        <v>#N/A</v>
      </c>
      <c r="AD11" s="14" t="e">
        <f ca="1">FLUID!AH54</f>
        <v>#N/A</v>
      </c>
      <c r="AE11" s="14" t="e">
        <f ca="1">FLUID!AI54</f>
        <v>#N/A</v>
      </c>
      <c r="AF11" s="14" t="e">
        <f ca="1">FLUID!AJ54</f>
        <v>#N/A</v>
      </c>
      <c r="AG11" s="14" t="e">
        <f ca="1">FLUID!AK54</f>
        <v>#N/A</v>
      </c>
      <c r="AH11" s="14" t="e">
        <f ca="1">FLUID!AL54</f>
        <v>#N/A</v>
      </c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  <c r="BN11" s="55"/>
      <c r="BO11" s="55"/>
      <c r="BP11" s="55"/>
      <c r="BQ11" s="55"/>
      <c r="BR11" s="55"/>
      <c r="BS11" s="55"/>
      <c r="BT11" s="55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</row>
    <row r="12" spans="1:94" ht="22.5" hidden="1" outlineLevel="1" thickTop="1" thickBot="1" x14ac:dyDescent="0.4">
      <c r="A12" s="36">
        <f>FLUID!E55</f>
        <v>0</v>
      </c>
      <c r="B12" s="16" t="e">
        <f ca="1">FLUID!F55</f>
        <v>#N/A</v>
      </c>
      <c r="C12" s="16" t="e">
        <f ca="1">FLUID!G55</f>
        <v>#N/A</v>
      </c>
      <c r="D12" s="16" t="e">
        <f ca="1">FLUID!H55</f>
        <v>#N/A</v>
      </c>
      <c r="E12" s="16" t="e">
        <f ca="1">FLUID!I55</f>
        <v>#N/A</v>
      </c>
      <c r="F12" s="14" t="e">
        <f ca="1">FLUID!J55</f>
        <v>#N/A</v>
      </c>
      <c r="G12" s="14" t="e">
        <f ca="1">FLUID!K55</f>
        <v>#N/A</v>
      </c>
      <c r="H12" s="14" t="e">
        <f ca="1">FLUID!L55</f>
        <v>#N/A</v>
      </c>
      <c r="I12" s="14" t="e">
        <f ca="1">FLUID!M55</f>
        <v>#N/A</v>
      </c>
      <c r="J12" s="14" t="e">
        <f ca="1">FLUID!N55</f>
        <v>#N/A</v>
      </c>
      <c r="K12" s="14" t="e">
        <f ca="1">FLUID!O55</f>
        <v>#N/A</v>
      </c>
      <c r="L12" s="14" t="e">
        <f ca="1">FLUID!P55</f>
        <v>#N/A</v>
      </c>
      <c r="M12" s="14" t="e">
        <f ca="1">FLUID!Q55</f>
        <v>#N/A</v>
      </c>
      <c r="N12" s="14" t="e">
        <f ca="1">FLUID!R55</f>
        <v>#N/A</v>
      </c>
      <c r="O12" s="14" t="e">
        <f ca="1">FLUID!S55</f>
        <v>#N/A</v>
      </c>
      <c r="P12" s="14" t="e">
        <f ca="1">FLUID!T55</f>
        <v>#N/A</v>
      </c>
      <c r="Q12" s="14" t="e">
        <f ca="1">FLUID!U55</f>
        <v>#N/A</v>
      </c>
      <c r="R12" s="14" t="e">
        <f ca="1">FLUID!V55</f>
        <v>#N/A</v>
      </c>
      <c r="S12" s="14" t="e">
        <f ca="1">FLUID!W55</f>
        <v>#N/A</v>
      </c>
      <c r="T12" s="14" t="e">
        <f ca="1">FLUID!X55</f>
        <v>#N/A</v>
      </c>
      <c r="U12" s="14" t="e">
        <f ca="1">FLUID!Y55</f>
        <v>#N/A</v>
      </c>
      <c r="V12" s="14" t="e">
        <f ca="1">FLUID!Z55</f>
        <v>#N/A</v>
      </c>
      <c r="W12" s="14" t="e">
        <f ca="1">FLUID!AA55</f>
        <v>#N/A</v>
      </c>
      <c r="X12" s="14" t="e">
        <f ca="1">FLUID!AB55</f>
        <v>#N/A</v>
      </c>
      <c r="Y12" s="14" t="e">
        <f ca="1">FLUID!AC55</f>
        <v>#N/A</v>
      </c>
      <c r="Z12" s="14" t="e">
        <f ca="1">FLUID!AD55</f>
        <v>#N/A</v>
      </c>
      <c r="AA12" s="14" t="e">
        <f ca="1">FLUID!AE55</f>
        <v>#N/A</v>
      </c>
      <c r="AB12" s="14" t="e">
        <f ca="1">FLUID!AF55</f>
        <v>#N/A</v>
      </c>
      <c r="AC12" s="14" t="e">
        <f ca="1">FLUID!AG55</f>
        <v>#N/A</v>
      </c>
      <c r="AD12" s="14" t="e">
        <f ca="1">FLUID!AH55</f>
        <v>#N/A</v>
      </c>
      <c r="AE12" s="14" t="e">
        <f ca="1">FLUID!AI55</f>
        <v>#N/A</v>
      </c>
      <c r="AF12" s="14" t="e">
        <f ca="1">FLUID!AJ55</f>
        <v>#N/A</v>
      </c>
      <c r="AG12" s="14" t="e">
        <f ca="1">FLUID!AK55</f>
        <v>#N/A</v>
      </c>
      <c r="AH12" s="14" t="e">
        <f ca="1">FLUID!AL55</f>
        <v>#N/A</v>
      </c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</row>
    <row r="13" spans="1:94" ht="22.5" hidden="1" outlineLevel="1" thickTop="1" thickBot="1" x14ac:dyDescent="0.4">
      <c r="A13" s="36">
        <f>FLUID!E56</f>
        <v>0</v>
      </c>
      <c r="B13" s="16" t="e">
        <f ca="1">FLUID!F56</f>
        <v>#N/A</v>
      </c>
      <c r="C13" s="16" t="e">
        <f ca="1">FLUID!G56</f>
        <v>#N/A</v>
      </c>
      <c r="D13" s="16" t="e">
        <f ca="1">FLUID!H56</f>
        <v>#N/A</v>
      </c>
      <c r="E13" s="16" t="e">
        <f ca="1">FLUID!I56</f>
        <v>#N/A</v>
      </c>
      <c r="F13" s="14" t="e">
        <f ca="1">FLUID!J56</f>
        <v>#N/A</v>
      </c>
      <c r="G13" s="14" t="e">
        <f ca="1">FLUID!K56</f>
        <v>#N/A</v>
      </c>
      <c r="H13" s="14" t="e">
        <f ca="1">FLUID!L56</f>
        <v>#N/A</v>
      </c>
      <c r="I13" s="14" t="e">
        <f ca="1">FLUID!M56</f>
        <v>#N/A</v>
      </c>
      <c r="J13" s="14" t="e">
        <f ca="1">FLUID!N56</f>
        <v>#N/A</v>
      </c>
      <c r="K13" s="14" t="e">
        <f ca="1">FLUID!O56</f>
        <v>#N/A</v>
      </c>
      <c r="L13" s="14" t="e">
        <f ca="1">FLUID!P56</f>
        <v>#N/A</v>
      </c>
      <c r="M13" s="14" t="e">
        <f ca="1">FLUID!Q56</f>
        <v>#N/A</v>
      </c>
      <c r="N13" s="14" t="e">
        <f ca="1">FLUID!R56</f>
        <v>#N/A</v>
      </c>
      <c r="O13" s="14" t="e">
        <f ca="1">FLUID!S56</f>
        <v>#N/A</v>
      </c>
      <c r="P13" s="14" t="e">
        <f ca="1">FLUID!T56</f>
        <v>#N/A</v>
      </c>
      <c r="Q13" s="14" t="e">
        <f ca="1">FLUID!U56</f>
        <v>#N/A</v>
      </c>
      <c r="R13" s="14" t="e">
        <f ca="1">FLUID!V56</f>
        <v>#N/A</v>
      </c>
      <c r="S13" s="14" t="e">
        <f ca="1">FLUID!W56</f>
        <v>#N/A</v>
      </c>
      <c r="T13" s="14" t="e">
        <f ca="1">FLUID!X56</f>
        <v>#N/A</v>
      </c>
      <c r="U13" s="14" t="e">
        <f ca="1">FLUID!Y56</f>
        <v>#N/A</v>
      </c>
      <c r="V13" s="14" t="e">
        <f ca="1">FLUID!Z56</f>
        <v>#N/A</v>
      </c>
      <c r="W13" s="14" t="e">
        <f ca="1">FLUID!AA56</f>
        <v>#N/A</v>
      </c>
      <c r="X13" s="14" t="e">
        <f ca="1">FLUID!AB56</f>
        <v>#N/A</v>
      </c>
      <c r="Y13" s="14" t="e">
        <f ca="1">FLUID!AC56</f>
        <v>#N/A</v>
      </c>
      <c r="Z13" s="14" t="e">
        <f ca="1">FLUID!AD56</f>
        <v>#N/A</v>
      </c>
      <c r="AA13" s="14" t="e">
        <f ca="1">FLUID!AE56</f>
        <v>#N/A</v>
      </c>
      <c r="AB13" s="14" t="e">
        <f ca="1">FLUID!AF56</f>
        <v>#N/A</v>
      </c>
      <c r="AC13" s="14" t="e">
        <f ca="1">FLUID!AG56</f>
        <v>#N/A</v>
      </c>
      <c r="AD13" s="14" t="e">
        <f ca="1">FLUID!AH56</f>
        <v>#N/A</v>
      </c>
      <c r="AE13" s="14" t="e">
        <f ca="1">FLUID!AI56</f>
        <v>#N/A</v>
      </c>
      <c r="AF13" s="14" t="e">
        <f ca="1">FLUID!AJ56</f>
        <v>#N/A</v>
      </c>
      <c r="AG13" s="14" t="e">
        <f ca="1">FLUID!AK56</f>
        <v>#N/A</v>
      </c>
      <c r="AH13" s="14" t="e">
        <f ca="1">FLUID!AL56</f>
        <v>#N/A</v>
      </c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</row>
    <row r="14" spans="1:94" ht="22.5" hidden="1" outlineLevel="1" thickTop="1" thickBot="1" x14ac:dyDescent="0.4">
      <c r="A14" s="36">
        <f>FLUID!E57</f>
        <v>0</v>
      </c>
      <c r="B14" s="16" t="e">
        <f ca="1">FLUID!F57</f>
        <v>#N/A</v>
      </c>
      <c r="C14" s="16" t="e">
        <f ca="1">FLUID!G57</f>
        <v>#N/A</v>
      </c>
      <c r="D14" s="16" t="e">
        <f ca="1">FLUID!H57</f>
        <v>#N/A</v>
      </c>
      <c r="E14" s="16" t="e">
        <f ca="1">FLUID!I57</f>
        <v>#N/A</v>
      </c>
      <c r="F14" s="14" t="e">
        <f ca="1">FLUID!J57</f>
        <v>#N/A</v>
      </c>
      <c r="G14" s="14" t="e">
        <f ca="1">FLUID!K57</f>
        <v>#N/A</v>
      </c>
      <c r="H14" s="14" t="e">
        <f ca="1">FLUID!L57</f>
        <v>#N/A</v>
      </c>
      <c r="I14" s="14" t="e">
        <f ca="1">FLUID!M57</f>
        <v>#N/A</v>
      </c>
      <c r="J14" s="14" t="e">
        <f ca="1">FLUID!N57</f>
        <v>#N/A</v>
      </c>
      <c r="K14" s="14" t="e">
        <f ca="1">FLUID!O57</f>
        <v>#N/A</v>
      </c>
      <c r="L14" s="14" t="e">
        <f ca="1">FLUID!P57</f>
        <v>#N/A</v>
      </c>
      <c r="M14" s="14" t="e">
        <f ca="1">FLUID!Q57</f>
        <v>#N/A</v>
      </c>
      <c r="N14" s="14" t="e">
        <f ca="1">FLUID!R57</f>
        <v>#N/A</v>
      </c>
      <c r="O14" s="14" t="e">
        <f ca="1">FLUID!S57</f>
        <v>#N/A</v>
      </c>
      <c r="P14" s="14" t="e">
        <f ca="1">FLUID!T57</f>
        <v>#N/A</v>
      </c>
      <c r="Q14" s="14" t="e">
        <f ca="1">FLUID!U57</f>
        <v>#N/A</v>
      </c>
      <c r="R14" s="14" t="e">
        <f ca="1">FLUID!V57</f>
        <v>#N/A</v>
      </c>
      <c r="S14" s="14" t="e">
        <f ca="1">FLUID!W57</f>
        <v>#N/A</v>
      </c>
      <c r="T14" s="14" t="e">
        <f ca="1">FLUID!X57</f>
        <v>#N/A</v>
      </c>
      <c r="U14" s="14" t="e">
        <f ca="1">FLUID!Y57</f>
        <v>#N/A</v>
      </c>
      <c r="V14" s="14" t="e">
        <f ca="1">FLUID!Z57</f>
        <v>#N/A</v>
      </c>
      <c r="W14" s="14" t="e">
        <f ca="1">FLUID!AA57</f>
        <v>#N/A</v>
      </c>
      <c r="X14" s="14" t="e">
        <f ca="1">FLUID!AB57</f>
        <v>#N/A</v>
      </c>
      <c r="Y14" s="14" t="e">
        <f ca="1">FLUID!AC57</f>
        <v>#N/A</v>
      </c>
      <c r="Z14" s="14" t="e">
        <f ca="1">FLUID!AD57</f>
        <v>#N/A</v>
      </c>
      <c r="AA14" s="14" t="e">
        <f ca="1">FLUID!AE57</f>
        <v>#N/A</v>
      </c>
      <c r="AB14" s="14" t="e">
        <f ca="1">FLUID!AF57</f>
        <v>#N/A</v>
      </c>
      <c r="AC14" s="14" t="e">
        <f ca="1">FLUID!AG57</f>
        <v>#N/A</v>
      </c>
      <c r="AD14" s="14" t="e">
        <f ca="1">FLUID!AH57</f>
        <v>#N/A</v>
      </c>
      <c r="AE14" s="14" t="e">
        <f ca="1">FLUID!AI57</f>
        <v>#N/A</v>
      </c>
      <c r="AF14" s="14" t="e">
        <f ca="1">FLUID!AJ57</f>
        <v>#N/A</v>
      </c>
      <c r="AG14" s="14" t="e">
        <f ca="1">FLUID!AK57</f>
        <v>#N/A</v>
      </c>
      <c r="AH14" s="14" t="e">
        <f ca="1">FLUID!AL57</f>
        <v>#N/A</v>
      </c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</row>
    <row r="15" spans="1:94" ht="22.5" hidden="1" outlineLevel="1" thickTop="1" thickBot="1" x14ac:dyDescent="0.4">
      <c r="A15" s="36">
        <f>FLUID!E58</f>
        <v>0</v>
      </c>
      <c r="B15" s="16" t="e">
        <f ca="1">FLUID!F58</f>
        <v>#N/A</v>
      </c>
      <c r="C15" s="16" t="e">
        <f ca="1">FLUID!G58</f>
        <v>#N/A</v>
      </c>
      <c r="D15" s="16" t="e">
        <f ca="1">FLUID!H58</f>
        <v>#N/A</v>
      </c>
      <c r="E15" s="16" t="e">
        <f ca="1">FLUID!I58</f>
        <v>#N/A</v>
      </c>
      <c r="F15" s="14" t="e">
        <f ca="1">FLUID!J58</f>
        <v>#N/A</v>
      </c>
      <c r="G15" s="14" t="e">
        <f ca="1">FLUID!K58</f>
        <v>#N/A</v>
      </c>
      <c r="H15" s="14" t="e">
        <f ca="1">FLUID!L58</f>
        <v>#N/A</v>
      </c>
      <c r="I15" s="14" t="e">
        <f ca="1">FLUID!M58</f>
        <v>#N/A</v>
      </c>
      <c r="J15" s="14" t="e">
        <f ca="1">FLUID!N58</f>
        <v>#N/A</v>
      </c>
      <c r="K15" s="14" t="e">
        <f ca="1">FLUID!O58</f>
        <v>#N/A</v>
      </c>
      <c r="L15" s="14" t="e">
        <f ca="1">FLUID!P58</f>
        <v>#N/A</v>
      </c>
      <c r="M15" s="14" t="e">
        <f ca="1">FLUID!Q58</f>
        <v>#N/A</v>
      </c>
      <c r="N15" s="14" t="e">
        <f ca="1">FLUID!R58</f>
        <v>#N/A</v>
      </c>
      <c r="O15" s="14" t="e">
        <f ca="1">FLUID!S58</f>
        <v>#N/A</v>
      </c>
      <c r="P15" s="14" t="e">
        <f ca="1">FLUID!T58</f>
        <v>#N/A</v>
      </c>
      <c r="Q15" s="14" t="e">
        <f ca="1">FLUID!U58</f>
        <v>#N/A</v>
      </c>
      <c r="R15" s="14" t="e">
        <f ca="1">FLUID!V58</f>
        <v>#N/A</v>
      </c>
      <c r="S15" s="14" t="e">
        <f ca="1">FLUID!W58</f>
        <v>#N/A</v>
      </c>
      <c r="T15" s="14" t="e">
        <f ca="1">FLUID!X58</f>
        <v>#N/A</v>
      </c>
      <c r="U15" s="14" t="e">
        <f ca="1">FLUID!Y58</f>
        <v>#N/A</v>
      </c>
      <c r="V15" s="14" t="e">
        <f ca="1">FLUID!Z58</f>
        <v>#N/A</v>
      </c>
      <c r="W15" s="14" t="e">
        <f ca="1">FLUID!AA58</f>
        <v>#N/A</v>
      </c>
      <c r="X15" s="14" t="e">
        <f ca="1">FLUID!AB58</f>
        <v>#N/A</v>
      </c>
      <c r="Y15" s="14" t="e">
        <f ca="1">FLUID!AC58</f>
        <v>#N/A</v>
      </c>
      <c r="Z15" s="14" t="e">
        <f ca="1">FLUID!AD58</f>
        <v>#N/A</v>
      </c>
      <c r="AA15" s="14" t="e">
        <f ca="1">FLUID!AE58</f>
        <v>#N/A</v>
      </c>
      <c r="AB15" s="14" t="e">
        <f ca="1">FLUID!AF58</f>
        <v>#N/A</v>
      </c>
      <c r="AC15" s="14" t="e">
        <f ca="1">FLUID!AG58</f>
        <v>#N/A</v>
      </c>
      <c r="AD15" s="14" t="e">
        <f ca="1">FLUID!AH58</f>
        <v>#N/A</v>
      </c>
      <c r="AE15" s="14" t="e">
        <f ca="1">FLUID!AI58</f>
        <v>#N/A</v>
      </c>
      <c r="AF15" s="14" t="e">
        <f ca="1">FLUID!AJ58</f>
        <v>#N/A</v>
      </c>
      <c r="AG15" s="14" t="e">
        <f ca="1">FLUID!AK58</f>
        <v>#N/A</v>
      </c>
      <c r="AH15" s="14" t="e">
        <f ca="1">FLUID!AL58</f>
        <v>#N/A</v>
      </c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</row>
    <row r="16" spans="1:94" ht="22.5" hidden="1" outlineLevel="1" thickTop="1" thickBot="1" x14ac:dyDescent="0.4">
      <c r="A16" s="36">
        <f>FLUID!E59</f>
        <v>0</v>
      </c>
      <c r="B16" s="16" t="e">
        <f ca="1">FLUID!F59</f>
        <v>#N/A</v>
      </c>
      <c r="C16" s="16" t="e">
        <f ca="1">FLUID!G59</f>
        <v>#N/A</v>
      </c>
      <c r="D16" s="16" t="e">
        <f ca="1">FLUID!H59</f>
        <v>#N/A</v>
      </c>
      <c r="E16" s="16" t="e">
        <f ca="1">FLUID!I59</f>
        <v>#N/A</v>
      </c>
      <c r="F16" s="14" t="e">
        <f ca="1">FLUID!J59</f>
        <v>#N/A</v>
      </c>
      <c r="G16" s="14" t="e">
        <f ca="1">FLUID!K59</f>
        <v>#N/A</v>
      </c>
      <c r="H16" s="14" t="e">
        <f ca="1">FLUID!L59</f>
        <v>#N/A</v>
      </c>
      <c r="I16" s="14" t="e">
        <f ca="1">FLUID!M59</f>
        <v>#N/A</v>
      </c>
      <c r="J16" s="14" t="e">
        <f ca="1">FLUID!N59</f>
        <v>#N/A</v>
      </c>
      <c r="K16" s="14" t="e">
        <f ca="1">FLUID!O59</f>
        <v>#N/A</v>
      </c>
      <c r="L16" s="14" t="e">
        <f ca="1">FLUID!P59</f>
        <v>#N/A</v>
      </c>
      <c r="M16" s="14" t="e">
        <f ca="1">FLUID!Q59</f>
        <v>#N/A</v>
      </c>
      <c r="N16" s="14" t="e">
        <f ca="1">FLUID!R59</f>
        <v>#N/A</v>
      </c>
      <c r="O16" s="14" t="e">
        <f ca="1">FLUID!S59</f>
        <v>#N/A</v>
      </c>
      <c r="P16" s="14" t="e">
        <f ca="1">FLUID!T59</f>
        <v>#N/A</v>
      </c>
      <c r="Q16" s="14" t="e">
        <f ca="1">FLUID!U59</f>
        <v>#N/A</v>
      </c>
      <c r="R16" s="14" t="e">
        <f ca="1">FLUID!V59</f>
        <v>#N/A</v>
      </c>
      <c r="S16" s="14" t="e">
        <f ca="1">FLUID!W59</f>
        <v>#N/A</v>
      </c>
      <c r="T16" s="14" t="e">
        <f ca="1">FLUID!X59</f>
        <v>#N/A</v>
      </c>
      <c r="U16" s="14" t="e">
        <f ca="1">FLUID!Y59</f>
        <v>#N/A</v>
      </c>
      <c r="V16" s="14" t="e">
        <f ca="1">FLUID!Z59</f>
        <v>#N/A</v>
      </c>
      <c r="W16" s="14" t="e">
        <f ca="1">FLUID!AA59</f>
        <v>#N/A</v>
      </c>
      <c r="X16" s="14" t="e">
        <f ca="1">FLUID!AB59</f>
        <v>#N/A</v>
      </c>
      <c r="Y16" s="14" t="e">
        <f ca="1">FLUID!AC59</f>
        <v>#N/A</v>
      </c>
      <c r="Z16" s="14" t="e">
        <f ca="1">FLUID!AD59</f>
        <v>#N/A</v>
      </c>
      <c r="AA16" s="14" t="e">
        <f ca="1">FLUID!AE59</f>
        <v>#N/A</v>
      </c>
      <c r="AB16" s="14" t="e">
        <f ca="1">FLUID!AF59</f>
        <v>#N/A</v>
      </c>
      <c r="AC16" s="14" t="e">
        <f ca="1">FLUID!AG59</f>
        <v>#N/A</v>
      </c>
      <c r="AD16" s="14" t="e">
        <f ca="1">FLUID!AH59</f>
        <v>#N/A</v>
      </c>
      <c r="AE16" s="14" t="e">
        <f ca="1">FLUID!AI59</f>
        <v>#N/A</v>
      </c>
      <c r="AF16" s="14" t="e">
        <f ca="1">FLUID!AJ59</f>
        <v>#N/A</v>
      </c>
      <c r="AG16" s="14" t="e">
        <f ca="1">FLUID!AK59</f>
        <v>#N/A</v>
      </c>
      <c r="AH16" s="14" t="e">
        <f ca="1">FLUID!AL59</f>
        <v>#N/A</v>
      </c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</row>
    <row r="17" spans="1:94" ht="22.5" hidden="1" outlineLevel="1" thickTop="1" thickBot="1" x14ac:dyDescent="0.4">
      <c r="A17" s="36">
        <f>FLUID!E60</f>
        <v>0</v>
      </c>
      <c r="B17" s="16" t="e">
        <f ca="1">FLUID!F60</f>
        <v>#N/A</v>
      </c>
      <c r="C17" s="16" t="e">
        <f ca="1">FLUID!G60</f>
        <v>#N/A</v>
      </c>
      <c r="D17" s="16" t="e">
        <f ca="1">FLUID!H60</f>
        <v>#N/A</v>
      </c>
      <c r="E17" s="16" t="e">
        <f ca="1">FLUID!I60</f>
        <v>#N/A</v>
      </c>
      <c r="F17" s="14" t="e">
        <f ca="1">FLUID!J60</f>
        <v>#N/A</v>
      </c>
      <c r="G17" s="14" t="e">
        <f ca="1">FLUID!K60</f>
        <v>#N/A</v>
      </c>
      <c r="H17" s="14" t="e">
        <f ca="1">FLUID!L60</f>
        <v>#N/A</v>
      </c>
      <c r="I17" s="14" t="e">
        <f ca="1">FLUID!M60</f>
        <v>#N/A</v>
      </c>
      <c r="J17" s="14" t="e">
        <f ca="1">FLUID!N60</f>
        <v>#N/A</v>
      </c>
      <c r="K17" s="14" t="e">
        <f ca="1">FLUID!O60</f>
        <v>#N/A</v>
      </c>
      <c r="L17" s="14" t="e">
        <f ca="1">FLUID!P60</f>
        <v>#N/A</v>
      </c>
      <c r="M17" s="14" t="e">
        <f ca="1">FLUID!Q60</f>
        <v>#N/A</v>
      </c>
      <c r="N17" s="14" t="e">
        <f ca="1">FLUID!R60</f>
        <v>#N/A</v>
      </c>
      <c r="O17" s="14" t="e">
        <f ca="1">FLUID!S60</f>
        <v>#N/A</v>
      </c>
      <c r="P17" s="14" t="e">
        <f ca="1">FLUID!T60</f>
        <v>#N/A</v>
      </c>
      <c r="Q17" s="14" t="e">
        <f ca="1">FLUID!U60</f>
        <v>#N/A</v>
      </c>
      <c r="R17" s="14" t="e">
        <f ca="1">FLUID!V60</f>
        <v>#N/A</v>
      </c>
      <c r="S17" s="14" t="e">
        <f ca="1">FLUID!W60</f>
        <v>#N/A</v>
      </c>
      <c r="T17" s="14" t="e">
        <f ca="1">FLUID!X60</f>
        <v>#N/A</v>
      </c>
      <c r="U17" s="14" t="e">
        <f ca="1">FLUID!Y60</f>
        <v>#N/A</v>
      </c>
      <c r="V17" s="14" t="e">
        <f ca="1">FLUID!Z60</f>
        <v>#N/A</v>
      </c>
      <c r="W17" s="14" t="e">
        <f ca="1">FLUID!AA60</f>
        <v>#N/A</v>
      </c>
      <c r="X17" s="14" t="e">
        <f ca="1">FLUID!AB60</f>
        <v>#N/A</v>
      </c>
      <c r="Y17" s="14" t="e">
        <f ca="1">FLUID!AC60</f>
        <v>#N/A</v>
      </c>
      <c r="Z17" s="14" t="e">
        <f ca="1">FLUID!AD60</f>
        <v>#N/A</v>
      </c>
      <c r="AA17" s="14" t="e">
        <f ca="1">FLUID!AE60</f>
        <v>#N/A</v>
      </c>
      <c r="AB17" s="14" t="e">
        <f ca="1">FLUID!AF60</f>
        <v>#N/A</v>
      </c>
      <c r="AC17" s="14" t="e">
        <f ca="1">FLUID!AG60</f>
        <v>#N/A</v>
      </c>
      <c r="AD17" s="14" t="e">
        <f ca="1">FLUID!AH60</f>
        <v>#N/A</v>
      </c>
      <c r="AE17" s="14" t="e">
        <f ca="1">FLUID!AI60</f>
        <v>#N/A</v>
      </c>
      <c r="AF17" s="14" t="e">
        <f ca="1">FLUID!AJ60</f>
        <v>#N/A</v>
      </c>
      <c r="AG17" s="14" t="e">
        <f ca="1">FLUID!AK60</f>
        <v>#N/A</v>
      </c>
      <c r="AH17" s="14" t="e">
        <f ca="1">FLUID!AL60</f>
        <v>#N/A</v>
      </c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</row>
    <row r="18" spans="1:94" ht="22.5" hidden="1" outlineLevel="1" thickTop="1" thickBot="1" x14ac:dyDescent="0.4">
      <c r="A18" s="36">
        <f>FLUID!E61</f>
        <v>0</v>
      </c>
      <c r="B18" s="16" t="e">
        <f ca="1">FLUID!F61</f>
        <v>#N/A</v>
      </c>
      <c r="C18" s="16" t="e">
        <f ca="1">FLUID!G61</f>
        <v>#N/A</v>
      </c>
      <c r="D18" s="16" t="e">
        <f ca="1">FLUID!H61</f>
        <v>#N/A</v>
      </c>
      <c r="E18" s="16" t="e">
        <f ca="1">FLUID!I61</f>
        <v>#N/A</v>
      </c>
      <c r="F18" s="14" t="e">
        <f ca="1">FLUID!J61</f>
        <v>#N/A</v>
      </c>
      <c r="G18" s="14" t="e">
        <f ca="1">FLUID!K61</f>
        <v>#N/A</v>
      </c>
      <c r="H18" s="14" t="e">
        <f ca="1">FLUID!L61</f>
        <v>#N/A</v>
      </c>
      <c r="I18" s="14" t="e">
        <f ca="1">FLUID!M61</f>
        <v>#N/A</v>
      </c>
      <c r="J18" s="14" t="e">
        <f ca="1">FLUID!N61</f>
        <v>#N/A</v>
      </c>
      <c r="K18" s="14" t="e">
        <f ca="1">FLUID!O61</f>
        <v>#N/A</v>
      </c>
      <c r="L18" s="14" t="e">
        <f ca="1">FLUID!P61</f>
        <v>#N/A</v>
      </c>
      <c r="M18" s="14" t="e">
        <f ca="1">FLUID!Q61</f>
        <v>#N/A</v>
      </c>
      <c r="N18" s="14" t="e">
        <f ca="1">FLUID!R61</f>
        <v>#N/A</v>
      </c>
      <c r="O18" s="14" t="e">
        <f ca="1">FLUID!S61</f>
        <v>#N/A</v>
      </c>
      <c r="P18" s="14" t="e">
        <f ca="1">FLUID!T61</f>
        <v>#N/A</v>
      </c>
      <c r="Q18" s="14" t="e">
        <f ca="1">FLUID!U61</f>
        <v>#N/A</v>
      </c>
      <c r="R18" s="14" t="e">
        <f ca="1">FLUID!V61</f>
        <v>#N/A</v>
      </c>
      <c r="S18" s="14" t="e">
        <f ca="1">FLUID!W61</f>
        <v>#N/A</v>
      </c>
      <c r="T18" s="14" t="e">
        <f ca="1">FLUID!X61</f>
        <v>#N/A</v>
      </c>
      <c r="U18" s="14" t="e">
        <f ca="1">FLUID!Y61</f>
        <v>#N/A</v>
      </c>
      <c r="V18" s="14" t="e">
        <f ca="1">FLUID!Z61</f>
        <v>#N/A</v>
      </c>
      <c r="W18" s="14" t="e">
        <f ca="1">FLUID!AA61</f>
        <v>#N/A</v>
      </c>
      <c r="X18" s="14" t="e">
        <f ca="1">FLUID!AB61</f>
        <v>#N/A</v>
      </c>
      <c r="Y18" s="14" t="e">
        <f ca="1">FLUID!AC61</f>
        <v>#N/A</v>
      </c>
      <c r="Z18" s="14" t="e">
        <f ca="1">FLUID!AD61</f>
        <v>#N/A</v>
      </c>
      <c r="AA18" s="14" t="e">
        <f ca="1">FLUID!AE61</f>
        <v>#N/A</v>
      </c>
      <c r="AB18" s="14" t="e">
        <f ca="1">FLUID!AF61</f>
        <v>#N/A</v>
      </c>
      <c r="AC18" s="14" t="e">
        <f ca="1">FLUID!AG61</f>
        <v>#N/A</v>
      </c>
      <c r="AD18" s="14" t="e">
        <f ca="1">FLUID!AH61</f>
        <v>#N/A</v>
      </c>
      <c r="AE18" s="14" t="e">
        <f ca="1">FLUID!AI61</f>
        <v>#N/A</v>
      </c>
      <c r="AF18" s="14" t="e">
        <f ca="1">FLUID!AJ61</f>
        <v>#N/A</v>
      </c>
      <c r="AG18" s="14" t="e">
        <f ca="1">FLUID!AK61</f>
        <v>#N/A</v>
      </c>
      <c r="AH18" s="14" t="e">
        <f ca="1">FLUID!AL61</f>
        <v>#N/A</v>
      </c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</row>
    <row r="19" spans="1:94" ht="22.5" hidden="1" customHeight="1" outlineLevel="1" thickBot="1" x14ac:dyDescent="0.4">
      <c r="A19" s="36">
        <f>FLUID!E62</f>
        <v>0</v>
      </c>
      <c r="B19" s="16" t="e">
        <f ca="1">FLUID!F62</f>
        <v>#N/A</v>
      </c>
      <c r="C19" s="16" t="e">
        <f ca="1">FLUID!G62</f>
        <v>#N/A</v>
      </c>
      <c r="D19" s="16" t="e">
        <f ca="1">FLUID!H62</f>
        <v>#N/A</v>
      </c>
      <c r="E19" s="16" t="e">
        <f ca="1">FLUID!I62</f>
        <v>#N/A</v>
      </c>
      <c r="F19" s="14" t="e">
        <f ca="1">FLUID!J62</f>
        <v>#N/A</v>
      </c>
      <c r="G19" s="14" t="e">
        <f ca="1">FLUID!K62</f>
        <v>#N/A</v>
      </c>
      <c r="H19" s="14" t="e">
        <f ca="1">FLUID!L62</f>
        <v>#N/A</v>
      </c>
      <c r="I19" s="14" t="e">
        <f ca="1">FLUID!M62</f>
        <v>#N/A</v>
      </c>
      <c r="J19" s="14" t="e">
        <f ca="1">FLUID!N62</f>
        <v>#N/A</v>
      </c>
      <c r="K19" s="14" t="e">
        <f ca="1">FLUID!O62</f>
        <v>#N/A</v>
      </c>
      <c r="L19" s="14" t="e">
        <f ca="1">FLUID!P62</f>
        <v>#N/A</v>
      </c>
      <c r="M19" s="14" t="e">
        <f ca="1">FLUID!Q62</f>
        <v>#N/A</v>
      </c>
      <c r="N19" s="14" t="e">
        <f ca="1">FLUID!R62</f>
        <v>#N/A</v>
      </c>
      <c r="O19" s="14" t="e">
        <f ca="1">FLUID!S62</f>
        <v>#N/A</v>
      </c>
      <c r="P19" s="14" t="e">
        <f ca="1">FLUID!T62</f>
        <v>#N/A</v>
      </c>
      <c r="Q19" s="14" t="e">
        <f ca="1">FLUID!U62</f>
        <v>#N/A</v>
      </c>
      <c r="R19" s="14" t="e">
        <f ca="1">FLUID!V62</f>
        <v>#N/A</v>
      </c>
      <c r="S19" s="14" t="e">
        <f ca="1">FLUID!W62</f>
        <v>#N/A</v>
      </c>
      <c r="T19" s="14" t="e">
        <f ca="1">FLUID!X62</f>
        <v>#N/A</v>
      </c>
      <c r="U19" s="14" t="e">
        <f ca="1">FLUID!Y62</f>
        <v>#N/A</v>
      </c>
      <c r="V19" s="14" t="e">
        <f ca="1">FLUID!Z62</f>
        <v>#N/A</v>
      </c>
      <c r="W19" s="14" t="e">
        <f ca="1">FLUID!AA62</f>
        <v>#N/A</v>
      </c>
      <c r="X19" s="14" t="e">
        <f ca="1">FLUID!AB62</f>
        <v>#N/A</v>
      </c>
      <c r="Y19" s="14" t="e">
        <f ca="1">FLUID!AC62</f>
        <v>#N/A</v>
      </c>
      <c r="Z19" s="14" t="e">
        <f ca="1">FLUID!AD62</f>
        <v>#N/A</v>
      </c>
      <c r="AA19" s="14" t="e">
        <f ca="1">FLUID!AE62</f>
        <v>#N/A</v>
      </c>
      <c r="AB19" s="14" t="e">
        <f ca="1">FLUID!AF62</f>
        <v>#N/A</v>
      </c>
      <c r="AC19" s="14" t="e">
        <f ca="1">FLUID!AG62</f>
        <v>#N/A</v>
      </c>
      <c r="AD19" s="14" t="e">
        <f ca="1">FLUID!AH62</f>
        <v>#N/A</v>
      </c>
      <c r="AE19" s="14" t="e">
        <f ca="1">FLUID!AI62</f>
        <v>#N/A</v>
      </c>
      <c r="AF19" s="14" t="e">
        <f ca="1">FLUID!AJ62</f>
        <v>#N/A</v>
      </c>
      <c r="AG19" s="14" t="e">
        <f ca="1">FLUID!AK62</f>
        <v>#N/A</v>
      </c>
      <c r="AH19" s="14" t="e">
        <f ca="1">FLUID!AL62</f>
        <v>#N/A</v>
      </c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  <c r="BN19" s="55"/>
      <c r="BO19" s="55"/>
      <c r="BP19" s="55"/>
      <c r="BQ19" s="55"/>
      <c r="BR19" s="55"/>
      <c r="BS19" s="55"/>
      <c r="BT19" s="55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</row>
    <row r="20" spans="1:94" ht="22.5" hidden="1" customHeight="1" outlineLevel="1" thickBot="1" x14ac:dyDescent="0.4">
      <c r="A20" s="36">
        <f>FLUID!E63</f>
        <v>0</v>
      </c>
      <c r="B20" s="16" t="e">
        <f ca="1">FLUID!F63</f>
        <v>#N/A</v>
      </c>
      <c r="C20" s="16" t="e">
        <f ca="1">FLUID!G63</f>
        <v>#N/A</v>
      </c>
      <c r="D20" s="16" t="e">
        <f ca="1">FLUID!H63</f>
        <v>#N/A</v>
      </c>
      <c r="E20" s="16" t="e">
        <f ca="1">FLUID!I63</f>
        <v>#N/A</v>
      </c>
      <c r="F20" s="14" t="e">
        <f ca="1">FLUID!J63</f>
        <v>#N/A</v>
      </c>
      <c r="G20" s="14" t="e">
        <f ca="1">FLUID!K63</f>
        <v>#N/A</v>
      </c>
      <c r="H20" s="14" t="e">
        <f ca="1">FLUID!L63</f>
        <v>#N/A</v>
      </c>
      <c r="I20" s="14" t="e">
        <f ca="1">FLUID!M63</f>
        <v>#N/A</v>
      </c>
      <c r="J20" s="14" t="e">
        <f ca="1">FLUID!N63</f>
        <v>#N/A</v>
      </c>
      <c r="K20" s="14" t="e">
        <f ca="1">FLUID!O63</f>
        <v>#N/A</v>
      </c>
      <c r="L20" s="14" t="e">
        <f ca="1">FLUID!P63</f>
        <v>#N/A</v>
      </c>
      <c r="M20" s="14" t="e">
        <f ca="1">FLUID!Q63</f>
        <v>#N/A</v>
      </c>
      <c r="N20" s="14" t="e">
        <f ca="1">FLUID!R63</f>
        <v>#N/A</v>
      </c>
      <c r="O20" s="14" t="e">
        <f ca="1">FLUID!S63</f>
        <v>#N/A</v>
      </c>
      <c r="P20" s="14" t="e">
        <f ca="1">FLUID!T63</f>
        <v>#N/A</v>
      </c>
      <c r="Q20" s="14" t="e">
        <f ca="1">FLUID!U63</f>
        <v>#N/A</v>
      </c>
      <c r="R20" s="14" t="e">
        <f ca="1">FLUID!V63</f>
        <v>#N/A</v>
      </c>
      <c r="S20" s="14" t="e">
        <f ca="1">FLUID!W63</f>
        <v>#N/A</v>
      </c>
      <c r="T20" s="14" t="e">
        <f ca="1">FLUID!X63</f>
        <v>#N/A</v>
      </c>
      <c r="U20" s="14" t="e">
        <f ca="1">FLUID!Y63</f>
        <v>#N/A</v>
      </c>
      <c r="V20" s="14" t="e">
        <f ca="1">FLUID!Z63</f>
        <v>#N/A</v>
      </c>
      <c r="W20" s="14" t="e">
        <f ca="1">FLUID!AA63</f>
        <v>#N/A</v>
      </c>
      <c r="X20" s="14" t="e">
        <f ca="1">FLUID!AB63</f>
        <v>#N/A</v>
      </c>
      <c r="Y20" s="14" t="e">
        <f ca="1">FLUID!AC63</f>
        <v>#N/A</v>
      </c>
      <c r="Z20" s="14" t="e">
        <f ca="1">FLUID!AD63</f>
        <v>#N/A</v>
      </c>
      <c r="AA20" s="14" t="e">
        <f ca="1">FLUID!AE63</f>
        <v>#N/A</v>
      </c>
      <c r="AB20" s="14" t="e">
        <f ca="1">FLUID!AF63</f>
        <v>#N/A</v>
      </c>
      <c r="AC20" s="14" t="e">
        <f ca="1">FLUID!AG63</f>
        <v>#N/A</v>
      </c>
      <c r="AD20" s="14" t="e">
        <f ca="1">FLUID!AH63</f>
        <v>#N/A</v>
      </c>
      <c r="AE20" s="14" t="e">
        <f ca="1">FLUID!AI63</f>
        <v>#N/A</v>
      </c>
      <c r="AF20" s="14" t="e">
        <f ca="1">FLUID!AJ63</f>
        <v>#N/A</v>
      </c>
      <c r="AG20" s="14" t="e">
        <f ca="1">FLUID!AK63</f>
        <v>#N/A</v>
      </c>
      <c r="AH20" s="14" t="e">
        <f ca="1">FLUID!AL63</f>
        <v>#N/A</v>
      </c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55"/>
      <c r="BK20" s="55"/>
      <c r="BL20" s="55"/>
      <c r="BM20" s="55"/>
      <c r="BN20" s="55"/>
      <c r="BO20" s="55"/>
      <c r="BP20" s="55"/>
      <c r="BQ20" s="55"/>
      <c r="BR20" s="55"/>
      <c r="BS20" s="55"/>
      <c r="BT20" s="55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</row>
    <row r="21" spans="1:94" ht="22.5" hidden="1" customHeight="1" outlineLevel="1" thickBot="1" x14ac:dyDescent="0.4">
      <c r="A21" s="36">
        <f>FLUID!E64</f>
        <v>0</v>
      </c>
      <c r="B21" s="16" t="e">
        <f ca="1">FLUID!F64</f>
        <v>#N/A</v>
      </c>
      <c r="C21" s="16" t="e">
        <f ca="1">FLUID!G64</f>
        <v>#N/A</v>
      </c>
      <c r="D21" s="16" t="e">
        <f ca="1">FLUID!H64</f>
        <v>#N/A</v>
      </c>
      <c r="E21" s="16" t="e">
        <f ca="1">FLUID!I64</f>
        <v>#N/A</v>
      </c>
      <c r="F21" s="14" t="e">
        <f ca="1">FLUID!J64</f>
        <v>#N/A</v>
      </c>
      <c r="G21" s="14" t="e">
        <f ca="1">FLUID!K64</f>
        <v>#N/A</v>
      </c>
      <c r="H21" s="14" t="e">
        <f ca="1">FLUID!L64</f>
        <v>#N/A</v>
      </c>
      <c r="I21" s="14" t="e">
        <f ca="1">FLUID!M64</f>
        <v>#N/A</v>
      </c>
      <c r="J21" s="14" t="e">
        <f ca="1">FLUID!N64</f>
        <v>#N/A</v>
      </c>
      <c r="K21" s="14" t="e">
        <f ca="1">FLUID!O64</f>
        <v>#N/A</v>
      </c>
      <c r="L21" s="14" t="e">
        <f ca="1">FLUID!P64</f>
        <v>#N/A</v>
      </c>
      <c r="M21" s="14" t="e">
        <f ca="1">FLUID!Q64</f>
        <v>#N/A</v>
      </c>
      <c r="N21" s="14" t="e">
        <f ca="1">FLUID!R64</f>
        <v>#N/A</v>
      </c>
      <c r="O21" s="14" t="e">
        <f ca="1">FLUID!S64</f>
        <v>#N/A</v>
      </c>
      <c r="P21" s="14" t="e">
        <f ca="1">FLUID!T64</f>
        <v>#N/A</v>
      </c>
      <c r="Q21" s="14" t="e">
        <f ca="1">FLUID!U64</f>
        <v>#N/A</v>
      </c>
      <c r="R21" s="14" t="e">
        <f ca="1">FLUID!V64</f>
        <v>#N/A</v>
      </c>
      <c r="S21" s="14" t="e">
        <f ca="1">FLUID!W64</f>
        <v>#N/A</v>
      </c>
      <c r="T21" s="14" t="e">
        <f ca="1">FLUID!X64</f>
        <v>#N/A</v>
      </c>
      <c r="U21" s="14" t="e">
        <f ca="1">FLUID!Y64</f>
        <v>#N/A</v>
      </c>
      <c r="V21" s="14" t="e">
        <f ca="1">FLUID!Z64</f>
        <v>#N/A</v>
      </c>
      <c r="W21" s="14" t="e">
        <f ca="1">FLUID!AA64</f>
        <v>#N/A</v>
      </c>
      <c r="X21" s="14" t="e">
        <f ca="1">FLUID!AB64</f>
        <v>#N/A</v>
      </c>
      <c r="Y21" s="14" t="e">
        <f ca="1">FLUID!AC64</f>
        <v>#N/A</v>
      </c>
      <c r="Z21" s="14" t="e">
        <f ca="1">FLUID!AD64</f>
        <v>#N/A</v>
      </c>
      <c r="AA21" s="14" t="e">
        <f ca="1">FLUID!AE64</f>
        <v>#N/A</v>
      </c>
      <c r="AB21" s="14" t="e">
        <f ca="1">FLUID!AF64</f>
        <v>#N/A</v>
      </c>
      <c r="AC21" s="14" t="e">
        <f ca="1">FLUID!AG64</f>
        <v>#N/A</v>
      </c>
      <c r="AD21" s="14" t="e">
        <f ca="1">FLUID!AH64</f>
        <v>#N/A</v>
      </c>
      <c r="AE21" s="14" t="e">
        <f ca="1">FLUID!AI64</f>
        <v>#N/A</v>
      </c>
      <c r="AF21" s="14" t="e">
        <f ca="1">FLUID!AJ64</f>
        <v>#N/A</v>
      </c>
      <c r="AG21" s="14" t="e">
        <f ca="1">FLUID!AK64</f>
        <v>#N/A</v>
      </c>
      <c r="AH21" s="14" t="e">
        <f ca="1">FLUID!AL64</f>
        <v>#N/A</v>
      </c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55"/>
      <c r="BK21" s="55"/>
      <c r="BL21" s="55"/>
      <c r="BM21" s="55"/>
      <c r="BN21" s="55"/>
      <c r="BO21" s="55"/>
      <c r="BP21" s="55"/>
      <c r="BQ21" s="55"/>
      <c r="BR21" s="55"/>
      <c r="BS21" s="55"/>
      <c r="BT21" s="55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</row>
    <row r="22" spans="1:94" ht="22.5" hidden="1" customHeight="1" outlineLevel="1" thickBot="1" x14ac:dyDescent="0.4">
      <c r="A22" s="36">
        <f>FLUID!E65</f>
        <v>0</v>
      </c>
      <c r="B22" s="16" t="e">
        <f ca="1">FLUID!F65</f>
        <v>#N/A</v>
      </c>
      <c r="C22" s="16" t="e">
        <f ca="1">FLUID!G65</f>
        <v>#N/A</v>
      </c>
      <c r="D22" s="16" t="e">
        <f ca="1">FLUID!H65</f>
        <v>#N/A</v>
      </c>
      <c r="E22" s="16" t="e">
        <f ca="1">FLUID!I65</f>
        <v>#N/A</v>
      </c>
      <c r="F22" s="14" t="e">
        <f ca="1">FLUID!J65</f>
        <v>#N/A</v>
      </c>
      <c r="G22" s="14" t="e">
        <f ca="1">FLUID!K65</f>
        <v>#N/A</v>
      </c>
      <c r="H22" s="14" t="e">
        <f ca="1">FLUID!L65</f>
        <v>#N/A</v>
      </c>
      <c r="I22" s="14" t="e">
        <f ca="1">FLUID!M65</f>
        <v>#N/A</v>
      </c>
      <c r="J22" s="14" t="e">
        <f ca="1">FLUID!N65</f>
        <v>#N/A</v>
      </c>
      <c r="K22" s="14" t="e">
        <f ca="1">FLUID!O65</f>
        <v>#N/A</v>
      </c>
      <c r="L22" s="14" t="e">
        <f ca="1">FLUID!P65</f>
        <v>#N/A</v>
      </c>
      <c r="M22" s="14" t="e">
        <f ca="1">FLUID!Q65</f>
        <v>#N/A</v>
      </c>
      <c r="N22" s="14" t="e">
        <f ca="1">FLUID!R65</f>
        <v>#N/A</v>
      </c>
      <c r="O22" s="14" t="e">
        <f ca="1">FLUID!S65</f>
        <v>#N/A</v>
      </c>
      <c r="P22" s="14" t="e">
        <f ca="1">FLUID!T65</f>
        <v>#N/A</v>
      </c>
      <c r="Q22" s="14" t="e">
        <f ca="1">FLUID!U65</f>
        <v>#N/A</v>
      </c>
      <c r="R22" s="14" t="e">
        <f ca="1">FLUID!V65</f>
        <v>#N/A</v>
      </c>
      <c r="S22" s="14" t="e">
        <f ca="1">FLUID!W65</f>
        <v>#N/A</v>
      </c>
      <c r="T22" s="14" t="e">
        <f ca="1">FLUID!X65</f>
        <v>#N/A</v>
      </c>
      <c r="U22" s="14" t="e">
        <f ca="1">FLUID!Y65</f>
        <v>#N/A</v>
      </c>
      <c r="V22" s="14" t="e">
        <f ca="1">FLUID!Z65</f>
        <v>#N/A</v>
      </c>
      <c r="W22" s="14" t="e">
        <f ca="1">FLUID!AA65</f>
        <v>#N/A</v>
      </c>
      <c r="X22" s="14" t="e">
        <f ca="1">FLUID!AB65</f>
        <v>#N/A</v>
      </c>
      <c r="Y22" s="14" t="e">
        <f ca="1">FLUID!AC65</f>
        <v>#N/A</v>
      </c>
      <c r="Z22" s="14" t="e">
        <f ca="1">FLUID!AD65</f>
        <v>#N/A</v>
      </c>
      <c r="AA22" s="14" t="e">
        <f ca="1">FLUID!AE65</f>
        <v>#N/A</v>
      </c>
      <c r="AB22" s="14" t="e">
        <f ca="1">FLUID!AF65</f>
        <v>#N/A</v>
      </c>
      <c r="AC22" s="14" t="e">
        <f ca="1">FLUID!AG65</f>
        <v>#N/A</v>
      </c>
      <c r="AD22" s="14" t="e">
        <f ca="1">FLUID!AH65</f>
        <v>#N/A</v>
      </c>
      <c r="AE22" s="14" t="e">
        <f ca="1">FLUID!AI65</f>
        <v>#N/A</v>
      </c>
      <c r="AF22" s="14" t="e">
        <f ca="1">FLUID!AJ65</f>
        <v>#N/A</v>
      </c>
      <c r="AG22" s="14" t="e">
        <f ca="1">FLUID!AK65</f>
        <v>#N/A</v>
      </c>
      <c r="AH22" s="14" t="e">
        <f ca="1">FLUID!AL65</f>
        <v>#N/A</v>
      </c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</row>
    <row r="23" spans="1:94" ht="22.5" hidden="1" customHeight="1" outlineLevel="1" thickBot="1" x14ac:dyDescent="0.4">
      <c r="A23" s="36">
        <f>FLUID!E66</f>
        <v>0</v>
      </c>
      <c r="B23" s="16" t="e">
        <f ca="1">FLUID!F66</f>
        <v>#N/A</v>
      </c>
      <c r="C23" s="16" t="e">
        <f ca="1">FLUID!G66</f>
        <v>#N/A</v>
      </c>
      <c r="D23" s="16" t="e">
        <f ca="1">FLUID!H66</f>
        <v>#N/A</v>
      </c>
      <c r="E23" s="16" t="e">
        <f ca="1">FLUID!I66</f>
        <v>#N/A</v>
      </c>
      <c r="F23" s="14" t="e">
        <f ca="1">FLUID!J66</f>
        <v>#N/A</v>
      </c>
      <c r="G23" s="14" t="e">
        <f ca="1">FLUID!K66</f>
        <v>#N/A</v>
      </c>
      <c r="H23" s="14" t="e">
        <f ca="1">FLUID!L66</f>
        <v>#N/A</v>
      </c>
      <c r="I23" s="14" t="e">
        <f ca="1">FLUID!M66</f>
        <v>#N/A</v>
      </c>
      <c r="J23" s="14" t="e">
        <f ca="1">FLUID!N66</f>
        <v>#N/A</v>
      </c>
      <c r="K23" s="14" t="e">
        <f ca="1">FLUID!O66</f>
        <v>#N/A</v>
      </c>
      <c r="L23" s="14" t="e">
        <f ca="1">FLUID!P66</f>
        <v>#N/A</v>
      </c>
      <c r="M23" s="14" t="e">
        <f ca="1">FLUID!Q66</f>
        <v>#N/A</v>
      </c>
      <c r="N23" s="14" t="e">
        <f ca="1">FLUID!R66</f>
        <v>#N/A</v>
      </c>
      <c r="O23" s="14" t="e">
        <f ca="1">FLUID!S66</f>
        <v>#N/A</v>
      </c>
      <c r="P23" s="14" t="e">
        <f ca="1">FLUID!T66</f>
        <v>#N/A</v>
      </c>
      <c r="Q23" s="14" t="e">
        <f ca="1">FLUID!U66</f>
        <v>#N/A</v>
      </c>
      <c r="R23" s="14" t="e">
        <f ca="1">FLUID!V66</f>
        <v>#N/A</v>
      </c>
      <c r="S23" s="14" t="e">
        <f ca="1">FLUID!W66</f>
        <v>#N/A</v>
      </c>
      <c r="T23" s="14" t="e">
        <f ca="1">FLUID!X66</f>
        <v>#N/A</v>
      </c>
      <c r="U23" s="14" t="e">
        <f ca="1">FLUID!Y66</f>
        <v>#N/A</v>
      </c>
      <c r="V23" s="14" t="e">
        <f ca="1">FLUID!Z66</f>
        <v>#N/A</v>
      </c>
      <c r="W23" s="14" t="e">
        <f ca="1">FLUID!AA66</f>
        <v>#N/A</v>
      </c>
      <c r="X23" s="14" t="e">
        <f ca="1">FLUID!AB66</f>
        <v>#N/A</v>
      </c>
      <c r="Y23" s="14" t="e">
        <f ca="1">FLUID!AC66</f>
        <v>#N/A</v>
      </c>
      <c r="Z23" s="14" t="e">
        <f ca="1">FLUID!AD66</f>
        <v>#N/A</v>
      </c>
      <c r="AA23" s="14" t="e">
        <f ca="1">FLUID!AE66</f>
        <v>#N/A</v>
      </c>
      <c r="AB23" s="14" t="e">
        <f ca="1">FLUID!AF66</f>
        <v>#N/A</v>
      </c>
      <c r="AC23" s="14" t="e">
        <f ca="1">FLUID!AG66</f>
        <v>#N/A</v>
      </c>
      <c r="AD23" s="14" t="e">
        <f ca="1">FLUID!AH66</f>
        <v>#N/A</v>
      </c>
      <c r="AE23" s="14" t="e">
        <f ca="1">FLUID!AI66</f>
        <v>#N/A</v>
      </c>
      <c r="AF23" s="14" t="e">
        <f ca="1">FLUID!AJ66</f>
        <v>#N/A</v>
      </c>
      <c r="AG23" s="14" t="e">
        <f ca="1">FLUID!AK66</f>
        <v>#N/A</v>
      </c>
      <c r="AH23" s="14" t="e">
        <f ca="1">FLUID!AL66</f>
        <v>#N/A</v>
      </c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55"/>
      <c r="BK23" s="55"/>
      <c r="BL23" s="55"/>
      <c r="BM23" s="55"/>
      <c r="BN23" s="55"/>
      <c r="BO23" s="55"/>
      <c r="BP23" s="55"/>
      <c r="BQ23" s="55"/>
      <c r="BR23" s="55"/>
      <c r="BS23" s="55"/>
      <c r="BT23" s="55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</row>
    <row r="24" spans="1:94" ht="22.5" hidden="1" customHeight="1" outlineLevel="1" thickBot="1" x14ac:dyDescent="0.4">
      <c r="A24" s="36">
        <f>FLUID!E67</f>
        <v>0</v>
      </c>
      <c r="B24" s="16" t="e">
        <f ca="1">FLUID!F67</f>
        <v>#N/A</v>
      </c>
      <c r="C24" s="16" t="e">
        <f ca="1">FLUID!G67</f>
        <v>#N/A</v>
      </c>
      <c r="D24" s="16" t="e">
        <f ca="1">FLUID!H67</f>
        <v>#N/A</v>
      </c>
      <c r="E24" s="16" t="e">
        <f ca="1">FLUID!I67</f>
        <v>#N/A</v>
      </c>
      <c r="F24" s="14" t="e">
        <f ca="1">FLUID!J67</f>
        <v>#N/A</v>
      </c>
      <c r="G24" s="14" t="e">
        <f ca="1">FLUID!K67</f>
        <v>#N/A</v>
      </c>
      <c r="H24" s="14" t="e">
        <f ca="1">FLUID!L67</f>
        <v>#N/A</v>
      </c>
      <c r="I24" s="14" t="e">
        <f ca="1">FLUID!M67</f>
        <v>#N/A</v>
      </c>
      <c r="J24" s="14" t="e">
        <f ca="1">FLUID!N67</f>
        <v>#N/A</v>
      </c>
      <c r="K24" s="14" t="e">
        <f ca="1">FLUID!O67</f>
        <v>#N/A</v>
      </c>
      <c r="L24" s="14" t="e">
        <f ca="1">FLUID!P67</f>
        <v>#N/A</v>
      </c>
      <c r="M24" s="14" t="e">
        <f ca="1">FLUID!Q67</f>
        <v>#N/A</v>
      </c>
      <c r="N24" s="14" t="e">
        <f ca="1">FLUID!R67</f>
        <v>#N/A</v>
      </c>
      <c r="O24" s="14" t="e">
        <f ca="1">FLUID!S67</f>
        <v>#N/A</v>
      </c>
      <c r="P24" s="14" t="e">
        <f ca="1">FLUID!T67</f>
        <v>#N/A</v>
      </c>
      <c r="Q24" s="14" t="e">
        <f ca="1">FLUID!U67</f>
        <v>#N/A</v>
      </c>
      <c r="R24" s="14" t="e">
        <f ca="1">FLUID!V67</f>
        <v>#N/A</v>
      </c>
      <c r="S24" s="14" t="e">
        <f ca="1">FLUID!W67</f>
        <v>#N/A</v>
      </c>
      <c r="T24" s="14" t="e">
        <f ca="1">FLUID!X67</f>
        <v>#N/A</v>
      </c>
      <c r="U24" s="14" t="e">
        <f ca="1">FLUID!Y67</f>
        <v>#N/A</v>
      </c>
      <c r="V24" s="14" t="e">
        <f ca="1">FLUID!Z67</f>
        <v>#N/A</v>
      </c>
      <c r="W24" s="14" t="e">
        <f ca="1">FLUID!AA67</f>
        <v>#N/A</v>
      </c>
      <c r="X24" s="14" t="e">
        <f ca="1">FLUID!AB67</f>
        <v>#N/A</v>
      </c>
      <c r="Y24" s="14" t="e">
        <f ca="1">FLUID!AC67</f>
        <v>#N/A</v>
      </c>
      <c r="Z24" s="14" t="e">
        <f ca="1">FLUID!AD67</f>
        <v>#N/A</v>
      </c>
      <c r="AA24" s="14" t="e">
        <f ca="1">FLUID!AE67</f>
        <v>#N/A</v>
      </c>
      <c r="AB24" s="14" t="e">
        <f ca="1">FLUID!AF67</f>
        <v>#N/A</v>
      </c>
      <c r="AC24" s="14" t="e">
        <f ca="1">FLUID!AG67</f>
        <v>#N/A</v>
      </c>
      <c r="AD24" s="14" t="e">
        <f ca="1">FLUID!AH67</f>
        <v>#N/A</v>
      </c>
      <c r="AE24" s="14" t="e">
        <f ca="1">FLUID!AI67</f>
        <v>#N/A</v>
      </c>
      <c r="AF24" s="14" t="e">
        <f ca="1">FLUID!AJ67</f>
        <v>#N/A</v>
      </c>
      <c r="AG24" s="14" t="e">
        <f ca="1">FLUID!AK67</f>
        <v>#N/A</v>
      </c>
      <c r="AH24" s="14" t="e">
        <f ca="1">FLUID!AL67</f>
        <v>#N/A</v>
      </c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</row>
    <row r="25" spans="1:94" ht="22.5" hidden="1" customHeight="1" outlineLevel="1" thickBot="1" x14ac:dyDescent="0.4">
      <c r="A25" s="36">
        <f>FLUID!E68</f>
        <v>0</v>
      </c>
      <c r="B25" s="16" t="e">
        <f ca="1">FLUID!F68</f>
        <v>#N/A</v>
      </c>
      <c r="C25" s="16" t="e">
        <f ca="1">FLUID!G68</f>
        <v>#N/A</v>
      </c>
      <c r="D25" s="16" t="e">
        <f ca="1">FLUID!H68</f>
        <v>#N/A</v>
      </c>
      <c r="E25" s="16" t="e">
        <f ca="1">FLUID!I68</f>
        <v>#N/A</v>
      </c>
      <c r="F25" s="14" t="e">
        <f ca="1">FLUID!J68</f>
        <v>#N/A</v>
      </c>
      <c r="G25" s="14" t="e">
        <f ca="1">FLUID!K68</f>
        <v>#N/A</v>
      </c>
      <c r="H25" s="14" t="e">
        <f ca="1">FLUID!L68</f>
        <v>#N/A</v>
      </c>
      <c r="I25" s="14" t="e">
        <f ca="1">FLUID!M68</f>
        <v>#N/A</v>
      </c>
      <c r="J25" s="14" t="e">
        <f ca="1">FLUID!N68</f>
        <v>#N/A</v>
      </c>
      <c r="K25" s="14" t="e">
        <f ca="1">FLUID!O68</f>
        <v>#N/A</v>
      </c>
      <c r="L25" s="14" t="e">
        <f ca="1">FLUID!P68</f>
        <v>#N/A</v>
      </c>
      <c r="M25" s="14" t="e">
        <f ca="1">FLUID!Q68</f>
        <v>#N/A</v>
      </c>
      <c r="N25" s="14" t="e">
        <f ca="1">FLUID!R68</f>
        <v>#N/A</v>
      </c>
      <c r="O25" s="14" t="e">
        <f ca="1">FLUID!S68</f>
        <v>#N/A</v>
      </c>
      <c r="P25" s="14" t="e">
        <f ca="1">FLUID!T68</f>
        <v>#N/A</v>
      </c>
      <c r="Q25" s="14" t="e">
        <f ca="1">FLUID!U68</f>
        <v>#N/A</v>
      </c>
      <c r="R25" s="14" t="e">
        <f ca="1">FLUID!V68</f>
        <v>#N/A</v>
      </c>
      <c r="S25" s="14" t="e">
        <f ca="1">FLUID!W68</f>
        <v>#N/A</v>
      </c>
      <c r="T25" s="14" t="e">
        <f ca="1">FLUID!X68</f>
        <v>#N/A</v>
      </c>
      <c r="U25" s="14" t="e">
        <f ca="1">FLUID!Y68</f>
        <v>#N/A</v>
      </c>
      <c r="V25" s="14" t="e">
        <f ca="1">FLUID!Z68</f>
        <v>#N/A</v>
      </c>
      <c r="W25" s="14" t="e">
        <f ca="1">FLUID!AA68</f>
        <v>#N/A</v>
      </c>
      <c r="X25" s="14" t="e">
        <f ca="1">FLUID!AB68</f>
        <v>#N/A</v>
      </c>
      <c r="Y25" s="14" t="e">
        <f ca="1">FLUID!AC68</f>
        <v>#N/A</v>
      </c>
      <c r="Z25" s="14" t="e">
        <f ca="1">FLUID!AD68</f>
        <v>#N/A</v>
      </c>
      <c r="AA25" s="14" t="e">
        <f ca="1">FLUID!AE68</f>
        <v>#N/A</v>
      </c>
      <c r="AB25" s="14" t="e">
        <f ca="1">FLUID!AF68</f>
        <v>#N/A</v>
      </c>
      <c r="AC25" s="14" t="e">
        <f ca="1">FLUID!AG68</f>
        <v>#N/A</v>
      </c>
      <c r="AD25" s="14" t="e">
        <f ca="1">FLUID!AH68</f>
        <v>#N/A</v>
      </c>
      <c r="AE25" s="14" t="e">
        <f ca="1">FLUID!AI68</f>
        <v>#N/A</v>
      </c>
      <c r="AF25" s="14" t="e">
        <f ca="1">FLUID!AJ68</f>
        <v>#N/A</v>
      </c>
      <c r="AG25" s="14" t="e">
        <f ca="1">FLUID!AK68</f>
        <v>#N/A</v>
      </c>
      <c r="AH25" s="14" t="e">
        <f ca="1">FLUID!AL68</f>
        <v>#N/A</v>
      </c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55"/>
      <c r="BK25" s="55"/>
      <c r="BL25" s="55"/>
      <c r="BM25" s="55"/>
      <c r="BN25" s="55"/>
      <c r="BO25" s="55"/>
      <c r="BP25" s="55"/>
      <c r="BQ25" s="55"/>
      <c r="BR25" s="55"/>
      <c r="BS25" s="55"/>
      <c r="BT25" s="55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</row>
    <row r="26" spans="1:94" ht="22.5" hidden="1" customHeight="1" outlineLevel="1" thickBot="1" x14ac:dyDescent="0.4">
      <c r="A26" s="36">
        <f>FLUID!E69</f>
        <v>0</v>
      </c>
      <c r="B26" s="16" t="e">
        <f ca="1">FLUID!F69</f>
        <v>#N/A</v>
      </c>
      <c r="C26" s="16" t="e">
        <f ca="1">FLUID!G69</f>
        <v>#N/A</v>
      </c>
      <c r="D26" s="16" t="e">
        <f ca="1">FLUID!H69</f>
        <v>#N/A</v>
      </c>
      <c r="E26" s="16" t="e">
        <f ca="1">FLUID!I69</f>
        <v>#N/A</v>
      </c>
      <c r="F26" s="14" t="e">
        <f ca="1">FLUID!J69</f>
        <v>#N/A</v>
      </c>
      <c r="G26" s="14" t="e">
        <f ca="1">FLUID!K69</f>
        <v>#N/A</v>
      </c>
      <c r="H26" s="14" t="e">
        <f ca="1">FLUID!L69</f>
        <v>#N/A</v>
      </c>
      <c r="I26" s="14" t="e">
        <f ca="1">FLUID!M69</f>
        <v>#N/A</v>
      </c>
      <c r="J26" s="14" t="e">
        <f ca="1">FLUID!N69</f>
        <v>#N/A</v>
      </c>
      <c r="K26" s="14" t="e">
        <f ca="1">FLUID!O69</f>
        <v>#N/A</v>
      </c>
      <c r="L26" s="14" t="e">
        <f ca="1">FLUID!P69</f>
        <v>#N/A</v>
      </c>
      <c r="M26" s="14" t="e">
        <f ca="1">FLUID!Q69</f>
        <v>#N/A</v>
      </c>
      <c r="N26" s="14" t="e">
        <f ca="1">FLUID!R69</f>
        <v>#N/A</v>
      </c>
      <c r="O26" s="14" t="e">
        <f ca="1">FLUID!S69</f>
        <v>#N/A</v>
      </c>
      <c r="P26" s="14" t="e">
        <f ca="1">FLUID!T69</f>
        <v>#N/A</v>
      </c>
      <c r="Q26" s="14" t="e">
        <f ca="1">FLUID!U69</f>
        <v>#N/A</v>
      </c>
      <c r="R26" s="14" t="e">
        <f ca="1">FLUID!V69</f>
        <v>#N/A</v>
      </c>
      <c r="S26" s="14" t="e">
        <f ca="1">FLUID!W69</f>
        <v>#N/A</v>
      </c>
      <c r="T26" s="14" t="e">
        <f ca="1">FLUID!X69</f>
        <v>#N/A</v>
      </c>
      <c r="U26" s="14" t="e">
        <f ca="1">FLUID!Y69</f>
        <v>#N/A</v>
      </c>
      <c r="V26" s="14" t="e">
        <f ca="1">FLUID!Z69</f>
        <v>#N/A</v>
      </c>
      <c r="W26" s="14" t="e">
        <f ca="1">FLUID!AA69</f>
        <v>#N/A</v>
      </c>
      <c r="X26" s="14" t="e">
        <f ca="1">FLUID!AB69</f>
        <v>#N/A</v>
      </c>
      <c r="Y26" s="14" t="e">
        <f ca="1">FLUID!AC69</f>
        <v>#N/A</v>
      </c>
      <c r="Z26" s="14" t="e">
        <f ca="1">FLUID!AD69</f>
        <v>#N/A</v>
      </c>
      <c r="AA26" s="14" t="e">
        <f ca="1">FLUID!AE69</f>
        <v>#N/A</v>
      </c>
      <c r="AB26" s="14" t="e">
        <f ca="1">FLUID!AF69</f>
        <v>#N/A</v>
      </c>
      <c r="AC26" s="14" t="e">
        <f ca="1">FLUID!AG69</f>
        <v>#N/A</v>
      </c>
      <c r="AD26" s="14" t="e">
        <f ca="1">FLUID!AH69</f>
        <v>#N/A</v>
      </c>
      <c r="AE26" s="14" t="e">
        <f ca="1">FLUID!AI69</f>
        <v>#N/A</v>
      </c>
      <c r="AF26" s="14" t="e">
        <f ca="1">FLUID!AJ69</f>
        <v>#N/A</v>
      </c>
      <c r="AG26" s="14" t="e">
        <f ca="1">FLUID!AK69</f>
        <v>#N/A</v>
      </c>
      <c r="AH26" s="14" t="e">
        <f ca="1">FLUID!AL69</f>
        <v>#N/A</v>
      </c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55"/>
      <c r="BK26" s="55"/>
      <c r="BL26" s="55"/>
      <c r="BM26" s="55"/>
      <c r="BN26" s="55"/>
      <c r="BO26" s="55"/>
      <c r="BP26" s="55"/>
      <c r="BQ26" s="5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</row>
    <row r="27" spans="1:94" ht="22.5" hidden="1" customHeight="1" outlineLevel="1" thickBot="1" x14ac:dyDescent="0.4">
      <c r="A27" s="36">
        <f>FLUID!E70</f>
        <v>0</v>
      </c>
      <c r="B27" s="16" t="e">
        <f ca="1">FLUID!F70</f>
        <v>#N/A</v>
      </c>
      <c r="C27" s="16" t="e">
        <f ca="1">FLUID!G70</f>
        <v>#N/A</v>
      </c>
      <c r="D27" s="16" t="e">
        <f ca="1">FLUID!H70</f>
        <v>#N/A</v>
      </c>
      <c r="E27" s="16" t="e">
        <f ca="1">FLUID!I70</f>
        <v>#N/A</v>
      </c>
      <c r="F27" s="14" t="e">
        <f ca="1">FLUID!J70</f>
        <v>#N/A</v>
      </c>
      <c r="G27" s="14" t="e">
        <f ca="1">FLUID!K70</f>
        <v>#N/A</v>
      </c>
      <c r="H27" s="14" t="e">
        <f ca="1">FLUID!L70</f>
        <v>#N/A</v>
      </c>
      <c r="I27" s="14" t="e">
        <f ca="1">FLUID!M70</f>
        <v>#N/A</v>
      </c>
      <c r="J27" s="14" t="e">
        <f ca="1">FLUID!N70</f>
        <v>#N/A</v>
      </c>
      <c r="K27" s="14" t="e">
        <f ca="1">FLUID!O70</f>
        <v>#N/A</v>
      </c>
      <c r="L27" s="14" t="e">
        <f ca="1">FLUID!P70</f>
        <v>#N/A</v>
      </c>
      <c r="M27" s="14" t="e">
        <f ca="1">FLUID!Q70</f>
        <v>#N/A</v>
      </c>
      <c r="N27" s="14" t="e">
        <f ca="1">FLUID!R70</f>
        <v>#N/A</v>
      </c>
      <c r="O27" s="14" t="e">
        <f ca="1">FLUID!S70</f>
        <v>#N/A</v>
      </c>
      <c r="P27" s="14" t="e">
        <f ca="1">FLUID!T70</f>
        <v>#N/A</v>
      </c>
      <c r="Q27" s="14" t="e">
        <f ca="1">FLUID!U70</f>
        <v>#N/A</v>
      </c>
      <c r="R27" s="14" t="e">
        <f ca="1">FLUID!V70</f>
        <v>#N/A</v>
      </c>
      <c r="S27" s="14" t="e">
        <f ca="1">FLUID!W70</f>
        <v>#N/A</v>
      </c>
      <c r="T27" s="14" t="e">
        <f ca="1">FLUID!X70</f>
        <v>#N/A</v>
      </c>
      <c r="U27" s="14" t="e">
        <f ca="1">FLUID!Y70</f>
        <v>#N/A</v>
      </c>
      <c r="V27" s="14" t="e">
        <f ca="1">FLUID!Z70</f>
        <v>#N/A</v>
      </c>
      <c r="W27" s="14" t="e">
        <f ca="1">FLUID!AA70</f>
        <v>#N/A</v>
      </c>
      <c r="X27" s="14" t="e">
        <f ca="1">FLUID!AB70</f>
        <v>#N/A</v>
      </c>
      <c r="Y27" s="14" t="e">
        <f ca="1">FLUID!AC70</f>
        <v>#N/A</v>
      </c>
      <c r="Z27" s="14" t="e">
        <f ca="1">FLUID!AD70</f>
        <v>#N/A</v>
      </c>
      <c r="AA27" s="14" t="e">
        <f ca="1">FLUID!AE70</f>
        <v>#N/A</v>
      </c>
      <c r="AB27" s="14" t="e">
        <f ca="1">FLUID!AF70</f>
        <v>#N/A</v>
      </c>
      <c r="AC27" s="14" t="e">
        <f ca="1">FLUID!AG70</f>
        <v>#N/A</v>
      </c>
      <c r="AD27" s="14" t="e">
        <f ca="1">FLUID!AH70</f>
        <v>#N/A</v>
      </c>
      <c r="AE27" s="14" t="e">
        <f ca="1">FLUID!AI70</f>
        <v>#N/A</v>
      </c>
      <c r="AF27" s="14" t="e">
        <f ca="1">FLUID!AJ70</f>
        <v>#N/A</v>
      </c>
      <c r="AG27" s="14" t="e">
        <f ca="1">FLUID!AK70</f>
        <v>#N/A</v>
      </c>
      <c r="AH27" s="14" t="e">
        <f ca="1">FLUID!AL70</f>
        <v>#N/A</v>
      </c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55"/>
      <c r="BK27" s="55"/>
      <c r="BL27" s="55"/>
      <c r="BM27" s="55"/>
      <c r="BN27" s="55"/>
      <c r="BO27" s="55"/>
      <c r="BP27" s="55"/>
      <c r="BQ27" s="5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</row>
    <row r="28" spans="1:94" ht="22.5" hidden="1" customHeight="1" outlineLevel="1" thickBot="1" x14ac:dyDescent="0.4">
      <c r="A28" s="36">
        <f>FLUID!E71</f>
        <v>0</v>
      </c>
      <c r="B28" s="16" t="e">
        <f ca="1">FLUID!F71</f>
        <v>#N/A</v>
      </c>
      <c r="C28" s="16" t="e">
        <f ca="1">FLUID!G71</f>
        <v>#N/A</v>
      </c>
      <c r="D28" s="16" t="e">
        <f ca="1">FLUID!H71</f>
        <v>#N/A</v>
      </c>
      <c r="E28" s="16" t="e">
        <f ca="1">FLUID!I71</f>
        <v>#N/A</v>
      </c>
      <c r="F28" s="14" t="e">
        <f ca="1">FLUID!J71</f>
        <v>#N/A</v>
      </c>
      <c r="G28" s="14" t="e">
        <f ca="1">FLUID!K71</f>
        <v>#N/A</v>
      </c>
      <c r="H28" s="14" t="e">
        <f ca="1">FLUID!L71</f>
        <v>#N/A</v>
      </c>
      <c r="I28" s="14" t="e">
        <f ca="1">FLUID!M71</f>
        <v>#N/A</v>
      </c>
      <c r="J28" s="14" t="e">
        <f ca="1">FLUID!N71</f>
        <v>#N/A</v>
      </c>
      <c r="K28" s="14" t="e">
        <f ca="1">FLUID!O71</f>
        <v>#N/A</v>
      </c>
      <c r="L28" s="14" t="e">
        <f ca="1">FLUID!P71</f>
        <v>#N/A</v>
      </c>
      <c r="M28" s="14" t="e">
        <f ca="1">FLUID!Q71</f>
        <v>#N/A</v>
      </c>
      <c r="N28" s="14" t="e">
        <f ca="1">FLUID!R71</f>
        <v>#N/A</v>
      </c>
      <c r="O28" s="14" t="e">
        <f ca="1">FLUID!S71</f>
        <v>#N/A</v>
      </c>
      <c r="P28" s="14" t="e">
        <f ca="1">FLUID!T71</f>
        <v>#N/A</v>
      </c>
      <c r="Q28" s="14" t="e">
        <f ca="1">FLUID!U71</f>
        <v>#N/A</v>
      </c>
      <c r="R28" s="14" t="e">
        <f ca="1">FLUID!V71</f>
        <v>#N/A</v>
      </c>
      <c r="S28" s="14" t="e">
        <f ca="1">FLUID!W71</f>
        <v>#N/A</v>
      </c>
      <c r="T28" s="14" t="e">
        <f ca="1">FLUID!X71</f>
        <v>#N/A</v>
      </c>
      <c r="U28" s="14" t="e">
        <f ca="1">FLUID!Y71</f>
        <v>#N/A</v>
      </c>
      <c r="V28" s="14" t="e">
        <f ca="1">FLUID!Z71</f>
        <v>#N/A</v>
      </c>
      <c r="W28" s="14" t="e">
        <f ca="1">FLUID!AA71</f>
        <v>#N/A</v>
      </c>
      <c r="X28" s="14" t="e">
        <f ca="1">FLUID!AB71</f>
        <v>#N/A</v>
      </c>
      <c r="Y28" s="14" t="e">
        <f ca="1">FLUID!AC71</f>
        <v>#N/A</v>
      </c>
      <c r="Z28" s="14" t="e">
        <f ca="1">FLUID!AD71</f>
        <v>#N/A</v>
      </c>
      <c r="AA28" s="14" t="e">
        <f ca="1">FLUID!AE71</f>
        <v>#N/A</v>
      </c>
      <c r="AB28" s="14" t="e">
        <f ca="1">FLUID!AF71</f>
        <v>#N/A</v>
      </c>
      <c r="AC28" s="14" t="e">
        <f ca="1">FLUID!AG71</f>
        <v>#N/A</v>
      </c>
      <c r="AD28" s="14" t="e">
        <f ca="1">FLUID!AH71</f>
        <v>#N/A</v>
      </c>
      <c r="AE28" s="14" t="e">
        <f ca="1">FLUID!AI71</f>
        <v>#N/A</v>
      </c>
      <c r="AF28" s="14" t="e">
        <f ca="1">FLUID!AJ71</f>
        <v>#N/A</v>
      </c>
      <c r="AG28" s="14" t="e">
        <f ca="1">FLUID!AK71</f>
        <v>#N/A</v>
      </c>
      <c r="AH28" s="14" t="e">
        <f ca="1">FLUID!AL71</f>
        <v>#N/A</v>
      </c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</row>
    <row r="29" spans="1:94" ht="22.5" hidden="1" customHeight="1" outlineLevel="1" thickBot="1" x14ac:dyDescent="0.4">
      <c r="A29" s="36">
        <f>FLUID!E72</f>
        <v>0</v>
      </c>
      <c r="B29" s="16" t="e">
        <f ca="1">FLUID!F72</f>
        <v>#N/A</v>
      </c>
      <c r="C29" s="16">
        <f>FLUID!G76</f>
        <v>0</v>
      </c>
      <c r="D29" s="16">
        <f>FLUID!H76</f>
        <v>0</v>
      </c>
      <c r="E29" s="16">
        <f>FLUID!I76</f>
        <v>0</v>
      </c>
      <c r="F29" s="14" t="e">
        <f>#REF!</f>
        <v>#REF!</v>
      </c>
      <c r="G29" s="14" t="e">
        <f>#REF!</f>
        <v>#REF!</v>
      </c>
      <c r="H29" s="14" t="e">
        <f>#REF!</f>
        <v>#REF!</v>
      </c>
      <c r="I29" s="14" t="e">
        <f>#REF!</f>
        <v>#REF!</v>
      </c>
      <c r="J29" s="14" t="e">
        <f>#REF!</f>
        <v>#REF!</v>
      </c>
      <c r="K29" s="14" t="e">
        <f>#REF!</f>
        <v>#REF!</v>
      </c>
      <c r="L29" s="14" t="e">
        <f>#REF!</f>
        <v>#REF!</v>
      </c>
      <c r="M29" s="14" t="e">
        <f>#REF!</f>
        <v>#REF!</v>
      </c>
      <c r="N29" s="14" t="e">
        <f>#REF!</f>
        <v>#REF!</v>
      </c>
      <c r="O29" s="14" t="e">
        <f>#REF!</f>
        <v>#REF!</v>
      </c>
      <c r="P29" s="14" t="e">
        <f>#REF!</f>
        <v>#REF!</v>
      </c>
      <c r="Q29" s="14" t="e">
        <f>#REF!</f>
        <v>#REF!</v>
      </c>
      <c r="R29" s="14" t="e">
        <f>#REF!</f>
        <v>#REF!</v>
      </c>
      <c r="S29" s="14" t="e">
        <f>#REF!</f>
        <v>#REF!</v>
      </c>
      <c r="T29" s="14" t="e">
        <f>#REF!</f>
        <v>#REF!</v>
      </c>
      <c r="U29" s="14" t="e">
        <f>#REF!</f>
        <v>#REF!</v>
      </c>
      <c r="V29" s="14" t="e">
        <f>#REF!</f>
        <v>#REF!</v>
      </c>
      <c r="W29" s="14" t="e">
        <f>#REF!</f>
        <v>#REF!</v>
      </c>
      <c r="X29" s="14" t="e">
        <f>#REF!</f>
        <v>#REF!</v>
      </c>
      <c r="Y29" s="14" t="e">
        <f>#REF!</f>
        <v>#REF!</v>
      </c>
      <c r="Z29" s="14" t="e">
        <f>#REF!</f>
        <v>#REF!</v>
      </c>
      <c r="AA29" s="14" t="e">
        <f>#REF!</f>
        <v>#REF!</v>
      </c>
      <c r="AB29" s="14" t="e">
        <f>#REF!</f>
        <v>#REF!</v>
      </c>
      <c r="AC29" s="14" t="e">
        <f>#REF!</f>
        <v>#REF!</v>
      </c>
      <c r="AD29" s="14" t="e">
        <f>#REF!</f>
        <v>#REF!</v>
      </c>
      <c r="AE29" s="14" t="e">
        <f>#REF!</f>
        <v>#REF!</v>
      </c>
      <c r="AF29" s="14" t="e">
        <f>#REF!</f>
        <v>#REF!</v>
      </c>
      <c r="AG29" s="14" t="e">
        <f>#REF!</f>
        <v>#REF!</v>
      </c>
      <c r="AH29" s="14" t="e">
        <f>#REF!</f>
        <v>#REF!</v>
      </c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55"/>
      <c r="BK29" s="55"/>
      <c r="BL29" s="55"/>
      <c r="BM29" s="55"/>
      <c r="BN29" s="55"/>
      <c r="BO29" s="55"/>
      <c r="BP29" s="55"/>
      <c r="BQ29" s="55"/>
      <c r="BR29" s="55"/>
      <c r="BS29" s="55"/>
      <c r="BT29" s="55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</row>
    <row r="30" spans="1:94" ht="22.5" hidden="1" customHeight="1" outlineLevel="1" thickBot="1" x14ac:dyDescent="0.4">
      <c r="A30" s="36">
        <f>FLUID!E73</f>
        <v>0</v>
      </c>
      <c r="B30" s="16" t="e">
        <f ca="1">FLUID!F73</f>
        <v>#N/A</v>
      </c>
      <c r="C30" s="16">
        <f>FLUID!G77</f>
        <v>0</v>
      </c>
      <c r="D30" s="16">
        <f>FLUID!H77</f>
        <v>0</v>
      </c>
      <c r="E30" s="16">
        <f>FLUID!I77</f>
        <v>0</v>
      </c>
      <c r="F30" s="14" t="e">
        <f>#REF!</f>
        <v>#REF!</v>
      </c>
      <c r="G30" s="14" t="e">
        <f>#REF!</f>
        <v>#REF!</v>
      </c>
      <c r="H30" s="14" t="e">
        <f>#REF!</f>
        <v>#REF!</v>
      </c>
      <c r="I30" s="14" t="e">
        <f>#REF!</f>
        <v>#REF!</v>
      </c>
      <c r="J30" s="14" t="e">
        <f>#REF!</f>
        <v>#REF!</v>
      </c>
      <c r="K30" s="14" t="e">
        <f>#REF!</f>
        <v>#REF!</v>
      </c>
      <c r="L30" s="14" t="e">
        <f>#REF!</f>
        <v>#REF!</v>
      </c>
      <c r="M30" s="14" t="e">
        <f>#REF!</f>
        <v>#REF!</v>
      </c>
      <c r="N30" s="14" t="e">
        <f>#REF!</f>
        <v>#REF!</v>
      </c>
      <c r="O30" s="14" t="e">
        <f>#REF!</f>
        <v>#REF!</v>
      </c>
      <c r="P30" s="14" t="e">
        <f>#REF!</f>
        <v>#REF!</v>
      </c>
      <c r="Q30" s="14" t="e">
        <f>#REF!</f>
        <v>#REF!</v>
      </c>
      <c r="R30" s="14" t="e">
        <f>#REF!</f>
        <v>#REF!</v>
      </c>
      <c r="S30" s="14" t="e">
        <f>#REF!</f>
        <v>#REF!</v>
      </c>
      <c r="T30" s="14" t="e">
        <f>#REF!</f>
        <v>#REF!</v>
      </c>
      <c r="U30" s="14" t="e">
        <f>#REF!</f>
        <v>#REF!</v>
      </c>
      <c r="V30" s="14" t="e">
        <f>#REF!</f>
        <v>#REF!</v>
      </c>
      <c r="W30" s="14" t="e">
        <f>#REF!</f>
        <v>#REF!</v>
      </c>
      <c r="X30" s="14" t="e">
        <f>#REF!</f>
        <v>#REF!</v>
      </c>
      <c r="Y30" s="14" t="e">
        <f>#REF!</f>
        <v>#REF!</v>
      </c>
      <c r="Z30" s="14" t="e">
        <f>#REF!</f>
        <v>#REF!</v>
      </c>
      <c r="AA30" s="14" t="e">
        <f>#REF!</f>
        <v>#REF!</v>
      </c>
      <c r="AB30" s="14" t="e">
        <f>#REF!</f>
        <v>#REF!</v>
      </c>
      <c r="AC30" s="14" t="e">
        <f>#REF!</f>
        <v>#REF!</v>
      </c>
      <c r="AD30" s="14" t="e">
        <f>#REF!</f>
        <v>#REF!</v>
      </c>
      <c r="AE30" s="14" t="e">
        <f>#REF!</f>
        <v>#REF!</v>
      </c>
      <c r="AF30" s="14" t="e">
        <f>#REF!</f>
        <v>#REF!</v>
      </c>
      <c r="AG30" s="14" t="e">
        <f>#REF!</f>
        <v>#REF!</v>
      </c>
      <c r="AH30" s="14" t="e">
        <f>#REF!</f>
        <v>#REF!</v>
      </c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55"/>
      <c r="BK30" s="55"/>
      <c r="BL30" s="55"/>
      <c r="BM30" s="55"/>
      <c r="BN30" s="55"/>
      <c r="BO30" s="55"/>
      <c r="BP30" s="55"/>
      <c r="BQ30" s="55"/>
      <c r="BR30" s="55"/>
      <c r="BS30" s="55"/>
      <c r="BT30" s="55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</row>
    <row r="31" spans="1:94" ht="22.5" hidden="1" customHeight="1" outlineLevel="1" thickBot="1" x14ac:dyDescent="0.4">
      <c r="A31" s="36">
        <f>FLUID!E74</f>
        <v>0</v>
      </c>
      <c r="B31" s="16" t="e">
        <f ca="1">FLUID!F74</f>
        <v>#N/A</v>
      </c>
      <c r="C31" s="16">
        <f>FLUID!G78</f>
        <v>0</v>
      </c>
      <c r="D31" s="16">
        <f>FLUID!H78</f>
        <v>0</v>
      </c>
      <c r="E31" s="16">
        <f>FLUID!I78</f>
        <v>0</v>
      </c>
      <c r="F31" s="14" t="e">
        <f>#REF!</f>
        <v>#REF!</v>
      </c>
      <c r="G31" s="14" t="e">
        <f>#REF!</f>
        <v>#REF!</v>
      </c>
      <c r="H31" s="14" t="e">
        <f>#REF!</f>
        <v>#REF!</v>
      </c>
      <c r="I31" s="14" t="e">
        <f>#REF!</f>
        <v>#REF!</v>
      </c>
      <c r="J31" s="14" t="e">
        <f>#REF!</f>
        <v>#REF!</v>
      </c>
      <c r="K31" s="14" t="e">
        <f>#REF!</f>
        <v>#REF!</v>
      </c>
      <c r="L31" s="14" t="e">
        <f>#REF!</f>
        <v>#REF!</v>
      </c>
      <c r="M31" s="14" t="e">
        <f>#REF!</f>
        <v>#REF!</v>
      </c>
      <c r="N31" s="14" t="e">
        <f>#REF!</f>
        <v>#REF!</v>
      </c>
      <c r="O31" s="14" t="e">
        <f>#REF!</f>
        <v>#REF!</v>
      </c>
      <c r="P31" s="14" t="e">
        <f>#REF!</f>
        <v>#REF!</v>
      </c>
      <c r="Q31" s="14" t="e">
        <f>#REF!</f>
        <v>#REF!</v>
      </c>
      <c r="R31" s="14" t="e">
        <f>#REF!</f>
        <v>#REF!</v>
      </c>
      <c r="S31" s="14" t="e">
        <f>#REF!</f>
        <v>#REF!</v>
      </c>
      <c r="T31" s="14" t="e">
        <f>#REF!</f>
        <v>#REF!</v>
      </c>
      <c r="U31" s="14" t="e">
        <f>#REF!</f>
        <v>#REF!</v>
      </c>
      <c r="V31" s="14" t="e">
        <f>#REF!</f>
        <v>#REF!</v>
      </c>
      <c r="W31" s="14" t="e">
        <f>#REF!</f>
        <v>#REF!</v>
      </c>
      <c r="X31" s="14" t="e">
        <f>#REF!</f>
        <v>#REF!</v>
      </c>
      <c r="Y31" s="14" t="e">
        <f>#REF!</f>
        <v>#REF!</v>
      </c>
      <c r="Z31" s="14" t="e">
        <f>#REF!</f>
        <v>#REF!</v>
      </c>
      <c r="AA31" s="14" t="e">
        <f>#REF!</f>
        <v>#REF!</v>
      </c>
      <c r="AB31" s="14" t="e">
        <f>#REF!</f>
        <v>#REF!</v>
      </c>
      <c r="AC31" s="14" t="e">
        <f>#REF!</f>
        <v>#REF!</v>
      </c>
      <c r="AD31" s="14" t="e">
        <f>#REF!</f>
        <v>#REF!</v>
      </c>
      <c r="AE31" s="14" t="e">
        <f>#REF!</f>
        <v>#REF!</v>
      </c>
      <c r="AF31" s="14" t="e">
        <f>#REF!</f>
        <v>#REF!</v>
      </c>
      <c r="AG31" s="14" t="e">
        <f>#REF!</f>
        <v>#REF!</v>
      </c>
      <c r="AH31" s="14" t="e">
        <f>#REF!</f>
        <v>#REF!</v>
      </c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  <c r="BG31" s="55"/>
      <c r="BH31" s="55"/>
      <c r="BI31" s="55"/>
      <c r="BJ31" s="55"/>
      <c r="BK31" s="55"/>
      <c r="BL31" s="55"/>
      <c r="BM31" s="55"/>
      <c r="BN31" s="55"/>
      <c r="BO31" s="55"/>
      <c r="BP31" s="55"/>
      <c r="BQ31" s="55"/>
      <c r="BR31" s="55"/>
      <c r="BS31" s="55"/>
      <c r="BT31" s="55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</row>
    <row r="32" spans="1:94" ht="22.5" hidden="1" customHeight="1" outlineLevel="1" thickBot="1" x14ac:dyDescent="0.4">
      <c r="A32" s="36">
        <f>FLUID!E75</f>
        <v>1</v>
      </c>
      <c r="B32" s="16">
        <f>FLUID!F75</f>
        <v>0</v>
      </c>
      <c r="C32" s="16">
        <f>FLUID!G75</f>
        <v>0</v>
      </c>
      <c r="D32" s="16">
        <f>FLUID!H75</f>
        <v>0</v>
      </c>
      <c r="E32" s="16">
        <f>FLUID!I75</f>
        <v>0</v>
      </c>
      <c r="F32" s="14">
        <f>FLUID!J75</f>
        <v>0</v>
      </c>
      <c r="G32" s="14">
        <f>FLUID!K75</f>
        <v>0</v>
      </c>
      <c r="H32" s="14">
        <f>FLUID!L75</f>
        <v>0</v>
      </c>
      <c r="I32" s="14">
        <f>FLUID!M75</f>
        <v>0</v>
      </c>
      <c r="J32" s="14">
        <f>FLUID!N75</f>
        <v>0</v>
      </c>
      <c r="K32" s="14">
        <f>FLUID!O75</f>
        <v>0</v>
      </c>
      <c r="L32" s="14">
        <f>FLUID!P75</f>
        <v>0</v>
      </c>
      <c r="M32" s="14">
        <f>FLUID!Q75</f>
        <v>0</v>
      </c>
      <c r="N32" s="14">
        <f>FLUID!R75</f>
        <v>0</v>
      </c>
      <c r="O32" s="14">
        <f>FLUID!S75</f>
        <v>0</v>
      </c>
      <c r="P32" s="14">
        <f>FLUID!T75</f>
        <v>0</v>
      </c>
      <c r="Q32" s="14">
        <f>FLUID!U75</f>
        <v>0</v>
      </c>
      <c r="R32" s="14">
        <f>FLUID!V75</f>
        <v>0</v>
      </c>
      <c r="S32" s="14">
        <f>FLUID!W75</f>
        <v>0</v>
      </c>
      <c r="T32" s="14">
        <f>FLUID!X75</f>
        <v>0</v>
      </c>
      <c r="U32" s="14">
        <f>FLUID!Y75</f>
        <v>0</v>
      </c>
      <c r="V32" s="14">
        <f>FLUID!Z75</f>
        <v>0</v>
      </c>
      <c r="W32" s="14">
        <f>FLUID!AA75</f>
        <v>0</v>
      </c>
      <c r="X32" s="14">
        <f>FLUID!AB75</f>
        <v>0</v>
      </c>
      <c r="Y32" s="14">
        <f>FLUID!AC75</f>
        <v>0</v>
      </c>
      <c r="Z32" s="14">
        <f>FLUID!AD75</f>
        <v>0</v>
      </c>
      <c r="AA32" s="14">
        <f>FLUID!AE75</f>
        <v>0</v>
      </c>
      <c r="AB32" s="14">
        <f>FLUID!AF75</f>
        <v>0</v>
      </c>
      <c r="AC32" s="14">
        <f>FLUID!AG75</f>
        <v>0</v>
      </c>
      <c r="AD32" s="14">
        <f>FLUID!AH75</f>
        <v>0</v>
      </c>
      <c r="AE32" s="14">
        <f>FLUID!AI75</f>
        <v>0</v>
      </c>
      <c r="AF32" s="14">
        <f>FLUID!AJ75</f>
        <v>0</v>
      </c>
      <c r="AG32" s="14">
        <f>FLUID!AK75</f>
        <v>0</v>
      </c>
      <c r="AH32" s="14">
        <f>FLUID!AL75</f>
        <v>0</v>
      </c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55"/>
      <c r="BG32" s="55"/>
      <c r="BH32" s="55"/>
      <c r="BI32" s="55"/>
      <c r="BJ32" s="55"/>
      <c r="BK32" s="55"/>
      <c r="BL32" s="55"/>
      <c r="BM32" s="55"/>
      <c r="BN32" s="55"/>
      <c r="BO32" s="55"/>
      <c r="BP32" s="55"/>
      <c r="BQ32" s="55"/>
      <c r="BR32" s="55"/>
      <c r="BS32" s="55"/>
      <c r="BT32" s="55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</row>
    <row r="33" spans="1:94" ht="22.5" collapsed="1" thickTop="1" thickBot="1" x14ac:dyDescent="0.4">
      <c r="A33" s="38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55"/>
      <c r="BG33" s="55"/>
      <c r="BH33" s="55"/>
      <c r="BI33" s="55"/>
      <c r="BJ33" s="55"/>
      <c r="BK33" s="55"/>
      <c r="BL33" s="55"/>
      <c r="BM33" s="55"/>
      <c r="BN33" s="55"/>
      <c r="BO33" s="55"/>
      <c r="BP33" s="55"/>
      <c r="BQ33" s="55"/>
      <c r="BR33" s="55"/>
      <c r="BS33" s="55"/>
      <c r="BT33" s="55"/>
      <c r="BU33" s="55"/>
      <c r="BV33" s="55"/>
      <c r="BW33" s="55"/>
      <c r="BX33" s="5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</row>
    <row r="34" spans="1:94" ht="22.5" thickTop="1" thickBot="1" x14ac:dyDescent="0.4">
      <c r="A34" s="4" t="s">
        <v>30</v>
      </c>
      <c r="B34" s="72">
        <f>SOLID!F45</f>
        <v>0</v>
      </c>
      <c r="C34" s="72">
        <f>SOLID!G45</f>
        <v>0</v>
      </c>
      <c r="D34" s="72">
        <f>SOLID!H45</f>
        <v>0</v>
      </c>
      <c r="E34" s="72">
        <f>SOLID!I45</f>
        <v>0</v>
      </c>
      <c r="F34" s="72">
        <f>SOLID!J45</f>
        <v>0</v>
      </c>
      <c r="G34" s="72">
        <f>SOLID!K45</f>
        <v>0</v>
      </c>
      <c r="H34" s="72">
        <f>SOLID!L45</f>
        <v>0</v>
      </c>
      <c r="I34" s="72">
        <f>SOLID!M45</f>
        <v>0</v>
      </c>
      <c r="J34" s="72">
        <f>SOLID!N45</f>
        <v>0</v>
      </c>
      <c r="K34" s="72">
        <f>SOLID!O45</f>
        <v>0</v>
      </c>
      <c r="L34" s="72">
        <f>SOLID!P45</f>
        <v>0</v>
      </c>
      <c r="M34" s="72">
        <f>SOLID!Q45</f>
        <v>0</v>
      </c>
      <c r="N34" s="72">
        <f>SOLID!R45</f>
        <v>0</v>
      </c>
      <c r="O34" s="72">
        <f>SOLID!S45</f>
        <v>0</v>
      </c>
      <c r="P34" s="72">
        <f>SOLID!T45</f>
        <v>0</v>
      </c>
      <c r="Q34" s="72">
        <f>SOLID!U45</f>
        <v>0</v>
      </c>
      <c r="R34" s="72">
        <f>SOLID!V45</f>
        <v>0</v>
      </c>
      <c r="S34" s="72">
        <f>SOLID!W45</f>
        <v>0</v>
      </c>
      <c r="T34" s="72">
        <f>SOLID!X45</f>
        <v>0</v>
      </c>
      <c r="U34" s="72">
        <f>SOLID!Y45</f>
        <v>0</v>
      </c>
      <c r="V34" s="72">
        <f>SOLID!Z45</f>
        <v>0</v>
      </c>
      <c r="W34" s="72">
        <f>SOLID!AA45</f>
        <v>0</v>
      </c>
      <c r="X34" s="72">
        <f>SOLID!AB45</f>
        <v>0</v>
      </c>
      <c r="Y34" s="72">
        <f>SOLID!AC45</f>
        <v>0</v>
      </c>
      <c r="Z34" s="72">
        <f>SOLID!AD45</f>
        <v>0</v>
      </c>
      <c r="AA34" s="72">
        <f>SOLID!AE45</f>
        <v>0</v>
      </c>
      <c r="AB34" s="72">
        <f>SOLID!AF45</f>
        <v>0</v>
      </c>
      <c r="AC34" s="72">
        <f>SOLID!AG45</f>
        <v>0</v>
      </c>
      <c r="AD34" s="72">
        <f>SOLID!AH45</f>
        <v>0</v>
      </c>
      <c r="AE34" s="72">
        <f>SOLID!AI45</f>
        <v>0</v>
      </c>
      <c r="AF34" s="72">
        <f>SOLID!AJ45</f>
        <v>0</v>
      </c>
      <c r="AG34" s="72">
        <f>SOLID!AK45</f>
        <v>0</v>
      </c>
      <c r="AH34" s="72">
        <f>SOLID!AL45</f>
        <v>0</v>
      </c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A34" s="55"/>
      <c r="BB34" s="55"/>
      <c r="BC34" s="55"/>
      <c r="BD34" s="55"/>
      <c r="BE34" s="55"/>
      <c r="BF34" s="55"/>
      <c r="BG34" s="55"/>
      <c r="BH34" s="55"/>
      <c r="BI34" s="55"/>
      <c r="BJ34" s="55"/>
      <c r="BK34" s="55"/>
      <c r="BL34" s="55"/>
      <c r="BM34" s="55"/>
      <c r="BN34" s="55"/>
      <c r="BO34" s="55"/>
      <c r="BP34" s="55"/>
      <c r="BQ34" s="55"/>
      <c r="BR34" s="55"/>
      <c r="BS34" s="55"/>
      <c r="BT34" s="55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</row>
    <row r="35" spans="1:94" ht="22.5" hidden="1" outlineLevel="1" thickTop="1" thickBot="1" x14ac:dyDescent="0.4">
      <c r="A35" s="35">
        <f>SOLID!E46</f>
        <v>0</v>
      </c>
      <c r="B35" s="16" t="e">
        <f ca="1">SOLID!F46</f>
        <v>#N/A</v>
      </c>
      <c r="C35" s="16" t="e">
        <f ca="1">SOLID!G46</f>
        <v>#N/A</v>
      </c>
      <c r="D35" s="16" t="e">
        <f ca="1">SOLID!H46</f>
        <v>#N/A</v>
      </c>
      <c r="E35" s="16" t="e">
        <f ca="1">SOLID!I46</f>
        <v>#N/A</v>
      </c>
      <c r="F35" s="14" t="e">
        <f ca="1">SOLID!J46</f>
        <v>#N/A</v>
      </c>
      <c r="G35" s="14" t="e">
        <f ca="1">SOLID!K46</f>
        <v>#N/A</v>
      </c>
      <c r="H35" s="14" t="e">
        <f ca="1">SOLID!L46</f>
        <v>#N/A</v>
      </c>
      <c r="I35" s="14" t="e">
        <f ca="1">SOLID!M46</f>
        <v>#N/A</v>
      </c>
      <c r="J35" s="14" t="e">
        <f ca="1">SOLID!N46</f>
        <v>#N/A</v>
      </c>
      <c r="K35" s="14" t="e">
        <f ca="1">SOLID!O46</f>
        <v>#N/A</v>
      </c>
      <c r="L35" s="14" t="e">
        <f ca="1">SOLID!P46</f>
        <v>#N/A</v>
      </c>
      <c r="M35" s="14" t="e">
        <f ca="1">SOLID!Q46</f>
        <v>#N/A</v>
      </c>
      <c r="N35" s="14" t="e">
        <f ca="1">SOLID!R46</f>
        <v>#N/A</v>
      </c>
      <c r="O35" s="14" t="e">
        <f ca="1">SOLID!S46</f>
        <v>#N/A</v>
      </c>
      <c r="P35" s="14" t="e">
        <f ca="1">SOLID!T46</f>
        <v>#N/A</v>
      </c>
      <c r="Q35" s="14" t="e">
        <f ca="1">SOLID!U46</f>
        <v>#N/A</v>
      </c>
      <c r="R35" s="14" t="e">
        <f ca="1">SOLID!V46</f>
        <v>#N/A</v>
      </c>
      <c r="S35" s="14" t="e">
        <f ca="1">SOLID!W46</f>
        <v>#N/A</v>
      </c>
      <c r="T35" s="14" t="e">
        <f ca="1">SOLID!X46</f>
        <v>#N/A</v>
      </c>
      <c r="U35" s="14" t="e">
        <f ca="1">SOLID!Y46</f>
        <v>#N/A</v>
      </c>
      <c r="V35" s="14" t="e">
        <f ca="1">SOLID!Z46</f>
        <v>#N/A</v>
      </c>
      <c r="W35" s="14" t="e">
        <f ca="1">SOLID!AA46</f>
        <v>#N/A</v>
      </c>
      <c r="X35" s="14" t="e">
        <f ca="1">SOLID!AB46</f>
        <v>#N/A</v>
      </c>
      <c r="Y35" s="14" t="e">
        <f ca="1">SOLID!AC46</f>
        <v>#N/A</v>
      </c>
      <c r="Z35" s="14" t="e">
        <f ca="1">SOLID!AD46</f>
        <v>#N/A</v>
      </c>
      <c r="AA35" s="14" t="e">
        <f ca="1">SOLID!AE46</f>
        <v>#N/A</v>
      </c>
      <c r="AB35" s="14" t="e">
        <f ca="1">SOLID!AF46</f>
        <v>#N/A</v>
      </c>
      <c r="AC35" s="14" t="e">
        <f ca="1">SOLID!AG46</f>
        <v>#N/A</v>
      </c>
      <c r="AD35" s="14" t="e">
        <f ca="1">SOLID!AH46</f>
        <v>#N/A</v>
      </c>
      <c r="AE35" s="14" t="e">
        <f ca="1">SOLID!AI46</f>
        <v>#N/A</v>
      </c>
      <c r="AF35" s="14" t="e">
        <f ca="1">SOLID!AJ46</f>
        <v>#N/A</v>
      </c>
      <c r="AG35" s="14" t="e">
        <f ca="1">SOLID!AK46</f>
        <v>#N/A</v>
      </c>
      <c r="AH35" s="14" t="e">
        <f ca="1">SOLID!AL46</f>
        <v>#N/A</v>
      </c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55"/>
      <c r="BA35" s="55"/>
      <c r="BB35" s="55"/>
      <c r="BC35" s="55"/>
      <c r="BD35" s="55"/>
      <c r="BE35" s="55"/>
      <c r="BF35" s="55"/>
      <c r="BG35" s="55"/>
      <c r="BH35" s="55"/>
      <c r="BI35" s="55"/>
      <c r="BJ35" s="55"/>
      <c r="BK35" s="55"/>
      <c r="BL35" s="55"/>
      <c r="BM35" s="55"/>
      <c r="BN35" s="55"/>
      <c r="BO35" s="55"/>
      <c r="BP35" s="55"/>
      <c r="BQ35" s="55"/>
      <c r="BR35" s="55"/>
      <c r="BS35" s="55"/>
      <c r="BT35" s="55"/>
      <c r="BU35" s="55"/>
      <c r="BV35" s="55"/>
      <c r="BW35" s="55"/>
      <c r="BX35" s="5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</row>
    <row r="36" spans="1:94" ht="21.75" hidden="1" outlineLevel="1" thickBot="1" x14ac:dyDescent="0.4">
      <c r="A36" s="35">
        <f>SOLID!E47</f>
        <v>0</v>
      </c>
      <c r="B36" s="16" t="e">
        <f ca="1">SOLID!F47</f>
        <v>#N/A</v>
      </c>
      <c r="C36" s="16" t="e">
        <f ca="1">SOLID!G47</f>
        <v>#N/A</v>
      </c>
      <c r="D36" s="16" t="e">
        <f ca="1">SOLID!H47</f>
        <v>#N/A</v>
      </c>
      <c r="E36" s="16" t="e">
        <f ca="1">SOLID!I47</f>
        <v>#N/A</v>
      </c>
      <c r="F36" s="14" t="e">
        <f ca="1">SOLID!J47</f>
        <v>#N/A</v>
      </c>
      <c r="G36" s="14" t="e">
        <f ca="1">SOLID!K47</f>
        <v>#N/A</v>
      </c>
      <c r="H36" s="14" t="e">
        <f ca="1">SOLID!L47</f>
        <v>#N/A</v>
      </c>
      <c r="I36" s="14" t="e">
        <f ca="1">SOLID!M47</f>
        <v>#N/A</v>
      </c>
      <c r="J36" s="14" t="e">
        <f ca="1">SOLID!N47</f>
        <v>#N/A</v>
      </c>
      <c r="K36" s="14" t="e">
        <f ca="1">SOLID!O47</f>
        <v>#N/A</v>
      </c>
      <c r="L36" s="14" t="e">
        <f ca="1">SOLID!P47</f>
        <v>#N/A</v>
      </c>
      <c r="M36" s="14" t="e">
        <f ca="1">SOLID!Q47</f>
        <v>#N/A</v>
      </c>
      <c r="N36" s="14" t="e">
        <f ca="1">SOLID!R47</f>
        <v>#N/A</v>
      </c>
      <c r="O36" s="14" t="e">
        <f ca="1">SOLID!S47</f>
        <v>#N/A</v>
      </c>
      <c r="P36" s="14" t="e">
        <f ca="1">SOLID!T47</f>
        <v>#N/A</v>
      </c>
      <c r="Q36" s="14" t="e">
        <f ca="1">SOLID!U47</f>
        <v>#N/A</v>
      </c>
      <c r="R36" s="14" t="e">
        <f ca="1">SOLID!V47</f>
        <v>#N/A</v>
      </c>
      <c r="S36" s="14" t="e">
        <f ca="1">SOLID!W47</f>
        <v>#N/A</v>
      </c>
      <c r="T36" s="14" t="e">
        <f ca="1">SOLID!X47</f>
        <v>#N/A</v>
      </c>
      <c r="U36" s="14" t="e">
        <f ca="1">SOLID!Y47</f>
        <v>#N/A</v>
      </c>
      <c r="V36" s="14" t="e">
        <f ca="1">SOLID!Z47</f>
        <v>#N/A</v>
      </c>
      <c r="W36" s="14" t="e">
        <f ca="1">SOLID!AA47</f>
        <v>#N/A</v>
      </c>
      <c r="X36" s="14" t="e">
        <f ca="1">SOLID!AB47</f>
        <v>#N/A</v>
      </c>
      <c r="Y36" s="14" t="e">
        <f ca="1">SOLID!AC47</f>
        <v>#N/A</v>
      </c>
      <c r="Z36" s="14" t="e">
        <f ca="1">SOLID!AD47</f>
        <v>#N/A</v>
      </c>
      <c r="AA36" s="14" t="e">
        <f ca="1">SOLID!AE47</f>
        <v>#N/A</v>
      </c>
      <c r="AB36" s="14" t="e">
        <f ca="1">SOLID!AF47</f>
        <v>#N/A</v>
      </c>
      <c r="AC36" s="14" t="e">
        <f ca="1">SOLID!AG47</f>
        <v>#N/A</v>
      </c>
      <c r="AD36" s="14" t="e">
        <f ca="1">SOLID!AH47</f>
        <v>#N/A</v>
      </c>
      <c r="AE36" s="14" t="e">
        <f ca="1">SOLID!AI47</f>
        <v>#N/A</v>
      </c>
      <c r="AF36" s="14" t="e">
        <f ca="1">SOLID!AJ47</f>
        <v>#N/A</v>
      </c>
      <c r="AG36" s="14" t="e">
        <f ca="1">SOLID!AK47</f>
        <v>#N/A</v>
      </c>
      <c r="AH36" s="14" t="e">
        <f ca="1">SOLID!AL47</f>
        <v>#N/A</v>
      </c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55"/>
      <c r="BK36" s="55"/>
      <c r="BL36" s="55"/>
      <c r="BM36" s="55"/>
      <c r="BN36" s="55"/>
      <c r="BO36" s="55"/>
      <c r="BP36" s="55"/>
      <c r="BQ36" s="55"/>
      <c r="BR36" s="55"/>
      <c r="BS36" s="55"/>
      <c r="BT36" s="55"/>
      <c r="BU36" s="55"/>
      <c r="BV36" s="55"/>
      <c r="BW36" s="55"/>
      <c r="BX36" s="5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55"/>
      <c r="CO36" s="55"/>
      <c r="CP36" s="55"/>
    </row>
    <row r="37" spans="1:94" ht="21.75" hidden="1" outlineLevel="1" thickBot="1" x14ac:dyDescent="0.4">
      <c r="A37" s="35">
        <f>SOLID!E48</f>
        <v>0</v>
      </c>
      <c r="B37" s="16" t="e">
        <f ca="1">SOLID!F48</f>
        <v>#N/A</v>
      </c>
      <c r="C37" s="16" t="e">
        <f ca="1">SOLID!G48</f>
        <v>#N/A</v>
      </c>
      <c r="D37" s="16" t="e">
        <f ca="1">SOLID!H48</f>
        <v>#N/A</v>
      </c>
      <c r="E37" s="16" t="e">
        <f ca="1">SOLID!I48</f>
        <v>#N/A</v>
      </c>
      <c r="F37" s="14" t="e">
        <f ca="1">SOLID!J48</f>
        <v>#N/A</v>
      </c>
      <c r="G37" s="14" t="e">
        <f ca="1">SOLID!K48</f>
        <v>#N/A</v>
      </c>
      <c r="H37" s="14" t="e">
        <f ca="1">SOLID!L48</f>
        <v>#N/A</v>
      </c>
      <c r="I37" s="14" t="e">
        <f ca="1">SOLID!M48</f>
        <v>#N/A</v>
      </c>
      <c r="J37" s="14" t="e">
        <f ca="1">SOLID!N48</f>
        <v>#N/A</v>
      </c>
      <c r="K37" s="14" t="e">
        <f ca="1">SOLID!O48</f>
        <v>#N/A</v>
      </c>
      <c r="L37" s="14" t="e">
        <f ca="1">SOLID!P48</f>
        <v>#N/A</v>
      </c>
      <c r="M37" s="14" t="e">
        <f ca="1">SOLID!Q48</f>
        <v>#N/A</v>
      </c>
      <c r="N37" s="14" t="e">
        <f ca="1">SOLID!R48</f>
        <v>#N/A</v>
      </c>
      <c r="O37" s="14" t="e">
        <f ca="1">SOLID!S48</f>
        <v>#N/A</v>
      </c>
      <c r="P37" s="14" t="e">
        <f ca="1">SOLID!T48</f>
        <v>#N/A</v>
      </c>
      <c r="Q37" s="14" t="e">
        <f ca="1">SOLID!U48</f>
        <v>#N/A</v>
      </c>
      <c r="R37" s="14" t="e">
        <f ca="1">SOLID!V48</f>
        <v>#N/A</v>
      </c>
      <c r="S37" s="14" t="e">
        <f ca="1">SOLID!W48</f>
        <v>#N/A</v>
      </c>
      <c r="T37" s="14" t="e">
        <f ca="1">SOLID!X48</f>
        <v>#N/A</v>
      </c>
      <c r="U37" s="14" t="e">
        <f ca="1">SOLID!Y48</f>
        <v>#N/A</v>
      </c>
      <c r="V37" s="14" t="e">
        <f ca="1">SOLID!Z48</f>
        <v>#N/A</v>
      </c>
      <c r="W37" s="14" t="e">
        <f ca="1">SOLID!AA48</f>
        <v>#N/A</v>
      </c>
      <c r="X37" s="14" t="e">
        <f ca="1">SOLID!AB48</f>
        <v>#N/A</v>
      </c>
      <c r="Y37" s="14" t="e">
        <f ca="1">SOLID!AC48</f>
        <v>#N/A</v>
      </c>
      <c r="Z37" s="14" t="e">
        <f ca="1">SOLID!AD48</f>
        <v>#N/A</v>
      </c>
      <c r="AA37" s="14" t="e">
        <f ca="1">SOLID!AE48</f>
        <v>#N/A</v>
      </c>
      <c r="AB37" s="14" t="e">
        <f ca="1">SOLID!AF48</f>
        <v>#N/A</v>
      </c>
      <c r="AC37" s="14" t="e">
        <f ca="1">SOLID!AG48</f>
        <v>#N/A</v>
      </c>
      <c r="AD37" s="14" t="e">
        <f ca="1">SOLID!AH48</f>
        <v>#N/A</v>
      </c>
      <c r="AE37" s="14" t="e">
        <f ca="1">SOLID!AI48</f>
        <v>#N/A</v>
      </c>
      <c r="AF37" s="14" t="e">
        <f ca="1">SOLID!AJ48</f>
        <v>#N/A</v>
      </c>
      <c r="AG37" s="14" t="e">
        <f ca="1">SOLID!AK48</f>
        <v>#N/A</v>
      </c>
      <c r="AH37" s="14" t="e">
        <f ca="1">SOLID!AL48</f>
        <v>#N/A</v>
      </c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  <c r="BN37" s="55"/>
      <c r="BO37" s="55"/>
      <c r="BP37" s="55"/>
      <c r="BQ37" s="55"/>
      <c r="BR37" s="55"/>
      <c r="BS37" s="55"/>
      <c r="BT37" s="55"/>
      <c r="BU37" s="55"/>
      <c r="BV37" s="55"/>
      <c r="BW37" s="55"/>
      <c r="BX37" s="5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</row>
    <row r="38" spans="1:94" ht="21.75" hidden="1" outlineLevel="1" thickBot="1" x14ac:dyDescent="0.4">
      <c r="A38" s="35">
        <f>SOLID!E49</f>
        <v>0</v>
      </c>
      <c r="B38" s="16" t="e">
        <f ca="1">SOLID!F49</f>
        <v>#N/A</v>
      </c>
      <c r="C38" s="16" t="e">
        <f ca="1">SOLID!G49</f>
        <v>#N/A</v>
      </c>
      <c r="D38" s="16" t="e">
        <f ca="1">SOLID!H49</f>
        <v>#N/A</v>
      </c>
      <c r="E38" s="16" t="e">
        <f ca="1">SOLID!I49</f>
        <v>#N/A</v>
      </c>
      <c r="F38" s="14" t="e">
        <f ca="1">SOLID!J49</f>
        <v>#N/A</v>
      </c>
      <c r="G38" s="14" t="e">
        <f ca="1">SOLID!K49</f>
        <v>#N/A</v>
      </c>
      <c r="H38" s="14" t="e">
        <f ca="1">SOLID!L49</f>
        <v>#N/A</v>
      </c>
      <c r="I38" s="14" t="e">
        <f ca="1">SOLID!M49</f>
        <v>#N/A</v>
      </c>
      <c r="J38" s="14" t="e">
        <f ca="1">SOLID!N49</f>
        <v>#N/A</v>
      </c>
      <c r="K38" s="14" t="e">
        <f ca="1">SOLID!O49</f>
        <v>#N/A</v>
      </c>
      <c r="L38" s="14" t="e">
        <f ca="1">SOLID!P49</f>
        <v>#N/A</v>
      </c>
      <c r="M38" s="14" t="e">
        <f ca="1">SOLID!Q49</f>
        <v>#N/A</v>
      </c>
      <c r="N38" s="14" t="e">
        <f ca="1">SOLID!R49</f>
        <v>#N/A</v>
      </c>
      <c r="O38" s="14" t="e">
        <f ca="1">SOLID!S49</f>
        <v>#N/A</v>
      </c>
      <c r="P38" s="14" t="e">
        <f ca="1">SOLID!T49</f>
        <v>#N/A</v>
      </c>
      <c r="Q38" s="14" t="e">
        <f ca="1">SOLID!U49</f>
        <v>#N/A</v>
      </c>
      <c r="R38" s="14" t="e">
        <f ca="1">SOLID!V49</f>
        <v>#N/A</v>
      </c>
      <c r="S38" s="14" t="e">
        <f ca="1">SOLID!W49</f>
        <v>#N/A</v>
      </c>
      <c r="T38" s="14" t="e">
        <f ca="1">SOLID!X49</f>
        <v>#N/A</v>
      </c>
      <c r="U38" s="14" t="e">
        <f ca="1">SOLID!Y49</f>
        <v>#N/A</v>
      </c>
      <c r="V38" s="14" t="e">
        <f ca="1">SOLID!Z49</f>
        <v>#N/A</v>
      </c>
      <c r="W38" s="14" t="e">
        <f ca="1">SOLID!AA49</f>
        <v>#N/A</v>
      </c>
      <c r="X38" s="14" t="e">
        <f ca="1">SOLID!AB49</f>
        <v>#N/A</v>
      </c>
      <c r="Y38" s="14" t="e">
        <f ca="1">SOLID!AC49</f>
        <v>#N/A</v>
      </c>
      <c r="Z38" s="14" t="e">
        <f ca="1">SOLID!AD49</f>
        <v>#N/A</v>
      </c>
      <c r="AA38" s="14" t="e">
        <f ca="1">SOLID!AE49</f>
        <v>#N/A</v>
      </c>
      <c r="AB38" s="14" t="e">
        <f ca="1">SOLID!AF49</f>
        <v>#N/A</v>
      </c>
      <c r="AC38" s="14" t="e">
        <f ca="1">SOLID!AG49</f>
        <v>#N/A</v>
      </c>
      <c r="AD38" s="14" t="e">
        <f ca="1">SOLID!AH49</f>
        <v>#N/A</v>
      </c>
      <c r="AE38" s="14" t="e">
        <f ca="1">SOLID!AI49</f>
        <v>#N/A</v>
      </c>
      <c r="AF38" s="14" t="e">
        <f ca="1">SOLID!AJ49</f>
        <v>#N/A</v>
      </c>
      <c r="AG38" s="14" t="e">
        <f ca="1">SOLID!AK49</f>
        <v>#N/A</v>
      </c>
      <c r="AH38" s="14" t="e">
        <f ca="1">SOLID!AL49</f>
        <v>#N/A</v>
      </c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  <c r="BJ38" s="55"/>
      <c r="BK38" s="55"/>
      <c r="BL38" s="55"/>
      <c r="BM38" s="55"/>
      <c r="BN38" s="55"/>
      <c r="BO38" s="55"/>
      <c r="BP38" s="55"/>
      <c r="BQ38" s="55"/>
      <c r="BR38" s="55"/>
      <c r="BS38" s="55"/>
      <c r="BT38" s="55"/>
      <c r="BU38" s="55"/>
      <c r="BV38" s="55"/>
      <c r="BW38" s="55"/>
      <c r="BX38" s="5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</row>
    <row r="39" spans="1:94" ht="21.75" hidden="1" outlineLevel="1" thickBot="1" x14ac:dyDescent="0.4">
      <c r="A39" s="35">
        <f>SOLID!E50</f>
        <v>0</v>
      </c>
      <c r="B39" s="16" t="e">
        <f ca="1">SOLID!F50</f>
        <v>#N/A</v>
      </c>
      <c r="C39" s="16" t="e">
        <f ca="1">SOLID!G50</f>
        <v>#N/A</v>
      </c>
      <c r="D39" s="16" t="e">
        <f ca="1">SOLID!H50</f>
        <v>#N/A</v>
      </c>
      <c r="E39" s="16" t="e">
        <f ca="1">SOLID!I50</f>
        <v>#N/A</v>
      </c>
      <c r="F39" s="14" t="e">
        <f ca="1">SOLID!J50</f>
        <v>#N/A</v>
      </c>
      <c r="G39" s="14" t="e">
        <f ca="1">SOLID!K50</f>
        <v>#N/A</v>
      </c>
      <c r="H39" s="14" t="e">
        <f ca="1">SOLID!L50</f>
        <v>#N/A</v>
      </c>
      <c r="I39" s="14" t="e">
        <f ca="1">SOLID!M50</f>
        <v>#N/A</v>
      </c>
      <c r="J39" s="14" t="e">
        <f ca="1">SOLID!N50</f>
        <v>#N/A</v>
      </c>
      <c r="K39" s="14" t="e">
        <f ca="1">SOLID!O50</f>
        <v>#N/A</v>
      </c>
      <c r="L39" s="14" t="e">
        <f ca="1">SOLID!P50</f>
        <v>#N/A</v>
      </c>
      <c r="M39" s="14" t="e">
        <f ca="1">SOLID!Q50</f>
        <v>#N/A</v>
      </c>
      <c r="N39" s="14" t="e">
        <f ca="1">SOLID!R50</f>
        <v>#N/A</v>
      </c>
      <c r="O39" s="14" t="e">
        <f ca="1">SOLID!S50</f>
        <v>#N/A</v>
      </c>
      <c r="P39" s="14" t="e">
        <f ca="1">SOLID!T50</f>
        <v>#N/A</v>
      </c>
      <c r="Q39" s="14" t="e">
        <f ca="1">SOLID!U50</f>
        <v>#N/A</v>
      </c>
      <c r="R39" s="14" t="e">
        <f ca="1">SOLID!V50</f>
        <v>#N/A</v>
      </c>
      <c r="S39" s="14" t="e">
        <f ca="1">SOLID!W50</f>
        <v>#N/A</v>
      </c>
      <c r="T39" s="14" t="e">
        <f ca="1">SOLID!X50</f>
        <v>#N/A</v>
      </c>
      <c r="U39" s="14" t="e">
        <f ca="1">SOLID!Y50</f>
        <v>#N/A</v>
      </c>
      <c r="V39" s="14" t="e">
        <f ca="1">SOLID!Z50</f>
        <v>#N/A</v>
      </c>
      <c r="W39" s="14" t="e">
        <f ca="1">SOLID!AA50</f>
        <v>#N/A</v>
      </c>
      <c r="X39" s="14" t="e">
        <f ca="1">SOLID!AB50</f>
        <v>#N/A</v>
      </c>
      <c r="Y39" s="14" t="e">
        <f ca="1">SOLID!AC50</f>
        <v>#N/A</v>
      </c>
      <c r="Z39" s="14" t="e">
        <f ca="1">SOLID!AD50</f>
        <v>#N/A</v>
      </c>
      <c r="AA39" s="14" t="e">
        <f ca="1">SOLID!AE50</f>
        <v>#N/A</v>
      </c>
      <c r="AB39" s="14" t="e">
        <f ca="1">SOLID!AF50</f>
        <v>#N/A</v>
      </c>
      <c r="AC39" s="14" t="e">
        <f ca="1">SOLID!AG50</f>
        <v>#N/A</v>
      </c>
      <c r="AD39" s="14" t="e">
        <f ca="1">SOLID!AH50</f>
        <v>#N/A</v>
      </c>
      <c r="AE39" s="14" t="e">
        <f ca="1">SOLID!AI50</f>
        <v>#N/A</v>
      </c>
      <c r="AF39" s="14" t="e">
        <f ca="1">SOLID!AJ50</f>
        <v>#N/A</v>
      </c>
      <c r="AG39" s="14" t="e">
        <f ca="1">SOLID!AK50</f>
        <v>#N/A</v>
      </c>
      <c r="AH39" s="14" t="e">
        <f ca="1">SOLID!AL50</f>
        <v>#N/A</v>
      </c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  <c r="BH39" s="55"/>
      <c r="BI39" s="55"/>
      <c r="BJ39" s="55"/>
      <c r="BK39" s="55"/>
      <c r="BL39" s="55"/>
      <c r="BM39" s="55"/>
      <c r="BN39" s="55"/>
      <c r="BO39" s="55"/>
      <c r="BP39" s="55"/>
      <c r="BQ39" s="55"/>
      <c r="BR39" s="55"/>
      <c r="BS39" s="55"/>
      <c r="BT39" s="55"/>
      <c r="BU39" s="55"/>
      <c r="BV39" s="55"/>
      <c r="BW39" s="55"/>
      <c r="BX39" s="5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</row>
    <row r="40" spans="1:94" ht="21.75" hidden="1" outlineLevel="1" thickBot="1" x14ac:dyDescent="0.4">
      <c r="A40" s="35">
        <f>SOLID!E51</f>
        <v>0</v>
      </c>
      <c r="B40" s="16" t="e">
        <f ca="1">SOLID!F51</f>
        <v>#N/A</v>
      </c>
      <c r="C40" s="16" t="e">
        <f ca="1">SOLID!G51</f>
        <v>#N/A</v>
      </c>
      <c r="D40" s="16" t="e">
        <f ca="1">SOLID!H51</f>
        <v>#N/A</v>
      </c>
      <c r="E40" s="16" t="e">
        <f ca="1">SOLID!I51</f>
        <v>#N/A</v>
      </c>
      <c r="F40" s="14" t="e">
        <f ca="1">SOLID!J51</f>
        <v>#N/A</v>
      </c>
      <c r="G40" s="14" t="e">
        <f ca="1">SOLID!K51</f>
        <v>#N/A</v>
      </c>
      <c r="H40" s="14" t="e">
        <f ca="1">SOLID!L51</f>
        <v>#N/A</v>
      </c>
      <c r="I40" s="14" t="e">
        <f ca="1">SOLID!M51</f>
        <v>#N/A</v>
      </c>
      <c r="J40" s="14" t="e">
        <f ca="1">SOLID!N51</f>
        <v>#N/A</v>
      </c>
      <c r="K40" s="14" t="e">
        <f ca="1">SOLID!O51</f>
        <v>#N/A</v>
      </c>
      <c r="L40" s="14" t="e">
        <f ca="1">SOLID!P51</f>
        <v>#N/A</v>
      </c>
      <c r="M40" s="14" t="e">
        <f ca="1">SOLID!Q51</f>
        <v>#N/A</v>
      </c>
      <c r="N40" s="14" t="e">
        <f ca="1">SOLID!R51</f>
        <v>#N/A</v>
      </c>
      <c r="O40" s="14" t="e">
        <f ca="1">SOLID!S51</f>
        <v>#N/A</v>
      </c>
      <c r="P40" s="14" t="e">
        <f ca="1">SOLID!T51</f>
        <v>#N/A</v>
      </c>
      <c r="Q40" s="14" t="e">
        <f ca="1">SOLID!U51</f>
        <v>#N/A</v>
      </c>
      <c r="R40" s="14" t="e">
        <f ca="1">SOLID!V51</f>
        <v>#N/A</v>
      </c>
      <c r="S40" s="14" t="e">
        <f ca="1">SOLID!W51</f>
        <v>#N/A</v>
      </c>
      <c r="T40" s="14" t="e">
        <f ca="1">SOLID!X51</f>
        <v>#N/A</v>
      </c>
      <c r="U40" s="14" t="e">
        <f ca="1">SOLID!Y51</f>
        <v>#N/A</v>
      </c>
      <c r="V40" s="14" t="e">
        <f ca="1">SOLID!Z51</f>
        <v>#N/A</v>
      </c>
      <c r="W40" s="14" t="e">
        <f ca="1">SOLID!AA51</f>
        <v>#N/A</v>
      </c>
      <c r="X40" s="14" t="e">
        <f ca="1">SOLID!AB51</f>
        <v>#N/A</v>
      </c>
      <c r="Y40" s="14" t="e">
        <f ca="1">SOLID!AC51</f>
        <v>#N/A</v>
      </c>
      <c r="Z40" s="14" t="e">
        <f ca="1">SOLID!AD51</f>
        <v>#N/A</v>
      </c>
      <c r="AA40" s="14" t="e">
        <f ca="1">SOLID!AE51</f>
        <v>#N/A</v>
      </c>
      <c r="AB40" s="14" t="e">
        <f ca="1">SOLID!AF51</f>
        <v>#N/A</v>
      </c>
      <c r="AC40" s="14" t="e">
        <f ca="1">SOLID!AG51</f>
        <v>#N/A</v>
      </c>
      <c r="AD40" s="14" t="e">
        <f ca="1">SOLID!AH51</f>
        <v>#N/A</v>
      </c>
      <c r="AE40" s="14" t="e">
        <f ca="1">SOLID!AI51</f>
        <v>#N/A</v>
      </c>
      <c r="AF40" s="14" t="e">
        <f ca="1">SOLID!AJ51</f>
        <v>#N/A</v>
      </c>
      <c r="AG40" s="14" t="e">
        <f ca="1">SOLID!AK51</f>
        <v>#N/A</v>
      </c>
      <c r="AH40" s="14" t="e">
        <f ca="1">SOLID!AL51</f>
        <v>#N/A</v>
      </c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55"/>
      <c r="BG40" s="55"/>
      <c r="BH40" s="55"/>
      <c r="BI40" s="55"/>
      <c r="BJ40" s="55"/>
      <c r="BK40" s="55"/>
      <c r="BL40" s="55"/>
      <c r="BM40" s="55"/>
      <c r="BN40" s="55"/>
      <c r="BO40" s="55"/>
      <c r="BP40" s="55"/>
      <c r="BQ40" s="55"/>
      <c r="BR40" s="55"/>
      <c r="BS40" s="55"/>
      <c r="BT40" s="55"/>
      <c r="BU40" s="55"/>
      <c r="BV40" s="55"/>
      <c r="BW40" s="55"/>
      <c r="BX40" s="5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</row>
    <row r="41" spans="1:94" ht="21.75" hidden="1" outlineLevel="1" thickBot="1" x14ac:dyDescent="0.4">
      <c r="A41" s="35">
        <f>SOLID!E52</f>
        <v>0</v>
      </c>
      <c r="B41" s="16" t="e">
        <f ca="1">SOLID!F52</f>
        <v>#N/A</v>
      </c>
      <c r="C41" s="16" t="e">
        <f ca="1">SOLID!G52</f>
        <v>#N/A</v>
      </c>
      <c r="D41" s="16" t="e">
        <f ca="1">SOLID!H52</f>
        <v>#N/A</v>
      </c>
      <c r="E41" s="16" t="e">
        <f ca="1">SOLID!I52</f>
        <v>#N/A</v>
      </c>
      <c r="F41" s="14" t="e">
        <f ca="1">SOLID!J52</f>
        <v>#N/A</v>
      </c>
      <c r="G41" s="14" t="e">
        <f ca="1">SOLID!K52</f>
        <v>#N/A</v>
      </c>
      <c r="H41" s="14" t="e">
        <f ca="1">SOLID!L52</f>
        <v>#N/A</v>
      </c>
      <c r="I41" s="14" t="e">
        <f ca="1">SOLID!M52</f>
        <v>#N/A</v>
      </c>
      <c r="J41" s="14" t="e">
        <f ca="1">SOLID!N52</f>
        <v>#N/A</v>
      </c>
      <c r="K41" s="14" t="e">
        <f ca="1">SOLID!O52</f>
        <v>#N/A</v>
      </c>
      <c r="L41" s="14" t="e">
        <f ca="1">SOLID!P52</f>
        <v>#N/A</v>
      </c>
      <c r="M41" s="14" t="e">
        <f ca="1">SOLID!Q52</f>
        <v>#N/A</v>
      </c>
      <c r="N41" s="14" t="e">
        <f ca="1">SOLID!R52</f>
        <v>#N/A</v>
      </c>
      <c r="O41" s="14" t="e">
        <f ca="1">SOLID!S52</f>
        <v>#N/A</v>
      </c>
      <c r="P41" s="14" t="e">
        <f ca="1">SOLID!T52</f>
        <v>#N/A</v>
      </c>
      <c r="Q41" s="14" t="e">
        <f ca="1">SOLID!U52</f>
        <v>#N/A</v>
      </c>
      <c r="R41" s="14" t="e">
        <f ca="1">SOLID!V52</f>
        <v>#N/A</v>
      </c>
      <c r="S41" s="14" t="e">
        <f ca="1">SOLID!W52</f>
        <v>#N/A</v>
      </c>
      <c r="T41" s="14" t="e">
        <f ca="1">SOLID!X52</f>
        <v>#N/A</v>
      </c>
      <c r="U41" s="14" t="e">
        <f ca="1">SOLID!Y52</f>
        <v>#N/A</v>
      </c>
      <c r="V41" s="14" t="e">
        <f ca="1">SOLID!Z52</f>
        <v>#N/A</v>
      </c>
      <c r="W41" s="14" t="e">
        <f ca="1">SOLID!AA52</f>
        <v>#N/A</v>
      </c>
      <c r="X41" s="14" t="e">
        <f ca="1">SOLID!AB52</f>
        <v>#N/A</v>
      </c>
      <c r="Y41" s="14" t="e">
        <f ca="1">SOLID!AC52</f>
        <v>#N/A</v>
      </c>
      <c r="Z41" s="14" t="e">
        <f ca="1">SOLID!AD52</f>
        <v>#N/A</v>
      </c>
      <c r="AA41" s="14" t="e">
        <f ca="1">SOLID!AE52</f>
        <v>#N/A</v>
      </c>
      <c r="AB41" s="14" t="e">
        <f ca="1">SOLID!AF52</f>
        <v>#N/A</v>
      </c>
      <c r="AC41" s="14" t="e">
        <f ca="1">SOLID!AG52</f>
        <v>#N/A</v>
      </c>
      <c r="AD41" s="14" t="e">
        <f ca="1">SOLID!AH52</f>
        <v>#N/A</v>
      </c>
      <c r="AE41" s="14" t="e">
        <f ca="1">SOLID!AI52</f>
        <v>#N/A</v>
      </c>
      <c r="AF41" s="14" t="e">
        <f ca="1">SOLID!AJ52</f>
        <v>#N/A</v>
      </c>
      <c r="AG41" s="14" t="e">
        <f ca="1">SOLID!AK52</f>
        <v>#N/A</v>
      </c>
      <c r="AH41" s="14" t="e">
        <f ca="1">SOLID!AL52</f>
        <v>#N/A</v>
      </c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  <c r="BH41" s="55"/>
      <c r="BI41" s="55"/>
      <c r="BJ41" s="55"/>
      <c r="BK41" s="55"/>
      <c r="BL41" s="55"/>
      <c r="BM41" s="55"/>
      <c r="BN41" s="55"/>
      <c r="BO41" s="55"/>
      <c r="BP41" s="55"/>
      <c r="BQ41" s="55"/>
      <c r="BR41" s="55"/>
      <c r="BS41" s="55"/>
      <c r="BT41" s="55"/>
      <c r="BU41" s="55"/>
      <c r="BV41" s="55"/>
      <c r="BW41" s="55"/>
      <c r="BX41" s="55"/>
      <c r="BY41" s="55"/>
      <c r="BZ41" s="55"/>
      <c r="CA41" s="55"/>
      <c r="CB41" s="55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</row>
    <row r="42" spans="1:94" ht="21.75" hidden="1" outlineLevel="1" thickBot="1" x14ac:dyDescent="0.4">
      <c r="A42" s="35">
        <f>SOLID!E53</f>
        <v>0</v>
      </c>
      <c r="B42" s="16" t="e">
        <f ca="1">SOLID!F53</f>
        <v>#N/A</v>
      </c>
      <c r="C42" s="16" t="e">
        <f ca="1">SOLID!G53</f>
        <v>#N/A</v>
      </c>
      <c r="D42" s="16" t="e">
        <f ca="1">SOLID!H53</f>
        <v>#N/A</v>
      </c>
      <c r="E42" s="16" t="e">
        <f ca="1">SOLID!I53</f>
        <v>#N/A</v>
      </c>
      <c r="F42" s="14" t="e">
        <f ca="1">SOLID!J53</f>
        <v>#N/A</v>
      </c>
      <c r="G42" s="14" t="e">
        <f ca="1">SOLID!K53</f>
        <v>#N/A</v>
      </c>
      <c r="H42" s="14" t="e">
        <f ca="1">SOLID!L53</f>
        <v>#N/A</v>
      </c>
      <c r="I42" s="14" t="e">
        <f ca="1">SOLID!M53</f>
        <v>#N/A</v>
      </c>
      <c r="J42" s="14" t="e">
        <f ca="1">SOLID!N53</f>
        <v>#N/A</v>
      </c>
      <c r="K42" s="14" t="e">
        <f ca="1">SOLID!O53</f>
        <v>#N/A</v>
      </c>
      <c r="L42" s="14" t="e">
        <f ca="1">SOLID!P53</f>
        <v>#N/A</v>
      </c>
      <c r="M42" s="14" t="e">
        <f ca="1">SOLID!Q53</f>
        <v>#N/A</v>
      </c>
      <c r="N42" s="14" t="e">
        <f ca="1">SOLID!R53</f>
        <v>#N/A</v>
      </c>
      <c r="O42" s="14" t="e">
        <f ca="1">SOLID!S53</f>
        <v>#N/A</v>
      </c>
      <c r="P42" s="14" t="e">
        <f ca="1">SOLID!T53</f>
        <v>#N/A</v>
      </c>
      <c r="Q42" s="14" t="e">
        <f ca="1">SOLID!U53</f>
        <v>#N/A</v>
      </c>
      <c r="R42" s="14" t="e">
        <f ca="1">SOLID!V53</f>
        <v>#N/A</v>
      </c>
      <c r="S42" s="14" t="e">
        <f ca="1">SOLID!W53</f>
        <v>#N/A</v>
      </c>
      <c r="T42" s="14" t="e">
        <f ca="1">SOLID!X53</f>
        <v>#N/A</v>
      </c>
      <c r="U42" s="14" t="e">
        <f ca="1">SOLID!Y53</f>
        <v>#N/A</v>
      </c>
      <c r="V42" s="14" t="e">
        <f ca="1">SOLID!Z53</f>
        <v>#N/A</v>
      </c>
      <c r="W42" s="14" t="e">
        <f ca="1">SOLID!AA53</f>
        <v>#N/A</v>
      </c>
      <c r="X42" s="14" t="e">
        <f ca="1">SOLID!AB53</f>
        <v>#N/A</v>
      </c>
      <c r="Y42" s="14" t="e">
        <f ca="1">SOLID!AC53</f>
        <v>#N/A</v>
      </c>
      <c r="Z42" s="14" t="e">
        <f ca="1">SOLID!AD53</f>
        <v>#N/A</v>
      </c>
      <c r="AA42" s="14" t="e">
        <f ca="1">SOLID!AE53</f>
        <v>#N/A</v>
      </c>
      <c r="AB42" s="14" t="e">
        <f ca="1">SOLID!AF53</f>
        <v>#N/A</v>
      </c>
      <c r="AC42" s="14" t="e">
        <f ca="1">SOLID!AG53</f>
        <v>#N/A</v>
      </c>
      <c r="AD42" s="14" t="e">
        <f ca="1">SOLID!AH53</f>
        <v>#N/A</v>
      </c>
      <c r="AE42" s="14" t="e">
        <f ca="1">SOLID!AI53</f>
        <v>#N/A</v>
      </c>
      <c r="AF42" s="14" t="e">
        <f ca="1">SOLID!AJ53</f>
        <v>#N/A</v>
      </c>
      <c r="AG42" s="14" t="e">
        <f ca="1">SOLID!AK53</f>
        <v>#N/A</v>
      </c>
      <c r="AH42" s="14" t="e">
        <f ca="1">SOLID!AL53</f>
        <v>#N/A</v>
      </c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  <c r="BG42" s="55"/>
      <c r="BH42" s="55"/>
      <c r="BI42" s="55"/>
      <c r="BJ42" s="55"/>
      <c r="BK42" s="55"/>
      <c r="BL42" s="55"/>
      <c r="BM42" s="55"/>
      <c r="BN42" s="55"/>
      <c r="BO42" s="55"/>
      <c r="BP42" s="55"/>
      <c r="BQ42" s="55"/>
      <c r="BR42" s="55"/>
      <c r="BS42" s="55"/>
      <c r="BT42" s="55"/>
      <c r="BU42" s="55"/>
      <c r="BV42" s="55"/>
      <c r="BW42" s="55"/>
      <c r="BX42" s="55"/>
      <c r="BY42" s="55"/>
      <c r="BZ42" s="55"/>
      <c r="CA42" s="55"/>
      <c r="CB42" s="55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</row>
    <row r="43" spans="1:94" ht="21.75" hidden="1" outlineLevel="1" thickBot="1" x14ac:dyDescent="0.4">
      <c r="A43" s="35">
        <f>SOLID!E54</f>
        <v>0</v>
      </c>
      <c r="B43" s="16" t="e">
        <f ca="1">SOLID!F54</f>
        <v>#N/A</v>
      </c>
      <c r="C43" s="16" t="e">
        <f ca="1">SOLID!G54</f>
        <v>#N/A</v>
      </c>
      <c r="D43" s="16" t="e">
        <f ca="1">SOLID!H54</f>
        <v>#N/A</v>
      </c>
      <c r="E43" s="16" t="e">
        <f ca="1">SOLID!I54</f>
        <v>#N/A</v>
      </c>
      <c r="F43" s="14" t="e">
        <f ca="1">SOLID!J54</f>
        <v>#N/A</v>
      </c>
      <c r="G43" s="14" t="e">
        <f ca="1">SOLID!K54</f>
        <v>#N/A</v>
      </c>
      <c r="H43" s="14" t="e">
        <f ca="1">SOLID!L54</f>
        <v>#N/A</v>
      </c>
      <c r="I43" s="14" t="e">
        <f ca="1">SOLID!M54</f>
        <v>#N/A</v>
      </c>
      <c r="J43" s="14" t="e">
        <f ca="1">SOLID!N54</f>
        <v>#N/A</v>
      </c>
      <c r="K43" s="14" t="e">
        <f ca="1">SOLID!O54</f>
        <v>#N/A</v>
      </c>
      <c r="L43" s="14" t="e">
        <f ca="1">SOLID!P54</f>
        <v>#N/A</v>
      </c>
      <c r="M43" s="14" t="e">
        <f ca="1">SOLID!Q54</f>
        <v>#N/A</v>
      </c>
      <c r="N43" s="14" t="e">
        <f ca="1">SOLID!R54</f>
        <v>#N/A</v>
      </c>
      <c r="O43" s="14" t="e">
        <f ca="1">SOLID!S54</f>
        <v>#N/A</v>
      </c>
      <c r="P43" s="14" t="e">
        <f ca="1">SOLID!T54</f>
        <v>#N/A</v>
      </c>
      <c r="Q43" s="14" t="e">
        <f ca="1">SOLID!U54</f>
        <v>#N/A</v>
      </c>
      <c r="R43" s="14" t="e">
        <f ca="1">SOLID!V54</f>
        <v>#N/A</v>
      </c>
      <c r="S43" s="14" t="e">
        <f ca="1">SOLID!W54</f>
        <v>#N/A</v>
      </c>
      <c r="T43" s="14" t="e">
        <f ca="1">SOLID!X54</f>
        <v>#N/A</v>
      </c>
      <c r="U43" s="14" t="e">
        <f ca="1">SOLID!Y54</f>
        <v>#N/A</v>
      </c>
      <c r="V43" s="14" t="e">
        <f ca="1">SOLID!Z54</f>
        <v>#N/A</v>
      </c>
      <c r="W43" s="14" t="e">
        <f ca="1">SOLID!AA54</f>
        <v>#N/A</v>
      </c>
      <c r="X43" s="14" t="e">
        <f ca="1">SOLID!AB54</f>
        <v>#N/A</v>
      </c>
      <c r="Y43" s="14" t="e">
        <f ca="1">SOLID!AC54</f>
        <v>#N/A</v>
      </c>
      <c r="Z43" s="14" t="e">
        <f ca="1">SOLID!AD54</f>
        <v>#N/A</v>
      </c>
      <c r="AA43" s="14" t="e">
        <f ca="1">SOLID!AE54</f>
        <v>#N/A</v>
      </c>
      <c r="AB43" s="14" t="e">
        <f ca="1">SOLID!AF54</f>
        <v>#N/A</v>
      </c>
      <c r="AC43" s="14" t="e">
        <f ca="1">SOLID!AG54</f>
        <v>#N/A</v>
      </c>
      <c r="AD43" s="14" t="e">
        <f ca="1">SOLID!AH54</f>
        <v>#N/A</v>
      </c>
      <c r="AE43" s="14" t="e">
        <f ca="1">SOLID!AI54</f>
        <v>#N/A</v>
      </c>
      <c r="AF43" s="14" t="e">
        <f ca="1">SOLID!AJ54</f>
        <v>#N/A</v>
      </c>
      <c r="AG43" s="14" t="e">
        <f ca="1">SOLID!AK54</f>
        <v>#N/A</v>
      </c>
      <c r="AH43" s="14" t="e">
        <f ca="1">SOLID!AL54</f>
        <v>#N/A</v>
      </c>
      <c r="AI43" s="55"/>
      <c r="AJ43" s="55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</row>
    <row r="44" spans="1:94" ht="21.75" hidden="1" outlineLevel="1" thickBot="1" x14ac:dyDescent="0.4">
      <c r="A44" s="35">
        <f>SOLID!E55</f>
        <v>0</v>
      </c>
      <c r="B44" s="16" t="e">
        <f ca="1">SOLID!F55</f>
        <v>#N/A</v>
      </c>
      <c r="C44" s="16" t="e">
        <f ca="1">SOLID!G55</f>
        <v>#N/A</v>
      </c>
      <c r="D44" s="16" t="e">
        <f ca="1">SOLID!H55</f>
        <v>#N/A</v>
      </c>
      <c r="E44" s="16" t="e">
        <f ca="1">SOLID!I55</f>
        <v>#N/A</v>
      </c>
      <c r="F44" s="14" t="e">
        <f ca="1">SOLID!J55</f>
        <v>#N/A</v>
      </c>
      <c r="G44" s="14" t="e">
        <f ca="1">SOLID!K55</f>
        <v>#N/A</v>
      </c>
      <c r="H44" s="14" t="e">
        <f ca="1">SOLID!L55</f>
        <v>#N/A</v>
      </c>
      <c r="I44" s="14" t="e">
        <f ca="1">SOLID!M55</f>
        <v>#N/A</v>
      </c>
      <c r="J44" s="14" t="e">
        <f ca="1">SOLID!N55</f>
        <v>#N/A</v>
      </c>
      <c r="K44" s="14" t="e">
        <f ca="1">SOLID!O55</f>
        <v>#N/A</v>
      </c>
      <c r="L44" s="14" t="e">
        <f ca="1">SOLID!P55</f>
        <v>#N/A</v>
      </c>
      <c r="M44" s="14" t="e">
        <f ca="1">SOLID!Q55</f>
        <v>#N/A</v>
      </c>
      <c r="N44" s="14" t="e">
        <f ca="1">SOLID!R55</f>
        <v>#N/A</v>
      </c>
      <c r="O44" s="14" t="e">
        <f ca="1">SOLID!S55</f>
        <v>#N/A</v>
      </c>
      <c r="P44" s="14" t="e">
        <f ca="1">SOLID!T55</f>
        <v>#N/A</v>
      </c>
      <c r="Q44" s="14" t="e">
        <f ca="1">SOLID!U55</f>
        <v>#N/A</v>
      </c>
      <c r="R44" s="14" t="e">
        <f ca="1">SOLID!V55</f>
        <v>#N/A</v>
      </c>
      <c r="S44" s="14" t="e">
        <f ca="1">SOLID!W55</f>
        <v>#N/A</v>
      </c>
      <c r="T44" s="14" t="e">
        <f ca="1">SOLID!X55</f>
        <v>#N/A</v>
      </c>
      <c r="U44" s="14" t="e">
        <f ca="1">SOLID!Y55</f>
        <v>#N/A</v>
      </c>
      <c r="V44" s="14" t="e">
        <f ca="1">SOLID!Z55</f>
        <v>#N/A</v>
      </c>
      <c r="W44" s="14" t="e">
        <f ca="1">SOLID!AA55</f>
        <v>#N/A</v>
      </c>
      <c r="X44" s="14" t="e">
        <f ca="1">SOLID!AB55</f>
        <v>#N/A</v>
      </c>
      <c r="Y44" s="14" t="e">
        <f ca="1">SOLID!AC55</f>
        <v>#N/A</v>
      </c>
      <c r="Z44" s="14" t="e">
        <f ca="1">SOLID!AD55</f>
        <v>#N/A</v>
      </c>
      <c r="AA44" s="14" t="e">
        <f ca="1">SOLID!AE55</f>
        <v>#N/A</v>
      </c>
      <c r="AB44" s="14" t="e">
        <f ca="1">SOLID!AF55</f>
        <v>#N/A</v>
      </c>
      <c r="AC44" s="14" t="e">
        <f ca="1">SOLID!AG55</f>
        <v>#N/A</v>
      </c>
      <c r="AD44" s="14" t="e">
        <f ca="1">SOLID!AH55</f>
        <v>#N/A</v>
      </c>
      <c r="AE44" s="14" t="e">
        <f ca="1">SOLID!AI55</f>
        <v>#N/A</v>
      </c>
      <c r="AF44" s="14" t="e">
        <f ca="1">SOLID!AJ55</f>
        <v>#N/A</v>
      </c>
      <c r="AG44" s="14" t="e">
        <f ca="1">SOLID!AK55</f>
        <v>#N/A</v>
      </c>
      <c r="AH44" s="14" t="e">
        <f ca="1">SOLID!AL55</f>
        <v>#N/A</v>
      </c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B44" s="55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</row>
    <row r="45" spans="1:94" ht="21.75" hidden="1" outlineLevel="1" thickBot="1" x14ac:dyDescent="0.4">
      <c r="A45" s="35">
        <f>SOLID!E56</f>
        <v>0</v>
      </c>
      <c r="B45" s="16" t="e">
        <f ca="1">SOLID!F56</f>
        <v>#N/A</v>
      </c>
      <c r="C45" s="16" t="e">
        <f ca="1">SOLID!G56</f>
        <v>#N/A</v>
      </c>
      <c r="D45" s="16" t="e">
        <f ca="1">SOLID!H56</f>
        <v>#N/A</v>
      </c>
      <c r="E45" s="16" t="e">
        <f ca="1">SOLID!I56</f>
        <v>#N/A</v>
      </c>
      <c r="F45" s="14" t="e">
        <f ca="1">SOLID!J56</f>
        <v>#N/A</v>
      </c>
      <c r="G45" s="14" t="e">
        <f ca="1">SOLID!K56</f>
        <v>#N/A</v>
      </c>
      <c r="H45" s="14" t="e">
        <f ca="1">SOLID!L56</f>
        <v>#N/A</v>
      </c>
      <c r="I45" s="14" t="e">
        <f ca="1">SOLID!M56</f>
        <v>#N/A</v>
      </c>
      <c r="J45" s="14" t="e">
        <f ca="1">SOLID!N56</f>
        <v>#N/A</v>
      </c>
      <c r="K45" s="14" t="e">
        <f ca="1">SOLID!O56</f>
        <v>#N/A</v>
      </c>
      <c r="L45" s="14" t="e">
        <f ca="1">SOLID!P56</f>
        <v>#N/A</v>
      </c>
      <c r="M45" s="14" t="e">
        <f ca="1">SOLID!Q56</f>
        <v>#N/A</v>
      </c>
      <c r="N45" s="14" t="e">
        <f ca="1">SOLID!R56</f>
        <v>#N/A</v>
      </c>
      <c r="O45" s="14" t="e">
        <f ca="1">SOLID!S56</f>
        <v>#N/A</v>
      </c>
      <c r="P45" s="14" t="e">
        <f ca="1">SOLID!T56</f>
        <v>#N/A</v>
      </c>
      <c r="Q45" s="14" t="e">
        <f ca="1">SOLID!U56</f>
        <v>#N/A</v>
      </c>
      <c r="R45" s="14" t="e">
        <f ca="1">SOLID!V56</f>
        <v>#N/A</v>
      </c>
      <c r="S45" s="14" t="e">
        <f ca="1">SOLID!W56</f>
        <v>#N/A</v>
      </c>
      <c r="T45" s="14" t="e">
        <f ca="1">SOLID!X56</f>
        <v>#N/A</v>
      </c>
      <c r="U45" s="14" t="e">
        <f ca="1">SOLID!Y56</f>
        <v>#N/A</v>
      </c>
      <c r="V45" s="14" t="e">
        <f ca="1">SOLID!Z56</f>
        <v>#N/A</v>
      </c>
      <c r="W45" s="14" t="e">
        <f ca="1">SOLID!AA56</f>
        <v>#N/A</v>
      </c>
      <c r="X45" s="14" t="e">
        <f ca="1">SOLID!AB56</f>
        <v>#N/A</v>
      </c>
      <c r="Y45" s="14" t="e">
        <f ca="1">SOLID!AC56</f>
        <v>#N/A</v>
      </c>
      <c r="Z45" s="14" t="e">
        <f ca="1">SOLID!AD56</f>
        <v>#N/A</v>
      </c>
      <c r="AA45" s="14" t="e">
        <f ca="1">SOLID!AE56</f>
        <v>#N/A</v>
      </c>
      <c r="AB45" s="14" t="e">
        <f ca="1">SOLID!AF56</f>
        <v>#N/A</v>
      </c>
      <c r="AC45" s="14" t="e">
        <f ca="1">SOLID!AG56</f>
        <v>#N/A</v>
      </c>
      <c r="AD45" s="14" t="e">
        <f ca="1">SOLID!AH56</f>
        <v>#N/A</v>
      </c>
      <c r="AE45" s="14" t="e">
        <f ca="1">SOLID!AI56</f>
        <v>#N/A</v>
      </c>
      <c r="AF45" s="14" t="e">
        <f ca="1">SOLID!AJ56</f>
        <v>#N/A</v>
      </c>
      <c r="AG45" s="14" t="e">
        <f ca="1">SOLID!AK56</f>
        <v>#N/A</v>
      </c>
      <c r="AH45" s="14" t="e">
        <f ca="1">SOLID!AL56</f>
        <v>#N/A</v>
      </c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  <c r="BN45" s="55"/>
      <c r="BO45" s="55"/>
      <c r="BP45" s="55"/>
      <c r="BQ45" s="55"/>
      <c r="BR45" s="55"/>
      <c r="BS45" s="55"/>
      <c r="BT45" s="55"/>
      <c r="BU45" s="55"/>
      <c r="BV45" s="55"/>
      <c r="BW45" s="55"/>
      <c r="BX45" s="55"/>
      <c r="BY45" s="55"/>
      <c r="BZ45" s="55"/>
      <c r="CA45" s="55"/>
      <c r="CB45" s="55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</row>
    <row r="46" spans="1:94" ht="21.75" hidden="1" outlineLevel="1" thickBot="1" x14ac:dyDescent="0.4">
      <c r="A46" s="35">
        <f>SOLID!E57</f>
        <v>0</v>
      </c>
      <c r="B46" s="16" t="e">
        <f ca="1">SOLID!F57</f>
        <v>#N/A</v>
      </c>
      <c r="C46" s="16" t="e">
        <f ca="1">SOLID!G57</f>
        <v>#N/A</v>
      </c>
      <c r="D46" s="16" t="e">
        <f ca="1">SOLID!H57</f>
        <v>#N/A</v>
      </c>
      <c r="E46" s="16" t="e">
        <f ca="1">SOLID!I57</f>
        <v>#N/A</v>
      </c>
      <c r="F46" s="14" t="e">
        <f ca="1">SOLID!J57</f>
        <v>#N/A</v>
      </c>
      <c r="G46" s="14" t="e">
        <f ca="1">SOLID!K57</f>
        <v>#N/A</v>
      </c>
      <c r="H46" s="14" t="e">
        <f ca="1">SOLID!L57</f>
        <v>#N/A</v>
      </c>
      <c r="I46" s="14" t="e">
        <f ca="1">SOLID!M57</f>
        <v>#N/A</v>
      </c>
      <c r="J46" s="14" t="e">
        <f ca="1">SOLID!N57</f>
        <v>#N/A</v>
      </c>
      <c r="K46" s="14" t="e">
        <f ca="1">SOLID!O57</f>
        <v>#N/A</v>
      </c>
      <c r="L46" s="14" t="e">
        <f ca="1">SOLID!P57</f>
        <v>#N/A</v>
      </c>
      <c r="M46" s="14" t="e">
        <f ca="1">SOLID!Q57</f>
        <v>#N/A</v>
      </c>
      <c r="N46" s="14" t="e">
        <f ca="1">SOLID!R57</f>
        <v>#N/A</v>
      </c>
      <c r="O46" s="14" t="e">
        <f ca="1">SOLID!S57</f>
        <v>#N/A</v>
      </c>
      <c r="P46" s="14" t="e">
        <f ca="1">SOLID!T57</f>
        <v>#N/A</v>
      </c>
      <c r="Q46" s="14" t="e">
        <f ca="1">SOLID!U57</f>
        <v>#N/A</v>
      </c>
      <c r="R46" s="14" t="e">
        <f ca="1">SOLID!V57</f>
        <v>#N/A</v>
      </c>
      <c r="S46" s="14" t="e">
        <f ca="1">SOLID!W57</f>
        <v>#N/A</v>
      </c>
      <c r="T46" s="14" t="e">
        <f ca="1">SOLID!X57</f>
        <v>#N/A</v>
      </c>
      <c r="U46" s="14" t="e">
        <f ca="1">SOLID!Y57</f>
        <v>#N/A</v>
      </c>
      <c r="V46" s="14" t="e">
        <f ca="1">SOLID!Z57</f>
        <v>#N/A</v>
      </c>
      <c r="W46" s="14" t="e">
        <f ca="1">SOLID!AA57</f>
        <v>#N/A</v>
      </c>
      <c r="X46" s="14" t="e">
        <f ca="1">SOLID!AB57</f>
        <v>#N/A</v>
      </c>
      <c r="Y46" s="14" t="e">
        <f ca="1">SOLID!AC57</f>
        <v>#N/A</v>
      </c>
      <c r="Z46" s="14" t="e">
        <f ca="1">SOLID!AD57</f>
        <v>#N/A</v>
      </c>
      <c r="AA46" s="14" t="e">
        <f ca="1">SOLID!AE57</f>
        <v>#N/A</v>
      </c>
      <c r="AB46" s="14" t="e">
        <f ca="1">SOLID!AF57</f>
        <v>#N/A</v>
      </c>
      <c r="AC46" s="14" t="e">
        <f ca="1">SOLID!AG57</f>
        <v>#N/A</v>
      </c>
      <c r="AD46" s="14" t="e">
        <f ca="1">SOLID!AH57</f>
        <v>#N/A</v>
      </c>
      <c r="AE46" s="14" t="e">
        <f ca="1">SOLID!AI57</f>
        <v>#N/A</v>
      </c>
      <c r="AF46" s="14" t="e">
        <f ca="1">SOLID!AJ57</f>
        <v>#N/A</v>
      </c>
      <c r="AG46" s="14" t="e">
        <f ca="1">SOLID!AK57</f>
        <v>#N/A</v>
      </c>
      <c r="AH46" s="14" t="e">
        <f ca="1">SOLID!AL57</f>
        <v>#N/A</v>
      </c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55"/>
      <c r="BN46" s="55"/>
      <c r="BO46" s="55"/>
      <c r="BP46" s="55"/>
      <c r="BQ46" s="55"/>
      <c r="BR46" s="55"/>
      <c r="BS46" s="55"/>
      <c r="BT46" s="55"/>
      <c r="BU46" s="55"/>
      <c r="BV46" s="55"/>
      <c r="BW46" s="55"/>
      <c r="BX46" s="55"/>
      <c r="BY46" s="55"/>
      <c r="BZ46" s="55"/>
      <c r="CA46" s="55"/>
      <c r="CB46" s="55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</row>
    <row r="47" spans="1:94" ht="21.75" hidden="1" outlineLevel="1" thickBot="1" x14ac:dyDescent="0.4">
      <c r="A47" s="35">
        <f>SOLID!E58</f>
        <v>0</v>
      </c>
      <c r="B47" s="16" t="e">
        <f ca="1">SOLID!F58</f>
        <v>#N/A</v>
      </c>
      <c r="C47" s="16" t="e">
        <f ca="1">SOLID!G58</f>
        <v>#N/A</v>
      </c>
      <c r="D47" s="16" t="e">
        <f ca="1">SOLID!H58</f>
        <v>#N/A</v>
      </c>
      <c r="E47" s="16" t="e">
        <f ca="1">SOLID!I58</f>
        <v>#N/A</v>
      </c>
      <c r="F47" s="14" t="e">
        <f ca="1">SOLID!J58</f>
        <v>#N/A</v>
      </c>
      <c r="G47" s="14" t="e">
        <f ca="1">SOLID!K58</f>
        <v>#N/A</v>
      </c>
      <c r="H47" s="14" t="e">
        <f ca="1">SOLID!L58</f>
        <v>#N/A</v>
      </c>
      <c r="I47" s="14" t="e">
        <f ca="1">SOLID!M58</f>
        <v>#N/A</v>
      </c>
      <c r="J47" s="14" t="e">
        <f ca="1">SOLID!N58</f>
        <v>#N/A</v>
      </c>
      <c r="K47" s="14" t="e">
        <f ca="1">SOLID!O58</f>
        <v>#N/A</v>
      </c>
      <c r="L47" s="14" t="e">
        <f ca="1">SOLID!P58</f>
        <v>#N/A</v>
      </c>
      <c r="M47" s="14" t="e">
        <f ca="1">SOLID!Q58</f>
        <v>#N/A</v>
      </c>
      <c r="N47" s="14" t="e">
        <f ca="1">SOLID!R58</f>
        <v>#N/A</v>
      </c>
      <c r="O47" s="14" t="e">
        <f ca="1">SOLID!S58</f>
        <v>#N/A</v>
      </c>
      <c r="P47" s="14" t="e">
        <f ca="1">SOLID!T58</f>
        <v>#N/A</v>
      </c>
      <c r="Q47" s="14" t="e">
        <f ca="1">SOLID!U58</f>
        <v>#N/A</v>
      </c>
      <c r="R47" s="14" t="e">
        <f ca="1">SOLID!V58</f>
        <v>#N/A</v>
      </c>
      <c r="S47" s="14" t="e">
        <f ca="1">SOLID!W58</f>
        <v>#N/A</v>
      </c>
      <c r="T47" s="14" t="e">
        <f ca="1">SOLID!X58</f>
        <v>#N/A</v>
      </c>
      <c r="U47" s="14" t="e">
        <f ca="1">SOLID!Y58</f>
        <v>#N/A</v>
      </c>
      <c r="V47" s="14" t="e">
        <f ca="1">SOLID!Z58</f>
        <v>#N/A</v>
      </c>
      <c r="W47" s="14" t="e">
        <f ca="1">SOLID!AA58</f>
        <v>#N/A</v>
      </c>
      <c r="X47" s="14" t="e">
        <f ca="1">SOLID!AB58</f>
        <v>#N/A</v>
      </c>
      <c r="Y47" s="14" t="e">
        <f ca="1">SOLID!AC58</f>
        <v>#N/A</v>
      </c>
      <c r="Z47" s="14" t="e">
        <f ca="1">SOLID!AD58</f>
        <v>#N/A</v>
      </c>
      <c r="AA47" s="14" t="e">
        <f ca="1">SOLID!AE58</f>
        <v>#N/A</v>
      </c>
      <c r="AB47" s="14" t="e">
        <f ca="1">SOLID!AF58</f>
        <v>#N/A</v>
      </c>
      <c r="AC47" s="14" t="e">
        <f ca="1">SOLID!AG58</f>
        <v>#N/A</v>
      </c>
      <c r="AD47" s="14" t="e">
        <f ca="1">SOLID!AH58</f>
        <v>#N/A</v>
      </c>
      <c r="AE47" s="14" t="e">
        <f ca="1">SOLID!AI58</f>
        <v>#N/A</v>
      </c>
      <c r="AF47" s="14" t="e">
        <f ca="1">SOLID!AJ58</f>
        <v>#N/A</v>
      </c>
      <c r="AG47" s="14" t="e">
        <f ca="1">SOLID!AK58</f>
        <v>#N/A</v>
      </c>
      <c r="AH47" s="14" t="e">
        <f ca="1">SOLID!AL58</f>
        <v>#N/A</v>
      </c>
      <c r="AI47" s="55"/>
      <c r="AJ47" s="55"/>
      <c r="AK47" s="55"/>
      <c r="AL47" s="55"/>
      <c r="AM47" s="55"/>
      <c r="AN47" s="55"/>
      <c r="AO47" s="55"/>
      <c r="AP47" s="55"/>
      <c r="AQ47" s="55"/>
      <c r="AR47" s="55"/>
      <c r="AS47" s="55"/>
      <c r="AT47" s="55"/>
      <c r="AU47" s="55"/>
      <c r="AV47" s="55"/>
      <c r="AW47" s="55"/>
      <c r="AX47" s="55"/>
      <c r="AY47" s="55"/>
      <c r="AZ47" s="55"/>
      <c r="BA47" s="55"/>
      <c r="BB47" s="55"/>
      <c r="BC47" s="55"/>
      <c r="BD47" s="55"/>
      <c r="BE47" s="55"/>
      <c r="BF47" s="55"/>
      <c r="BG47" s="55"/>
      <c r="BH47" s="55"/>
      <c r="BI47" s="55"/>
      <c r="BJ47" s="55"/>
      <c r="BK47" s="55"/>
      <c r="BL47" s="55"/>
      <c r="BM47" s="55"/>
      <c r="BN47" s="55"/>
      <c r="BO47" s="55"/>
      <c r="BP47" s="55"/>
      <c r="BQ47" s="55"/>
      <c r="BR47" s="55"/>
      <c r="BS47" s="55"/>
      <c r="BT47" s="55"/>
      <c r="BU47" s="55"/>
      <c r="BV47" s="55"/>
      <c r="BW47" s="55"/>
      <c r="BX47" s="55"/>
      <c r="BY47" s="55"/>
      <c r="BZ47" s="55"/>
      <c r="CA47" s="55"/>
      <c r="CB47" s="55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</row>
    <row r="48" spans="1:94" ht="21.75" hidden="1" outlineLevel="1" thickBot="1" x14ac:dyDescent="0.4">
      <c r="A48" s="35">
        <f>SOLID!E59</f>
        <v>0</v>
      </c>
      <c r="B48" s="16" t="e">
        <f ca="1">SOLID!F59</f>
        <v>#N/A</v>
      </c>
      <c r="C48" s="16" t="e">
        <f ca="1">SOLID!G59</f>
        <v>#N/A</v>
      </c>
      <c r="D48" s="16" t="e">
        <f ca="1">SOLID!H59</f>
        <v>#N/A</v>
      </c>
      <c r="E48" s="16" t="e">
        <f ca="1">SOLID!I59</f>
        <v>#N/A</v>
      </c>
      <c r="F48" s="14" t="e">
        <f ca="1">SOLID!J59</f>
        <v>#N/A</v>
      </c>
      <c r="G48" s="14" t="e">
        <f ca="1">SOLID!K59</f>
        <v>#N/A</v>
      </c>
      <c r="H48" s="14" t="e">
        <f ca="1">SOLID!L59</f>
        <v>#N/A</v>
      </c>
      <c r="I48" s="14" t="e">
        <f ca="1">SOLID!M59</f>
        <v>#N/A</v>
      </c>
      <c r="J48" s="14" t="e">
        <f ca="1">SOLID!N59</f>
        <v>#N/A</v>
      </c>
      <c r="K48" s="14" t="e">
        <f ca="1">SOLID!O59</f>
        <v>#N/A</v>
      </c>
      <c r="L48" s="14" t="e">
        <f ca="1">SOLID!P59</f>
        <v>#N/A</v>
      </c>
      <c r="M48" s="14" t="e">
        <f ca="1">SOLID!Q59</f>
        <v>#N/A</v>
      </c>
      <c r="N48" s="14" t="e">
        <f ca="1">SOLID!R59</f>
        <v>#N/A</v>
      </c>
      <c r="O48" s="14" t="e">
        <f ca="1">SOLID!S59</f>
        <v>#N/A</v>
      </c>
      <c r="P48" s="14" t="e">
        <f ca="1">SOLID!T59</f>
        <v>#N/A</v>
      </c>
      <c r="Q48" s="14" t="e">
        <f ca="1">SOLID!U59</f>
        <v>#N/A</v>
      </c>
      <c r="R48" s="14" t="e">
        <f ca="1">SOLID!V59</f>
        <v>#N/A</v>
      </c>
      <c r="S48" s="14" t="e">
        <f ca="1">SOLID!W59</f>
        <v>#N/A</v>
      </c>
      <c r="T48" s="14" t="e">
        <f ca="1">SOLID!X59</f>
        <v>#N/A</v>
      </c>
      <c r="U48" s="14" t="e">
        <f ca="1">SOLID!Y59</f>
        <v>#N/A</v>
      </c>
      <c r="V48" s="14" t="e">
        <f ca="1">SOLID!Z59</f>
        <v>#N/A</v>
      </c>
      <c r="W48" s="14" t="e">
        <f ca="1">SOLID!AA59</f>
        <v>#N/A</v>
      </c>
      <c r="X48" s="14" t="e">
        <f ca="1">SOLID!AB59</f>
        <v>#N/A</v>
      </c>
      <c r="Y48" s="14" t="e">
        <f ca="1">SOLID!AC59</f>
        <v>#N/A</v>
      </c>
      <c r="Z48" s="14" t="e">
        <f ca="1">SOLID!AD59</f>
        <v>#N/A</v>
      </c>
      <c r="AA48" s="14" t="e">
        <f ca="1">SOLID!AE59</f>
        <v>#N/A</v>
      </c>
      <c r="AB48" s="14" t="e">
        <f ca="1">SOLID!AF59</f>
        <v>#N/A</v>
      </c>
      <c r="AC48" s="14" t="e">
        <f ca="1">SOLID!AG59</f>
        <v>#N/A</v>
      </c>
      <c r="AD48" s="14" t="e">
        <f ca="1">SOLID!AH59</f>
        <v>#N/A</v>
      </c>
      <c r="AE48" s="14" t="e">
        <f ca="1">SOLID!AI59</f>
        <v>#N/A</v>
      </c>
      <c r="AF48" s="14" t="e">
        <f ca="1">SOLID!AJ59</f>
        <v>#N/A</v>
      </c>
      <c r="AG48" s="14" t="e">
        <f ca="1">SOLID!AK59</f>
        <v>#N/A</v>
      </c>
      <c r="AH48" s="14" t="e">
        <f ca="1">SOLID!AL59</f>
        <v>#N/A</v>
      </c>
      <c r="AI48" s="55"/>
      <c r="AJ48" s="55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5"/>
      <c r="BD48" s="55"/>
      <c r="BE48" s="55"/>
      <c r="BF48" s="55"/>
      <c r="BG48" s="55"/>
      <c r="BH48" s="55"/>
      <c r="BI48" s="55"/>
      <c r="BJ48" s="55"/>
      <c r="BK48" s="55"/>
      <c r="BL48" s="55"/>
      <c r="BM48" s="55"/>
      <c r="BN48" s="55"/>
      <c r="BO48" s="55"/>
      <c r="BP48" s="55"/>
      <c r="BQ48" s="55"/>
      <c r="BR48" s="55"/>
      <c r="BS48" s="55"/>
      <c r="BT48" s="55"/>
      <c r="BU48" s="55"/>
      <c r="BV48" s="55"/>
      <c r="BW48" s="55"/>
      <c r="BX48" s="55"/>
      <c r="BY48" s="55"/>
      <c r="BZ48" s="55"/>
      <c r="CA48" s="55"/>
      <c r="CB48" s="55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55"/>
      <c r="CO48" s="55"/>
      <c r="CP48" s="55"/>
    </row>
    <row r="49" spans="1:94" ht="21.75" hidden="1" outlineLevel="1" thickBot="1" x14ac:dyDescent="0.4">
      <c r="A49" s="35">
        <f>SOLID!E60</f>
        <v>0</v>
      </c>
      <c r="B49" s="16" t="e">
        <f ca="1">SOLID!F60</f>
        <v>#N/A</v>
      </c>
      <c r="C49" s="16" t="e">
        <f ca="1">SOLID!G60</f>
        <v>#N/A</v>
      </c>
      <c r="D49" s="16" t="e">
        <f ca="1">SOLID!H60</f>
        <v>#N/A</v>
      </c>
      <c r="E49" s="16" t="e">
        <f ca="1">SOLID!I60</f>
        <v>#N/A</v>
      </c>
      <c r="F49" s="14" t="e">
        <f ca="1">SOLID!J60</f>
        <v>#N/A</v>
      </c>
      <c r="G49" s="14" t="e">
        <f ca="1">SOLID!K60</f>
        <v>#N/A</v>
      </c>
      <c r="H49" s="14" t="e">
        <f ca="1">SOLID!L60</f>
        <v>#N/A</v>
      </c>
      <c r="I49" s="14" t="e">
        <f ca="1">SOLID!M60</f>
        <v>#N/A</v>
      </c>
      <c r="J49" s="14" t="e">
        <f ca="1">SOLID!N60</f>
        <v>#N/A</v>
      </c>
      <c r="K49" s="14" t="e">
        <f ca="1">SOLID!O60</f>
        <v>#N/A</v>
      </c>
      <c r="L49" s="14" t="e">
        <f ca="1">SOLID!P60</f>
        <v>#N/A</v>
      </c>
      <c r="M49" s="14" t="e">
        <f ca="1">SOLID!Q60</f>
        <v>#N/A</v>
      </c>
      <c r="N49" s="14" t="e">
        <f ca="1">SOLID!R60</f>
        <v>#N/A</v>
      </c>
      <c r="O49" s="14" t="e">
        <f ca="1">SOLID!S60</f>
        <v>#N/A</v>
      </c>
      <c r="P49" s="14" t="e">
        <f ca="1">SOLID!T60</f>
        <v>#N/A</v>
      </c>
      <c r="Q49" s="14" t="e">
        <f ca="1">SOLID!U60</f>
        <v>#N/A</v>
      </c>
      <c r="R49" s="14" t="e">
        <f ca="1">SOLID!V60</f>
        <v>#N/A</v>
      </c>
      <c r="S49" s="14" t="e">
        <f ca="1">SOLID!W60</f>
        <v>#N/A</v>
      </c>
      <c r="T49" s="14" t="e">
        <f ca="1">SOLID!X60</f>
        <v>#N/A</v>
      </c>
      <c r="U49" s="14" t="e">
        <f ca="1">SOLID!Y60</f>
        <v>#N/A</v>
      </c>
      <c r="V49" s="14" t="e">
        <f ca="1">SOLID!Z60</f>
        <v>#N/A</v>
      </c>
      <c r="W49" s="14" t="e">
        <f ca="1">SOLID!AA60</f>
        <v>#N/A</v>
      </c>
      <c r="X49" s="14" t="e">
        <f ca="1">SOLID!AB60</f>
        <v>#N/A</v>
      </c>
      <c r="Y49" s="14" t="e">
        <f ca="1">SOLID!AC60</f>
        <v>#N/A</v>
      </c>
      <c r="Z49" s="14" t="e">
        <f ca="1">SOLID!AD60</f>
        <v>#N/A</v>
      </c>
      <c r="AA49" s="14" t="e">
        <f ca="1">SOLID!AE60</f>
        <v>#N/A</v>
      </c>
      <c r="AB49" s="14" t="e">
        <f ca="1">SOLID!AF60</f>
        <v>#N/A</v>
      </c>
      <c r="AC49" s="14" t="e">
        <f ca="1">SOLID!AG60</f>
        <v>#N/A</v>
      </c>
      <c r="AD49" s="14" t="e">
        <f ca="1">SOLID!AH60</f>
        <v>#N/A</v>
      </c>
      <c r="AE49" s="14" t="e">
        <f ca="1">SOLID!AI60</f>
        <v>#N/A</v>
      </c>
      <c r="AF49" s="14" t="e">
        <f ca="1">SOLID!AJ60</f>
        <v>#N/A</v>
      </c>
      <c r="AG49" s="14" t="e">
        <f ca="1">SOLID!AK60</f>
        <v>#N/A</v>
      </c>
      <c r="AH49" s="14" t="e">
        <f ca="1">SOLID!AL60</f>
        <v>#N/A</v>
      </c>
      <c r="AI49" s="55"/>
      <c r="AJ49" s="55"/>
      <c r="AK49" s="55"/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  <c r="BG49" s="55"/>
      <c r="BH49" s="55"/>
      <c r="BI49" s="55"/>
      <c r="BJ49" s="55"/>
      <c r="BK49" s="55"/>
      <c r="BL49" s="55"/>
      <c r="BM49" s="55"/>
      <c r="BN49" s="55"/>
      <c r="BO49" s="55"/>
      <c r="BP49" s="55"/>
      <c r="BQ49" s="55"/>
      <c r="BR49" s="55"/>
      <c r="BS49" s="55"/>
      <c r="BT49" s="55"/>
      <c r="BU49" s="55"/>
      <c r="BV49" s="55"/>
      <c r="BW49" s="55"/>
      <c r="BX49" s="55"/>
      <c r="BY49" s="55"/>
      <c r="BZ49" s="55"/>
      <c r="CA49" s="55"/>
      <c r="CB49" s="55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55"/>
      <c r="CO49" s="55"/>
      <c r="CP49" s="55"/>
    </row>
    <row r="50" spans="1:94" ht="21.75" hidden="1" outlineLevel="1" thickBot="1" x14ac:dyDescent="0.4">
      <c r="A50" s="35">
        <f>SOLID!E61</f>
        <v>0</v>
      </c>
      <c r="B50" s="16" t="e">
        <f ca="1">SOLID!F61</f>
        <v>#N/A</v>
      </c>
      <c r="C50" s="16" t="e">
        <f ca="1">SOLID!G61</f>
        <v>#N/A</v>
      </c>
      <c r="D50" s="16" t="e">
        <f ca="1">SOLID!H61</f>
        <v>#N/A</v>
      </c>
      <c r="E50" s="16" t="e">
        <f ca="1">SOLID!I61</f>
        <v>#N/A</v>
      </c>
      <c r="F50" s="14" t="e">
        <f ca="1">SOLID!J61</f>
        <v>#N/A</v>
      </c>
      <c r="G50" s="14" t="e">
        <f ca="1">SOLID!K61</f>
        <v>#N/A</v>
      </c>
      <c r="H50" s="14" t="e">
        <f ca="1">SOLID!L61</f>
        <v>#N/A</v>
      </c>
      <c r="I50" s="14" t="e">
        <f ca="1">SOLID!M61</f>
        <v>#N/A</v>
      </c>
      <c r="J50" s="14" t="e">
        <f ca="1">SOLID!N61</f>
        <v>#N/A</v>
      </c>
      <c r="K50" s="14" t="e">
        <f ca="1">SOLID!O61</f>
        <v>#N/A</v>
      </c>
      <c r="L50" s="14" t="e">
        <f ca="1">SOLID!P61</f>
        <v>#N/A</v>
      </c>
      <c r="M50" s="14" t="e">
        <f ca="1">SOLID!Q61</f>
        <v>#N/A</v>
      </c>
      <c r="N50" s="14" t="e">
        <f ca="1">SOLID!R61</f>
        <v>#N/A</v>
      </c>
      <c r="O50" s="14" t="e">
        <f ca="1">SOLID!S61</f>
        <v>#N/A</v>
      </c>
      <c r="P50" s="14" t="e">
        <f ca="1">SOLID!T61</f>
        <v>#N/A</v>
      </c>
      <c r="Q50" s="14" t="e">
        <f ca="1">SOLID!U61</f>
        <v>#N/A</v>
      </c>
      <c r="R50" s="14" t="e">
        <f ca="1">SOLID!V61</f>
        <v>#N/A</v>
      </c>
      <c r="S50" s="14" t="e">
        <f ca="1">SOLID!W61</f>
        <v>#N/A</v>
      </c>
      <c r="T50" s="14" t="e">
        <f ca="1">SOLID!X61</f>
        <v>#N/A</v>
      </c>
      <c r="U50" s="14" t="e">
        <f ca="1">SOLID!Y61</f>
        <v>#N/A</v>
      </c>
      <c r="V50" s="14" t="e">
        <f ca="1">SOLID!Z61</f>
        <v>#N/A</v>
      </c>
      <c r="W50" s="14" t="e">
        <f ca="1">SOLID!AA61</f>
        <v>#N/A</v>
      </c>
      <c r="X50" s="14" t="e">
        <f ca="1">SOLID!AB61</f>
        <v>#N/A</v>
      </c>
      <c r="Y50" s="14" t="e">
        <f ca="1">SOLID!AC61</f>
        <v>#N/A</v>
      </c>
      <c r="Z50" s="14" t="e">
        <f ca="1">SOLID!AD61</f>
        <v>#N/A</v>
      </c>
      <c r="AA50" s="14" t="e">
        <f ca="1">SOLID!AE61</f>
        <v>#N/A</v>
      </c>
      <c r="AB50" s="14" t="e">
        <f ca="1">SOLID!AF61</f>
        <v>#N/A</v>
      </c>
      <c r="AC50" s="14" t="e">
        <f ca="1">SOLID!AG61</f>
        <v>#N/A</v>
      </c>
      <c r="AD50" s="14" t="e">
        <f ca="1">SOLID!AH61</f>
        <v>#N/A</v>
      </c>
      <c r="AE50" s="14" t="e">
        <f ca="1">SOLID!AI61</f>
        <v>#N/A</v>
      </c>
      <c r="AF50" s="14" t="e">
        <f ca="1">SOLID!AJ61</f>
        <v>#N/A</v>
      </c>
      <c r="AG50" s="14" t="e">
        <f ca="1">SOLID!AK61</f>
        <v>#N/A</v>
      </c>
      <c r="AH50" s="14" t="e">
        <f ca="1">SOLID!AL61</f>
        <v>#N/A</v>
      </c>
      <c r="AI50" s="55"/>
      <c r="AJ50" s="55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  <c r="BG50" s="55"/>
      <c r="BH50" s="55"/>
      <c r="BI50" s="55"/>
      <c r="BJ50" s="55"/>
      <c r="BK50" s="55"/>
      <c r="BL50" s="55"/>
      <c r="BM50" s="55"/>
      <c r="BN50" s="55"/>
      <c r="BO50" s="55"/>
      <c r="BP50" s="55"/>
      <c r="BQ50" s="55"/>
      <c r="BR50" s="55"/>
      <c r="BS50" s="55"/>
      <c r="BT50" s="55"/>
      <c r="BU50" s="55"/>
      <c r="BV50" s="55"/>
      <c r="BW50" s="55"/>
      <c r="BX50" s="55"/>
      <c r="BY50" s="55"/>
      <c r="BZ50" s="55"/>
      <c r="CA50" s="55"/>
      <c r="CB50" s="55"/>
      <c r="CC50" s="55"/>
      <c r="CD50" s="55"/>
      <c r="CE50" s="55"/>
      <c r="CF50" s="55"/>
      <c r="CG50" s="55"/>
      <c r="CH50" s="55"/>
      <c r="CI50" s="55"/>
      <c r="CJ50" s="55"/>
      <c r="CK50" s="55"/>
      <c r="CL50" s="55"/>
      <c r="CM50" s="55"/>
      <c r="CN50" s="55"/>
      <c r="CO50" s="55"/>
      <c r="CP50" s="55"/>
    </row>
    <row r="51" spans="1:94" ht="21.75" hidden="1" outlineLevel="1" thickBot="1" x14ac:dyDescent="0.4">
      <c r="A51" s="35">
        <f>SOLID!E62</f>
        <v>0</v>
      </c>
      <c r="B51" s="16" t="e">
        <f ca="1">SOLID!F62</f>
        <v>#N/A</v>
      </c>
      <c r="C51" s="16" t="e">
        <f ca="1">SOLID!G62</f>
        <v>#N/A</v>
      </c>
      <c r="D51" s="16" t="e">
        <f ca="1">SOLID!H62</f>
        <v>#N/A</v>
      </c>
      <c r="E51" s="16" t="e">
        <f ca="1">SOLID!I62</f>
        <v>#N/A</v>
      </c>
      <c r="F51" s="14" t="e">
        <f ca="1">SOLID!J62</f>
        <v>#N/A</v>
      </c>
      <c r="G51" s="14" t="e">
        <f ca="1">SOLID!K62</f>
        <v>#N/A</v>
      </c>
      <c r="H51" s="14" t="e">
        <f ca="1">SOLID!L62</f>
        <v>#N/A</v>
      </c>
      <c r="I51" s="14" t="e">
        <f ca="1">SOLID!M62</f>
        <v>#N/A</v>
      </c>
      <c r="J51" s="14" t="e">
        <f ca="1">SOLID!N62</f>
        <v>#N/A</v>
      </c>
      <c r="K51" s="14" t="e">
        <f ca="1">SOLID!O62</f>
        <v>#N/A</v>
      </c>
      <c r="L51" s="14" t="e">
        <f ca="1">SOLID!P62</f>
        <v>#N/A</v>
      </c>
      <c r="M51" s="14" t="e">
        <f ca="1">SOLID!Q62</f>
        <v>#N/A</v>
      </c>
      <c r="N51" s="14" t="e">
        <f ca="1">SOLID!R62</f>
        <v>#N/A</v>
      </c>
      <c r="O51" s="14" t="e">
        <f ca="1">SOLID!S62</f>
        <v>#N/A</v>
      </c>
      <c r="P51" s="14" t="e">
        <f ca="1">SOLID!T62</f>
        <v>#N/A</v>
      </c>
      <c r="Q51" s="14" t="e">
        <f ca="1">SOLID!U62</f>
        <v>#N/A</v>
      </c>
      <c r="R51" s="14" t="e">
        <f ca="1">SOLID!V62</f>
        <v>#N/A</v>
      </c>
      <c r="S51" s="14" t="e">
        <f ca="1">SOLID!W62</f>
        <v>#N/A</v>
      </c>
      <c r="T51" s="14" t="e">
        <f ca="1">SOLID!X62</f>
        <v>#N/A</v>
      </c>
      <c r="U51" s="14" t="e">
        <f ca="1">SOLID!Y62</f>
        <v>#N/A</v>
      </c>
      <c r="V51" s="14" t="e">
        <f ca="1">SOLID!Z62</f>
        <v>#N/A</v>
      </c>
      <c r="W51" s="14" t="e">
        <f ca="1">SOLID!AA62</f>
        <v>#N/A</v>
      </c>
      <c r="X51" s="14" t="e">
        <f ca="1">SOLID!AB62</f>
        <v>#N/A</v>
      </c>
      <c r="Y51" s="14" t="e">
        <f ca="1">SOLID!AC62</f>
        <v>#N/A</v>
      </c>
      <c r="Z51" s="14" t="e">
        <f ca="1">SOLID!AD62</f>
        <v>#N/A</v>
      </c>
      <c r="AA51" s="14" t="e">
        <f ca="1">SOLID!AE62</f>
        <v>#N/A</v>
      </c>
      <c r="AB51" s="14" t="e">
        <f ca="1">SOLID!AF62</f>
        <v>#N/A</v>
      </c>
      <c r="AC51" s="14" t="e">
        <f ca="1">SOLID!AG62</f>
        <v>#N/A</v>
      </c>
      <c r="AD51" s="14" t="e">
        <f ca="1">SOLID!AH62</f>
        <v>#N/A</v>
      </c>
      <c r="AE51" s="14" t="e">
        <f ca="1">SOLID!AI62</f>
        <v>#N/A</v>
      </c>
      <c r="AF51" s="14" t="e">
        <f ca="1">SOLID!AJ62</f>
        <v>#N/A</v>
      </c>
      <c r="AG51" s="14" t="e">
        <f ca="1">SOLID!AK62</f>
        <v>#N/A</v>
      </c>
      <c r="AH51" s="14" t="e">
        <f ca="1">SOLID!AL62</f>
        <v>#N/A</v>
      </c>
      <c r="AI51" s="55"/>
      <c r="AJ51" s="55"/>
      <c r="AK51" s="55"/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  <c r="BF51" s="55"/>
      <c r="BG51" s="55"/>
      <c r="BH51" s="55"/>
      <c r="BI51" s="55"/>
      <c r="BJ51" s="55"/>
      <c r="BK51" s="55"/>
      <c r="BL51" s="55"/>
      <c r="BM51" s="55"/>
      <c r="BN51" s="55"/>
      <c r="BO51" s="55"/>
      <c r="BP51" s="55"/>
      <c r="BQ51" s="55"/>
      <c r="BR51" s="55"/>
      <c r="BS51" s="55"/>
      <c r="BT51" s="55"/>
      <c r="BU51" s="55"/>
      <c r="BV51" s="55"/>
      <c r="BW51" s="55"/>
      <c r="BX51" s="55"/>
      <c r="BY51" s="55"/>
      <c r="BZ51" s="55"/>
      <c r="CA51" s="55"/>
      <c r="CB51" s="55"/>
      <c r="CC51" s="55"/>
      <c r="CD51" s="55"/>
      <c r="CE51" s="55"/>
      <c r="CF51" s="55"/>
      <c r="CG51" s="55"/>
      <c r="CH51" s="55"/>
      <c r="CI51" s="55"/>
      <c r="CJ51" s="55"/>
      <c r="CK51" s="55"/>
      <c r="CL51" s="55"/>
      <c r="CM51" s="55"/>
      <c r="CN51" s="55"/>
      <c r="CO51" s="55"/>
      <c r="CP51" s="55"/>
    </row>
    <row r="52" spans="1:94" ht="21.75" hidden="1" outlineLevel="1" thickBot="1" x14ac:dyDescent="0.4">
      <c r="A52" s="35">
        <f>SOLID!E63</f>
        <v>0</v>
      </c>
      <c r="B52" s="16" t="e">
        <f ca="1">SOLID!F63</f>
        <v>#N/A</v>
      </c>
      <c r="C52" s="16" t="e">
        <f ca="1">SOLID!G63</f>
        <v>#N/A</v>
      </c>
      <c r="D52" s="16" t="e">
        <f ca="1">SOLID!H63</f>
        <v>#N/A</v>
      </c>
      <c r="E52" s="16" t="e">
        <f ca="1">SOLID!I63</f>
        <v>#N/A</v>
      </c>
      <c r="F52" s="14" t="e">
        <f ca="1">SOLID!J63</f>
        <v>#N/A</v>
      </c>
      <c r="G52" s="14" t="e">
        <f ca="1">SOLID!K63</f>
        <v>#N/A</v>
      </c>
      <c r="H52" s="14" t="e">
        <f ca="1">SOLID!L63</f>
        <v>#N/A</v>
      </c>
      <c r="I52" s="14" t="e">
        <f ca="1">SOLID!M63</f>
        <v>#N/A</v>
      </c>
      <c r="J52" s="14" t="e">
        <f ca="1">SOLID!N63</f>
        <v>#N/A</v>
      </c>
      <c r="K52" s="14" t="e">
        <f ca="1">SOLID!O63</f>
        <v>#N/A</v>
      </c>
      <c r="L52" s="14" t="e">
        <f ca="1">SOLID!P63</f>
        <v>#N/A</v>
      </c>
      <c r="M52" s="14" t="e">
        <f ca="1">SOLID!Q63</f>
        <v>#N/A</v>
      </c>
      <c r="N52" s="14" t="e">
        <f ca="1">SOLID!R63</f>
        <v>#N/A</v>
      </c>
      <c r="O52" s="14" t="e">
        <f ca="1">SOLID!S63</f>
        <v>#N/A</v>
      </c>
      <c r="P52" s="14" t="e">
        <f ca="1">SOLID!T63</f>
        <v>#N/A</v>
      </c>
      <c r="Q52" s="14" t="e">
        <f ca="1">SOLID!U63</f>
        <v>#N/A</v>
      </c>
      <c r="R52" s="14" t="e">
        <f ca="1">SOLID!V63</f>
        <v>#N/A</v>
      </c>
      <c r="S52" s="14" t="e">
        <f ca="1">SOLID!W63</f>
        <v>#N/A</v>
      </c>
      <c r="T52" s="14" t="e">
        <f ca="1">SOLID!X63</f>
        <v>#N/A</v>
      </c>
      <c r="U52" s="14" t="e">
        <f ca="1">SOLID!Y63</f>
        <v>#N/A</v>
      </c>
      <c r="V52" s="14" t="e">
        <f ca="1">SOLID!Z63</f>
        <v>#N/A</v>
      </c>
      <c r="W52" s="14" t="e">
        <f ca="1">SOLID!AA63</f>
        <v>#N/A</v>
      </c>
      <c r="X52" s="14" t="e">
        <f ca="1">SOLID!AB63</f>
        <v>#N/A</v>
      </c>
      <c r="Y52" s="14" t="e">
        <f ca="1">SOLID!AC63</f>
        <v>#N/A</v>
      </c>
      <c r="Z52" s="14" t="e">
        <f ca="1">SOLID!AD63</f>
        <v>#N/A</v>
      </c>
      <c r="AA52" s="14" t="e">
        <f ca="1">SOLID!AE63</f>
        <v>#N/A</v>
      </c>
      <c r="AB52" s="14" t="e">
        <f ca="1">SOLID!AF63</f>
        <v>#N/A</v>
      </c>
      <c r="AC52" s="14" t="e">
        <f ca="1">SOLID!AG63</f>
        <v>#N/A</v>
      </c>
      <c r="AD52" s="14" t="e">
        <f ca="1">SOLID!AH63</f>
        <v>#N/A</v>
      </c>
      <c r="AE52" s="14" t="e">
        <f ca="1">SOLID!AI63</f>
        <v>#N/A</v>
      </c>
      <c r="AF52" s="14" t="e">
        <f ca="1">SOLID!AJ63</f>
        <v>#N/A</v>
      </c>
      <c r="AG52" s="14" t="e">
        <f ca="1">SOLID!AK63</f>
        <v>#N/A</v>
      </c>
      <c r="AH52" s="14" t="e">
        <f ca="1">SOLID!AL63</f>
        <v>#N/A</v>
      </c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  <c r="BG52" s="55"/>
      <c r="BH52" s="55"/>
      <c r="BI52" s="55"/>
      <c r="BJ52" s="55"/>
      <c r="BK52" s="55"/>
      <c r="BL52" s="55"/>
      <c r="BM52" s="55"/>
      <c r="BN52" s="55"/>
      <c r="BO52" s="55"/>
      <c r="BP52" s="55"/>
      <c r="BQ52" s="55"/>
      <c r="BR52" s="55"/>
      <c r="BS52" s="55"/>
      <c r="BT52" s="55"/>
      <c r="BU52" s="55"/>
      <c r="BV52" s="55"/>
      <c r="BW52" s="55"/>
      <c r="BX52" s="55"/>
      <c r="BY52" s="55"/>
      <c r="BZ52" s="55"/>
      <c r="CA52" s="55"/>
      <c r="CB52" s="55"/>
      <c r="CC52" s="55"/>
      <c r="CD52" s="55"/>
      <c r="CE52" s="55"/>
      <c r="CF52" s="55"/>
      <c r="CG52" s="55"/>
      <c r="CH52" s="55"/>
      <c r="CI52" s="55"/>
      <c r="CJ52" s="55"/>
      <c r="CK52" s="55"/>
      <c r="CL52" s="55"/>
      <c r="CM52" s="55"/>
      <c r="CN52" s="55"/>
      <c r="CO52" s="55"/>
      <c r="CP52" s="55"/>
    </row>
    <row r="53" spans="1:94" ht="21.75" hidden="1" outlineLevel="1" thickBot="1" x14ac:dyDescent="0.4">
      <c r="A53" s="35">
        <f>SOLID!E64</f>
        <v>0</v>
      </c>
      <c r="B53" s="16" t="e">
        <f ca="1">SOLID!F64</f>
        <v>#N/A</v>
      </c>
      <c r="C53" s="16" t="e">
        <f ca="1">SOLID!G64</f>
        <v>#N/A</v>
      </c>
      <c r="D53" s="16" t="e">
        <f ca="1">SOLID!H64</f>
        <v>#N/A</v>
      </c>
      <c r="E53" s="16" t="e">
        <f ca="1">SOLID!I64</f>
        <v>#N/A</v>
      </c>
      <c r="F53" s="14" t="e">
        <f ca="1">SOLID!J64</f>
        <v>#N/A</v>
      </c>
      <c r="G53" s="14" t="e">
        <f ca="1">SOLID!K64</f>
        <v>#N/A</v>
      </c>
      <c r="H53" s="14" t="e">
        <f ca="1">SOLID!L64</f>
        <v>#N/A</v>
      </c>
      <c r="I53" s="14" t="e">
        <f ca="1">SOLID!M64</f>
        <v>#N/A</v>
      </c>
      <c r="J53" s="14" t="e">
        <f ca="1">SOLID!N64</f>
        <v>#N/A</v>
      </c>
      <c r="K53" s="14" t="e">
        <f ca="1">SOLID!O64</f>
        <v>#N/A</v>
      </c>
      <c r="L53" s="14" t="e">
        <f ca="1">SOLID!P64</f>
        <v>#N/A</v>
      </c>
      <c r="M53" s="14" t="e">
        <f ca="1">SOLID!Q64</f>
        <v>#N/A</v>
      </c>
      <c r="N53" s="14" t="e">
        <f ca="1">SOLID!R64</f>
        <v>#N/A</v>
      </c>
      <c r="O53" s="14" t="e">
        <f ca="1">SOLID!S64</f>
        <v>#N/A</v>
      </c>
      <c r="P53" s="14" t="e">
        <f ca="1">SOLID!T64</f>
        <v>#N/A</v>
      </c>
      <c r="Q53" s="14" t="e">
        <f ca="1">SOLID!U64</f>
        <v>#N/A</v>
      </c>
      <c r="R53" s="14" t="e">
        <f ca="1">SOLID!V64</f>
        <v>#N/A</v>
      </c>
      <c r="S53" s="14" t="e">
        <f ca="1">SOLID!W64</f>
        <v>#N/A</v>
      </c>
      <c r="T53" s="14" t="e">
        <f ca="1">SOLID!X64</f>
        <v>#N/A</v>
      </c>
      <c r="U53" s="14" t="e">
        <f ca="1">SOLID!Y64</f>
        <v>#N/A</v>
      </c>
      <c r="V53" s="14" t="e">
        <f ca="1">SOLID!Z64</f>
        <v>#N/A</v>
      </c>
      <c r="W53" s="14" t="e">
        <f ca="1">SOLID!AA64</f>
        <v>#N/A</v>
      </c>
      <c r="X53" s="14" t="e">
        <f ca="1">SOLID!AB64</f>
        <v>#N/A</v>
      </c>
      <c r="Y53" s="14" t="e">
        <f ca="1">SOLID!AC64</f>
        <v>#N/A</v>
      </c>
      <c r="Z53" s="14" t="e">
        <f ca="1">SOLID!AD64</f>
        <v>#N/A</v>
      </c>
      <c r="AA53" s="14" t="e">
        <f ca="1">SOLID!AE64</f>
        <v>#N/A</v>
      </c>
      <c r="AB53" s="14" t="e">
        <f ca="1">SOLID!AF64</f>
        <v>#N/A</v>
      </c>
      <c r="AC53" s="14" t="e">
        <f ca="1">SOLID!AG64</f>
        <v>#N/A</v>
      </c>
      <c r="AD53" s="14" t="e">
        <f ca="1">SOLID!AH64</f>
        <v>#N/A</v>
      </c>
      <c r="AE53" s="14" t="e">
        <f ca="1">SOLID!AI64</f>
        <v>#N/A</v>
      </c>
      <c r="AF53" s="14" t="e">
        <f ca="1">SOLID!AJ64</f>
        <v>#N/A</v>
      </c>
      <c r="AG53" s="14" t="e">
        <f ca="1">SOLID!AK64</f>
        <v>#N/A</v>
      </c>
      <c r="AH53" s="14" t="e">
        <f ca="1">SOLID!AL64</f>
        <v>#N/A</v>
      </c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55"/>
      <c r="BI53" s="55"/>
      <c r="BJ53" s="55"/>
      <c r="BK53" s="55"/>
      <c r="BL53" s="55"/>
      <c r="BM53" s="55"/>
      <c r="BN53" s="55"/>
      <c r="BO53" s="55"/>
      <c r="BP53" s="55"/>
      <c r="BQ53" s="55"/>
      <c r="BR53" s="55"/>
      <c r="BS53" s="55"/>
      <c r="BT53" s="55"/>
      <c r="BU53" s="55"/>
      <c r="BV53" s="55"/>
      <c r="BW53" s="55"/>
      <c r="BX53" s="55"/>
      <c r="BY53" s="55"/>
      <c r="BZ53" s="55"/>
      <c r="CA53" s="55"/>
      <c r="CB53" s="55"/>
      <c r="CC53" s="55"/>
      <c r="CD53" s="55"/>
      <c r="CE53" s="55"/>
      <c r="CF53" s="55"/>
      <c r="CG53" s="55"/>
      <c r="CH53" s="55"/>
      <c r="CI53" s="55"/>
      <c r="CJ53" s="55"/>
      <c r="CK53" s="55"/>
      <c r="CL53" s="55"/>
      <c r="CM53" s="55"/>
      <c r="CN53" s="55"/>
      <c r="CO53" s="55"/>
      <c r="CP53" s="55"/>
    </row>
    <row r="54" spans="1:94" ht="21.75" hidden="1" outlineLevel="1" thickBot="1" x14ac:dyDescent="0.4">
      <c r="A54" s="35">
        <f>SOLID!E65</f>
        <v>0</v>
      </c>
      <c r="B54" s="16" t="e">
        <f ca="1">SOLID!F65</f>
        <v>#N/A</v>
      </c>
      <c r="C54" s="16" t="e">
        <f ca="1">SOLID!G65</f>
        <v>#N/A</v>
      </c>
      <c r="D54" s="16" t="e">
        <f ca="1">SOLID!H65</f>
        <v>#N/A</v>
      </c>
      <c r="E54" s="16" t="e">
        <f ca="1">SOLID!I65</f>
        <v>#N/A</v>
      </c>
      <c r="F54" s="14" t="e">
        <f ca="1">SOLID!J65</f>
        <v>#N/A</v>
      </c>
      <c r="G54" s="14" t="e">
        <f ca="1">SOLID!K65</f>
        <v>#N/A</v>
      </c>
      <c r="H54" s="14" t="e">
        <f ca="1">SOLID!L65</f>
        <v>#N/A</v>
      </c>
      <c r="I54" s="14" t="e">
        <f ca="1">SOLID!M65</f>
        <v>#N/A</v>
      </c>
      <c r="J54" s="14" t="e">
        <f ca="1">SOLID!N65</f>
        <v>#N/A</v>
      </c>
      <c r="K54" s="14" t="e">
        <f ca="1">SOLID!O65</f>
        <v>#N/A</v>
      </c>
      <c r="L54" s="14" t="e">
        <f ca="1">SOLID!P65</f>
        <v>#N/A</v>
      </c>
      <c r="M54" s="14" t="e">
        <f ca="1">SOLID!Q65</f>
        <v>#N/A</v>
      </c>
      <c r="N54" s="14" t="e">
        <f ca="1">SOLID!R65</f>
        <v>#N/A</v>
      </c>
      <c r="O54" s="14" t="e">
        <f ca="1">SOLID!S65</f>
        <v>#N/A</v>
      </c>
      <c r="P54" s="14" t="e">
        <f ca="1">SOLID!T65</f>
        <v>#N/A</v>
      </c>
      <c r="Q54" s="14" t="e">
        <f ca="1">SOLID!U65</f>
        <v>#N/A</v>
      </c>
      <c r="R54" s="14" t="e">
        <f ca="1">SOLID!V65</f>
        <v>#N/A</v>
      </c>
      <c r="S54" s="14" t="e">
        <f ca="1">SOLID!W65</f>
        <v>#N/A</v>
      </c>
      <c r="T54" s="14" t="e">
        <f ca="1">SOLID!X65</f>
        <v>#N/A</v>
      </c>
      <c r="U54" s="14" t="e">
        <f ca="1">SOLID!Y65</f>
        <v>#N/A</v>
      </c>
      <c r="V54" s="14" t="e">
        <f ca="1">SOLID!Z65</f>
        <v>#N/A</v>
      </c>
      <c r="W54" s="14" t="e">
        <f ca="1">SOLID!AA65</f>
        <v>#N/A</v>
      </c>
      <c r="X54" s="14" t="e">
        <f ca="1">SOLID!AB65</f>
        <v>#N/A</v>
      </c>
      <c r="Y54" s="14" t="e">
        <f ca="1">SOLID!AC65</f>
        <v>#N/A</v>
      </c>
      <c r="Z54" s="14" t="e">
        <f ca="1">SOLID!AD65</f>
        <v>#N/A</v>
      </c>
      <c r="AA54" s="14" t="e">
        <f ca="1">SOLID!AE65</f>
        <v>#N/A</v>
      </c>
      <c r="AB54" s="14" t="e">
        <f ca="1">SOLID!AF65</f>
        <v>#N/A</v>
      </c>
      <c r="AC54" s="14" t="e">
        <f ca="1">SOLID!AG65</f>
        <v>#N/A</v>
      </c>
      <c r="AD54" s="14" t="e">
        <f ca="1">SOLID!AH65</f>
        <v>#N/A</v>
      </c>
      <c r="AE54" s="14" t="e">
        <f ca="1">SOLID!AI65</f>
        <v>#N/A</v>
      </c>
      <c r="AF54" s="14" t="e">
        <f ca="1">SOLID!AJ65</f>
        <v>#N/A</v>
      </c>
      <c r="AG54" s="14" t="e">
        <f ca="1">SOLID!AK65</f>
        <v>#N/A</v>
      </c>
      <c r="AH54" s="14" t="e">
        <f ca="1">SOLID!AL65</f>
        <v>#N/A</v>
      </c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5"/>
      <c r="BL54" s="55"/>
      <c r="BM54" s="55"/>
      <c r="BN54" s="55"/>
      <c r="BO54" s="55"/>
      <c r="BP54" s="55"/>
      <c r="BQ54" s="55"/>
      <c r="BR54" s="55"/>
      <c r="BS54" s="55"/>
      <c r="BT54" s="55"/>
      <c r="BU54" s="55"/>
      <c r="BV54" s="55"/>
      <c r="BW54" s="55"/>
      <c r="BX54" s="55"/>
      <c r="BY54" s="55"/>
      <c r="BZ54" s="55"/>
      <c r="CA54" s="55"/>
      <c r="CB54" s="55"/>
      <c r="CC54" s="55"/>
      <c r="CD54" s="55"/>
      <c r="CE54" s="55"/>
      <c r="CF54" s="55"/>
      <c r="CG54" s="55"/>
      <c r="CH54" s="55"/>
      <c r="CI54" s="55"/>
      <c r="CJ54" s="55"/>
      <c r="CK54" s="55"/>
      <c r="CL54" s="55"/>
      <c r="CM54" s="55"/>
      <c r="CN54" s="55"/>
      <c r="CO54" s="55"/>
      <c r="CP54" s="55"/>
    </row>
    <row r="55" spans="1:94" ht="21.75" hidden="1" outlineLevel="1" thickBot="1" x14ac:dyDescent="0.4">
      <c r="A55" s="35">
        <f>SOLID!E66</f>
        <v>0</v>
      </c>
      <c r="B55" s="16" t="e">
        <f ca="1">SOLID!F66</f>
        <v>#N/A</v>
      </c>
      <c r="C55" s="16" t="e">
        <f ca="1">SOLID!G66</f>
        <v>#N/A</v>
      </c>
      <c r="D55" s="16" t="e">
        <f ca="1">SOLID!H66</f>
        <v>#N/A</v>
      </c>
      <c r="E55" s="16" t="e">
        <f ca="1">SOLID!I66</f>
        <v>#N/A</v>
      </c>
      <c r="F55" s="14" t="e">
        <f ca="1">SOLID!J66</f>
        <v>#N/A</v>
      </c>
      <c r="G55" s="14" t="e">
        <f ca="1">SOLID!K66</f>
        <v>#N/A</v>
      </c>
      <c r="H55" s="14" t="e">
        <f ca="1">SOLID!L66</f>
        <v>#N/A</v>
      </c>
      <c r="I55" s="14" t="e">
        <f ca="1">SOLID!M66</f>
        <v>#N/A</v>
      </c>
      <c r="J55" s="14" t="e">
        <f ca="1">SOLID!N66</f>
        <v>#N/A</v>
      </c>
      <c r="K55" s="14" t="e">
        <f ca="1">SOLID!O66</f>
        <v>#N/A</v>
      </c>
      <c r="L55" s="14" t="e">
        <f ca="1">SOLID!P66</f>
        <v>#N/A</v>
      </c>
      <c r="M55" s="14" t="e">
        <f ca="1">SOLID!Q66</f>
        <v>#N/A</v>
      </c>
      <c r="N55" s="14" t="e">
        <f ca="1">SOLID!R66</f>
        <v>#N/A</v>
      </c>
      <c r="O55" s="14" t="e">
        <f ca="1">SOLID!S66</f>
        <v>#N/A</v>
      </c>
      <c r="P55" s="14" t="e">
        <f ca="1">SOLID!T66</f>
        <v>#N/A</v>
      </c>
      <c r="Q55" s="14" t="e">
        <f ca="1">SOLID!U66</f>
        <v>#N/A</v>
      </c>
      <c r="R55" s="14" t="e">
        <f ca="1">SOLID!V66</f>
        <v>#N/A</v>
      </c>
      <c r="S55" s="14" t="e">
        <f ca="1">SOLID!W66</f>
        <v>#N/A</v>
      </c>
      <c r="T55" s="14" t="e">
        <f ca="1">SOLID!X66</f>
        <v>#N/A</v>
      </c>
      <c r="U55" s="14" t="e">
        <f ca="1">SOLID!Y66</f>
        <v>#N/A</v>
      </c>
      <c r="V55" s="14" t="e">
        <f ca="1">SOLID!Z66</f>
        <v>#N/A</v>
      </c>
      <c r="W55" s="14" t="e">
        <f ca="1">SOLID!AA66</f>
        <v>#N/A</v>
      </c>
      <c r="X55" s="14" t="e">
        <f ca="1">SOLID!AB66</f>
        <v>#N/A</v>
      </c>
      <c r="Y55" s="14" t="e">
        <f ca="1">SOLID!AC66</f>
        <v>#N/A</v>
      </c>
      <c r="Z55" s="14" t="e">
        <f ca="1">SOLID!AD66</f>
        <v>#N/A</v>
      </c>
      <c r="AA55" s="14" t="e">
        <f ca="1">SOLID!AE66</f>
        <v>#N/A</v>
      </c>
      <c r="AB55" s="14" t="e">
        <f ca="1">SOLID!AF66</f>
        <v>#N/A</v>
      </c>
      <c r="AC55" s="14" t="e">
        <f ca="1">SOLID!AG66</f>
        <v>#N/A</v>
      </c>
      <c r="AD55" s="14" t="e">
        <f ca="1">SOLID!AH66</f>
        <v>#N/A</v>
      </c>
      <c r="AE55" s="14" t="e">
        <f ca="1">SOLID!AI66</f>
        <v>#N/A</v>
      </c>
      <c r="AF55" s="14" t="e">
        <f ca="1">SOLID!AJ66</f>
        <v>#N/A</v>
      </c>
      <c r="AG55" s="14" t="e">
        <f ca="1">SOLID!AK66</f>
        <v>#N/A</v>
      </c>
      <c r="AH55" s="14" t="e">
        <f ca="1">SOLID!AL66</f>
        <v>#N/A</v>
      </c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  <c r="BI55" s="55"/>
      <c r="BJ55" s="55"/>
      <c r="BK55" s="55"/>
      <c r="BL55" s="55"/>
      <c r="BM55" s="55"/>
      <c r="BN55" s="55"/>
      <c r="BO55" s="55"/>
      <c r="BP55" s="55"/>
      <c r="BQ55" s="55"/>
      <c r="BR55" s="55"/>
      <c r="BS55" s="55"/>
      <c r="BT55" s="55"/>
      <c r="BU55" s="55"/>
      <c r="BV55" s="55"/>
      <c r="BW55" s="55"/>
      <c r="BX55" s="55"/>
      <c r="BY55" s="55"/>
      <c r="BZ55" s="55"/>
      <c r="CA55" s="55"/>
      <c r="CB55" s="55"/>
      <c r="CC55" s="55"/>
      <c r="CD55" s="55"/>
      <c r="CE55" s="55"/>
      <c r="CF55" s="55"/>
      <c r="CG55" s="55"/>
      <c r="CH55" s="55"/>
      <c r="CI55" s="55"/>
      <c r="CJ55" s="55"/>
      <c r="CK55" s="55"/>
      <c r="CL55" s="55"/>
      <c r="CM55" s="55"/>
      <c r="CN55" s="55"/>
      <c r="CO55" s="55"/>
      <c r="CP55" s="55"/>
    </row>
    <row r="56" spans="1:94" ht="21.75" hidden="1" outlineLevel="1" thickBot="1" x14ac:dyDescent="0.4">
      <c r="A56" s="35">
        <f>SOLID!E67</f>
        <v>0</v>
      </c>
      <c r="B56" s="16" t="e">
        <f ca="1">SOLID!F67</f>
        <v>#N/A</v>
      </c>
      <c r="C56" s="16" t="e">
        <f ca="1">SOLID!G67</f>
        <v>#N/A</v>
      </c>
      <c r="D56" s="16" t="e">
        <f ca="1">SOLID!H67</f>
        <v>#N/A</v>
      </c>
      <c r="E56" s="16" t="e">
        <f ca="1">SOLID!I67</f>
        <v>#N/A</v>
      </c>
      <c r="F56" s="14" t="e">
        <f ca="1">SOLID!J67</f>
        <v>#N/A</v>
      </c>
      <c r="G56" s="14" t="e">
        <f ca="1">SOLID!K67</f>
        <v>#N/A</v>
      </c>
      <c r="H56" s="14" t="e">
        <f ca="1">SOLID!L67</f>
        <v>#N/A</v>
      </c>
      <c r="I56" s="14" t="e">
        <f ca="1">SOLID!M67</f>
        <v>#N/A</v>
      </c>
      <c r="J56" s="14" t="e">
        <f ca="1">SOLID!N67</f>
        <v>#N/A</v>
      </c>
      <c r="K56" s="14" t="e">
        <f ca="1">SOLID!O67</f>
        <v>#N/A</v>
      </c>
      <c r="L56" s="14" t="e">
        <f ca="1">SOLID!P67</f>
        <v>#N/A</v>
      </c>
      <c r="M56" s="14" t="e">
        <f ca="1">SOLID!Q67</f>
        <v>#N/A</v>
      </c>
      <c r="N56" s="14" t="e">
        <f ca="1">SOLID!R67</f>
        <v>#N/A</v>
      </c>
      <c r="O56" s="14" t="e">
        <f ca="1">SOLID!S67</f>
        <v>#N/A</v>
      </c>
      <c r="P56" s="14" t="e">
        <f ca="1">SOLID!T67</f>
        <v>#N/A</v>
      </c>
      <c r="Q56" s="14" t="e">
        <f ca="1">SOLID!U67</f>
        <v>#N/A</v>
      </c>
      <c r="R56" s="14" t="e">
        <f ca="1">SOLID!V67</f>
        <v>#N/A</v>
      </c>
      <c r="S56" s="14" t="e">
        <f ca="1">SOLID!W67</f>
        <v>#N/A</v>
      </c>
      <c r="T56" s="14" t="e">
        <f ca="1">SOLID!X67</f>
        <v>#N/A</v>
      </c>
      <c r="U56" s="14" t="e">
        <f ca="1">SOLID!Y67</f>
        <v>#N/A</v>
      </c>
      <c r="V56" s="14" t="e">
        <f ca="1">SOLID!Z67</f>
        <v>#N/A</v>
      </c>
      <c r="W56" s="14" t="e">
        <f ca="1">SOLID!AA67</f>
        <v>#N/A</v>
      </c>
      <c r="X56" s="14" t="e">
        <f ca="1">SOLID!AB67</f>
        <v>#N/A</v>
      </c>
      <c r="Y56" s="14" t="e">
        <f ca="1">SOLID!AC67</f>
        <v>#N/A</v>
      </c>
      <c r="Z56" s="14" t="e">
        <f ca="1">SOLID!AD67</f>
        <v>#N/A</v>
      </c>
      <c r="AA56" s="14" t="e">
        <f ca="1">SOLID!AE67</f>
        <v>#N/A</v>
      </c>
      <c r="AB56" s="14" t="e">
        <f ca="1">SOLID!AF67</f>
        <v>#N/A</v>
      </c>
      <c r="AC56" s="14" t="e">
        <f ca="1">SOLID!AG67</f>
        <v>#N/A</v>
      </c>
      <c r="AD56" s="14" t="e">
        <f ca="1">SOLID!AH67</f>
        <v>#N/A</v>
      </c>
      <c r="AE56" s="14" t="e">
        <f ca="1">SOLID!AI67</f>
        <v>#N/A</v>
      </c>
      <c r="AF56" s="14" t="e">
        <f ca="1">SOLID!AJ67</f>
        <v>#N/A</v>
      </c>
      <c r="AG56" s="14" t="e">
        <f ca="1">SOLID!AK67</f>
        <v>#N/A</v>
      </c>
      <c r="AH56" s="14" t="e">
        <f ca="1">SOLID!AL67</f>
        <v>#N/A</v>
      </c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  <c r="BI56" s="55"/>
      <c r="BJ56" s="55"/>
      <c r="BK56" s="55"/>
      <c r="BL56" s="55"/>
      <c r="BM56" s="55"/>
      <c r="BN56" s="55"/>
      <c r="BO56" s="55"/>
      <c r="BP56" s="55"/>
      <c r="BQ56" s="55"/>
      <c r="BR56" s="55"/>
      <c r="BS56" s="55"/>
      <c r="BT56" s="55"/>
      <c r="BU56" s="55"/>
      <c r="BV56" s="55"/>
      <c r="BW56" s="55"/>
      <c r="BX56" s="55"/>
      <c r="BY56" s="55"/>
      <c r="BZ56" s="55"/>
      <c r="CA56" s="55"/>
      <c r="CB56" s="55"/>
      <c r="CC56" s="55"/>
      <c r="CD56" s="55"/>
      <c r="CE56" s="55"/>
      <c r="CF56" s="55"/>
      <c r="CG56" s="55"/>
      <c r="CH56" s="55"/>
      <c r="CI56" s="55"/>
      <c r="CJ56" s="55"/>
      <c r="CK56" s="55"/>
      <c r="CL56" s="55"/>
      <c r="CM56" s="55"/>
      <c r="CN56" s="55"/>
      <c r="CO56" s="55"/>
      <c r="CP56" s="55"/>
    </row>
    <row r="57" spans="1:94" ht="21.75" hidden="1" outlineLevel="1" thickBot="1" x14ac:dyDescent="0.4">
      <c r="A57" s="35">
        <f>SOLID!E68</f>
        <v>0</v>
      </c>
      <c r="B57" s="16" t="e">
        <f ca="1">SOLID!F68</f>
        <v>#N/A</v>
      </c>
      <c r="C57" s="16" t="e">
        <f ca="1">SOLID!G68</f>
        <v>#N/A</v>
      </c>
      <c r="D57" s="16" t="e">
        <f ca="1">SOLID!H68</f>
        <v>#N/A</v>
      </c>
      <c r="E57" s="16" t="e">
        <f ca="1">SOLID!I68</f>
        <v>#N/A</v>
      </c>
      <c r="F57" s="14" t="e">
        <f ca="1">SOLID!J68</f>
        <v>#N/A</v>
      </c>
      <c r="G57" s="14" t="e">
        <f ca="1">SOLID!K68</f>
        <v>#N/A</v>
      </c>
      <c r="H57" s="14" t="e">
        <f ca="1">SOLID!L68</f>
        <v>#N/A</v>
      </c>
      <c r="I57" s="14" t="e">
        <f ca="1">SOLID!M68</f>
        <v>#N/A</v>
      </c>
      <c r="J57" s="14" t="e">
        <f ca="1">SOLID!N68</f>
        <v>#N/A</v>
      </c>
      <c r="K57" s="14" t="e">
        <f ca="1">SOLID!O68</f>
        <v>#N/A</v>
      </c>
      <c r="L57" s="14" t="e">
        <f ca="1">SOLID!P68</f>
        <v>#N/A</v>
      </c>
      <c r="M57" s="14" t="e">
        <f ca="1">SOLID!Q68</f>
        <v>#N/A</v>
      </c>
      <c r="N57" s="14" t="e">
        <f ca="1">SOLID!R68</f>
        <v>#N/A</v>
      </c>
      <c r="O57" s="14" t="e">
        <f ca="1">SOLID!S68</f>
        <v>#N/A</v>
      </c>
      <c r="P57" s="14" t="e">
        <f ca="1">SOLID!T68</f>
        <v>#N/A</v>
      </c>
      <c r="Q57" s="14" t="e">
        <f ca="1">SOLID!U68</f>
        <v>#N/A</v>
      </c>
      <c r="R57" s="14" t="e">
        <f ca="1">SOLID!V68</f>
        <v>#N/A</v>
      </c>
      <c r="S57" s="14" t="e">
        <f ca="1">SOLID!W68</f>
        <v>#N/A</v>
      </c>
      <c r="T57" s="14" t="e">
        <f ca="1">SOLID!X68</f>
        <v>#N/A</v>
      </c>
      <c r="U57" s="14" t="e">
        <f ca="1">SOLID!Y68</f>
        <v>#N/A</v>
      </c>
      <c r="V57" s="14" t="e">
        <f ca="1">SOLID!Z68</f>
        <v>#N/A</v>
      </c>
      <c r="W57" s="14" t="e">
        <f ca="1">SOLID!AA68</f>
        <v>#N/A</v>
      </c>
      <c r="X57" s="14" t="e">
        <f ca="1">SOLID!AB68</f>
        <v>#N/A</v>
      </c>
      <c r="Y57" s="14" t="e">
        <f ca="1">SOLID!AC68</f>
        <v>#N/A</v>
      </c>
      <c r="Z57" s="14" t="e">
        <f ca="1">SOLID!AD68</f>
        <v>#N/A</v>
      </c>
      <c r="AA57" s="14" t="e">
        <f ca="1">SOLID!AE68</f>
        <v>#N/A</v>
      </c>
      <c r="AB57" s="14" t="e">
        <f ca="1">SOLID!AF68</f>
        <v>#N/A</v>
      </c>
      <c r="AC57" s="14" t="e">
        <f ca="1">SOLID!AG68</f>
        <v>#N/A</v>
      </c>
      <c r="AD57" s="14" t="e">
        <f ca="1">SOLID!AH68</f>
        <v>#N/A</v>
      </c>
      <c r="AE57" s="14" t="e">
        <f ca="1">SOLID!AI68</f>
        <v>#N/A</v>
      </c>
      <c r="AF57" s="14" t="e">
        <f ca="1">SOLID!AJ68</f>
        <v>#N/A</v>
      </c>
      <c r="AG57" s="14" t="e">
        <f ca="1">SOLID!AK68</f>
        <v>#N/A</v>
      </c>
      <c r="AH57" s="14" t="e">
        <f ca="1">SOLID!AL68</f>
        <v>#N/A</v>
      </c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  <c r="BG57" s="55"/>
      <c r="BH57" s="55"/>
      <c r="BI57" s="55"/>
      <c r="BJ57" s="55"/>
      <c r="BK57" s="55"/>
      <c r="BL57" s="55"/>
      <c r="BM57" s="55"/>
      <c r="BN57" s="55"/>
      <c r="BO57" s="55"/>
      <c r="BP57" s="55"/>
      <c r="BQ57" s="55"/>
      <c r="BR57" s="55"/>
      <c r="BS57" s="55"/>
      <c r="BT57" s="55"/>
      <c r="BU57" s="55"/>
      <c r="BV57" s="55"/>
      <c r="BW57" s="55"/>
      <c r="BX57" s="55"/>
      <c r="BY57" s="55"/>
      <c r="BZ57" s="55"/>
      <c r="CA57" s="55"/>
      <c r="CB57" s="55"/>
      <c r="CC57" s="55"/>
      <c r="CD57" s="55"/>
      <c r="CE57" s="55"/>
      <c r="CF57" s="55"/>
      <c r="CG57" s="55"/>
      <c r="CH57" s="55"/>
      <c r="CI57" s="55"/>
      <c r="CJ57" s="55"/>
      <c r="CK57" s="55"/>
      <c r="CL57" s="55"/>
      <c r="CM57" s="55"/>
      <c r="CN57" s="55"/>
      <c r="CO57" s="55"/>
      <c r="CP57" s="55"/>
    </row>
    <row r="58" spans="1:94" ht="21.75" hidden="1" outlineLevel="1" thickBot="1" x14ac:dyDescent="0.4">
      <c r="A58" s="35">
        <f>SOLID!E69</f>
        <v>0</v>
      </c>
      <c r="B58" s="16" t="e">
        <f ca="1">SOLID!F69</f>
        <v>#N/A</v>
      </c>
      <c r="C58" s="16" t="e">
        <f ca="1">SOLID!G69</f>
        <v>#N/A</v>
      </c>
      <c r="D58" s="16" t="e">
        <f ca="1">SOLID!H69</f>
        <v>#N/A</v>
      </c>
      <c r="E58" s="16" t="e">
        <f ca="1">SOLID!I69</f>
        <v>#N/A</v>
      </c>
      <c r="F58" s="14" t="e">
        <f ca="1">SOLID!J69</f>
        <v>#N/A</v>
      </c>
      <c r="G58" s="14" t="e">
        <f ca="1">SOLID!K69</f>
        <v>#N/A</v>
      </c>
      <c r="H58" s="14" t="e">
        <f ca="1">SOLID!L69</f>
        <v>#N/A</v>
      </c>
      <c r="I58" s="14" t="e">
        <f ca="1">SOLID!M69</f>
        <v>#N/A</v>
      </c>
      <c r="J58" s="14" t="e">
        <f ca="1">SOLID!N69</f>
        <v>#N/A</v>
      </c>
      <c r="K58" s="14" t="e">
        <f ca="1">SOLID!O69</f>
        <v>#N/A</v>
      </c>
      <c r="L58" s="14" t="e">
        <f ca="1">SOLID!P69</f>
        <v>#N/A</v>
      </c>
      <c r="M58" s="14" t="e">
        <f ca="1">SOLID!Q69</f>
        <v>#N/A</v>
      </c>
      <c r="N58" s="14" t="e">
        <f ca="1">SOLID!R69</f>
        <v>#N/A</v>
      </c>
      <c r="O58" s="14" t="e">
        <f ca="1">SOLID!S69</f>
        <v>#N/A</v>
      </c>
      <c r="P58" s="14" t="e">
        <f ca="1">SOLID!T69</f>
        <v>#N/A</v>
      </c>
      <c r="Q58" s="14" t="e">
        <f ca="1">SOLID!U69</f>
        <v>#N/A</v>
      </c>
      <c r="R58" s="14" t="e">
        <f ca="1">SOLID!V69</f>
        <v>#N/A</v>
      </c>
      <c r="S58" s="14" t="e">
        <f ca="1">SOLID!W69</f>
        <v>#N/A</v>
      </c>
      <c r="T58" s="14" t="e">
        <f ca="1">SOLID!X69</f>
        <v>#N/A</v>
      </c>
      <c r="U58" s="14" t="e">
        <f ca="1">SOLID!Y69</f>
        <v>#N/A</v>
      </c>
      <c r="V58" s="14" t="e">
        <f ca="1">SOLID!Z69</f>
        <v>#N/A</v>
      </c>
      <c r="W58" s="14" t="e">
        <f ca="1">SOLID!AA69</f>
        <v>#N/A</v>
      </c>
      <c r="X58" s="14" t="e">
        <f ca="1">SOLID!AB69</f>
        <v>#N/A</v>
      </c>
      <c r="Y58" s="14" t="e">
        <f ca="1">SOLID!AC69</f>
        <v>#N/A</v>
      </c>
      <c r="Z58" s="14" t="e">
        <f ca="1">SOLID!AD69</f>
        <v>#N/A</v>
      </c>
      <c r="AA58" s="14" t="e">
        <f ca="1">SOLID!AE69</f>
        <v>#N/A</v>
      </c>
      <c r="AB58" s="14" t="e">
        <f ca="1">SOLID!AF69</f>
        <v>#N/A</v>
      </c>
      <c r="AC58" s="14" t="e">
        <f ca="1">SOLID!AG69</f>
        <v>#N/A</v>
      </c>
      <c r="AD58" s="14" t="e">
        <f ca="1">SOLID!AH69</f>
        <v>#N/A</v>
      </c>
      <c r="AE58" s="14" t="e">
        <f ca="1">SOLID!AI69</f>
        <v>#N/A</v>
      </c>
      <c r="AF58" s="14" t="e">
        <f ca="1">SOLID!AJ69</f>
        <v>#N/A</v>
      </c>
      <c r="AG58" s="14" t="e">
        <f ca="1">SOLID!AK69</f>
        <v>#N/A</v>
      </c>
      <c r="AH58" s="14" t="e">
        <f ca="1">SOLID!AL69</f>
        <v>#N/A</v>
      </c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  <c r="BF58" s="55"/>
      <c r="BG58" s="55"/>
      <c r="BH58" s="55"/>
      <c r="BI58" s="55"/>
      <c r="BJ58" s="55"/>
      <c r="BK58" s="55"/>
      <c r="BL58" s="55"/>
      <c r="BM58" s="55"/>
      <c r="BN58" s="55"/>
      <c r="BO58" s="55"/>
      <c r="BP58" s="55"/>
      <c r="BQ58" s="55"/>
      <c r="BR58" s="55"/>
      <c r="BS58" s="55"/>
      <c r="BT58" s="55"/>
      <c r="BU58" s="55"/>
      <c r="BV58" s="55"/>
      <c r="BW58" s="55"/>
      <c r="BX58" s="55"/>
      <c r="BY58" s="55"/>
      <c r="BZ58" s="55"/>
      <c r="CA58" s="55"/>
      <c r="CB58" s="55"/>
      <c r="CC58" s="55"/>
      <c r="CD58" s="55"/>
      <c r="CE58" s="55"/>
      <c r="CF58" s="55"/>
      <c r="CG58" s="55"/>
      <c r="CH58" s="55"/>
      <c r="CI58" s="55"/>
      <c r="CJ58" s="55"/>
      <c r="CK58" s="55"/>
      <c r="CL58" s="55"/>
      <c r="CM58" s="55"/>
      <c r="CN58" s="55"/>
      <c r="CO58" s="55"/>
      <c r="CP58" s="55"/>
    </row>
    <row r="59" spans="1:94" ht="21.75" hidden="1" outlineLevel="1" thickBot="1" x14ac:dyDescent="0.4">
      <c r="A59" s="35">
        <f>SOLID!E70</f>
        <v>0</v>
      </c>
      <c r="B59" s="16" t="e">
        <f ca="1">SOLID!F70</f>
        <v>#N/A</v>
      </c>
      <c r="C59" s="16" t="e">
        <f ca="1">SOLID!G70</f>
        <v>#N/A</v>
      </c>
      <c r="D59" s="16" t="e">
        <f ca="1">SOLID!H70</f>
        <v>#N/A</v>
      </c>
      <c r="E59" s="16" t="e">
        <f ca="1">SOLID!I70</f>
        <v>#N/A</v>
      </c>
      <c r="F59" s="14" t="e">
        <f ca="1">SOLID!J70</f>
        <v>#N/A</v>
      </c>
      <c r="G59" s="14" t="e">
        <f ca="1">SOLID!K70</f>
        <v>#N/A</v>
      </c>
      <c r="H59" s="14" t="e">
        <f ca="1">SOLID!L70</f>
        <v>#N/A</v>
      </c>
      <c r="I59" s="14" t="e">
        <f ca="1">SOLID!M70</f>
        <v>#N/A</v>
      </c>
      <c r="J59" s="14" t="e">
        <f ca="1">SOLID!N70</f>
        <v>#N/A</v>
      </c>
      <c r="K59" s="14" t="e">
        <f ca="1">SOLID!O70</f>
        <v>#N/A</v>
      </c>
      <c r="L59" s="14" t="e">
        <f ca="1">SOLID!P70</f>
        <v>#N/A</v>
      </c>
      <c r="M59" s="14" t="e">
        <f ca="1">SOLID!Q70</f>
        <v>#N/A</v>
      </c>
      <c r="N59" s="14" t="e">
        <f ca="1">SOLID!R70</f>
        <v>#N/A</v>
      </c>
      <c r="O59" s="14" t="e">
        <f ca="1">SOLID!S70</f>
        <v>#N/A</v>
      </c>
      <c r="P59" s="14" t="e">
        <f ca="1">SOLID!T70</f>
        <v>#N/A</v>
      </c>
      <c r="Q59" s="14" t="e">
        <f ca="1">SOLID!U70</f>
        <v>#N/A</v>
      </c>
      <c r="R59" s="14" t="e">
        <f ca="1">SOLID!V70</f>
        <v>#N/A</v>
      </c>
      <c r="S59" s="14" t="e">
        <f ca="1">SOLID!W70</f>
        <v>#N/A</v>
      </c>
      <c r="T59" s="14" t="e">
        <f ca="1">SOLID!X70</f>
        <v>#N/A</v>
      </c>
      <c r="U59" s="14" t="e">
        <f ca="1">SOLID!Y70</f>
        <v>#N/A</v>
      </c>
      <c r="V59" s="14" t="e">
        <f ca="1">SOLID!Z70</f>
        <v>#N/A</v>
      </c>
      <c r="W59" s="14" t="e">
        <f ca="1">SOLID!AA70</f>
        <v>#N/A</v>
      </c>
      <c r="X59" s="14" t="e">
        <f ca="1">SOLID!AB70</f>
        <v>#N/A</v>
      </c>
      <c r="Y59" s="14" t="e">
        <f ca="1">SOLID!AC70</f>
        <v>#N/A</v>
      </c>
      <c r="Z59" s="14" t="e">
        <f ca="1">SOLID!AD70</f>
        <v>#N/A</v>
      </c>
      <c r="AA59" s="14" t="e">
        <f ca="1">SOLID!AE70</f>
        <v>#N/A</v>
      </c>
      <c r="AB59" s="14" t="e">
        <f ca="1">SOLID!AF70</f>
        <v>#N/A</v>
      </c>
      <c r="AC59" s="14" t="e">
        <f ca="1">SOLID!AG70</f>
        <v>#N/A</v>
      </c>
      <c r="AD59" s="14" t="e">
        <f ca="1">SOLID!AH70</f>
        <v>#N/A</v>
      </c>
      <c r="AE59" s="14" t="e">
        <f ca="1">SOLID!AI70</f>
        <v>#N/A</v>
      </c>
      <c r="AF59" s="14" t="e">
        <f ca="1">SOLID!AJ70</f>
        <v>#N/A</v>
      </c>
      <c r="AG59" s="14" t="e">
        <f ca="1">SOLID!AK70</f>
        <v>#N/A</v>
      </c>
      <c r="AH59" s="14" t="e">
        <f ca="1">SOLID!AL70</f>
        <v>#N/A</v>
      </c>
      <c r="AI59" s="55"/>
      <c r="AJ59" s="55"/>
      <c r="AK59" s="55"/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55"/>
      <c r="BA59" s="55"/>
      <c r="BB59" s="55"/>
      <c r="BC59" s="55"/>
      <c r="BD59" s="55"/>
      <c r="BE59" s="55"/>
      <c r="BF59" s="55"/>
      <c r="BG59" s="55"/>
      <c r="BH59" s="55"/>
      <c r="BI59" s="55"/>
      <c r="BJ59" s="55"/>
      <c r="BK59" s="55"/>
      <c r="BL59" s="55"/>
      <c r="BM59" s="55"/>
      <c r="BN59" s="55"/>
      <c r="BO59" s="55"/>
      <c r="BP59" s="55"/>
      <c r="BQ59" s="55"/>
      <c r="BR59" s="55"/>
      <c r="BS59" s="55"/>
      <c r="BT59" s="55"/>
      <c r="BU59" s="55"/>
      <c r="BV59" s="55"/>
      <c r="BW59" s="55"/>
      <c r="BX59" s="55"/>
      <c r="BY59" s="55"/>
      <c r="BZ59" s="55"/>
      <c r="CA59" s="55"/>
      <c r="CB59" s="55"/>
      <c r="CC59" s="55"/>
      <c r="CD59" s="55"/>
      <c r="CE59" s="55"/>
      <c r="CF59" s="55"/>
      <c r="CG59" s="55"/>
      <c r="CH59" s="55"/>
      <c r="CI59" s="55"/>
      <c r="CJ59" s="55"/>
      <c r="CK59" s="55"/>
      <c r="CL59" s="55"/>
      <c r="CM59" s="55"/>
      <c r="CN59" s="55"/>
      <c r="CO59" s="55"/>
      <c r="CP59" s="55"/>
    </row>
    <row r="60" spans="1:94" ht="21.75" hidden="1" outlineLevel="1" thickBot="1" x14ac:dyDescent="0.4">
      <c r="A60" s="35">
        <f>SOLID!E71</f>
        <v>0</v>
      </c>
      <c r="B60" s="16" t="e">
        <f ca="1">SOLID!F71</f>
        <v>#N/A</v>
      </c>
      <c r="C60" s="16" t="e">
        <f ca="1">SOLID!G71</f>
        <v>#N/A</v>
      </c>
      <c r="D60" s="16" t="e">
        <f ca="1">SOLID!H71</f>
        <v>#N/A</v>
      </c>
      <c r="E60" s="16" t="e">
        <f ca="1">SOLID!I71</f>
        <v>#N/A</v>
      </c>
      <c r="F60" s="14" t="e">
        <f ca="1">SOLID!J71</f>
        <v>#N/A</v>
      </c>
      <c r="G60" s="14" t="e">
        <f ca="1">SOLID!K71</f>
        <v>#N/A</v>
      </c>
      <c r="H60" s="14" t="e">
        <f ca="1">SOLID!L71</f>
        <v>#N/A</v>
      </c>
      <c r="I60" s="14" t="e">
        <f ca="1">SOLID!M71</f>
        <v>#N/A</v>
      </c>
      <c r="J60" s="14" t="e">
        <f ca="1">SOLID!N71</f>
        <v>#N/A</v>
      </c>
      <c r="K60" s="14" t="e">
        <f ca="1">SOLID!O71</f>
        <v>#N/A</v>
      </c>
      <c r="L60" s="14" t="e">
        <f ca="1">SOLID!P71</f>
        <v>#N/A</v>
      </c>
      <c r="M60" s="14" t="e">
        <f ca="1">SOLID!Q71</f>
        <v>#N/A</v>
      </c>
      <c r="N60" s="14" t="e">
        <f ca="1">SOLID!R71</f>
        <v>#N/A</v>
      </c>
      <c r="O60" s="14" t="e">
        <f ca="1">SOLID!S71</f>
        <v>#N/A</v>
      </c>
      <c r="P60" s="14" t="e">
        <f ca="1">SOLID!T71</f>
        <v>#N/A</v>
      </c>
      <c r="Q60" s="14" t="e">
        <f ca="1">SOLID!U71</f>
        <v>#N/A</v>
      </c>
      <c r="R60" s="14" t="e">
        <f ca="1">SOLID!V71</f>
        <v>#N/A</v>
      </c>
      <c r="S60" s="14" t="e">
        <f ca="1">SOLID!W71</f>
        <v>#N/A</v>
      </c>
      <c r="T60" s="14" t="e">
        <f ca="1">SOLID!X71</f>
        <v>#N/A</v>
      </c>
      <c r="U60" s="14" t="e">
        <f ca="1">SOLID!Y71</f>
        <v>#N/A</v>
      </c>
      <c r="V60" s="14" t="e">
        <f ca="1">SOLID!Z71</f>
        <v>#N/A</v>
      </c>
      <c r="W60" s="14" t="e">
        <f ca="1">SOLID!AA71</f>
        <v>#N/A</v>
      </c>
      <c r="X60" s="14" t="e">
        <f ca="1">SOLID!AB71</f>
        <v>#N/A</v>
      </c>
      <c r="Y60" s="14" t="e">
        <f ca="1">SOLID!AC71</f>
        <v>#N/A</v>
      </c>
      <c r="Z60" s="14" t="e">
        <f ca="1">SOLID!AD71</f>
        <v>#N/A</v>
      </c>
      <c r="AA60" s="14" t="e">
        <f ca="1">SOLID!AE71</f>
        <v>#N/A</v>
      </c>
      <c r="AB60" s="14" t="e">
        <f ca="1">SOLID!AF71</f>
        <v>#N/A</v>
      </c>
      <c r="AC60" s="14" t="e">
        <f ca="1">SOLID!AG71</f>
        <v>#N/A</v>
      </c>
      <c r="AD60" s="14" t="e">
        <f ca="1">SOLID!AH71</f>
        <v>#N/A</v>
      </c>
      <c r="AE60" s="14" t="e">
        <f ca="1">SOLID!AI71</f>
        <v>#N/A</v>
      </c>
      <c r="AF60" s="14" t="e">
        <f ca="1">SOLID!AJ71</f>
        <v>#N/A</v>
      </c>
      <c r="AG60" s="14" t="e">
        <f ca="1">SOLID!AK71</f>
        <v>#N/A</v>
      </c>
      <c r="AH60" s="14" t="e">
        <f ca="1">SOLID!AL71</f>
        <v>#N/A</v>
      </c>
      <c r="AI60" s="55"/>
      <c r="AJ60" s="55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  <c r="BF60" s="55"/>
      <c r="BG60" s="55"/>
      <c r="BH60" s="55"/>
      <c r="BI60" s="55"/>
      <c r="BJ60" s="55"/>
      <c r="BK60" s="55"/>
      <c r="BL60" s="55"/>
      <c r="BM60" s="55"/>
      <c r="BN60" s="55"/>
      <c r="BO60" s="55"/>
      <c r="BP60" s="55"/>
      <c r="BQ60" s="55"/>
      <c r="BR60" s="55"/>
      <c r="BS60" s="55"/>
      <c r="BT60" s="55"/>
      <c r="BU60" s="55"/>
      <c r="BV60" s="55"/>
      <c r="BW60" s="55"/>
      <c r="BX60" s="55"/>
      <c r="BY60" s="55"/>
      <c r="BZ60" s="55"/>
      <c r="CA60" s="55"/>
      <c r="CB60" s="55"/>
      <c r="CC60" s="55"/>
      <c r="CD60" s="55"/>
      <c r="CE60" s="55"/>
      <c r="CF60" s="55"/>
      <c r="CG60" s="55"/>
      <c r="CH60" s="55"/>
      <c r="CI60" s="55"/>
      <c r="CJ60" s="55"/>
      <c r="CK60" s="55"/>
      <c r="CL60" s="55"/>
      <c r="CM60" s="55"/>
      <c r="CN60" s="55"/>
      <c r="CO60" s="55"/>
      <c r="CP60" s="55"/>
    </row>
    <row r="61" spans="1:94" ht="21.75" hidden="1" outlineLevel="1" thickBot="1" x14ac:dyDescent="0.4">
      <c r="A61" s="35">
        <f>SOLID!E72</f>
        <v>0</v>
      </c>
      <c r="B61" s="16" t="e">
        <f ca="1">SOLID!F72</f>
        <v>#N/A</v>
      </c>
      <c r="C61" s="16" t="e">
        <f ca="1">SOLID!G72</f>
        <v>#N/A</v>
      </c>
      <c r="D61" s="16" t="e">
        <f ca="1">SOLID!H72</f>
        <v>#N/A</v>
      </c>
      <c r="E61" s="16" t="e">
        <f ca="1">SOLID!I72</f>
        <v>#N/A</v>
      </c>
      <c r="F61" s="14" t="e">
        <f ca="1">SOLID!J72</f>
        <v>#N/A</v>
      </c>
      <c r="G61" s="14" t="e">
        <f ca="1">SOLID!K72</f>
        <v>#N/A</v>
      </c>
      <c r="H61" s="14" t="e">
        <f ca="1">SOLID!L72</f>
        <v>#N/A</v>
      </c>
      <c r="I61" s="14" t="e">
        <f ca="1">SOLID!M72</f>
        <v>#N/A</v>
      </c>
      <c r="J61" s="14" t="e">
        <f ca="1">SOLID!N72</f>
        <v>#N/A</v>
      </c>
      <c r="K61" s="14" t="e">
        <f ca="1">SOLID!O72</f>
        <v>#N/A</v>
      </c>
      <c r="L61" s="14" t="e">
        <f ca="1">SOLID!P72</f>
        <v>#N/A</v>
      </c>
      <c r="M61" s="14" t="e">
        <f ca="1">SOLID!Q72</f>
        <v>#N/A</v>
      </c>
      <c r="N61" s="14" t="e">
        <f ca="1">SOLID!R72</f>
        <v>#N/A</v>
      </c>
      <c r="O61" s="14" t="e">
        <f ca="1">SOLID!S72</f>
        <v>#N/A</v>
      </c>
      <c r="P61" s="14" t="e">
        <f ca="1">SOLID!T72</f>
        <v>#N/A</v>
      </c>
      <c r="Q61" s="14" t="e">
        <f ca="1">SOLID!U72</f>
        <v>#N/A</v>
      </c>
      <c r="R61" s="14" t="e">
        <f ca="1">SOLID!V72</f>
        <v>#N/A</v>
      </c>
      <c r="S61" s="14" t="e">
        <f ca="1">SOLID!W72</f>
        <v>#N/A</v>
      </c>
      <c r="T61" s="14" t="e">
        <f ca="1">SOLID!X72</f>
        <v>#N/A</v>
      </c>
      <c r="U61" s="14" t="e">
        <f ca="1">SOLID!Y72</f>
        <v>#N/A</v>
      </c>
      <c r="V61" s="14" t="e">
        <f ca="1">SOLID!Z72</f>
        <v>#N/A</v>
      </c>
      <c r="W61" s="14" t="e">
        <f ca="1">SOLID!AA72</f>
        <v>#N/A</v>
      </c>
      <c r="X61" s="14" t="e">
        <f ca="1">SOLID!AB72</f>
        <v>#N/A</v>
      </c>
      <c r="Y61" s="14" t="e">
        <f ca="1">SOLID!AC72</f>
        <v>#N/A</v>
      </c>
      <c r="Z61" s="14" t="e">
        <f ca="1">SOLID!AD72</f>
        <v>#N/A</v>
      </c>
      <c r="AA61" s="14" t="e">
        <f ca="1">SOLID!AE72</f>
        <v>#N/A</v>
      </c>
      <c r="AB61" s="14" t="e">
        <f ca="1">SOLID!AF72</f>
        <v>#N/A</v>
      </c>
      <c r="AC61" s="14" t="e">
        <f ca="1">SOLID!AG72</f>
        <v>#N/A</v>
      </c>
      <c r="AD61" s="14" t="e">
        <f ca="1">SOLID!AH72</f>
        <v>#N/A</v>
      </c>
      <c r="AE61" s="14" t="e">
        <f ca="1">SOLID!AI72</f>
        <v>#N/A</v>
      </c>
      <c r="AF61" s="14" t="e">
        <f ca="1">SOLID!AJ72</f>
        <v>#N/A</v>
      </c>
      <c r="AG61" s="14" t="e">
        <f ca="1">SOLID!AK72</f>
        <v>#N/A</v>
      </c>
      <c r="AH61" s="14" t="e">
        <f ca="1">SOLID!AL72</f>
        <v>#N/A</v>
      </c>
      <c r="AI61" s="55"/>
      <c r="AJ61" s="55"/>
      <c r="AK61" s="55"/>
      <c r="AL61" s="55"/>
      <c r="AM61" s="55"/>
      <c r="AN61" s="55"/>
      <c r="AO61" s="55"/>
      <c r="AP61" s="55"/>
      <c r="AQ61" s="55"/>
      <c r="AR61" s="55"/>
      <c r="AS61" s="55"/>
      <c r="AT61" s="55"/>
      <c r="AU61" s="55"/>
      <c r="AV61" s="55"/>
      <c r="AW61" s="55"/>
      <c r="AX61" s="55"/>
      <c r="AY61" s="55"/>
      <c r="AZ61" s="55"/>
      <c r="BA61" s="55"/>
      <c r="BB61" s="55"/>
      <c r="BC61" s="55"/>
      <c r="BD61" s="55"/>
      <c r="BE61" s="55"/>
      <c r="BF61" s="55"/>
      <c r="BG61" s="55"/>
      <c r="BH61" s="55"/>
      <c r="BI61" s="55"/>
      <c r="BJ61" s="55"/>
      <c r="BK61" s="55"/>
      <c r="BL61" s="55"/>
      <c r="BM61" s="55"/>
      <c r="BN61" s="55"/>
      <c r="BO61" s="55"/>
      <c r="BP61" s="55"/>
      <c r="BQ61" s="55"/>
      <c r="BR61" s="55"/>
      <c r="BS61" s="55"/>
      <c r="BT61" s="55"/>
      <c r="BU61" s="55"/>
      <c r="BV61" s="55"/>
      <c r="BW61" s="55"/>
      <c r="BX61" s="55"/>
      <c r="BY61" s="55"/>
      <c r="BZ61" s="55"/>
      <c r="CA61" s="55"/>
      <c r="CB61" s="55"/>
      <c r="CC61" s="55"/>
      <c r="CD61" s="55"/>
      <c r="CE61" s="55"/>
      <c r="CF61" s="55"/>
      <c r="CG61" s="55"/>
      <c r="CH61" s="55"/>
      <c r="CI61" s="55"/>
      <c r="CJ61" s="55"/>
      <c r="CK61" s="55"/>
      <c r="CL61" s="55"/>
      <c r="CM61" s="55"/>
      <c r="CN61" s="55"/>
      <c r="CO61" s="55"/>
      <c r="CP61" s="55"/>
    </row>
    <row r="62" spans="1:94" ht="21.75" hidden="1" outlineLevel="1" thickBot="1" x14ac:dyDescent="0.4">
      <c r="A62" s="35">
        <f>SOLID!E73</f>
        <v>0</v>
      </c>
      <c r="B62" s="16" t="e">
        <f ca="1">SOLID!F73</f>
        <v>#N/A</v>
      </c>
      <c r="C62" s="16" t="e">
        <f ca="1">SOLID!G73</f>
        <v>#N/A</v>
      </c>
      <c r="D62" s="16" t="e">
        <f ca="1">SOLID!H73</f>
        <v>#N/A</v>
      </c>
      <c r="E62" s="16" t="e">
        <f ca="1">SOLID!I73</f>
        <v>#N/A</v>
      </c>
      <c r="F62" s="14" t="e">
        <f ca="1">SOLID!J73</f>
        <v>#N/A</v>
      </c>
      <c r="G62" s="14" t="e">
        <f ca="1">SOLID!K73</f>
        <v>#N/A</v>
      </c>
      <c r="H62" s="14" t="e">
        <f ca="1">SOLID!L73</f>
        <v>#N/A</v>
      </c>
      <c r="I62" s="14" t="e">
        <f ca="1">SOLID!M73</f>
        <v>#N/A</v>
      </c>
      <c r="J62" s="14" t="e">
        <f ca="1">SOLID!N73</f>
        <v>#N/A</v>
      </c>
      <c r="K62" s="14" t="e">
        <f ca="1">SOLID!O73</f>
        <v>#N/A</v>
      </c>
      <c r="L62" s="14" t="e">
        <f ca="1">SOLID!P73</f>
        <v>#N/A</v>
      </c>
      <c r="M62" s="14" t="e">
        <f ca="1">SOLID!Q73</f>
        <v>#N/A</v>
      </c>
      <c r="N62" s="14" t="e">
        <f ca="1">SOLID!R73</f>
        <v>#N/A</v>
      </c>
      <c r="O62" s="14" t="e">
        <f ca="1">SOLID!S73</f>
        <v>#N/A</v>
      </c>
      <c r="P62" s="14" t="e">
        <f ca="1">SOLID!T73</f>
        <v>#N/A</v>
      </c>
      <c r="Q62" s="14" t="e">
        <f ca="1">SOLID!U73</f>
        <v>#N/A</v>
      </c>
      <c r="R62" s="14" t="e">
        <f ca="1">SOLID!V73</f>
        <v>#N/A</v>
      </c>
      <c r="S62" s="14" t="e">
        <f ca="1">SOLID!W73</f>
        <v>#N/A</v>
      </c>
      <c r="T62" s="14" t="e">
        <f ca="1">SOLID!X73</f>
        <v>#N/A</v>
      </c>
      <c r="U62" s="14" t="e">
        <f ca="1">SOLID!Y73</f>
        <v>#N/A</v>
      </c>
      <c r="V62" s="14" t="e">
        <f ca="1">SOLID!Z73</f>
        <v>#N/A</v>
      </c>
      <c r="W62" s="14" t="e">
        <f ca="1">SOLID!AA73</f>
        <v>#N/A</v>
      </c>
      <c r="X62" s="14" t="e">
        <f ca="1">SOLID!AB73</f>
        <v>#N/A</v>
      </c>
      <c r="Y62" s="14" t="e">
        <f ca="1">SOLID!AC73</f>
        <v>#N/A</v>
      </c>
      <c r="Z62" s="14" t="e">
        <f ca="1">SOLID!AD73</f>
        <v>#N/A</v>
      </c>
      <c r="AA62" s="14" t="e">
        <f ca="1">SOLID!AE73</f>
        <v>#N/A</v>
      </c>
      <c r="AB62" s="14" t="e">
        <f ca="1">SOLID!AF73</f>
        <v>#N/A</v>
      </c>
      <c r="AC62" s="14" t="e">
        <f ca="1">SOLID!AG73</f>
        <v>#N/A</v>
      </c>
      <c r="AD62" s="14" t="e">
        <f ca="1">SOLID!AH73</f>
        <v>#N/A</v>
      </c>
      <c r="AE62" s="14" t="e">
        <f ca="1">SOLID!AI73</f>
        <v>#N/A</v>
      </c>
      <c r="AF62" s="14" t="e">
        <f ca="1">SOLID!AJ73</f>
        <v>#N/A</v>
      </c>
      <c r="AG62" s="14" t="e">
        <f ca="1">SOLID!AK73</f>
        <v>#N/A</v>
      </c>
      <c r="AH62" s="14" t="e">
        <f ca="1">SOLID!AL73</f>
        <v>#N/A</v>
      </c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  <c r="BN62" s="55"/>
      <c r="BO62" s="55"/>
      <c r="BP62" s="55"/>
      <c r="BQ62" s="55"/>
      <c r="BR62" s="55"/>
      <c r="BS62" s="55"/>
      <c r="BT62" s="55"/>
      <c r="BU62" s="55"/>
      <c r="BV62" s="55"/>
      <c r="BW62" s="55"/>
      <c r="BX62" s="55"/>
      <c r="BY62" s="55"/>
      <c r="BZ62" s="55"/>
      <c r="CA62" s="55"/>
      <c r="CB62" s="55"/>
      <c r="CC62" s="55"/>
      <c r="CD62" s="55"/>
      <c r="CE62" s="55"/>
      <c r="CF62" s="55"/>
      <c r="CG62" s="55"/>
      <c r="CH62" s="55"/>
      <c r="CI62" s="55"/>
      <c r="CJ62" s="55"/>
      <c r="CK62" s="55"/>
      <c r="CL62" s="55"/>
      <c r="CM62" s="55"/>
      <c r="CN62" s="55"/>
      <c r="CO62" s="55"/>
      <c r="CP62" s="55"/>
    </row>
    <row r="63" spans="1:94" ht="21.75" hidden="1" outlineLevel="1" thickBot="1" x14ac:dyDescent="0.4">
      <c r="A63" s="35">
        <f>SOLID!E74</f>
        <v>0</v>
      </c>
      <c r="B63" s="16" t="e">
        <f ca="1">SOLID!F74</f>
        <v>#N/A</v>
      </c>
      <c r="C63" s="16" t="e">
        <f ca="1">SOLID!G74</f>
        <v>#N/A</v>
      </c>
      <c r="D63" s="16" t="e">
        <f ca="1">SOLID!H74</f>
        <v>#N/A</v>
      </c>
      <c r="E63" s="16" t="e">
        <f ca="1">SOLID!I74</f>
        <v>#N/A</v>
      </c>
      <c r="F63" s="14" t="e">
        <f ca="1">SOLID!J74</f>
        <v>#N/A</v>
      </c>
      <c r="G63" s="14" t="e">
        <f ca="1">SOLID!K74</f>
        <v>#N/A</v>
      </c>
      <c r="H63" s="14" t="e">
        <f ca="1">SOLID!L74</f>
        <v>#N/A</v>
      </c>
      <c r="I63" s="14" t="e">
        <f ca="1">SOLID!M74</f>
        <v>#N/A</v>
      </c>
      <c r="J63" s="14" t="e">
        <f ca="1">SOLID!N74</f>
        <v>#N/A</v>
      </c>
      <c r="K63" s="14" t="e">
        <f ca="1">SOLID!O74</f>
        <v>#N/A</v>
      </c>
      <c r="L63" s="14" t="e">
        <f ca="1">SOLID!P74</f>
        <v>#N/A</v>
      </c>
      <c r="M63" s="14" t="e">
        <f ca="1">SOLID!Q74</f>
        <v>#N/A</v>
      </c>
      <c r="N63" s="14" t="e">
        <f ca="1">SOLID!R74</f>
        <v>#N/A</v>
      </c>
      <c r="O63" s="14" t="e">
        <f ca="1">SOLID!S74</f>
        <v>#N/A</v>
      </c>
      <c r="P63" s="14" t="e">
        <f ca="1">SOLID!T74</f>
        <v>#N/A</v>
      </c>
      <c r="Q63" s="14" t="e">
        <f ca="1">SOLID!U74</f>
        <v>#N/A</v>
      </c>
      <c r="R63" s="14" t="e">
        <f ca="1">SOLID!V74</f>
        <v>#N/A</v>
      </c>
      <c r="S63" s="14" t="e">
        <f ca="1">SOLID!W74</f>
        <v>#N/A</v>
      </c>
      <c r="T63" s="14" t="e">
        <f ca="1">SOLID!X74</f>
        <v>#N/A</v>
      </c>
      <c r="U63" s="14" t="e">
        <f ca="1">SOLID!Y74</f>
        <v>#N/A</v>
      </c>
      <c r="V63" s="14" t="e">
        <f ca="1">SOLID!Z74</f>
        <v>#N/A</v>
      </c>
      <c r="W63" s="14" t="e">
        <f ca="1">SOLID!AA74</f>
        <v>#N/A</v>
      </c>
      <c r="X63" s="14" t="e">
        <f ca="1">SOLID!AB74</f>
        <v>#N/A</v>
      </c>
      <c r="Y63" s="14" t="e">
        <f ca="1">SOLID!AC74</f>
        <v>#N/A</v>
      </c>
      <c r="Z63" s="14" t="e">
        <f ca="1">SOLID!AD74</f>
        <v>#N/A</v>
      </c>
      <c r="AA63" s="14" t="e">
        <f ca="1">SOLID!AE74</f>
        <v>#N/A</v>
      </c>
      <c r="AB63" s="14" t="e">
        <f ca="1">SOLID!AF74</f>
        <v>#N/A</v>
      </c>
      <c r="AC63" s="14" t="e">
        <f ca="1">SOLID!AG74</f>
        <v>#N/A</v>
      </c>
      <c r="AD63" s="14" t="e">
        <f ca="1">SOLID!AH74</f>
        <v>#N/A</v>
      </c>
      <c r="AE63" s="14" t="e">
        <f ca="1">SOLID!AI74</f>
        <v>#N/A</v>
      </c>
      <c r="AF63" s="14" t="e">
        <f ca="1">SOLID!AJ74</f>
        <v>#N/A</v>
      </c>
      <c r="AG63" s="14" t="e">
        <f ca="1">SOLID!AK74</f>
        <v>#N/A</v>
      </c>
      <c r="AH63" s="14" t="e">
        <f ca="1">SOLID!AL74</f>
        <v>#N/A</v>
      </c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  <c r="BN63" s="55"/>
      <c r="BO63" s="55"/>
      <c r="BP63" s="55"/>
      <c r="BQ63" s="55"/>
      <c r="BR63" s="55"/>
      <c r="BS63" s="55"/>
      <c r="BT63" s="55"/>
      <c r="BU63" s="55"/>
      <c r="BV63" s="55"/>
      <c r="BW63" s="55"/>
      <c r="BX63" s="5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55"/>
      <c r="CO63" s="55"/>
      <c r="CP63" s="55"/>
    </row>
    <row r="64" spans="1:94" ht="21.75" hidden="1" outlineLevel="1" thickBot="1" x14ac:dyDescent="0.4">
      <c r="A64" s="35">
        <f>SOLID!E75</f>
        <v>1</v>
      </c>
      <c r="B64" s="16">
        <f>SOLID!F75</f>
        <v>0</v>
      </c>
      <c r="C64" s="16">
        <f>SOLID!G75</f>
        <v>0</v>
      </c>
      <c r="D64" s="16">
        <f>SOLID!H75</f>
        <v>0</v>
      </c>
      <c r="E64" s="16">
        <f>SOLID!I75</f>
        <v>0</v>
      </c>
      <c r="F64" s="14">
        <f>SOLID!J75</f>
        <v>0</v>
      </c>
      <c r="G64" s="14">
        <f>SOLID!K75</f>
        <v>0</v>
      </c>
      <c r="H64" s="14">
        <f>SOLID!L75</f>
        <v>0</v>
      </c>
      <c r="I64" s="14">
        <f>SOLID!M75</f>
        <v>0</v>
      </c>
      <c r="J64" s="14">
        <f>SOLID!N75</f>
        <v>0</v>
      </c>
      <c r="K64" s="14">
        <f>SOLID!O75</f>
        <v>0</v>
      </c>
      <c r="L64" s="14">
        <f>SOLID!P75</f>
        <v>0</v>
      </c>
      <c r="M64" s="14">
        <f>SOLID!Q75</f>
        <v>0</v>
      </c>
      <c r="N64" s="14">
        <f>SOLID!R75</f>
        <v>0</v>
      </c>
      <c r="O64" s="14">
        <f>SOLID!S75</f>
        <v>0</v>
      </c>
      <c r="P64" s="14">
        <f>SOLID!T75</f>
        <v>0</v>
      </c>
      <c r="Q64" s="14">
        <f>SOLID!U75</f>
        <v>0</v>
      </c>
      <c r="R64" s="14">
        <f>SOLID!V75</f>
        <v>0</v>
      </c>
      <c r="S64" s="14">
        <f>SOLID!W75</f>
        <v>0</v>
      </c>
      <c r="T64" s="14">
        <f>SOLID!X75</f>
        <v>0</v>
      </c>
      <c r="U64" s="14">
        <f>SOLID!Y75</f>
        <v>0</v>
      </c>
      <c r="V64" s="14">
        <f>SOLID!Z75</f>
        <v>0</v>
      </c>
      <c r="W64" s="14">
        <f>SOLID!AA75</f>
        <v>0</v>
      </c>
      <c r="X64" s="14">
        <f>SOLID!AB75</f>
        <v>0</v>
      </c>
      <c r="Y64" s="14">
        <f>SOLID!AC75</f>
        <v>0</v>
      </c>
      <c r="Z64" s="14">
        <f>SOLID!AD75</f>
        <v>0</v>
      </c>
      <c r="AA64" s="14">
        <f>SOLID!AE75</f>
        <v>0</v>
      </c>
      <c r="AB64" s="14">
        <f>SOLID!AF75</f>
        <v>0</v>
      </c>
      <c r="AC64" s="14">
        <f>SOLID!AG75</f>
        <v>0</v>
      </c>
      <c r="AD64" s="14">
        <f>SOLID!AH75</f>
        <v>0</v>
      </c>
      <c r="AE64" s="14">
        <f>SOLID!AI75</f>
        <v>0</v>
      </c>
      <c r="AF64" s="14">
        <f>SOLID!AJ75</f>
        <v>0</v>
      </c>
      <c r="AG64" s="14">
        <f>SOLID!AK75</f>
        <v>0</v>
      </c>
      <c r="AH64" s="14">
        <f>SOLID!AL75</f>
        <v>0</v>
      </c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</row>
    <row r="65" spans="1:94" ht="22.5" collapsed="1" thickTop="1" thickBot="1" x14ac:dyDescent="0.4">
      <c r="A65" s="38"/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  <c r="BF65" s="55"/>
      <c r="BG65" s="55"/>
      <c r="BH65" s="55"/>
      <c r="BI65" s="55"/>
      <c r="BJ65" s="55"/>
      <c r="BK65" s="55"/>
      <c r="BL65" s="55"/>
      <c r="BM65" s="55"/>
      <c r="BN65" s="55"/>
      <c r="BO65" s="55"/>
      <c r="BP65" s="55"/>
      <c r="BQ65" s="55"/>
      <c r="BR65" s="55"/>
      <c r="BS65" s="55"/>
      <c r="BT65" s="55"/>
      <c r="BU65" s="55"/>
      <c r="BV65" s="55"/>
      <c r="BW65" s="55"/>
      <c r="BX65" s="55"/>
      <c r="BY65" s="55"/>
      <c r="BZ65" s="55"/>
      <c r="CA65" s="55"/>
      <c r="CB65" s="55"/>
      <c r="CC65" s="55"/>
      <c r="CD65" s="55"/>
      <c r="CE65" s="55"/>
      <c r="CF65" s="55"/>
      <c r="CG65" s="55"/>
      <c r="CH65" s="55"/>
      <c r="CI65" s="55"/>
      <c r="CJ65" s="55"/>
      <c r="CK65" s="55"/>
      <c r="CL65" s="55"/>
      <c r="CM65" s="55"/>
      <c r="CN65" s="55"/>
      <c r="CO65" s="55"/>
      <c r="CP65" s="55"/>
    </row>
    <row r="66" spans="1:94" ht="22.5" thickTop="1" thickBot="1" x14ac:dyDescent="0.4">
      <c r="A66" s="4" t="s">
        <v>31</v>
      </c>
      <c r="B66" s="72">
        <f>ALL!F45</f>
        <v>273.10000000000002</v>
      </c>
      <c r="C66" s="72">
        <f>ALL!G45</f>
        <v>339.2</v>
      </c>
      <c r="D66" s="72">
        <f>ALL!H45</f>
        <v>355.7</v>
      </c>
      <c r="E66" s="72">
        <f>ALL!I45</f>
        <v>372.3</v>
      </c>
      <c r="F66" s="4">
        <f>ALL!J45</f>
        <v>388.8</v>
      </c>
      <c r="G66" s="4">
        <f>ALL!K45</f>
        <v>405.3</v>
      </c>
      <c r="H66" s="4">
        <f>ALL!L45</f>
        <v>421.8</v>
      </c>
      <c r="I66" s="4">
        <f>ALL!M45</f>
        <v>438.3</v>
      </c>
      <c r="J66" s="4">
        <f>ALL!N45</f>
        <v>454.9</v>
      </c>
      <c r="K66" s="4">
        <f>ALL!O45</f>
        <v>471.4</v>
      </c>
      <c r="L66" s="4">
        <f>ALL!P45</f>
        <v>537.5</v>
      </c>
      <c r="M66" s="4">
        <f>ALL!Q45</f>
        <v>603.5</v>
      </c>
      <c r="N66" s="4">
        <f>ALL!R45</f>
        <v>620.1</v>
      </c>
      <c r="O66" s="4">
        <f>ALL!S45</f>
        <v>636.6</v>
      </c>
      <c r="P66" s="4">
        <f>ALL!T45</f>
        <v>653.1</v>
      </c>
      <c r="Q66" s="4">
        <f>ALL!U45</f>
        <v>669.6</v>
      </c>
      <c r="R66" s="4">
        <f>ALL!V45</f>
        <v>686.1</v>
      </c>
      <c r="S66" s="4">
        <f>ALL!W45</f>
        <v>702.7</v>
      </c>
      <c r="T66" s="4">
        <f>ALL!X45</f>
        <v>719.2</v>
      </c>
      <c r="U66" s="4">
        <f>ALL!Y45</f>
        <v>735.7</v>
      </c>
      <c r="V66" s="4">
        <f>ALL!Z45</f>
        <v>752.2</v>
      </c>
      <c r="W66" s="4">
        <f>ALL!AA45</f>
        <v>768.7</v>
      </c>
      <c r="X66" s="4">
        <f>ALL!AB45</f>
        <v>785.2</v>
      </c>
      <c r="Y66" s="4">
        <f>ALL!AC45</f>
        <v>801.8</v>
      </c>
      <c r="Z66" s="4">
        <f>ALL!AD45</f>
        <v>818.3</v>
      </c>
      <c r="AA66" s="4">
        <f>ALL!AE45</f>
        <v>834.8</v>
      </c>
      <c r="AB66" s="4">
        <f>ALL!AF45</f>
        <v>851.3</v>
      </c>
      <c r="AC66" s="4">
        <f>ALL!AG45</f>
        <v>867.8</v>
      </c>
      <c r="AD66" s="4">
        <f>ALL!AH45</f>
        <v>884.4</v>
      </c>
      <c r="AE66" s="4">
        <f>ALL!AI45</f>
        <v>900.9</v>
      </c>
      <c r="AF66" s="4">
        <f>ALL!AJ45</f>
        <v>917.4</v>
      </c>
      <c r="AG66" s="4">
        <f>ALL!AK45</f>
        <v>933.9</v>
      </c>
      <c r="AH66" s="4">
        <f>ALL!AL45</f>
        <v>1000</v>
      </c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55"/>
      <c r="BA66" s="55"/>
      <c r="BB66" s="55"/>
      <c r="BC66" s="55"/>
      <c r="BD66" s="55"/>
      <c r="BE66" s="55"/>
      <c r="BF66" s="55"/>
      <c r="BG66" s="55"/>
      <c r="BH66" s="55"/>
      <c r="BI66" s="55"/>
      <c r="BJ66" s="55"/>
      <c r="BK66" s="55"/>
      <c r="BL66" s="55"/>
      <c r="BM66" s="55"/>
      <c r="BN66" s="55"/>
      <c r="BO66" s="55"/>
      <c r="BP66" s="55"/>
      <c r="BQ66" s="55"/>
      <c r="BR66" s="55"/>
      <c r="BS66" s="55"/>
      <c r="BT66" s="55"/>
      <c r="BU66" s="55"/>
      <c r="BV66" s="55"/>
      <c r="BW66" s="55"/>
      <c r="BX66" s="55"/>
      <c r="BY66" s="55"/>
      <c r="BZ66" s="55"/>
      <c r="CA66" s="55"/>
      <c r="CB66" s="55"/>
      <c r="CC66" s="55"/>
      <c r="CD66" s="55"/>
      <c r="CE66" s="55"/>
      <c r="CF66" s="55"/>
      <c r="CG66" s="55"/>
      <c r="CH66" s="55"/>
      <c r="CI66" s="55"/>
      <c r="CJ66" s="55"/>
      <c r="CK66" s="55"/>
      <c r="CL66" s="55"/>
      <c r="CM66" s="55"/>
      <c r="CN66" s="55"/>
      <c r="CO66" s="55"/>
      <c r="CP66" s="55"/>
    </row>
    <row r="67" spans="1:94" ht="22.5" hidden="1" outlineLevel="1" thickTop="1" thickBot="1" x14ac:dyDescent="0.4">
      <c r="A67" s="36" t="str">
        <f>ALL!E46</f>
        <v>*Se[m]</v>
      </c>
      <c r="B67" s="16">
        <f ca="1">ALL!F46</f>
        <v>-45.84</v>
      </c>
      <c r="C67" s="16">
        <f ca="1">ALL!G46</f>
        <v>-36.31</v>
      </c>
      <c r="D67" s="16">
        <f ca="1">ALL!H46</f>
        <v>-34.75</v>
      </c>
      <c r="E67" s="16">
        <f ca="1">ALL!I46</f>
        <v>-33.590000000000003</v>
      </c>
      <c r="F67" s="14">
        <f ca="1">ALL!J46</f>
        <v>-32.64</v>
      </c>
      <c r="G67" s="14">
        <f ca="1">ALL!K46</f>
        <v>-31.81</v>
      </c>
      <c r="H67" s="14">
        <f ca="1">ALL!L46</f>
        <v>-31.07</v>
      </c>
      <c r="I67" s="14">
        <f ca="1">ALL!M46</f>
        <v>-30.4</v>
      </c>
      <c r="J67" s="14">
        <f ca="1">ALL!N46</f>
        <v>-29.79</v>
      </c>
      <c r="K67" s="14">
        <f ca="1">ALL!O46</f>
        <v>-29.24</v>
      </c>
      <c r="L67" s="14">
        <f ca="1">ALL!P46</f>
        <v>-27.47</v>
      </c>
      <c r="M67" s="14">
        <f ca="1">ALL!Q46</f>
        <v>-26.24</v>
      </c>
      <c r="N67" s="14">
        <f ca="1">ALL!R46</f>
        <v>-26.01</v>
      </c>
      <c r="O67" s="14">
        <f ca="1">ALL!S46</f>
        <v>-25.81</v>
      </c>
      <c r="P67" s="14">
        <f ca="1">ALL!T46</f>
        <v>-25.65</v>
      </c>
      <c r="Q67" s="14">
        <f ca="1">ALL!U46</f>
        <v>-25.54</v>
      </c>
      <c r="R67" s="14">
        <f ca="1">ALL!V46</f>
        <v>-25.48</v>
      </c>
      <c r="S67" s="14">
        <f ca="1">ALL!W46</f>
        <v>-25.5</v>
      </c>
      <c r="T67" s="14">
        <f ca="1">ALL!X46</f>
        <v>-25.59</v>
      </c>
      <c r="U67" s="14">
        <f ca="1">ALL!Y46</f>
        <v>-25.76</v>
      </c>
      <c r="V67" s="14">
        <f ca="1">ALL!Z46</f>
        <v>-25.95</v>
      </c>
      <c r="W67" s="14">
        <f ca="1">ALL!AA46</f>
        <v>-26.17</v>
      </c>
      <c r="X67" s="14">
        <f ca="1">ALL!AB46</f>
        <v>-26.38</v>
      </c>
      <c r="Y67" s="14">
        <f ca="1">ALL!AC46</f>
        <v>-26.6</v>
      </c>
      <c r="Z67" s="14">
        <f ca="1">ALL!AD46</f>
        <v>-26.8</v>
      </c>
      <c r="AA67" s="14">
        <f ca="1">ALL!AE46</f>
        <v>-26.82</v>
      </c>
      <c r="AB67" s="14">
        <f ca="1">ALL!AF46</f>
        <v>-26.93</v>
      </c>
      <c r="AC67" s="14">
        <f ca="1">ALL!AG46</f>
        <v>-27.09</v>
      </c>
      <c r="AD67" s="14">
        <f ca="1">ALL!AH46</f>
        <v>-27.27</v>
      </c>
      <c r="AE67" s="14">
        <f ca="1">ALL!AI46</f>
        <v>-27.46</v>
      </c>
      <c r="AF67" s="14">
        <f ca="1">ALL!AJ46</f>
        <v>-27.65</v>
      </c>
      <c r="AG67" s="14">
        <f ca="1">ALL!AK46</f>
        <v>-27.85</v>
      </c>
      <c r="AH67" s="14">
        <f ca="1">ALL!AL46</f>
        <v>-28.62</v>
      </c>
      <c r="AI67" s="14">
        <f>ALL!AM46</f>
        <v>0</v>
      </c>
    </row>
    <row r="68" spans="1:94" ht="21.75" hidden="1" outlineLevel="1" thickBot="1" x14ac:dyDescent="0.4">
      <c r="A68" s="36" t="str">
        <f>ALL!E47</f>
        <v>*Ga2Se3</v>
      </c>
      <c r="B68" s="16">
        <f ca="1">ALL!F47</f>
        <v>-201.70000000000002</v>
      </c>
      <c r="C68" s="16">
        <f ca="1">ALL!G47</f>
        <v>-166.69</v>
      </c>
      <c r="D68" s="16">
        <f ca="1">ALL!H47</f>
        <v>-160.05000000000001</v>
      </c>
      <c r="E68" s="16">
        <f ca="1">ALL!I47</f>
        <v>-154.03</v>
      </c>
      <c r="F68" s="14">
        <f ca="1">ALL!J47</f>
        <v>-148.56</v>
      </c>
      <c r="G68" s="14">
        <f ca="1">ALL!K47</f>
        <v>-143.54999999999998</v>
      </c>
      <c r="H68" s="14">
        <f ca="1">ALL!L47</f>
        <v>-138.97</v>
      </c>
      <c r="I68" s="14">
        <f ca="1">ALL!M47</f>
        <v>-134.73999999999998</v>
      </c>
      <c r="J68" s="14">
        <f ca="1">ALL!N47</f>
        <v>-130.83000000000001</v>
      </c>
      <c r="K68" s="14">
        <f ca="1">ALL!O47</f>
        <v>-127.24000000000001</v>
      </c>
      <c r="L68" s="14">
        <f ca="1">ALL!P47</f>
        <v>-115.19</v>
      </c>
      <c r="M68" s="14">
        <f ca="1">ALL!Q47</f>
        <v>-106.03999999999999</v>
      </c>
      <c r="N68" s="14">
        <f ca="1">ALL!R47</f>
        <v>-104.15</v>
      </c>
      <c r="O68" s="14">
        <f ca="1">ALL!S47</f>
        <v>-102.38999999999999</v>
      </c>
      <c r="P68" s="14">
        <f ca="1">ALL!T47</f>
        <v>-100.80999999999999</v>
      </c>
      <c r="Q68" s="14">
        <f ca="1">ALL!U47</f>
        <v>-99.42</v>
      </c>
      <c r="R68" s="14">
        <f ca="1">ALL!V47</f>
        <v>-98.22</v>
      </c>
      <c r="S68" s="14">
        <f ca="1">ALL!W47</f>
        <v>-97.3</v>
      </c>
      <c r="T68" s="14">
        <f ca="1">ALL!X47</f>
        <v>-96.635999999999996</v>
      </c>
      <c r="U68" s="14">
        <f ca="1">ALL!Y47</f>
        <v>-96.248000000000005</v>
      </c>
      <c r="V68" s="14">
        <f ca="1">ALL!Z47</f>
        <v>-95.955999999999989</v>
      </c>
      <c r="W68" s="14">
        <f ca="1">ALL!AA47</f>
        <v>-95.79</v>
      </c>
      <c r="X68" s="14">
        <f ca="1">ALL!AB47</f>
        <v>-95.63</v>
      </c>
      <c r="Y68" s="14">
        <f ca="1">ALL!AC47</f>
        <v>-95.536000000000016</v>
      </c>
      <c r="Z68" s="14">
        <f ca="1">ALL!AD47</f>
        <v>-95.456000000000003</v>
      </c>
      <c r="AA68" s="14">
        <f ca="1">ALL!AE47</f>
        <v>-95.628000000000014</v>
      </c>
      <c r="AB68" s="14">
        <f ca="1">ALL!AF47</f>
        <v>-96.071999999999989</v>
      </c>
      <c r="AC68" s="14">
        <f ca="1">ALL!AG47</f>
        <v>-96.661999999999992</v>
      </c>
      <c r="AD68" s="14">
        <f ca="1">ALL!AH47</f>
        <v>-97.311999999999998</v>
      </c>
      <c r="AE68" s="14">
        <f ca="1">ALL!AI47</f>
        <v>-97.99</v>
      </c>
      <c r="AF68" s="14">
        <f ca="1">ALL!AJ47</f>
        <v>-98.665999999999983</v>
      </c>
      <c r="AG68" s="14">
        <f ca="1">ALL!AK47</f>
        <v>-99.37</v>
      </c>
      <c r="AH68" s="14">
        <f ca="1">ALL!AL47</f>
        <v>-102.078</v>
      </c>
      <c r="AI68" s="14">
        <f>ALL!AM47</f>
        <v>0</v>
      </c>
    </row>
    <row r="69" spans="1:94" ht="21.75" hidden="1" outlineLevel="1" thickBot="1" x14ac:dyDescent="0.4">
      <c r="A69" s="36" t="str">
        <f>ALL!E48</f>
        <v>*Ga[1]</v>
      </c>
      <c r="B69" s="16">
        <f ca="1">ALL!F48</f>
        <v>-32.090000000000003</v>
      </c>
      <c r="C69" s="16">
        <f ca="1">ALL!G48</f>
        <v>-28.88</v>
      </c>
      <c r="D69" s="16">
        <f ca="1">ALL!H48</f>
        <v>-27.9</v>
      </c>
      <c r="E69" s="16">
        <f ca="1">ALL!I48</f>
        <v>-26.63</v>
      </c>
      <c r="F69" s="14">
        <f ca="1">ALL!J48</f>
        <v>-25.32</v>
      </c>
      <c r="G69" s="14">
        <f ca="1">ALL!K48</f>
        <v>-24.06</v>
      </c>
      <c r="H69" s="14">
        <f ca="1">ALL!L48</f>
        <v>-22.88</v>
      </c>
      <c r="I69" s="14">
        <f ca="1">ALL!M48</f>
        <v>-21.77</v>
      </c>
      <c r="J69" s="14">
        <f ca="1">ALL!N48</f>
        <v>-20.73</v>
      </c>
      <c r="K69" s="14">
        <f ca="1">ALL!O48</f>
        <v>-19.760000000000002</v>
      </c>
      <c r="L69" s="14">
        <f ca="1">ALL!P48</f>
        <v>-16.39</v>
      </c>
      <c r="M69" s="14">
        <f ca="1">ALL!Q48</f>
        <v>-13.66</v>
      </c>
      <c r="N69" s="14">
        <f ca="1">ALL!R48</f>
        <v>-13.06</v>
      </c>
      <c r="O69" s="14">
        <f ca="1">ALL!S48</f>
        <v>-12.48</v>
      </c>
      <c r="P69" s="14">
        <f ca="1">ALL!T48</f>
        <v>-11.93</v>
      </c>
      <c r="Q69" s="14">
        <f ca="1">ALL!U48</f>
        <v>-11.4</v>
      </c>
      <c r="R69" s="14">
        <f ca="1">ALL!V48</f>
        <v>-10.89</v>
      </c>
      <c r="S69" s="14">
        <f ca="1">ALL!W48</f>
        <v>-10.4</v>
      </c>
      <c r="T69" s="14">
        <f ca="1">ALL!X48</f>
        <v>-9.9329999999999998</v>
      </c>
      <c r="U69" s="14">
        <f ca="1">ALL!Y48</f>
        <v>-9.484</v>
      </c>
      <c r="V69" s="14">
        <f ca="1">ALL!Z48</f>
        <v>-9.0530000000000008</v>
      </c>
      <c r="W69" s="14">
        <f ca="1">ALL!AA48</f>
        <v>-8.64</v>
      </c>
      <c r="X69" s="14">
        <f ca="1">ALL!AB48</f>
        <v>-8.2449999999999992</v>
      </c>
      <c r="Y69" s="14">
        <f ca="1">ALL!AC48</f>
        <v>-7.8680000000000003</v>
      </c>
      <c r="Z69" s="14">
        <f ca="1">ALL!AD48</f>
        <v>-7.5279999999999996</v>
      </c>
      <c r="AA69" s="14">
        <f ca="1">ALL!AE48</f>
        <v>-7.5839999999999996</v>
      </c>
      <c r="AB69" s="14">
        <f ca="1">ALL!AF48</f>
        <v>-7.641</v>
      </c>
      <c r="AC69" s="14">
        <f ca="1">ALL!AG48</f>
        <v>-7.6959999999999997</v>
      </c>
      <c r="AD69" s="14">
        <f ca="1">ALL!AH48</f>
        <v>-7.7510000000000003</v>
      </c>
      <c r="AE69" s="14">
        <f ca="1">ALL!AI48</f>
        <v>-7.8049999999999997</v>
      </c>
      <c r="AF69" s="14">
        <f ca="1">ALL!AJ48</f>
        <v>-7.8579999999999997</v>
      </c>
      <c r="AG69" s="14">
        <f ca="1">ALL!AK48</f>
        <v>-7.91</v>
      </c>
      <c r="AH69" s="14">
        <f ca="1">ALL!AL48</f>
        <v>-8.109</v>
      </c>
      <c r="AI69" s="14">
        <f>ALL!AM48</f>
        <v>0</v>
      </c>
    </row>
    <row r="70" spans="1:94" ht="21.75" hidden="1" outlineLevel="1" thickBot="1" x14ac:dyDescent="0.4">
      <c r="A70" s="36" t="str">
        <f>ALL!E49</f>
        <v>Ga</v>
      </c>
      <c r="B70" s="16">
        <f ca="1">ALL!F49</f>
        <v>-32.090000000000003</v>
      </c>
      <c r="C70" s="16">
        <f ca="1">ALL!G49</f>
        <v>-28.88</v>
      </c>
      <c r="D70" s="16">
        <f ca="1">ALL!H49</f>
        <v>-27.9</v>
      </c>
      <c r="E70" s="16">
        <f ca="1">ALL!I49</f>
        <v>-26.63</v>
      </c>
      <c r="F70" s="14">
        <f ca="1">ALL!J49</f>
        <v>-25.32</v>
      </c>
      <c r="G70" s="14">
        <f ca="1">ALL!K49</f>
        <v>-24.06</v>
      </c>
      <c r="H70" s="14">
        <f ca="1">ALL!L49</f>
        <v>-22.88</v>
      </c>
      <c r="I70" s="14">
        <f ca="1">ALL!M49</f>
        <v>-21.77</v>
      </c>
      <c r="J70" s="14">
        <f ca="1">ALL!N49</f>
        <v>-20.73</v>
      </c>
      <c r="K70" s="14">
        <f ca="1">ALL!O49</f>
        <v>-19.760000000000002</v>
      </c>
      <c r="L70" s="14">
        <f ca="1">ALL!P49</f>
        <v>-16.39</v>
      </c>
      <c r="M70" s="14">
        <f ca="1">ALL!Q49</f>
        <v>-13.66</v>
      </c>
      <c r="N70" s="14">
        <f ca="1">ALL!R49</f>
        <v>-13.06</v>
      </c>
      <c r="O70" s="14">
        <f ca="1">ALL!S49</f>
        <v>-12.48</v>
      </c>
      <c r="P70" s="14">
        <f ca="1">ALL!T49</f>
        <v>-11.93</v>
      </c>
      <c r="Q70" s="14">
        <f ca="1">ALL!U49</f>
        <v>-11.4</v>
      </c>
      <c r="R70" s="14">
        <f ca="1">ALL!V49</f>
        <v>-10.89</v>
      </c>
      <c r="S70" s="14">
        <f ca="1">ALL!W49</f>
        <v>-10.4</v>
      </c>
      <c r="T70" s="14">
        <f ca="1">ALL!X49</f>
        <v>-9.9329999999999998</v>
      </c>
      <c r="U70" s="14">
        <f ca="1">ALL!Y49</f>
        <v>-9.484</v>
      </c>
      <c r="V70" s="14">
        <f ca="1">ALL!Z49</f>
        <v>-9.0530000000000008</v>
      </c>
      <c r="W70" s="14">
        <f ca="1">ALL!AA49</f>
        <v>-8.64</v>
      </c>
      <c r="X70" s="14">
        <f ca="1">ALL!AB49</f>
        <v>-8.2449999999999992</v>
      </c>
      <c r="Y70" s="14">
        <f ca="1">ALL!AC49</f>
        <v>-7.8680000000000003</v>
      </c>
      <c r="Z70" s="14">
        <f ca="1">ALL!AD49</f>
        <v>-7.5279999999999996</v>
      </c>
      <c r="AA70" s="14">
        <f ca="1">ALL!AE49</f>
        <v>-7.5839999999999996</v>
      </c>
      <c r="AB70" s="14">
        <f ca="1">ALL!AF49</f>
        <v>-7.641</v>
      </c>
      <c r="AC70" s="14">
        <f ca="1">ALL!AG49</f>
        <v>-7.6959999999999997</v>
      </c>
      <c r="AD70" s="14">
        <f ca="1">ALL!AH49</f>
        <v>-7.7510000000000003</v>
      </c>
      <c r="AE70" s="14">
        <f ca="1">ALL!AI49</f>
        <v>-7.8049999999999997</v>
      </c>
      <c r="AF70" s="14">
        <f ca="1">ALL!AJ49</f>
        <v>-7.8579999999999997</v>
      </c>
      <c r="AG70" s="14">
        <f ca="1">ALL!AK49</f>
        <v>-7.91</v>
      </c>
      <c r="AH70" s="14">
        <f ca="1">ALL!AL49</f>
        <v>-8.109</v>
      </c>
      <c r="AI70" s="14">
        <f>ALL!AM49</f>
        <v>0</v>
      </c>
    </row>
    <row r="71" spans="1:94" ht="21.75" hidden="1" outlineLevel="1" thickBot="1" x14ac:dyDescent="0.4">
      <c r="A71" s="36" t="str">
        <f>ALL!E50</f>
        <v>Ga2Se</v>
      </c>
      <c r="B71" s="16">
        <f ca="1">ALL!F50</f>
        <v>-110.02000000000001</v>
      </c>
      <c r="C71" s="16">
        <f ca="1">ALL!G50</f>
        <v>-94.07</v>
      </c>
      <c r="D71" s="16">
        <f ca="1">ALL!H50</f>
        <v>-90.55</v>
      </c>
      <c r="E71" s="16">
        <f ca="1">ALL!I50</f>
        <v>-86.85</v>
      </c>
      <c r="F71" s="14">
        <f ca="1">ALL!J50</f>
        <v>-83.28</v>
      </c>
      <c r="G71" s="14">
        <f ca="1">ALL!K50</f>
        <v>-79.929999999999993</v>
      </c>
      <c r="H71" s="14">
        <f ca="1">ALL!L50</f>
        <v>-76.83</v>
      </c>
      <c r="I71" s="14">
        <f ca="1">ALL!M50</f>
        <v>-73.94</v>
      </c>
      <c r="J71" s="14">
        <f ca="1">ALL!N50</f>
        <v>-71.25</v>
      </c>
      <c r="K71" s="14">
        <f ca="1">ALL!O50</f>
        <v>-68.760000000000005</v>
      </c>
      <c r="L71" s="14">
        <f ca="1">ALL!P50</f>
        <v>-60.25</v>
      </c>
      <c r="M71" s="14">
        <f ca="1">ALL!Q50</f>
        <v>-53.56</v>
      </c>
      <c r="N71" s="14">
        <f ca="1">ALL!R50</f>
        <v>-52.13</v>
      </c>
      <c r="O71" s="14">
        <f ca="1">ALL!S50</f>
        <v>-50.769999999999996</v>
      </c>
      <c r="P71" s="14">
        <f ca="1">ALL!T50</f>
        <v>-49.51</v>
      </c>
      <c r="Q71" s="14">
        <f ca="1">ALL!U50</f>
        <v>-48.34</v>
      </c>
      <c r="R71" s="14">
        <f ca="1">ALL!V50</f>
        <v>-47.260000000000005</v>
      </c>
      <c r="S71" s="14">
        <f ca="1">ALL!W50</f>
        <v>-46.3</v>
      </c>
      <c r="T71" s="14">
        <f ca="1">ALL!X50</f>
        <v>-45.456000000000003</v>
      </c>
      <c r="U71" s="14">
        <f ca="1">ALL!Y50</f>
        <v>-44.728000000000002</v>
      </c>
      <c r="V71" s="14">
        <f ca="1">ALL!Z50</f>
        <v>-44.055999999999997</v>
      </c>
      <c r="W71" s="14">
        <f ca="1">ALL!AA50</f>
        <v>-43.45</v>
      </c>
      <c r="X71" s="14">
        <f ca="1">ALL!AB50</f>
        <v>-42.87</v>
      </c>
      <c r="Y71" s="14">
        <f ca="1">ALL!AC50</f>
        <v>-42.335999999999999</v>
      </c>
      <c r="Z71" s="14">
        <f ca="1">ALL!AD50</f>
        <v>-41.856000000000002</v>
      </c>
      <c r="AA71" s="14">
        <f ca="1">ALL!AE50</f>
        <v>-41.988</v>
      </c>
      <c r="AB71" s="14">
        <f ca="1">ALL!AF50</f>
        <v>-42.212000000000003</v>
      </c>
      <c r="AC71" s="14">
        <f ca="1">ALL!AG50</f>
        <v>-42.481999999999999</v>
      </c>
      <c r="AD71" s="14">
        <f ca="1">ALL!AH50</f>
        <v>-42.771999999999998</v>
      </c>
      <c r="AE71" s="14">
        <f ca="1">ALL!AI50</f>
        <v>-43.07</v>
      </c>
      <c r="AF71" s="14">
        <f ca="1">ALL!AJ50</f>
        <v>-43.366</v>
      </c>
      <c r="AG71" s="14">
        <f ca="1">ALL!AK50</f>
        <v>-43.67</v>
      </c>
      <c r="AH71" s="14">
        <f ca="1">ALL!AL50</f>
        <v>-44.838000000000001</v>
      </c>
      <c r="AI71" s="14">
        <f>ALL!AM50</f>
        <v>0</v>
      </c>
    </row>
    <row r="72" spans="1:94" ht="21.75" hidden="1" outlineLevel="1" thickBot="1" x14ac:dyDescent="0.4">
      <c r="A72" s="36" t="str">
        <f>ALL!E51</f>
        <v>Ar</v>
      </c>
      <c r="B72" s="16">
        <f ca="1">ALL!F51</f>
        <v>-18.62</v>
      </c>
      <c r="C72" s="16">
        <f ca="1">ALL!G51</f>
        <v>-18.63</v>
      </c>
      <c r="D72" s="16">
        <f ca="1">ALL!H51</f>
        <v>-18.649999999999999</v>
      </c>
      <c r="E72" s="16">
        <f ca="1">ALL!I51</f>
        <v>-18.670000000000002</v>
      </c>
      <c r="F72" s="14">
        <f ca="1">ALL!J51</f>
        <v>-18.690000000000001</v>
      </c>
      <c r="G72" s="14">
        <f ca="1">ALL!K51</f>
        <v>-18.72</v>
      </c>
      <c r="H72" s="14">
        <f ca="1">ALL!L51</f>
        <v>-18.75</v>
      </c>
      <c r="I72" s="14">
        <f ca="1">ALL!M51</f>
        <v>-18.78</v>
      </c>
      <c r="J72" s="14">
        <f ca="1">ALL!N51</f>
        <v>-18.809999999999999</v>
      </c>
      <c r="K72" s="14">
        <f ca="1">ALL!O51</f>
        <v>-18.84</v>
      </c>
      <c r="L72" s="14">
        <f ca="1">ALL!P51</f>
        <v>-18.97</v>
      </c>
      <c r="M72" s="14">
        <f ca="1">ALL!Q51</f>
        <v>-19.11</v>
      </c>
      <c r="N72" s="14">
        <f ca="1">ALL!R51</f>
        <v>-19.14</v>
      </c>
      <c r="O72" s="14">
        <f ca="1">ALL!S51</f>
        <v>-19.18</v>
      </c>
      <c r="P72" s="14">
        <f ca="1">ALL!T51</f>
        <v>-19.21</v>
      </c>
      <c r="Q72" s="14">
        <f ca="1">ALL!U51</f>
        <v>-19.25</v>
      </c>
      <c r="R72" s="14">
        <f ca="1">ALL!V51</f>
        <v>-19.28</v>
      </c>
      <c r="S72" s="14">
        <f ca="1">ALL!W51</f>
        <v>-19.32</v>
      </c>
      <c r="T72" s="14">
        <f ca="1">ALL!X51</f>
        <v>-19.350000000000001</v>
      </c>
      <c r="U72" s="14">
        <f ca="1">ALL!Y51</f>
        <v>-19.38</v>
      </c>
      <c r="V72" s="14">
        <f ca="1">ALL!Z51</f>
        <v>-19.420000000000002</v>
      </c>
      <c r="W72" s="14">
        <f ca="1">ALL!AA51</f>
        <v>-19.45</v>
      </c>
      <c r="X72" s="14">
        <f ca="1">ALL!AB51</f>
        <v>-19.48</v>
      </c>
      <c r="Y72" s="14">
        <f ca="1">ALL!AC51</f>
        <v>-19.510000000000002</v>
      </c>
      <c r="Z72" s="14">
        <f ca="1">ALL!AD51</f>
        <v>-19.55</v>
      </c>
      <c r="AA72" s="14">
        <f ca="1">ALL!AE51</f>
        <v>-19.579999999999998</v>
      </c>
      <c r="AB72" s="14">
        <f ca="1">ALL!AF51</f>
        <v>-19.61</v>
      </c>
      <c r="AC72" s="14">
        <f ca="1">ALL!AG51</f>
        <v>-19.64</v>
      </c>
      <c r="AD72" s="14">
        <f ca="1">ALL!AH51</f>
        <v>-19.670000000000002</v>
      </c>
      <c r="AE72" s="14">
        <f ca="1">ALL!AI51</f>
        <v>-19.7</v>
      </c>
      <c r="AF72" s="14">
        <f ca="1">ALL!AJ51</f>
        <v>-19.73</v>
      </c>
      <c r="AG72" s="14">
        <f ca="1">ALL!AK51</f>
        <v>-19.760000000000002</v>
      </c>
      <c r="AH72" s="14">
        <f ca="1">ALL!AL51</f>
        <v>-19.88</v>
      </c>
      <c r="AI72" s="14">
        <f>ALL!AM51</f>
        <v>0</v>
      </c>
    </row>
    <row r="73" spans="1:94" ht="21.75" hidden="1" outlineLevel="1" thickBot="1" x14ac:dyDescent="0.4">
      <c r="A73" s="36" t="str">
        <f>ALL!E52</f>
        <v>(1)Ga2Se3</v>
      </c>
      <c r="B73" s="16">
        <f ca="1">ALL!F52</f>
        <v>-201.70000000000002</v>
      </c>
      <c r="C73" s="16">
        <f ca="1">ALL!G52</f>
        <v>-166.69</v>
      </c>
      <c r="D73" s="16">
        <f ca="1">ALL!H52</f>
        <v>-160.05000000000001</v>
      </c>
      <c r="E73" s="16">
        <f ca="1">ALL!I52</f>
        <v>-154.03</v>
      </c>
      <c r="F73" s="14">
        <f ca="1">ALL!J52</f>
        <v>-148.56</v>
      </c>
      <c r="G73" s="14">
        <f ca="1">ALL!K52</f>
        <v>-143.54999999999998</v>
      </c>
      <c r="H73" s="14">
        <f ca="1">ALL!L52</f>
        <v>-138.97</v>
      </c>
      <c r="I73" s="14">
        <f ca="1">ALL!M52</f>
        <v>-134.73999999999998</v>
      </c>
      <c r="J73" s="14">
        <f ca="1">ALL!N52</f>
        <v>-130.83000000000001</v>
      </c>
      <c r="K73" s="14">
        <f ca="1">ALL!O52</f>
        <v>-127.24000000000001</v>
      </c>
      <c r="L73" s="14">
        <f ca="1">ALL!P52</f>
        <v>-115.19</v>
      </c>
      <c r="M73" s="14">
        <f ca="1">ALL!Q52</f>
        <v>-106.03999999999999</v>
      </c>
      <c r="N73" s="14">
        <f ca="1">ALL!R52</f>
        <v>-104.15</v>
      </c>
      <c r="O73" s="14">
        <f ca="1">ALL!S52</f>
        <v>-102.38999999999999</v>
      </c>
      <c r="P73" s="14">
        <f ca="1">ALL!T52</f>
        <v>-100.80999999999999</v>
      </c>
      <c r="Q73" s="14">
        <f ca="1">ALL!U52</f>
        <v>-99.42</v>
      </c>
      <c r="R73" s="14">
        <f ca="1">ALL!V52</f>
        <v>-98.22</v>
      </c>
      <c r="S73" s="14">
        <f ca="1">ALL!W52</f>
        <v>-97.3</v>
      </c>
      <c r="T73" s="14">
        <f ca="1">ALL!X52</f>
        <v>-96.635999999999996</v>
      </c>
      <c r="U73" s="14">
        <f ca="1">ALL!Y52</f>
        <v>-96.248000000000005</v>
      </c>
      <c r="V73" s="14">
        <f ca="1">ALL!Z52</f>
        <v>-95.955999999999989</v>
      </c>
      <c r="W73" s="14">
        <f ca="1">ALL!AA52</f>
        <v>-95.79</v>
      </c>
      <c r="X73" s="14">
        <f ca="1">ALL!AB52</f>
        <v>-95.63</v>
      </c>
      <c r="Y73" s="14">
        <f ca="1">ALL!AC52</f>
        <v>-95.536000000000016</v>
      </c>
      <c r="Z73" s="14">
        <f ca="1">ALL!AD52</f>
        <v>-95.456000000000003</v>
      </c>
      <c r="AA73" s="14">
        <f ca="1">ALL!AE52</f>
        <v>-95.628000000000014</v>
      </c>
      <c r="AB73" s="14">
        <f ca="1">ALL!AF52</f>
        <v>-96.071999999999989</v>
      </c>
      <c r="AC73" s="14">
        <f ca="1">ALL!AG52</f>
        <v>-96.661999999999992</v>
      </c>
      <c r="AD73" s="14">
        <f ca="1">ALL!AH52</f>
        <v>-97.311999999999998</v>
      </c>
      <c r="AE73" s="14">
        <f ca="1">ALL!AI52</f>
        <v>-97.99</v>
      </c>
      <c r="AF73" s="14">
        <f ca="1">ALL!AJ52</f>
        <v>-98.665999999999983</v>
      </c>
      <c r="AG73" s="14">
        <f ca="1">ALL!AK52</f>
        <v>-99.37</v>
      </c>
      <c r="AH73" s="14">
        <f ca="1">ALL!AL52</f>
        <v>-102.078</v>
      </c>
      <c r="AI73" s="14">
        <f>ALL!AM52</f>
        <v>0</v>
      </c>
    </row>
    <row r="74" spans="1:94" ht="21.75" hidden="1" outlineLevel="1" thickBot="1" x14ac:dyDescent="0.4">
      <c r="A74" s="36" t="str">
        <f>ALL!E53</f>
        <v>(1)Ga2Se</v>
      </c>
      <c r="B74" s="16">
        <f ca="1">ALL!F53</f>
        <v>-110.02000000000001</v>
      </c>
      <c r="C74" s="16">
        <f ca="1">ALL!G53</f>
        <v>-94.07</v>
      </c>
      <c r="D74" s="16">
        <f ca="1">ALL!H53</f>
        <v>-90.55</v>
      </c>
      <c r="E74" s="16">
        <f ca="1">ALL!I53</f>
        <v>-86.85</v>
      </c>
      <c r="F74" s="14">
        <f ca="1">ALL!J53</f>
        <v>-83.28</v>
      </c>
      <c r="G74" s="14">
        <f ca="1">ALL!K53</f>
        <v>-79.929999999999993</v>
      </c>
      <c r="H74" s="14">
        <f ca="1">ALL!L53</f>
        <v>-76.83</v>
      </c>
      <c r="I74" s="14">
        <f ca="1">ALL!M53</f>
        <v>-73.94</v>
      </c>
      <c r="J74" s="14">
        <f ca="1">ALL!N53</f>
        <v>-71.25</v>
      </c>
      <c r="K74" s="14">
        <f ca="1">ALL!O53</f>
        <v>-68.760000000000005</v>
      </c>
      <c r="L74" s="14">
        <f ca="1">ALL!P53</f>
        <v>-60.25</v>
      </c>
      <c r="M74" s="14">
        <f ca="1">ALL!Q53</f>
        <v>-53.56</v>
      </c>
      <c r="N74" s="14">
        <f ca="1">ALL!R53</f>
        <v>-52.13</v>
      </c>
      <c r="O74" s="14">
        <f ca="1">ALL!S53</f>
        <v>-50.769999999999996</v>
      </c>
      <c r="P74" s="14">
        <f ca="1">ALL!T53</f>
        <v>-49.51</v>
      </c>
      <c r="Q74" s="14">
        <f ca="1">ALL!U53</f>
        <v>-48.34</v>
      </c>
      <c r="R74" s="14">
        <f ca="1">ALL!V53</f>
        <v>-47.260000000000005</v>
      </c>
      <c r="S74" s="14">
        <f ca="1">ALL!W53</f>
        <v>-46.3</v>
      </c>
      <c r="T74" s="14">
        <f ca="1">ALL!X53</f>
        <v>-45.456000000000003</v>
      </c>
      <c r="U74" s="14">
        <f ca="1">ALL!Y53</f>
        <v>-44.728000000000002</v>
      </c>
      <c r="V74" s="14">
        <f ca="1">ALL!Z53</f>
        <v>-44.055999999999997</v>
      </c>
      <c r="W74" s="14">
        <f ca="1">ALL!AA53</f>
        <v>-43.45</v>
      </c>
      <c r="X74" s="14">
        <f ca="1">ALL!AB53</f>
        <v>-42.87</v>
      </c>
      <c r="Y74" s="14">
        <f ca="1">ALL!AC53</f>
        <v>-42.335999999999999</v>
      </c>
      <c r="Z74" s="14">
        <f ca="1">ALL!AD53</f>
        <v>-41.856000000000002</v>
      </c>
      <c r="AA74" s="14">
        <f ca="1">ALL!AE53</f>
        <v>-41.988</v>
      </c>
      <c r="AB74" s="14">
        <f ca="1">ALL!AF53</f>
        <v>-42.212000000000003</v>
      </c>
      <c r="AC74" s="14">
        <f ca="1">ALL!AG53</f>
        <v>-42.481999999999999</v>
      </c>
      <c r="AD74" s="14">
        <f ca="1">ALL!AH53</f>
        <v>-42.771999999999998</v>
      </c>
      <c r="AE74" s="14">
        <f ca="1">ALL!AI53</f>
        <v>-43.07</v>
      </c>
      <c r="AF74" s="14">
        <f ca="1">ALL!AJ53</f>
        <v>-43.366</v>
      </c>
      <c r="AG74" s="14">
        <f ca="1">ALL!AK53</f>
        <v>-43.67</v>
      </c>
      <c r="AH74" s="14">
        <f ca="1">ALL!AL53</f>
        <v>-44.838000000000001</v>
      </c>
      <c r="AI74" s="14">
        <f>ALL!AM53</f>
        <v>0</v>
      </c>
    </row>
    <row r="75" spans="1:94" ht="21.75" hidden="1" outlineLevel="1" thickBot="1" x14ac:dyDescent="0.4">
      <c r="A75" s="36" t="str">
        <f>ALL!E54</f>
        <v>(1)Ga</v>
      </c>
      <c r="B75" s="16">
        <f ca="1">ALL!F54</f>
        <v>-32.090000000000003</v>
      </c>
      <c r="C75" s="16">
        <f ca="1">ALL!G54</f>
        <v>-28.88</v>
      </c>
      <c r="D75" s="16">
        <f ca="1">ALL!H54</f>
        <v>-27.9</v>
      </c>
      <c r="E75" s="16">
        <f ca="1">ALL!I54</f>
        <v>-26.63</v>
      </c>
      <c r="F75" s="14">
        <f ca="1">ALL!J54</f>
        <v>-25.32</v>
      </c>
      <c r="G75" s="14">
        <f ca="1">ALL!K54</f>
        <v>-24.06</v>
      </c>
      <c r="H75" s="14">
        <f ca="1">ALL!L54</f>
        <v>-22.88</v>
      </c>
      <c r="I75" s="14">
        <f ca="1">ALL!M54</f>
        <v>-21.77</v>
      </c>
      <c r="J75" s="14">
        <f ca="1">ALL!N54</f>
        <v>-20.73</v>
      </c>
      <c r="K75" s="14">
        <f ca="1">ALL!O54</f>
        <v>-19.760000000000002</v>
      </c>
      <c r="L75" s="14">
        <f ca="1">ALL!P54</f>
        <v>-16.39</v>
      </c>
      <c r="M75" s="14">
        <f ca="1">ALL!Q54</f>
        <v>-13.66</v>
      </c>
      <c r="N75" s="14">
        <f ca="1">ALL!R54</f>
        <v>-13.06</v>
      </c>
      <c r="O75" s="14">
        <f ca="1">ALL!S54</f>
        <v>-12.48</v>
      </c>
      <c r="P75" s="14">
        <f ca="1">ALL!T54</f>
        <v>-11.93</v>
      </c>
      <c r="Q75" s="14">
        <f ca="1">ALL!U54</f>
        <v>-11.4</v>
      </c>
      <c r="R75" s="14">
        <f ca="1">ALL!V54</f>
        <v>-10.89</v>
      </c>
      <c r="S75" s="14">
        <f ca="1">ALL!W54</f>
        <v>-10.4</v>
      </c>
      <c r="T75" s="14">
        <f ca="1">ALL!X54</f>
        <v>-9.9329999999999998</v>
      </c>
      <c r="U75" s="14">
        <f ca="1">ALL!Y54</f>
        <v>-9.484</v>
      </c>
      <c r="V75" s="14">
        <f ca="1">ALL!Z54</f>
        <v>-9.0530000000000008</v>
      </c>
      <c r="W75" s="14">
        <f ca="1">ALL!AA54</f>
        <v>-8.64</v>
      </c>
      <c r="X75" s="14">
        <f ca="1">ALL!AB54</f>
        <v>-8.2449999999999992</v>
      </c>
      <c r="Y75" s="14">
        <f ca="1">ALL!AC54</f>
        <v>-7.8680000000000003</v>
      </c>
      <c r="Z75" s="14">
        <f ca="1">ALL!AD54</f>
        <v>-7.5279999999999996</v>
      </c>
      <c r="AA75" s="14">
        <f ca="1">ALL!AE54</f>
        <v>-7.5839999999999996</v>
      </c>
      <c r="AB75" s="14">
        <f ca="1">ALL!AF54</f>
        <v>-7.641</v>
      </c>
      <c r="AC75" s="14">
        <f ca="1">ALL!AG54</f>
        <v>-7.6959999999999997</v>
      </c>
      <c r="AD75" s="14">
        <f ca="1">ALL!AH54</f>
        <v>-7.7510000000000003</v>
      </c>
      <c r="AE75" s="14">
        <f ca="1">ALL!AI54</f>
        <v>-7.8049999999999997</v>
      </c>
      <c r="AF75" s="14">
        <f ca="1">ALL!AJ54</f>
        <v>-7.8579999999999997</v>
      </c>
      <c r="AG75" s="14">
        <f ca="1">ALL!AK54</f>
        <v>-7.91</v>
      </c>
      <c r="AH75" s="14">
        <f ca="1">ALL!AL54</f>
        <v>-8.109</v>
      </c>
      <c r="AI75" s="14">
        <f>ALL!AM54</f>
        <v>0</v>
      </c>
    </row>
    <row r="76" spans="1:94" ht="21.75" hidden="1" outlineLevel="1" thickBot="1" x14ac:dyDescent="0.4">
      <c r="A76" s="36" t="str">
        <f>ALL!E55</f>
        <v>(1)Se</v>
      </c>
      <c r="B76" s="16">
        <f ca="1">ALL!F55</f>
        <v>-45.84</v>
      </c>
      <c r="C76" s="16">
        <f ca="1">ALL!G55</f>
        <v>-36.31</v>
      </c>
      <c r="D76" s="16">
        <f ca="1">ALL!H55</f>
        <v>-34.75</v>
      </c>
      <c r="E76" s="16">
        <f ca="1">ALL!I55</f>
        <v>-33.590000000000003</v>
      </c>
      <c r="F76" s="14">
        <f ca="1">ALL!J55</f>
        <v>-32.64</v>
      </c>
      <c r="G76" s="14">
        <f ca="1">ALL!K55</f>
        <v>-31.81</v>
      </c>
      <c r="H76" s="14">
        <f ca="1">ALL!L55</f>
        <v>-31.07</v>
      </c>
      <c r="I76" s="14">
        <f ca="1">ALL!M55</f>
        <v>-30.4</v>
      </c>
      <c r="J76" s="14">
        <f ca="1">ALL!N55</f>
        <v>-29.79</v>
      </c>
      <c r="K76" s="14">
        <f ca="1">ALL!O55</f>
        <v>-29.24</v>
      </c>
      <c r="L76" s="14">
        <f ca="1">ALL!P55</f>
        <v>-27.47</v>
      </c>
      <c r="M76" s="14">
        <f ca="1">ALL!Q55</f>
        <v>-26.24</v>
      </c>
      <c r="N76" s="14">
        <f ca="1">ALL!R55</f>
        <v>-26.01</v>
      </c>
      <c r="O76" s="14">
        <f ca="1">ALL!S55</f>
        <v>-25.81</v>
      </c>
      <c r="P76" s="14">
        <f ca="1">ALL!T55</f>
        <v>-25.65</v>
      </c>
      <c r="Q76" s="14">
        <f ca="1">ALL!U55</f>
        <v>-25.54</v>
      </c>
      <c r="R76" s="14">
        <f ca="1">ALL!V55</f>
        <v>-25.48</v>
      </c>
      <c r="S76" s="14">
        <f ca="1">ALL!W55</f>
        <v>-25.5</v>
      </c>
      <c r="T76" s="14">
        <f ca="1">ALL!X55</f>
        <v>-25.59</v>
      </c>
      <c r="U76" s="14">
        <f ca="1">ALL!Y55</f>
        <v>-25.76</v>
      </c>
      <c r="V76" s="14">
        <f ca="1">ALL!Z55</f>
        <v>-25.95</v>
      </c>
      <c r="W76" s="14">
        <f ca="1">ALL!AA55</f>
        <v>-26.17</v>
      </c>
      <c r="X76" s="14">
        <f ca="1">ALL!AB55</f>
        <v>-26.38</v>
      </c>
      <c r="Y76" s="14">
        <f ca="1">ALL!AC55</f>
        <v>-26.6</v>
      </c>
      <c r="Z76" s="14">
        <f ca="1">ALL!AD55</f>
        <v>-26.8</v>
      </c>
      <c r="AA76" s="14">
        <f ca="1">ALL!AE55</f>
        <v>-26.82</v>
      </c>
      <c r="AB76" s="14">
        <f ca="1">ALL!AF55</f>
        <v>-26.93</v>
      </c>
      <c r="AC76" s="14">
        <f ca="1">ALL!AG55</f>
        <v>-27.09</v>
      </c>
      <c r="AD76" s="14">
        <f ca="1">ALL!AH55</f>
        <v>-27.27</v>
      </c>
      <c r="AE76" s="14">
        <f ca="1">ALL!AI55</f>
        <v>-27.46</v>
      </c>
      <c r="AF76" s="14">
        <f ca="1">ALL!AJ55</f>
        <v>-27.65</v>
      </c>
      <c r="AG76" s="14">
        <f ca="1">ALL!AK55</f>
        <v>-27.85</v>
      </c>
      <c r="AH76" s="14">
        <f ca="1">ALL!AL55</f>
        <v>-28.62</v>
      </c>
      <c r="AI76" s="14">
        <f>ALL!AM55</f>
        <v>0</v>
      </c>
    </row>
    <row r="77" spans="1:94" ht="21.75" hidden="1" outlineLevel="1" thickBot="1" x14ac:dyDescent="0.4">
      <c r="A77" s="36" t="str">
        <f>ALL!E56</f>
        <v>(1)Se[a]</v>
      </c>
      <c r="B77" s="16">
        <f ca="1">ALL!F56</f>
        <v>-45.84</v>
      </c>
      <c r="C77" s="16">
        <f ca="1">ALL!G56</f>
        <v>-36.31</v>
      </c>
      <c r="D77" s="16">
        <f ca="1">ALL!H56</f>
        <v>-34.75</v>
      </c>
      <c r="E77" s="16">
        <f ca="1">ALL!I56</f>
        <v>-33.590000000000003</v>
      </c>
      <c r="F77" s="14">
        <f ca="1">ALL!J56</f>
        <v>-32.64</v>
      </c>
      <c r="G77" s="14">
        <f ca="1">ALL!K56</f>
        <v>-31.81</v>
      </c>
      <c r="H77" s="14">
        <f ca="1">ALL!L56</f>
        <v>-31.07</v>
      </c>
      <c r="I77" s="14">
        <f ca="1">ALL!M56</f>
        <v>-30.4</v>
      </c>
      <c r="J77" s="14">
        <f ca="1">ALL!N56</f>
        <v>-29.79</v>
      </c>
      <c r="K77" s="14">
        <f ca="1">ALL!O56</f>
        <v>-29.24</v>
      </c>
      <c r="L77" s="14">
        <f ca="1">ALL!P56</f>
        <v>-27.47</v>
      </c>
      <c r="M77" s="14">
        <f ca="1">ALL!Q56</f>
        <v>-26.24</v>
      </c>
      <c r="N77" s="14">
        <f ca="1">ALL!R56</f>
        <v>-26.01</v>
      </c>
      <c r="O77" s="14">
        <f ca="1">ALL!S56</f>
        <v>-25.81</v>
      </c>
      <c r="P77" s="14">
        <f ca="1">ALL!T56</f>
        <v>-25.65</v>
      </c>
      <c r="Q77" s="14">
        <f ca="1">ALL!U56</f>
        <v>-25.54</v>
      </c>
      <c r="R77" s="14">
        <f ca="1">ALL!V56</f>
        <v>-25.48</v>
      </c>
      <c r="S77" s="14">
        <f ca="1">ALL!W56</f>
        <v>-25.5</v>
      </c>
      <c r="T77" s="14">
        <f ca="1">ALL!X56</f>
        <v>-25.59</v>
      </c>
      <c r="U77" s="14">
        <f ca="1">ALL!Y56</f>
        <v>-25.76</v>
      </c>
      <c r="V77" s="14">
        <f ca="1">ALL!Z56</f>
        <v>-25.95</v>
      </c>
      <c r="W77" s="14">
        <f ca="1">ALL!AA56</f>
        <v>-26.17</v>
      </c>
      <c r="X77" s="14">
        <f ca="1">ALL!AB56</f>
        <v>-26.38</v>
      </c>
      <c r="Y77" s="14">
        <f ca="1">ALL!AC56</f>
        <v>-26.6</v>
      </c>
      <c r="Z77" s="14">
        <f ca="1">ALL!AD56</f>
        <v>-26.8</v>
      </c>
      <c r="AA77" s="14">
        <f ca="1">ALL!AE56</f>
        <v>-26.82</v>
      </c>
      <c r="AB77" s="14">
        <f ca="1">ALL!AF56</f>
        <v>-26.93</v>
      </c>
      <c r="AC77" s="14">
        <f ca="1">ALL!AG56</f>
        <v>-27.09</v>
      </c>
      <c r="AD77" s="14">
        <f ca="1">ALL!AH56</f>
        <v>-27.27</v>
      </c>
      <c r="AE77" s="14">
        <f ca="1">ALL!AI56</f>
        <v>-27.46</v>
      </c>
      <c r="AF77" s="14">
        <f ca="1">ALL!AJ56</f>
        <v>-27.65</v>
      </c>
      <c r="AG77" s="14">
        <f ca="1">ALL!AK56</f>
        <v>-27.85</v>
      </c>
      <c r="AH77" s="14">
        <f ca="1">ALL!AL56</f>
        <v>-28.62</v>
      </c>
      <c r="AI77" s="14">
        <f>ALL!AM56</f>
        <v>0</v>
      </c>
    </row>
    <row r="78" spans="1:94" ht="21.75" hidden="1" outlineLevel="1" thickBot="1" x14ac:dyDescent="0.4">
      <c r="A78" s="36" t="str">
        <f>ALL!E57</f>
        <v>(1)Se[m]</v>
      </c>
      <c r="B78" s="16">
        <f ca="1">ALL!F57</f>
        <v>-45.84</v>
      </c>
      <c r="C78" s="16">
        <f ca="1">ALL!G57</f>
        <v>-36.31</v>
      </c>
      <c r="D78" s="16">
        <f ca="1">ALL!H57</f>
        <v>-34.75</v>
      </c>
      <c r="E78" s="16">
        <f ca="1">ALL!I57</f>
        <v>-33.590000000000003</v>
      </c>
      <c r="F78" s="14">
        <f ca="1">ALL!J57</f>
        <v>-32.64</v>
      </c>
      <c r="G78" s="14">
        <f ca="1">ALL!K57</f>
        <v>-31.81</v>
      </c>
      <c r="H78" s="14">
        <f ca="1">ALL!L57</f>
        <v>-31.07</v>
      </c>
      <c r="I78" s="14">
        <f ca="1">ALL!M57</f>
        <v>-30.4</v>
      </c>
      <c r="J78" s="14">
        <f ca="1">ALL!N57</f>
        <v>-29.79</v>
      </c>
      <c r="K78" s="14">
        <f ca="1">ALL!O57</f>
        <v>-29.24</v>
      </c>
      <c r="L78" s="14">
        <f ca="1">ALL!P57</f>
        <v>-27.47</v>
      </c>
      <c r="M78" s="14">
        <f ca="1">ALL!Q57</f>
        <v>-26.24</v>
      </c>
      <c r="N78" s="14">
        <f ca="1">ALL!R57</f>
        <v>-26.01</v>
      </c>
      <c r="O78" s="14">
        <f ca="1">ALL!S57</f>
        <v>-25.81</v>
      </c>
      <c r="P78" s="14">
        <f ca="1">ALL!T57</f>
        <v>-25.65</v>
      </c>
      <c r="Q78" s="14">
        <f ca="1">ALL!U57</f>
        <v>-25.54</v>
      </c>
      <c r="R78" s="14">
        <f ca="1">ALL!V57</f>
        <v>-25.48</v>
      </c>
      <c r="S78" s="14">
        <f ca="1">ALL!W57</f>
        <v>-25.5</v>
      </c>
      <c r="T78" s="14">
        <f ca="1">ALL!X57</f>
        <v>-25.59</v>
      </c>
      <c r="U78" s="14">
        <f ca="1">ALL!Y57</f>
        <v>-25.76</v>
      </c>
      <c r="V78" s="14">
        <f ca="1">ALL!Z57</f>
        <v>-25.95</v>
      </c>
      <c r="W78" s="14">
        <f ca="1">ALL!AA57</f>
        <v>-26.17</v>
      </c>
      <c r="X78" s="14">
        <f ca="1">ALL!AB57</f>
        <v>-26.38</v>
      </c>
      <c r="Y78" s="14">
        <f ca="1">ALL!AC57</f>
        <v>-26.6</v>
      </c>
      <c r="Z78" s="14">
        <f ca="1">ALL!AD57</f>
        <v>-26.8</v>
      </c>
      <c r="AA78" s="14">
        <f ca="1">ALL!AE57</f>
        <v>-26.82</v>
      </c>
      <c r="AB78" s="14">
        <f ca="1">ALL!AF57</f>
        <v>-26.93</v>
      </c>
      <c r="AC78" s="14">
        <f ca="1">ALL!AG57</f>
        <v>-27.09</v>
      </c>
      <c r="AD78" s="14">
        <f ca="1">ALL!AH57</f>
        <v>-27.27</v>
      </c>
      <c r="AE78" s="14">
        <f ca="1">ALL!AI57</f>
        <v>-27.46</v>
      </c>
      <c r="AF78" s="14">
        <f ca="1">ALL!AJ57</f>
        <v>-27.65</v>
      </c>
      <c r="AG78" s="14">
        <f ca="1">ALL!AK57</f>
        <v>-27.85</v>
      </c>
      <c r="AH78" s="14">
        <f ca="1">ALL!AL57</f>
        <v>-28.62</v>
      </c>
      <c r="AI78" s="14">
        <f>ALL!AM57</f>
        <v>0</v>
      </c>
    </row>
    <row r="79" spans="1:94" ht="21.75" hidden="1" outlineLevel="1" thickBot="1" x14ac:dyDescent="0.4">
      <c r="A79" s="36" t="str">
        <f>ALL!E58</f>
        <v>(2)Ga[1]</v>
      </c>
      <c r="B79" s="16">
        <f ca="1">ALL!F58</f>
        <v>-32.090000000000003</v>
      </c>
      <c r="C79" s="16">
        <f ca="1">ALL!G58</f>
        <v>-28.88</v>
      </c>
      <c r="D79" s="16">
        <f ca="1">ALL!H58</f>
        <v>-27.9</v>
      </c>
      <c r="E79" s="16">
        <f ca="1">ALL!I58</f>
        <v>-26.63</v>
      </c>
      <c r="F79" s="14">
        <f ca="1">ALL!J58</f>
        <v>-25.32</v>
      </c>
      <c r="G79" s="14">
        <f ca="1">ALL!K58</f>
        <v>-24.06</v>
      </c>
      <c r="H79" s="14">
        <f ca="1">ALL!L58</f>
        <v>-22.88</v>
      </c>
      <c r="I79" s="14">
        <f ca="1">ALL!M58</f>
        <v>-21.77</v>
      </c>
      <c r="J79" s="14">
        <f ca="1">ALL!N58</f>
        <v>-20.73</v>
      </c>
      <c r="K79" s="14">
        <f ca="1">ALL!O58</f>
        <v>-19.760000000000002</v>
      </c>
      <c r="L79" s="14">
        <f ca="1">ALL!P58</f>
        <v>-16.39</v>
      </c>
      <c r="M79" s="14">
        <f ca="1">ALL!Q58</f>
        <v>-13.66</v>
      </c>
      <c r="N79" s="14">
        <f ca="1">ALL!R58</f>
        <v>-13.06</v>
      </c>
      <c r="O79" s="14">
        <f ca="1">ALL!S58</f>
        <v>-12.48</v>
      </c>
      <c r="P79" s="14">
        <f ca="1">ALL!T58</f>
        <v>-11.93</v>
      </c>
      <c r="Q79" s="14">
        <f ca="1">ALL!U58</f>
        <v>-11.4</v>
      </c>
      <c r="R79" s="14">
        <f ca="1">ALL!V58</f>
        <v>-10.89</v>
      </c>
      <c r="S79" s="14">
        <f ca="1">ALL!W58</f>
        <v>-10.4</v>
      </c>
      <c r="T79" s="14">
        <f ca="1">ALL!X58</f>
        <v>-9.9329999999999998</v>
      </c>
      <c r="U79" s="14">
        <f ca="1">ALL!Y58</f>
        <v>-9.484</v>
      </c>
      <c r="V79" s="14">
        <f ca="1">ALL!Z58</f>
        <v>-9.0530000000000008</v>
      </c>
      <c r="W79" s="14">
        <f ca="1">ALL!AA58</f>
        <v>-8.64</v>
      </c>
      <c r="X79" s="14">
        <f ca="1">ALL!AB58</f>
        <v>-8.2449999999999992</v>
      </c>
      <c r="Y79" s="14">
        <f ca="1">ALL!AC58</f>
        <v>-7.8680000000000003</v>
      </c>
      <c r="Z79" s="14">
        <f ca="1">ALL!AD58</f>
        <v>-7.5279999999999996</v>
      </c>
      <c r="AA79" s="14">
        <f ca="1">ALL!AE58</f>
        <v>-7.5839999999999996</v>
      </c>
      <c r="AB79" s="14">
        <f ca="1">ALL!AF58</f>
        <v>-7.641</v>
      </c>
      <c r="AC79" s="14">
        <f ca="1">ALL!AG58</f>
        <v>-7.6959999999999997</v>
      </c>
      <c r="AD79" s="14">
        <f ca="1">ALL!AH58</f>
        <v>-7.7510000000000003</v>
      </c>
      <c r="AE79" s="14">
        <f ca="1">ALL!AI58</f>
        <v>-7.8049999999999997</v>
      </c>
      <c r="AF79" s="14">
        <f ca="1">ALL!AJ58</f>
        <v>-7.8579999999999997</v>
      </c>
      <c r="AG79" s="14">
        <f ca="1">ALL!AK58</f>
        <v>-7.91</v>
      </c>
      <c r="AH79" s="14">
        <f ca="1">ALL!AL58</f>
        <v>-8.109</v>
      </c>
      <c r="AI79" s="14">
        <f>ALL!AM58</f>
        <v>0</v>
      </c>
    </row>
    <row r="80" spans="1:94" ht="21.75" hidden="1" outlineLevel="1" thickBot="1" x14ac:dyDescent="0.4">
      <c r="A80" s="36" t="str">
        <f>ALL!E59</f>
        <v>H (Ar)</v>
      </c>
      <c r="B80" s="16">
        <f ca="1">ALL!F59</f>
        <v>-18.62</v>
      </c>
      <c r="C80" s="16">
        <f ca="1">ALL!G59</f>
        <v>-18.63</v>
      </c>
      <c r="D80" s="16">
        <f ca="1">ALL!H59</f>
        <v>-18.649999999999999</v>
      </c>
      <c r="E80" s="16">
        <f ca="1">ALL!I59</f>
        <v>-18.670000000000002</v>
      </c>
      <c r="F80" s="14">
        <f ca="1">ALL!J59</f>
        <v>-18.690000000000001</v>
      </c>
      <c r="G80" s="14">
        <f ca="1">ALL!K59</f>
        <v>-18.72</v>
      </c>
      <c r="H80" s="14">
        <f ca="1">ALL!L59</f>
        <v>-18.75</v>
      </c>
      <c r="I80" s="14">
        <f ca="1">ALL!M59</f>
        <v>-18.78</v>
      </c>
      <c r="J80" s="14">
        <f ca="1">ALL!N59</f>
        <v>-18.809999999999999</v>
      </c>
      <c r="K80" s="14">
        <f ca="1">ALL!O59</f>
        <v>-18.84</v>
      </c>
      <c r="L80" s="14">
        <f ca="1">ALL!P59</f>
        <v>-18.97</v>
      </c>
      <c r="M80" s="14">
        <f ca="1">ALL!Q59</f>
        <v>-19.11</v>
      </c>
      <c r="N80" s="14">
        <f ca="1">ALL!R59</f>
        <v>-19.14</v>
      </c>
      <c r="O80" s="14">
        <f ca="1">ALL!S59</f>
        <v>-19.18</v>
      </c>
      <c r="P80" s="14">
        <f ca="1">ALL!T59</f>
        <v>-19.21</v>
      </c>
      <c r="Q80" s="14">
        <f ca="1">ALL!U59</f>
        <v>-19.25</v>
      </c>
      <c r="R80" s="14">
        <f ca="1">ALL!V59</f>
        <v>-19.28</v>
      </c>
      <c r="S80" s="14">
        <f ca="1">ALL!W59</f>
        <v>-19.32</v>
      </c>
      <c r="T80" s="14">
        <f ca="1">ALL!X59</f>
        <v>-19.350000000000001</v>
      </c>
      <c r="U80" s="14">
        <f ca="1">ALL!Y59</f>
        <v>-19.38</v>
      </c>
      <c r="V80" s="14">
        <f ca="1">ALL!Z59</f>
        <v>-19.420000000000002</v>
      </c>
      <c r="W80" s="14">
        <f ca="1">ALL!AA59</f>
        <v>-19.45</v>
      </c>
      <c r="X80" s="14">
        <f ca="1">ALL!AB59</f>
        <v>-19.48</v>
      </c>
      <c r="Y80" s="14">
        <f ca="1">ALL!AC59</f>
        <v>-19.510000000000002</v>
      </c>
      <c r="Z80" s="14">
        <f ca="1">ALL!AD59</f>
        <v>-19.55</v>
      </c>
      <c r="AA80" s="14">
        <f ca="1">ALL!AE59</f>
        <v>-19.579999999999998</v>
      </c>
      <c r="AB80" s="14">
        <f ca="1">ALL!AF59</f>
        <v>-19.61</v>
      </c>
      <c r="AC80" s="14">
        <f ca="1">ALL!AG59</f>
        <v>-19.64</v>
      </c>
      <c r="AD80" s="14">
        <f ca="1">ALL!AH59</f>
        <v>-19.670000000000002</v>
      </c>
      <c r="AE80" s="14">
        <f ca="1">ALL!AI59</f>
        <v>-19.7</v>
      </c>
      <c r="AF80" s="14">
        <f ca="1">ALL!AJ59</f>
        <v>-19.73</v>
      </c>
      <c r="AG80" s="14">
        <f ca="1">ALL!AK59</f>
        <v>-19.760000000000002</v>
      </c>
      <c r="AH80" s="14">
        <f ca="1">ALL!AL59</f>
        <v>-19.88</v>
      </c>
      <c r="AI80" s="14">
        <f>ALL!AM59</f>
        <v>0</v>
      </c>
    </row>
    <row r="81" spans="1:35" ht="21.75" hidden="1" outlineLevel="1" thickBot="1" x14ac:dyDescent="0.4">
      <c r="A81" s="36" t="str">
        <f>ALL!E60</f>
        <v>H (Ga)</v>
      </c>
      <c r="B81" s="16">
        <f ca="1">ALL!F60</f>
        <v>-32.090000000000003</v>
      </c>
      <c r="C81" s="16">
        <f ca="1">ALL!G60</f>
        <v>-28.88</v>
      </c>
      <c r="D81" s="16">
        <f ca="1">ALL!H60</f>
        <v>-27.9</v>
      </c>
      <c r="E81" s="16">
        <f ca="1">ALL!I60</f>
        <v>-26.63</v>
      </c>
      <c r="F81" s="14">
        <f ca="1">ALL!J60</f>
        <v>-25.32</v>
      </c>
      <c r="G81" s="14">
        <f ca="1">ALL!K60</f>
        <v>-24.06</v>
      </c>
      <c r="H81" s="14">
        <f ca="1">ALL!L60</f>
        <v>-22.88</v>
      </c>
      <c r="I81" s="14">
        <f ca="1">ALL!M60</f>
        <v>-21.77</v>
      </c>
      <c r="J81" s="14">
        <f ca="1">ALL!N60</f>
        <v>-20.73</v>
      </c>
      <c r="K81" s="14">
        <f ca="1">ALL!O60</f>
        <v>-19.760000000000002</v>
      </c>
      <c r="L81" s="14">
        <f ca="1">ALL!P60</f>
        <v>-16.39</v>
      </c>
      <c r="M81" s="14">
        <f ca="1">ALL!Q60</f>
        <v>-13.66</v>
      </c>
      <c r="N81" s="14">
        <f ca="1">ALL!R60</f>
        <v>-13.06</v>
      </c>
      <c r="O81" s="14">
        <f ca="1">ALL!S60</f>
        <v>-12.48</v>
      </c>
      <c r="P81" s="14">
        <f ca="1">ALL!T60</f>
        <v>-11.93</v>
      </c>
      <c r="Q81" s="14">
        <f ca="1">ALL!U60</f>
        <v>-11.4</v>
      </c>
      <c r="R81" s="14">
        <f ca="1">ALL!V60</f>
        <v>-10.89</v>
      </c>
      <c r="S81" s="14">
        <f ca="1">ALL!W60</f>
        <v>-10.4</v>
      </c>
      <c r="T81" s="14">
        <f ca="1">ALL!X60</f>
        <v>-9.9329999999999998</v>
      </c>
      <c r="U81" s="14">
        <f ca="1">ALL!Y60</f>
        <v>-9.484</v>
      </c>
      <c r="V81" s="14">
        <f ca="1">ALL!Z60</f>
        <v>-9.0530000000000008</v>
      </c>
      <c r="W81" s="14">
        <f ca="1">ALL!AA60</f>
        <v>-8.64</v>
      </c>
      <c r="X81" s="14">
        <f ca="1">ALL!AB60</f>
        <v>-8.2449999999999992</v>
      </c>
      <c r="Y81" s="14">
        <f ca="1">ALL!AC60</f>
        <v>-7.8680000000000003</v>
      </c>
      <c r="Z81" s="14">
        <f ca="1">ALL!AD60</f>
        <v>-7.5279999999999996</v>
      </c>
      <c r="AA81" s="14">
        <f ca="1">ALL!AE60</f>
        <v>-7.5839999999999996</v>
      </c>
      <c r="AB81" s="14">
        <f ca="1">ALL!AF60</f>
        <v>-7.641</v>
      </c>
      <c r="AC81" s="14">
        <f ca="1">ALL!AG60</f>
        <v>-7.6959999999999997</v>
      </c>
      <c r="AD81" s="14">
        <f ca="1">ALL!AH60</f>
        <v>-7.7510000000000003</v>
      </c>
      <c r="AE81" s="14">
        <f ca="1">ALL!AI60</f>
        <v>-7.8049999999999997</v>
      </c>
      <c r="AF81" s="14">
        <f ca="1">ALL!AJ60</f>
        <v>-7.8579999999999997</v>
      </c>
      <c r="AG81" s="14">
        <f ca="1">ALL!AK60</f>
        <v>-7.91</v>
      </c>
      <c r="AH81" s="14">
        <f ca="1">ALL!AL60</f>
        <v>-8.109</v>
      </c>
      <c r="AI81" s="14">
        <f>ALL!AM60</f>
        <v>0</v>
      </c>
    </row>
    <row r="82" spans="1:35" ht="21.75" hidden="1" outlineLevel="1" thickBot="1" x14ac:dyDescent="0.4">
      <c r="A82" s="36" t="str">
        <f>ALL!E61</f>
        <v>H (Se)</v>
      </c>
      <c r="B82" s="16">
        <f ca="1">ALL!F61</f>
        <v>-45.84</v>
      </c>
      <c r="C82" s="16">
        <f ca="1">ALL!G61</f>
        <v>-36.31</v>
      </c>
      <c r="D82" s="16">
        <f ca="1">ALL!H61</f>
        <v>-34.75</v>
      </c>
      <c r="E82" s="16">
        <f ca="1">ALL!I61</f>
        <v>-33.590000000000003</v>
      </c>
      <c r="F82" s="14">
        <f ca="1">ALL!J61</f>
        <v>-32.64</v>
      </c>
      <c r="G82" s="14">
        <f ca="1">ALL!K61</f>
        <v>-31.81</v>
      </c>
      <c r="H82" s="14">
        <f ca="1">ALL!L61</f>
        <v>-31.07</v>
      </c>
      <c r="I82" s="14">
        <f ca="1">ALL!M61</f>
        <v>-30.4</v>
      </c>
      <c r="J82" s="14">
        <f ca="1">ALL!N61</f>
        <v>-29.79</v>
      </c>
      <c r="K82" s="14">
        <f ca="1">ALL!O61</f>
        <v>-29.24</v>
      </c>
      <c r="L82" s="14">
        <f ca="1">ALL!P61</f>
        <v>-27.47</v>
      </c>
      <c r="M82" s="14">
        <f ca="1">ALL!Q61</f>
        <v>-26.24</v>
      </c>
      <c r="N82" s="14">
        <f ca="1">ALL!R61</f>
        <v>-26.01</v>
      </c>
      <c r="O82" s="14">
        <f ca="1">ALL!S61</f>
        <v>-25.81</v>
      </c>
      <c r="P82" s="14">
        <f ca="1">ALL!T61</f>
        <v>-25.65</v>
      </c>
      <c r="Q82" s="14">
        <f ca="1">ALL!U61</f>
        <v>-25.54</v>
      </c>
      <c r="R82" s="14">
        <f ca="1">ALL!V61</f>
        <v>-25.48</v>
      </c>
      <c r="S82" s="14">
        <f ca="1">ALL!W61</f>
        <v>-25.5</v>
      </c>
      <c r="T82" s="14">
        <f ca="1">ALL!X61</f>
        <v>-25.59</v>
      </c>
      <c r="U82" s="14">
        <f ca="1">ALL!Y61</f>
        <v>-25.76</v>
      </c>
      <c r="V82" s="14">
        <f ca="1">ALL!Z61</f>
        <v>-25.95</v>
      </c>
      <c r="W82" s="14">
        <f ca="1">ALL!AA61</f>
        <v>-26.17</v>
      </c>
      <c r="X82" s="14">
        <f ca="1">ALL!AB61</f>
        <v>-26.38</v>
      </c>
      <c r="Y82" s="14">
        <f ca="1">ALL!AC61</f>
        <v>-26.6</v>
      </c>
      <c r="Z82" s="14">
        <f ca="1">ALL!AD61</f>
        <v>-26.8</v>
      </c>
      <c r="AA82" s="14">
        <f ca="1">ALL!AE61</f>
        <v>-26.82</v>
      </c>
      <c r="AB82" s="14">
        <f ca="1">ALL!AF61</f>
        <v>-26.93</v>
      </c>
      <c r="AC82" s="14">
        <f ca="1">ALL!AG61</f>
        <v>-27.09</v>
      </c>
      <c r="AD82" s="14">
        <f ca="1">ALL!AH61</f>
        <v>-27.27</v>
      </c>
      <c r="AE82" s="14">
        <f ca="1">ALL!AI61</f>
        <v>-27.46</v>
      </c>
      <c r="AF82" s="14">
        <f ca="1">ALL!AJ61</f>
        <v>-27.65</v>
      </c>
      <c r="AG82" s="14">
        <f ca="1">ALL!AK61</f>
        <v>-27.85</v>
      </c>
      <c r="AH82" s="14">
        <f ca="1">ALL!AL61</f>
        <v>-28.62</v>
      </c>
      <c r="AI82" s="14">
        <f>ALL!AM61</f>
        <v>0</v>
      </c>
    </row>
    <row r="83" spans="1:35" ht="21.75" hidden="1" outlineLevel="1" thickBot="1" x14ac:dyDescent="0.4">
      <c r="A83" s="36">
        <f>ALL!E62</f>
        <v>0</v>
      </c>
      <c r="B83" s="16">
        <f ca="1">ALL!F62</f>
        <v>0</v>
      </c>
      <c r="C83" s="16">
        <f ca="1">ALL!G62</f>
        <v>0</v>
      </c>
      <c r="D83" s="16">
        <f ca="1">ALL!H62</f>
        <v>0</v>
      </c>
      <c r="E83" s="16">
        <f ca="1">ALL!I62</f>
        <v>0</v>
      </c>
      <c r="F83" s="14">
        <f ca="1">ALL!J62</f>
        <v>0</v>
      </c>
      <c r="G83" s="14">
        <f ca="1">ALL!K62</f>
        <v>0</v>
      </c>
      <c r="H83" s="14">
        <f ca="1">ALL!L62</f>
        <v>0</v>
      </c>
      <c r="I83" s="14">
        <f ca="1">ALL!M62</f>
        <v>0</v>
      </c>
      <c r="J83" s="14">
        <f ca="1">ALL!N62</f>
        <v>0</v>
      </c>
      <c r="K83" s="14">
        <f ca="1">ALL!O62</f>
        <v>0</v>
      </c>
      <c r="L83" s="14">
        <f ca="1">ALL!P62</f>
        <v>0</v>
      </c>
      <c r="M83" s="14">
        <f ca="1">ALL!Q62</f>
        <v>0</v>
      </c>
      <c r="N83" s="14">
        <f ca="1">ALL!R62</f>
        <v>0</v>
      </c>
      <c r="O83" s="14">
        <f ca="1">ALL!S62</f>
        <v>0</v>
      </c>
      <c r="P83" s="14">
        <f ca="1">ALL!T62</f>
        <v>0</v>
      </c>
      <c r="Q83" s="14">
        <f ca="1">ALL!U62</f>
        <v>0</v>
      </c>
      <c r="R83" s="14">
        <f ca="1">ALL!V62</f>
        <v>0</v>
      </c>
      <c r="S83" s="14">
        <f ca="1">ALL!W62</f>
        <v>0</v>
      </c>
      <c r="T83" s="14">
        <f ca="1">ALL!X62</f>
        <v>0</v>
      </c>
      <c r="U83" s="14">
        <f ca="1">ALL!Y62</f>
        <v>0</v>
      </c>
      <c r="V83" s="14">
        <f ca="1">ALL!Z62</f>
        <v>0</v>
      </c>
      <c r="W83" s="14">
        <f ca="1">ALL!AA62</f>
        <v>0</v>
      </c>
      <c r="X83" s="14">
        <f ca="1">ALL!AB62</f>
        <v>0</v>
      </c>
      <c r="Y83" s="14">
        <f ca="1">ALL!AC62</f>
        <v>0</v>
      </c>
      <c r="Z83" s="14">
        <f ca="1">ALL!AD62</f>
        <v>0</v>
      </c>
      <c r="AA83" s="14">
        <f ca="1">ALL!AE62</f>
        <v>0</v>
      </c>
      <c r="AB83" s="14">
        <f ca="1">ALL!AF62</f>
        <v>0</v>
      </c>
      <c r="AC83" s="14">
        <f ca="1">ALL!AG62</f>
        <v>0</v>
      </c>
      <c r="AD83" s="14">
        <f ca="1">ALL!AH62</f>
        <v>0</v>
      </c>
      <c r="AE83" s="14">
        <f ca="1">ALL!AI62</f>
        <v>0</v>
      </c>
      <c r="AF83" s="14">
        <f ca="1">ALL!AJ62</f>
        <v>0</v>
      </c>
      <c r="AG83" s="14">
        <f ca="1">ALL!AK62</f>
        <v>0</v>
      </c>
      <c r="AH83" s="14">
        <f ca="1">ALL!AL62</f>
        <v>0</v>
      </c>
      <c r="AI83" s="14">
        <f>ALL!AM62</f>
        <v>0</v>
      </c>
    </row>
    <row r="84" spans="1:35" ht="21.75" hidden="1" outlineLevel="1" thickBot="1" x14ac:dyDescent="0.4">
      <c r="A84" s="36">
        <f>ALL!E63</f>
        <v>0</v>
      </c>
      <c r="B84" s="16">
        <f ca="1">ALL!F63</f>
        <v>0</v>
      </c>
      <c r="C84" s="16">
        <f ca="1">ALL!G63</f>
        <v>0</v>
      </c>
      <c r="D84" s="16">
        <f ca="1">ALL!H63</f>
        <v>0</v>
      </c>
      <c r="E84" s="16">
        <f ca="1">ALL!I63</f>
        <v>0</v>
      </c>
      <c r="F84" s="14">
        <f ca="1">ALL!J63</f>
        <v>0</v>
      </c>
      <c r="G84" s="14">
        <f ca="1">ALL!K63</f>
        <v>0</v>
      </c>
      <c r="H84" s="14">
        <f ca="1">ALL!L63</f>
        <v>0</v>
      </c>
      <c r="I84" s="14">
        <f ca="1">ALL!M63</f>
        <v>0</v>
      </c>
      <c r="J84" s="14">
        <f ca="1">ALL!N63</f>
        <v>0</v>
      </c>
      <c r="K84" s="14">
        <f ca="1">ALL!O63</f>
        <v>0</v>
      </c>
      <c r="L84" s="14">
        <f ca="1">ALL!P63</f>
        <v>0</v>
      </c>
      <c r="M84" s="14">
        <f ca="1">ALL!Q63</f>
        <v>0</v>
      </c>
      <c r="N84" s="14">
        <f ca="1">ALL!R63</f>
        <v>0</v>
      </c>
      <c r="O84" s="14">
        <f ca="1">ALL!S63</f>
        <v>0</v>
      </c>
      <c r="P84" s="14">
        <f ca="1">ALL!T63</f>
        <v>0</v>
      </c>
      <c r="Q84" s="14">
        <f ca="1">ALL!U63</f>
        <v>0</v>
      </c>
      <c r="R84" s="14">
        <f ca="1">ALL!V63</f>
        <v>0</v>
      </c>
      <c r="S84" s="14">
        <f ca="1">ALL!W63</f>
        <v>0</v>
      </c>
      <c r="T84" s="14">
        <f ca="1">ALL!X63</f>
        <v>0</v>
      </c>
      <c r="U84" s="14">
        <f ca="1">ALL!Y63</f>
        <v>0</v>
      </c>
      <c r="V84" s="14">
        <f ca="1">ALL!Z63</f>
        <v>0</v>
      </c>
      <c r="W84" s="14">
        <f ca="1">ALL!AA63</f>
        <v>0</v>
      </c>
      <c r="X84" s="14">
        <f ca="1">ALL!AB63</f>
        <v>0</v>
      </c>
      <c r="Y84" s="14">
        <f ca="1">ALL!AC63</f>
        <v>0</v>
      </c>
      <c r="Z84" s="14">
        <f ca="1">ALL!AD63</f>
        <v>0</v>
      </c>
      <c r="AA84" s="14">
        <f ca="1">ALL!AE63</f>
        <v>0</v>
      </c>
      <c r="AB84" s="14">
        <f ca="1">ALL!AF63</f>
        <v>0</v>
      </c>
      <c r="AC84" s="14">
        <f ca="1">ALL!AG63</f>
        <v>0</v>
      </c>
      <c r="AD84" s="14">
        <f ca="1">ALL!AH63</f>
        <v>0</v>
      </c>
      <c r="AE84" s="14">
        <f ca="1">ALL!AI63</f>
        <v>0</v>
      </c>
      <c r="AF84" s="14">
        <f ca="1">ALL!AJ63</f>
        <v>0</v>
      </c>
      <c r="AG84" s="14">
        <f ca="1">ALL!AK63</f>
        <v>0</v>
      </c>
      <c r="AH84" s="14">
        <f ca="1">ALL!AL63</f>
        <v>0</v>
      </c>
      <c r="AI84" s="14">
        <f>ALL!AM63</f>
        <v>0</v>
      </c>
    </row>
    <row r="85" spans="1:35" ht="21.75" hidden="1" outlineLevel="1" thickBot="1" x14ac:dyDescent="0.4">
      <c r="A85" s="36">
        <f>ALL!E64</f>
        <v>0</v>
      </c>
      <c r="B85" s="16">
        <f ca="1">ALL!F64</f>
        <v>0</v>
      </c>
      <c r="C85" s="16">
        <f ca="1">ALL!G64</f>
        <v>0</v>
      </c>
      <c r="D85" s="16">
        <f ca="1">ALL!H64</f>
        <v>0</v>
      </c>
      <c r="E85" s="16">
        <f ca="1">ALL!I64</f>
        <v>0</v>
      </c>
      <c r="F85" s="14">
        <f ca="1">ALL!J64</f>
        <v>0</v>
      </c>
      <c r="G85" s="14">
        <f ca="1">ALL!K64</f>
        <v>0</v>
      </c>
      <c r="H85" s="14">
        <f ca="1">ALL!L64</f>
        <v>0</v>
      </c>
      <c r="I85" s="14">
        <f ca="1">ALL!M64</f>
        <v>0</v>
      </c>
      <c r="J85" s="14">
        <f ca="1">ALL!N64</f>
        <v>0</v>
      </c>
      <c r="K85" s="14">
        <f ca="1">ALL!O64</f>
        <v>0</v>
      </c>
      <c r="L85" s="14">
        <f ca="1">ALL!P64</f>
        <v>0</v>
      </c>
      <c r="M85" s="14">
        <f ca="1">ALL!Q64</f>
        <v>0</v>
      </c>
      <c r="N85" s="14">
        <f ca="1">ALL!R64</f>
        <v>0</v>
      </c>
      <c r="O85" s="14">
        <f ca="1">ALL!S64</f>
        <v>0</v>
      </c>
      <c r="P85" s="14">
        <f ca="1">ALL!T64</f>
        <v>0</v>
      </c>
      <c r="Q85" s="14">
        <f ca="1">ALL!U64</f>
        <v>0</v>
      </c>
      <c r="R85" s="14">
        <f ca="1">ALL!V64</f>
        <v>0</v>
      </c>
      <c r="S85" s="14">
        <f ca="1">ALL!W64</f>
        <v>0</v>
      </c>
      <c r="T85" s="14">
        <f ca="1">ALL!X64</f>
        <v>0</v>
      </c>
      <c r="U85" s="14">
        <f ca="1">ALL!Y64</f>
        <v>0</v>
      </c>
      <c r="V85" s="14">
        <f ca="1">ALL!Z64</f>
        <v>0</v>
      </c>
      <c r="W85" s="14">
        <f ca="1">ALL!AA64</f>
        <v>0</v>
      </c>
      <c r="X85" s="14">
        <f ca="1">ALL!AB64</f>
        <v>0</v>
      </c>
      <c r="Y85" s="14">
        <f ca="1">ALL!AC64</f>
        <v>0</v>
      </c>
      <c r="Z85" s="14">
        <f ca="1">ALL!AD64</f>
        <v>0</v>
      </c>
      <c r="AA85" s="14">
        <f ca="1">ALL!AE64</f>
        <v>0</v>
      </c>
      <c r="AB85" s="14">
        <f ca="1">ALL!AF64</f>
        <v>0</v>
      </c>
      <c r="AC85" s="14">
        <f ca="1">ALL!AG64</f>
        <v>0</v>
      </c>
      <c r="AD85" s="14">
        <f ca="1">ALL!AH64</f>
        <v>0</v>
      </c>
      <c r="AE85" s="14">
        <f ca="1">ALL!AI64</f>
        <v>0</v>
      </c>
      <c r="AF85" s="14">
        <f ca="1">ALL!AJ64</f>
        <v>0</v>
      </c>
      <c r="AG85" s="14">
        <f ca="1">ALL!AK64</f>
        <v>0</v>
      </c>
      <c r="AH85" s="14">
        <f ca="1">ALL!AL64</f>
        <v>0</v>
      </c>
      <c r="AI85" s="14">
        <f>ALL!AM64</f>
        <v>0</v>
      </c>
    </row>
    <row r="86" spans="1:35" ht="21.75" hidden="1" outlineLevel="1" thickBot="1" x14ac:dyDescent="0.4">
      <c r="A86" s="36">
        <f>ALL!E65</f>
        <v>0</v>
      </c>
      <c r="B86" s="16">
        <f ca="1">ALL!F65</f>
        <v>0</v>
      </c>
      <c r="C86" s="16">
        <f ca="1">ALL!G65</f>
        <v>0</v>
      </c>
      <c r="D86" s="16">
        <f ca="1">ALL!H65</f>
        <v>0</v>
      </c>
      <c r="E86" s="16">
        <f ca="1">ALL!I65</f>
        <v>0</v>
      </c>
      <c r="F86" s="14">
        <f ca="1">ALL!J65</f>
        <v>0</v>
      </c>
      <c r="G86" s="14">
        <f ca="1">ALL!K65</f>
        <v>0</v>
      </c>
      <c r="H86" s="14">
        <f ca="1">ALL!L65</f>
        <v>0</v>
      </c>
      <c r="I86" s="14">
        <f ca="1">ALL!M65</f>
        <v>0</v>
      </c>
      <c r="J86" s="14">
        <f ca="1">ALL!N65</f>
        <v>0</v>
      </c>
      <c r="K86" s="14">
        <f ca="1">ALL!O65</f>
        <v>0</v>
      </c>
      <c r="L86" s="14">
        <f ca="1">ALL!P65</f>
        <v>0</v>
      </c>
      <c r="M86" s="14">
        <f ca="1">ALL!Q65</f>
        <v>0</v>
      </c>
      <c r="N86" s="14">
        <f ca="1">ALL!R65</f>
        <v>0</v>
      </c>
      <c r="O86" s="14">
        <f ca="1">ALL!S65</f>
        <v>0</v>
      </c>
      <c r="P86" s="14">
        <f ca="1">ALL!T65</f>
        <v>0</v>
      </c>
      <c r="Q86" s="14">
        <f ca="1">ALL!U65</f>
        <v>0</v>
      </c>
      <c r="R86" s="14">
        <f ca="1">ALL!V65</f>
        <v>0</v>
      </c>
      <c r="S86" s="14">
        <f ca="1">ALL!W65</f>
        <v>0</v>
      </c>
      <c r="T86" s="14">
        <f ca="1">ALL!X65</f>
        <v>0</v>
      </c>
      <c r="U86" s="14">
        <f ca="1">ALL!Y65</f>
        <v>0</v>
      </c>
      <c r="V86" s="14">
        <f ca="1">ALL!Z65</f>
        <v>0</v>
      </c>
      <c r="W86" s="14">
        <f ca="1">ALL!AA65</f>
        <v>0</v>
      </c>
      <c r="X86" s="14">
        <f ca="1">ALL!AB65</f>
        <v>0</v>
      </c>
      <c r="Y86" s="14">
        <f ca="1">ALL!AC65</f>
        <v>0</v>
      </c>
      <c r="Z86" s="14">
        <f ca="1">ALL!AD65</f>
        <v>0</v>
      </c>
      <c r="AA86" s="14">
        <f ca="1">ALL!AE65</f>
        <v>0</v>
      </c>
      <c r="AB86" s="14">
        <f ca="1">ALL!AF65</f>
        <v>0</v>
      </c>
      <c r="AC86" s="14">
        <f ca="1">ALL!AG65</f>
        <v>0</v>
      </c>
      <c r="AD86" s="14">
        <f ca="1">ALL!AH65</f>
        <v>0</v>
      </c>
      <c r="AE86" s="14">
        <f ca="1">ALL!AI65</f>
        <v>0</v>
      </c>
      <c r="AF86" s="14">
        <f ca="1">ALL!AJ65</f>
        <v>0</v>
      </c>
      <c r="AG86" s="14">
        <f ca="1">ALL!AK65</f>
        <v>0</v>
      </c>
      <c r="AH86" s="14">
        <f ca="1">ALL!AL65</f>
        <v>0</v>
      </c>
      <c r="AI86" s="14">
        <f>ALL!AM65</f>
        <v>0</v>
      </c>
    </row>
    <row r="87" spans="1:35" ht="21.75" hidden="1" outlineLevel="1" thickBot="1" x14ac:dyDescent="0.4">
      <c r="A87" s="36">
        <f>ALL!E66</f>
        <v>0</v>
      </c>
      <c r="B87" s="16">
        <f ca="1">ALL!F66</f>
        <v>0</v>
      </c>
      <c r="C87" s="16">
        <f ca="1">ALL!G66</f>
        <v>0</v>
      </c>
      <c r="D87" s="16">
        <f ca="1">ALL!H66</f>
        <v>0</v>
      </c>
      <c r="E87" s="16">
        <f ca="1">ALL!I66</f>
        <v>0</v>
      </c>
      <c r="F87" s="14">
        <f ca="1">ALL!J66</f>
        <v>0</v>
      </c>
      <c r="G87" s="14">
        <f ca="1">ALL!K66</f>
        <v>0</v>
      </c>
      <c r="H87" s="14">
        <f ca="1">ALL!L66</f>
        <v>0</v>
      </c>
      <c r="I87" s="14">
        <f ca="1">ALL!M66</f>
        <v>0</v>
      </c>
      <c r="J87" s="14">
        <f ca="1">ALL!N66</f>
        <v>0</v>
      </c>
      <c r="K87" s="14">
        <f ca="1">ALL!O66</f>
        <v>0</v>
      </c>
      <c r="L87" s="14">
        <f ca="1">ALL!P66</f>
        <v>0</v>
      </c>
      <c r="M87" s="14">
        <f ca="1">ALL!Q66</f>
        <v>0</v>
      </c>
      <c r="N87" s="14">
        <f ca="1">ALL!R66</f>
        <v>0</v>
      </c>
      <c r="O87" s="14">
        <f ca="1">ALL!S66</f>
        <v>0</v>
      </c>
      <c r="P87" s="14">
        <f ca="1">ALL!T66</f>
        <v>0</v>
      </c>
      <c r="Q87" s="14">
        <f ca="1">ALL!U66</f>
        <v>0</v>
      </c>
      <c r="R87" s="14">
        <f ca="1">ALL!V66</f>
        <v>0</v>
      </c>
      <c r="S87" s="14">
        <f ca="1">ALL!W66</f>
        <v>0</v>
      </c>
      <c r="T87" s="14">
        <f ca="1">ALL!X66</f>
        <v>0</v>
      </c>
      <c r="U87" s="14">
        <f ca="1">ALL!Y66</f>
        <v>0</v>
      </c>
      <c r="V87" s="14">
        <f ca="1">ALL!Z66</f>
        <v>0</v>
      </c>
      <c r="W87" s="14">
        <f ca="1">ALL!AA66</f>
        <v>0</v>
      </c>
      <c r="X87" s="14">
        <f ca="1">ALL!AB66</f>
        <v>0</v>
      </c>
      <c r="Y87" s="14">
        <f ca="1">ALL!AC66</f>
        <v>0</v>
      </c>
      <c r="Z87" s="14">
        <f ca="1">ALL!AD66</f>
        <v>0</v>
      </c>
      <c r="AA87" s="14">
        <f ca="1">ALL!AE66</f>
        <v>0</v>
      </c>
      <c r="AB87" s="14">
        <f ca="1">ALL!AF66</f>
        <v>0</v>
      </c>
      <c r="AC87" s="14">
        <f ca="1">ALL!AG66</f>
        <v>0</v>
      </c>
      <c r="AD87" s="14">
        <f ca="1">ALL!AH66</f>
        <v>0</v>
      </c>
      <c r="AE87" s="14">
        <f ca="1">ALL!AI66</f>
        <v>0</v>
      </c>
      <c r="AF87" s="14">
        <f ca="1">ALL!AJ66</f>
        <v>0</v>
      </c>
      <c r="AG87" s="14">
        <f ca="1">ALL!AK66</f>
        <v>0</v>
      </c>
      <c r="AH87" s="14">
        <f ca="1">ALL!AL66</f>
        <v>0</v>
      </c>
      <c r="AI87" s="14">
        <f>ALL!AM66</f>
        <v>0</v>
      </c>
    </row>
    <row r="88" spans="1:35" ht="21.75" hidden="1" outlineLevel="1" thickBot="1" x14ac:dyDescent="0.4">
      <c r="A88" s="36">
        <f>ALL!E67</f>
        <v>0</v>
      </c>
      <c r="B88" s="16">
        <f ca="1">ALL!F67</f>
        <v>0</v>
      </c>
      <c r="C88" s="16">
        <f ca="1">ALL!G67</f>
        <v>0</v>
      </c>
      <c r="D88" s="16">
        <f ca="1">ALL!H67</f>
        <v>0</v>
      </c>
      <c r="E88" s="16">
        <f ca="1">ALL!I67</f>
        <v>0</v>
      </c>
      <c r="F88" s="14">
        <f ca="1">ALL!J67</f>
        <v>0</v>
      </c>
      <c r="G88" s="14">
        <f ca="1">ALL!K67</f>
        <v>0</v>
      </c>
      <c r="H88" s="14">
        <f ca="1">ALL!L67</f>
        <v>0</v>
      </c>
      <c r="I88" s="14">
        <f ca="1">ALL!M67</f>
        <v>0</v>
      </c>
      <c r="J88" s="14">
        <f ca="1">ALL!N67</f>
        <v>0</v>
      </c>
      <c r="K88" s="14">
        <f ca="1">ALL!O67</f>
        <v>0</v>
      </c>
      <c r="L88" s="14">
        <f ca="1">ALL!P67</f>
        <v>0</v>
      </c>
      <c r="M88" s="14">
        <f ca="1">ALL!Q67</f>
        <v>0</v>
      </c>
      <c r="N88" s="14">
        <f ca="1">ALL!R67</f>
        <v>0</v>
      </c>
      <c r="O88" s="14">
        <f ca="1">ALL!S67</f>
        <v>0</v>
      </c>
      <c r="P88" s="14">
        <f ca="1">ALL!T67</f>
        <v>0</v>
      </c>
      <c r="Q88" s="14">
        <f ca="1">ALL!U67</f>
        <v>0</v>
      </c>
      <c r="R88" s="14">
        <f ca="1">ALL!V67</f>
        <v>0</v>
      </c>
      <c r="S88" s="14">
        <f ca="1">ALL!W67</f>
        <v>0</v>
      </c>
      <c r="T88" s="14">
        <f ca="1">ALL!X67</f>
        <v>0</v>
      </c>
      <c r="U88" s="14">
        <f ca="1">ALL!Y67</f>
        <v>0</v>
      </c>
      <c r="V88" s="14">
        <f ca="1">ALL!Z67</f>
        <v>0</v>
      </c>
      <c r="W88" s="14">
        <f ca="1">ALL!AA67</f>
        <v>0</v>
      </c>
      <c r="X88" s="14">
        <f ca="1">ALL!AB67</f>
        <v>0</v>
      </c>
      <c r="Y88" s="14">
        <f ca="1">ALL!AC67</f>
        <v>0</v>
      </c>
      <c r="Z88" s="14">
        <f ca="1">ALL!AD67</f>
        <v>0</v>
      </c>
      <c r="AA88" s="14">
        <f ca="1">ALL!AE67</f>
        <v>0</v>
      </c>
      <c r="AB88" s="14">
        <f ca="1">ALL!AF67</f>
        <v>0</v>
      </c>
      <c r="AC88" s="14">
        <f ca="1">ALL!AG67</f>
        <v>0</v>
      </c>
      <c r="AD88" s="14">
        <f ca="1">ALL!AH67</f>
        <v>0</v>
      </c>
      <c r="AE88" s="14">
        <f ca="1">ALL!AI67</f>
        <v>0</v>
      </c>
      <c r="AF88" s="14">
        <f ca="1">ALL!AJ67</f>
        <v>0</v>
      </c>
      <c r="AG88" s="14">
        <f ca="1">ALL!AK67</f>
        <v>0</v>
      </c>
      <c r="AH88" s="14">
        <f ca="1">ALL!AL67</f>
        <v>0</v>
      </c>
      <c r="AI88" s="14">
        <f>ALL!AM67</f>
        <v>0</v>
      </c>
    </row>
    <row r="89" spans="1:35" ht="21.75" hidden="1" outlineLevel="1" thickBot="1" x14ac:dyDescent="0.4">
      <c r="A89" s="36">
        <f>ALL!E68</f>
        <v>0</v>
      </c>
      <c r="B89" s="16">
        <f ca="1">ALL!F68</f>
        <v>0</v>
      </c>
      <c r="C89" s="16">
        <f ca="1">ALL!G68</f>
        <v>0</v>
      </c>
      <c r="D89" s="16">
        <f ca="1">ALL!H68</f>
        <v>0</v>
      </c>
      <c r="E89" s="16">
        <f ca="1">ALL!I68</f>
        <v>0</v>
      </c>
      <c r="F89" s="14">
        <f ca="1">ALL!J68</f>
        <v>0</v>
      </c>
      <c r="G89" s="14">
        <f ca="1">ALL!K68</f>
        <v>0</v>
      </c>
      <c r="H89" s="14">
        <f ca="1">ALL!L68</f>
        <v>0</v>
      </c>
      <c r="I89" s="14">
        <f ca="1">ALL!M68</f>
        <v>0</v>
      </c>
      <c r="J89" s="14">
        <f ca="1">ALL!N68</f>
        <v>0</v>
      </c>
      <c r="K89" s="14">
        <f ca="1">ALL!O68</f>
        <v>0</v>
      </c>
      <c r="L89" s="14">
        <f ca="1">ALL!P68</f>
        <v>0</v>
      </c>
      <c r="M89" s="14">
        <f ca="1">ALL!Q68</f>
        <v>0</v>
      </c>
      <c r="N89" s="14">
        <f ca="1">ALL!R68</f>
        <v>0</v>
      </c>
      <c r="O89" s="14">
        <f ca="1">ALL!S68</f>
        <v>0</v>
      </c>
      <c r="P89" s="14">
        <f ca="1">ALL!T68</f>
        <v>0</v>
      </c>
      <c r="Q89" s="14">
        <f ca="1">ALL!U68</f>
        <v>0</v>
      </c>
      <c r="R89" s="14">
        <f ca="1">ALL!V68</f>
        <v>0</v>
      </c>
      <c r="S89" s="14">
        <f ca="1">ALL!W68</f>
        <v>0</v>
      </c>
      <c r="T89" s="14">
        <f ca="1">ALL!X68</f>
        <v>0</v>
      </c>
      <c r="U89" s="14">
        <f ca="1">ALL!Y68</f>
        <v>0</v>
      </c>
      <c r="V89" s="14">
        <f ca="1">ALL!Z68</f>
        <v>0</v>
      </c>
      <c r="W89" s="14">
        <f ca="1">ALL!AA68</f>
        <v>0</v>
      </c>
      <c r="X89" s="14">
        <f ca="1">ALL!AB68</f>
        <v>0</v>
      </c>
      <c r="Y89" s="14">
        <f ca="1">ALL!AC68</f>
        <v>0</v>
      </c>
      <c r="Z89" s="14">
        <f ca="1">ALL!AD68</f>
        <v>0</v>
      </c>
      <c r="AA89" s="14">
        <f ca="1">ALL!AE68</f>
        <v>0</v>
      </c>
      <c r="AB89" s="14">
        <f ca="1">ALL!AF68</f>
        <v>0</v>
      </c>
      <c r="AC89" s="14">
        <f ca="1">ALL!AG68</f>
        <v>0</v>
      </c>
      <c r="AD89" s="14">
        <f ca="1">ALL!AH68</f>
        <v>0</v>
      </c>
      <c r="AE89" s="14">
        <f ca="1">ALL!AI68</f>
        <v>0</v>
      </c>
      <c r="AF89" s="14">
        <f ca="1">ALL!AJ68</f>
        <v>0</v>
      </c>
      <c r="AG89" s="14">
        <f ca="1">ALL!AK68</f>
        <v>0</v>
      </c>
      <c r="AH89" s="14">
        <f ca="1">ALL!AL68</f>
        <v>0</v>
      </c>
      <c r="AI89" s="14">
        <f>ALL!AM68</f>
        <v>0</v>
      </c>
    </row>
    <row r="90" spans="1:35" ht="21.75" hidden="1" outlineLevel="1" thickBot="1" x14ac:dyDescent="0.4">
      <c r="A90" s="36">
        <f>ALL!E69</f>
        <v>0</v>
      </c>
      <c r="B90" s="16">
        <f ca="1">ALL!F69</f>
        <v>0</v>
      </c>
      <c r="C90" s="16">
        <f ca="1">ALL!G69</f>
        <v>0</v>
      </c>
      <c r="D90" s="16">
        <f ca="1">ALL!H69</f>
        <v>0</v>
      </c>
      <c r="E90" s="16">
        <f ca="1">ALL!I69</f>
        <v>0</v>
      </c>
      <c r="F90" s="14">
        <f ca="1">ALL!J69</f>
        <v>0</v>
      </c>
      <c r="G90" s="14">
        <f ca="1">ALL!K69</f>
        <v>0</v>
      </c>
      <c r="H90" s="14">
        <f ca="1">ALL!L69</f>
        <v>0</v>
      </c>
      <c r="I90" s="14">
        <f ca="1">ALL!M69</f>
        <v>0</v>
      </c>
      <c r="J90" s="14">
        <f ca="1">ALL!N69</f>
        <v>0</v>
      </c>
      <c r="K90" s="14">
        <f ca="1">ALL!O69</f>
        <v>0</v>
      </c>
      <c r="L90" s="14">
        <f ca="1">ALL!P69</f>
        <v>0</v>
      </c>
      <c r="M90" s="14">
        <f ca="1">ALL!Q69</f>
        <v>0</v>
      </c>
      <c r="N90" s="14">
        <f ca="1">ALL!R69</f>
        <v>0</v>
      </c>
      <c r="O90" s="14">
        <f ca="1">ALL!S69</f>
        <v>0</v>
      </c>
      <c r="P90" s="14">
        <f ca="1">ALL!T69</f>
        <v>0</v>
      </c>
      <c r="Q90" s="14">
        <f ca="1">ALL!U69</f>
        <v>0</v>
      </c>
      <c r="R90" s="14">
        <f ca="1">ALL!V69</f>
        <v>0</v>
      </c>
      <c r="S90" s="14">
        <f ca="1">ALL!W69</f>
        <v>0</v>
      </c>
      <c r="T90" s="14">
        <f ca="1">ALL!X69</f>
        <v>0</v>
      </c>
      <c r="U90" s="14">
        <f ca="1">ALL!Y69</f>
        <v>0</v>
      </c>
      <c r="V90" s="14">
        <f ca="1">ALL!Z69</f>
        <v>0</v>
      </c>
      <c r="W90" s="14">
        <f ca="1">ALL!AA69</f>
        <v>0</v>
      </c>
      <c r="X90" s="14">
        <f ca="1">ALL!AB69</f>
        <v>0</v>
      </c>
      <c r="Y90" s="14">
        <f ca="1">ALL!AC69</f>
        <v>0</v>
      </c>
      <c r="Z90" s="14">
        <f ca="1">ALL!AD69</f>
        <v>0</v>
      </c>
      <c r="AA90" s="14">
        <f ca="1">ALL!AE69</f>
        <v>0</v>
      </c>
      <c r="AB90" s="14">
        <f ca="1">ALL!AF69</f>
        <v>0</v>
      </c>
      <c r="AC90" s="14">
        <f ca="1">ALL!AG69</f>
        <v>0</v>
      </c>
      <c r="AD90" s="14">
        <f ca="1">ALL!AH69</f>
        <v>0</v>
      </c>
      <c r="AE90" s="14">
        <f ca="1">ALL!AI69</f>
        <v>0</v>
      </c>
      <c r="AF90" s="14">
        <f ca="1">ALL!AJ69</f>
        <v>0</v>
      </c>
      <c r="AG90" s="14">
        <f ca="1">ALL!AK69</f>
        <v>0</v>
      </c>
      <c r="AH90" s="14">
        <f ca="1">ALL!AL69</f>
        <v>0</v>
      </c>
      <c r="AI90" s="14">
        <f>ALL!AM69</f>
        <v>0</v>
      </c>
    </row>
    <row r="91" spans="1:35" ht="21.75" hidden="1" outlineLevel="1" thickBot="1" x14ac:dyDescent="0.4">
      <c r="A91" s="36">
        <f>ALL!E70</f>
        <v>0</v>
      </c>
      <c r="B91" s="16">
        <f ca="1">ALL!F70</f>
        <v>0</v>
      </c>
      <c r="C91" s="16">
        <f ca="1">ALL!G70</f>
        <v>0</v>
      </c>
      <c r="D91" s="16">
        <f ca="1">ALL!H70</f>
        <v>0</v>
      </c>
      <c r="E91" s="16">
        <f ca="1">ALL!I70</f>
        <v>0</v>
      </c>
      <c r="F91" s="14">
        <f ca="1">ALL!J70</f>
        <v>0</v>
      </c>
      <c r="G91" s="14">
        <f ca="1">ALL!K70</f>
        <v>0</v>
      </c>
      <c r="H91" s="14">
        <f ca="1">ALL!L70</f>
        <v>0</v>
      </c>
      <c r="I91" s="14">
        <f ca="1">ALL!M70</f>
        <v>0</v>
      </c>
      <c r="J91" s="14">
        <f ca="1">ALL!N70</f>
        <v>0</v>
      </c>
      <c r="K91" s="14">
        <f ca="1">ALL!O70</f>
        <v>0</v>
      </c>
      <c r="L91" s="14">
        <f ca="1">ALL!P70</f>
        <v>0</v>
      </c>
      <c r="M91" s="14">
        <f ca="1">ALL!Q70</f>
        <v>0</v>
      </c>
      <c r="N91" s="14">
        <f ca="1">ALL!R70</f>
        <v>0</v>
      </c>
      <c r="O91" s="14">
        <f ca="1">ALL!S70</f>
        <v>0</v>
      </c>
      <c r="P91" s="14">
        <f ca="1">ALL!T70</f>
        <v>0</v>
      </c>
      <c r="Q91" s="14">
        <f ca="1">ALL!U70</f>
        <v>0</v>
      </c>
      <c r="R91" s="14">
        <f ca="1">ALL!V70</f>
        <v>0</v>
      </c>
      <c r="S91" s="14">
        <f ca="1">ALL!W70</f>
        <v>0</v>
      </c>
      <c r="T91" s="14">
        <f ca="1">ALL!X70</f>
        <v>0</v>
      </c>
      <c r="U91" s="14">
        <f ca="1">ALL!Y70</f>
        <v>0</v>
      </c>
      <c r="V91" s="14">
        <f ca="1">ALL!Z70</f>
        <v>0</v>
      </c>
      <c r="W91" s="14">
        <f ca="1">ALL!AA70</f>
        <v>0</v>
      </c>
      <c r="X91" s="14">
        <f ca="1">ALL!AB70</f>
        <v>0</v>
      </c>
      <c r="Y91" s="14">
        <f ca="1">ALL!AC70</f>
        <v>0</v>
      </c>
      <c r="Z91" s="14">
        <f ca="1">ALL!AD70</f>
        <v>0</v>
      </c>
      <c r="AA91" s="14">
        <f ca="1">ALL!AE70</f>
        <v>0</v>
      </c>
      <c r="AB91" s="14">
        <f ca="1">ALL!AF70</f>
        <v>0</v>
      </c>
      <c r="AC91" s="14">
        <f ca="1">ALL!AG70</f>
        <v>0</v>
      </c>
      <c r="AD91" s="14">
        <f ca="1">ALL!AH70</f>
        <v>0</v>
      </c>
      <c r="AE91" s="14">
        <f ca="1">ALL!AI70</f>
        <v>0</v>
      </c>
      <c r="AF91" s="14">
        <f ca="1">ALL!AJ70</f>
        <v>0</v>
      </c>
      <c r="AG91" s="14">
        <f ca="1">ALL!AK70</f>
        <v>0</v>
      </c>
      <c r="AH91" s="14">
        <f ca="1">ALL!AL70</f>
        <v>0</v>
      </c>
      <c r="AI91" s="14">
        <f>ALL!AM70</f>
        <v>0</v>
      </c>
    </row>
    <row r="92" spans="1:35" ht="21.75" hidden="1" outlineLevel="1" thickBot="1" x14ac:dyDescent="0.4">
      <c r="A92" s="36">
        <f>ALL!E71</f>
        <v>0</v>
      </c>
      <c r="B92" s="16">
        <f ca="1">ALL!F71</f>
        <v>0</v>
      </c>
      <c r="C92" s="16">
        <f ca="1">ALL!G71</f>
        <v>0</v>
      </c>
      <c r="D92" s="16">
        <f ca="1">ALL!H71</f>
        <v>0</v>
      </c>
      <c r="E92" s="16">
        <f ca="1">ALL!I71</f>
        <v>0</v>
      </c>
      <c r="F92" s="14">
        <f ca="1">ALL!J71</f>
        <v>0</v>
      </c>
      <c r="G92" s="14">
        <f ca="1">ALL!K71</f>
        <v>0</v>
      </c>
      <c r="H92" s="14">
        <f ca="1">ALL!L71</f>
        <v>0</v>
      </c>
      <c r="I92" s="14">
        <f ca="1">ALL!M71</f>
        <v>0</v>
      </c>
      <c r="J92" s="14">
        <f ca="1">ALL!N71</f>
        <v>0</v>
      </c>
      <c r="K92" s="14">
        <f ca="1">ALL!O71</f>
        <v>0</v>
      </c>
      <c r="L92" s="14">
        <f ca="1">ALL!P71</f>
        <v>0</v>
      </c>
      <c r="M92" s="14">
        <f ca="1">ALL!Q71</f>
        <v>0</v>
      </c>
      <c r="N92" s="14">
        <f ca="1">ALL!R71</f>
        <v>0</v>
      </c>
      <c r="O92" s="14">
        <f ca="1">ALL!S71</f>
        <v>0</v>
      </c>
      <c r="P92" s="14">
        <f ca="1">ALL!T71</f>
        <v>0</v>
      </c>
      <c r="Q92" s="14">
        <f ca="1">ALL!U71</f>
        <v>0</v>
      </c>
      <c r="R92" s="14">
        <f ca="1">ALL!V71</f>
        <v>0</v>
      </c>
      <c r="S92" s="14">
        <f ca="1">ALL!W71</f>
        <v>0</v>
      </c>
      <c r="T92" s="14">
        <f ca="1">ALL!X71</f>
        <v>0</v>
      </c>
      <c r="U92" s="14">
        <f ca="1">ALL!Y71</f>
        <v>0</v>
      </c>
      <c r="V92" s="14">
        <f ca="1">ALL!Z71</f>
        <v>0</v>
      </c>
      <c r="W92" s="14">
        <f ca="1">ALL!AA71</f>
        <v>0</v>
      </c>
      <c r="X92" s="14">
        <f ca="1">ALL!AB71</f>
        <v>0</v>
      </c>
      <c r="Y92" s="14">
        <f ca="1">ALL!AC71</f>
        <v>0</v>
      </c>
      <c r="Z92" s="14">
        <f ca="1">ALL!AD71</f>
        <v>0</v>
      </c>
      <c r="AA92" s="14">
        <f ca="1">ALL!AE71</f>
        <v>0</v>
      </c>
      <c r="AB92" s="14">
        <f ca="1">ALL!AF71</f>
        <v>0</v>
      </c>
      <c r="AC92" s="14">
        <f ca="1">ALL!AG71</f>
        <v>0</v>
      </c>
      <c r="AD92" s="14">
        <f ca="1">ALL!AH71</f>
        <v>0</v>
      </c>
      <c r="AE92" s="14">
        <f ca="1">ALL!AI71</f>
        <v>0</v>
      </c>
      <c r="AF92" s="14">
        <f ca="1">ALL!AJ71</f>
        <v>0</v>
      </c>
      <c r="AG92" s="14">
        <f ca="1">ALL!AK71</f>
        <v>0</v>
      </c>
      <c r="AH92" s="14">
        <f ca="1">ALL!AL71</f>
        <v>0</v>
      </c>
      <c r="AI92" s="14">
        <f>ALL!AM71</f>
        <v>0</v>
      </c>
    </row>
    <row r="93" spans="1:35" ht="21.75" hidden="1" outlineLevel="1" thickBot="1" x14ac:dyDescent="0.4">
      <c r="A93" s="36">
        <f>ALL!E72</f>
        <v>0</v>
      </c>
      <c r="B93" s="16">
        <f ca="1">ALL!F72</f>
        <v>0</v>
      </c>
      <c r="C93" s="16">
        <f ca="1">ALL!G72</f>
        <v>0</v>
      </c>
      <c r="D93" s="16">
        <f ca="1">ALL!H72</f>
        <v>0</v>
      </c>
      <c r="E93" s="16">
        <f ca="1">ALL!I72</f>
        <v>0</v>
      </c>
      <c r="F93" s="14">
        <f ca="1">ALL!J72</f>
        <v>0</v>
      </c>
      <c r="G93" s="14">
        <f ca="1">ALL!K72</f>
        <v>0</v>
      </c>
      <c r="H93" s="14">
        <f ca="1">ALL!L72</f>
        <v>0</v>
      </c>
      <c r="I93" s="14">
        <f ca="1">ALL!M72</f>
        <v>0</v>
      </c>
      <c r="J93" s="14">
        <f ca="1">ALL!N72</f>
        <v>0</v>
      </c>
      <c r="K93" s="14">
        <f ca="1">ALL!O72</f>
        <v>0</v>
      </c>
      <c r="L93" s="14">
        <f ca="1">ALL!P72</f>
        <v>0</v>
      </c>
      <c r="M93" s="14">
        <f ca="1">ALL!Q72</f>
        <v>0</v>
      </c>
      <c r="N93" s="14">
        <f ca="1">ALL!R72</f>
        <v>0</v>
      </c>
      <c r="O93" s="14">
        <f ca="1">ALL!S72</f>
        <v>0</v>
      </c>
      <c r="P93" s="14">
        <f ca="1">ALL!T72</f>
        <v>0</v>
      </c>
      <c r="Q93" s="14">
        <f ca="1">ALL!U72</f>
        <v>0</v>
      </c>
      <c r="R93" s="14">
        <f ca="1">ALL!V72</f>
        <v>0</v>
      </c>
      <c r="S93" s="14">
        <f ca="1">ALL!W72</f>
        <v>0</v>
      </c>
      <c r="T93" s="14">
        <f ca="1">ALL!X72</f>
        <v>0</v>
      </c>
      <c r="U93" s="14">
        <f ca="1">ALL!Y72</f>
        <v>0</v>
      </c>
      <c r="V93" s="14">
        <f ca="1">ALL!Z72</f>
        <v>0</v>
      </c>
      <c r="W93" s="14">
        <f ca="1">ALL!AA72</f>
        <v>0</v>
      </c>
      <c r="X93" s="14">
        <f ca="1">ALL!AB72</f>
        <v>0</v>
      </c>
      <c r="Y93" s="14">
        <f ca="1">ALL!AC72</f>
        <v>0</v>
      </c>
      <c r="Z93" s="14">
        <f ca="1">ALL!AD72</f>
        <v>0</v>
      </c>
      <c r="AA93" s="14">
        <f ca="1">ALL!AE72</f>
        <v>0</v>
      </c>
      <c r="AB93" s="14">
        <f ca="1">ALL!AF72</f>
        <v>0</v>
      </c>
      <c r="AC93" s="14">
        <f ca="1">ALL!AG72</f>
        <v>0</v>
      </c>
      <c r="AD93" s="14">
        <f ca="1">ALL!AH72</f>
        <v>0</v>
      </c>
      <c r="AE93" s="14">
        <f ca="1">ALL!AI72</f>
        <v>0</v>
      </c>
      <c r="AF93" s="14">
        <f ca="1">ALL!AJ72</f>
        <v>0</v>
      </c>
      <c r="AG93" s="14">
        <f ca="1">ALL!AK72</f>
        <v>0</v>
      </c>
      <c r="AH93" s="14">
        <f ca="1">ALL!AL72</f>
        <v>0</v>
      </c>
      <c r="AI93" s="14">
        <f>ALL!AM72</f>
        <v>0</v>
      </c>
    </row>
    <row r="94" spans="1:35" ht="21.75" hidden="1" outlineLevel="1" thickBot="1" x14ac:dyDescent="0.4">
      <c r="A94" s="36">
        <f>ALL!E73</f>
        <v>0</v>
      </c>
      <c r="B94" s="16">
        <f ca="1">ALL!F73</f>
        <v>0</v>
      </c>
      <c r="C94" s="16">
        <f ca="1">ALL!G73</f>
        <v>0</v>
      </c>
      <c r="D94" s="16">
        <f ca="1">ALL!H73</f>
        <v>0</v>
      </c>
      <c r="E94" s="16">
        <f ca="1">ALL!I73</f>
        <v>0</v>
      </c>
      <c r="F94" s="14">
        <f ca="1">ALL!J73</f>
        <v>0</v>
      </c>
      <c r="G94" s="14">
        <f ca="1">ALL!K73</f>
        <v>0</v>
      </c>
      <c r="H94" s="14">
        <f ca="1">ALL!L73</f>
        <v>0</v>
      </c>
      <c r="I94" s="14">
        <f ca="1">ALL!M73</f>
        <v>0</v>
      </c>
      <c r="J94" s="14">
        <f ca="1">ALL!N73</f>
        <v>0</v>
      </c>
      <c r="K94" s="14">
        <f ca="1">ALL!O73</f>
        <v>0</v>
      </c>
      <c r="L94" s="14">
        <f ca="1">ALL!P73</f>
        <v>0</v>
      </c>
      <c r="M94" s="14">
        <f ca="1">ALL!Q73</f>
        <v>0</v>
      </c>
      <c r="N94" s="14">
        <f ca="1">ALL!R73</f>
        <v>0</v>
      </c>
      <c r="O94" s="14">
        <f ca="1">ALL!S73</f>
        <v>0</v>
      </c>
      <c r="P94" s="14">
        <f ca="1">ALL!T73</f>
        <v>0</v>
      </c>
      <c r="Q94" s="14">
        <f ca="1">ALL!U73</f>
        <v>0</v>
      </c>
      <c r="R94" s="14">
        <f ca="1">ALL!V73</f>
        <v>0</v>
      </c>
      <c r="S94" s="14">
        <f ca="1">ALL!W73</f>
        <v>0</v>
      </c>
      <c r="T94" s="14">
        <f ca="1">ALL!X73</f>
        <v>0</v>
      </c>
      <c r="U94" s="14">
        <f ca="1">ALL!Y73</f>
        <v>0</v>
      </c>
      <c r="V94" s="14">
        <f ca="1">ALL!Z73</f>
        <v>0</v>
      </c>
      <c r="W94" s="14">
        <f ca="1">ALL!AA73</f>
        <v>0</v>
      </c>
      <c r="X94" s="14">
        <f ca="1">ALL!AB73</f>
        <v>0</v>
      </c>
      <c r="Y94" s="14">
        <f ca="1">ALL!AC73</f>
        <v>0</v>
      </c>
      <c r="Z94" s="14">
        <f ca="1">ALL!AD73</f>
        <v>0</v>
      </c>
      <c r="AA94" s="14">
        <f ca="1">ALL!AE73</f>
        <v>0</v>
      </c>
      <c r="AB94" s="14">
        <f ca="1">ALL!AF73</f>
        <v>0</v>
      </c>
      <c r="AC94" s="14">
        <f ca="1">ALL!AG73</f>
        <v>0</v>
      </c>
      <c r="AD94" s="14">
        <f ca="1">ALL!AH73</f>
        <v>0</v>
      </c>
      <c r="AE94" s="14">
        <f ca="1">ALL!AI73</f>
        <v>0</v>
      </c>
      <c r="AF94" s="14">
        <f ca="1">ALL!AJ73</f>
        <v>0</v>
      </c>
      <c r="AG94" s="14">
        <f ca="1">ALL!AK73</f>
        <v>0</v>
      </c>
      <c r="AH94" s="14">
        <f ca="1">ALL!AL73</f>
        <v>0</v>
      </c>
      <c r="AI94" s="14">
        <f>ALL!AM73</f>
        <v>0</v>
      </c>
    </row>
    <row r="95" spans="1:35" ht="21.75" hidden="1" outlineLevel="1" thickBot="1" x14ac:dyDescent="0.4">
      <c r="A95" s="36">
        <f>ALL!E74</f>
        <v>0</v>
      </c>
      <c r="B95" s="16">
        <f ca="1">ALL!F74</f>
        <v>0</v>
      </c>
      <c r="C95" s="16">
        <f ca="1">ALL!G74</f>
        <v>0</v>
      </c>
      <c r="D95" s="16">
        <f ca="1">ALL!H74</f>
        <v>0</v>
      </c>
      <c r="E95" s="16">
        <f ca="1">ALL!I74</f>
        <v>0</v>
      </c>
      <c r="F95" s="14">
        <f ca="1">ALL!J74</f>
        <v>0</v>
      </c>
      <c r="G95" s="14">
        <f ca="1">ALL!K74</f>
        <v>0</v>
      </c>
      <c r="H95" s="14">
        <f ca="1">ALL!L74</f>
        <v>0</v>
      </c>
      <c r="I95" s="14">
        <f ca="1">ALL!M74</f>
        <v>0</v>
      </c>
      <c r="J95" s="14">
        <f ca="1">ALL!N74</f>
        <v>0</v>
      </c>
      <c r="K95" s="14">
        <f ca="1">ALL!O74</f>
        <v>0</v>
      </c>
      <c r="L95" s="14">
        <f ca="1">ALL!P74</f>
        <v>0</v>
      </c>
      <c r="M95" s="14">
        <f ca="1">ALL!Q74</f>
        <v>0</v>
      </c>
      <c r="N95" s="14">
        <f ca="1">ALL!R74</f>
        <v>0</v>
      </c>
      <c r="O95" s="14">
        <f ca="1">ALL!S74</f>
        <v>0</v>
      </c>
      <c r="P95" s="14">
        <f ca="1">ALL!T74</f>
        <v>0</v>
      </c>
      <c r="Q95" s="14">
        <f ca="1">ALL!U74</f>
        <v>0</v>
      </c>
      <c r="R95" s="14">
        <f ca="1">ALL!V74</f>
        <v>0</v>
      </c>
      <c r="S95" s="14">
        <f ca="1">ALL!W74</f>
        <v>0</v>
      </c>
      <c r="T95" s="14">
        <f ca="1">ALL!X74</f>
        <v>0</v>
      </c>
      <c r="U95" s="14">
        <f ca="1">ALL!Y74</f>
        <v>0</v>
      </c>
      <c r="V95" s="14">
        <f ca="1">ALL!Z74</f>
        <v>0</v>
      </c>
      <c r="W95" s="14">
        <f ca="1">ALL!AA74</f>
        <v>0</v>
      </c>
      <c r="X95" s="14">
        <f ca="1">ALL!AB74</f>
        <v>0</v>
      </c>
      <c r="Y95" s="14">
        <f ca="1">ALL!AC74</f>
        <v>0</v>
      </c>
      <c r="Z95" s="14">
        <f ca="1">ALL!AD74</f>
        <v>0</v>
      </c>
      <c r="AA95" s="14">
        <f ca="1">ALL!AE74</f>
        <v>0</v>
      </c>
      <c r="AB95" s="14">
        <f ca="1">ALL!AF74</f>
        <v>0</v>
      </c>
      <c r="AC95" s="14">
        <f ca="1">ALL!AG74</f>
        <v>0</v>
      </c>
      <c r="AD95" s="14">
        <f ca="1">ALL!AH74</f>
        <v>0</v>
      </c>
      <c r="AE95" s="14">
        <f ca="1">ALL!AI74</f>
        <v>0</v>
      </c>
      <c r="AF95" s="14">
        <f ca="1">ALL!AJ74</f>
        <v>0</v>
      </c>
      <c r="AG95" s="14">
        <f ca="1">ALL!AK74</f>
        <v>0</v>
      </c>
      <c r="AH95" s="14">
        <f ca="1">ALL!AL74</f>
        <v>0</v>
      </c>
      <c r="AI95" s="14">
        <f>ALL!AM74</f>
        <v>0</v>
      </c>
    </row>
    <row r="96" spans="1:35" ht="21.75" hidden="1" outlineLevel="1" thickBot="1" x14ac:dyDescent="0.4">
      <c r="A96" s="36">
        <f>ALL!E75</f>
        <v>1</v>
      </c>
      <c r="B96" s="16">
        <f>ALL!F75</f>
        <v>0</v>
      </c>
      <c r="C96" s="16">
        <f>ALL!G75</f>
        <v>0</v>
      </c>
      <c r="D96" s="16">
        <f>ALL!H75</f>
        <v>0</v>
      </c>
      <c r="E96" s="16">
        <f>ALL!I75</f>
        <v>0</v>
      </c>
      <c r="F96" s="14">
        <f>ALL!J75</f>
        <v>0</v>
      </c>
      <c r="G96" s="14">
        <f>ALL!K75</f>
        <v>0</v>
      </c>
      <c r="H96" s="14">
        <f>ALL!L75</f>
        <v>0</v>
      </c>
      <c r="I96" s="14">
        <f>ALL!M75</f>
        <v>0</v>
      </c>
      <c r="J96" s="14">
        <f>ALL!N75</f>
        <v>0</v>
      </c>
      <c r="K96" s="14">
        <f>ALL!O75</f>
        <v>0</v>
      </c>
      <c r="L96" s="14">
        <f>ALL!P75</f>
        <v>0</v>
      </c>
      <c r="M96" s="14">
        <f>ALL!Q75</f>
        <v>0</v>
      </c>
      <c r="N96" s="14">
        <f>ALL!R75</f>
        <v>0</v>
      </c>
      <c r="O96" s="14">
        <f>ALL!S75</f>
        <v>0</v>
      </c>
      <c r="P96" s="14">
        <f>ALL!T75</f>
        <v>0</v>
      </c>
      <c r="Q96" s="14">
        <f>ALL!U75</f>
        <v>0</v>
      </c>
      <c r="R96" s="14">
        <f>ALL!V75</f>
        <v>0</v>
      </c>
      <c r="S96" s="14">
        <f>ALL!W75</f>
        <v>0</v>
      </c>
      <c r="T96" s="14">
        <f>ALL!X75</f>
        <v>0</v>
      </c>
      <c r="U96" s="14">
        <f>ALL!Y75</f>
        <v>0</v>
      </c>
      <c r="V96" s="14">
        <f>ALL!Z75</f>
        <v>0</v>
      </c>
      <c r="W96" s="14">
        <f>ALL!AA75</f>
        <v>0</v>
      </c>
      <c r="X96" s="14">
        <f>ALL!AB75</f>
        <v>0</v>
      </c>
      <c r="Y96" s="14">
        <f>ALL!AC75</f>
        <v>0</v>
      </c>
      <c r="Z96" s="14">
        <f>ALL!AD75</f>
        <v>0</v>
      </c>
      <c r="AA96" s="14">
        <f>ALL!AE75</f>
        <v>0</v>
      </c>
      <c r="AB96" s="14">
        <f>ALL!AF75</f>
        <v>0</v>
      </c>
      <c r="AC96" s="14">
        <f>ALL!AG75</f>
        <v>0</v>
      </c>
      <c r="AD96" s="14">
        <f>ALL!AH75</f>
        <v>0</v>
      </c>
      <c r="AE96" s="14">
        <f>ALL!AI75</f>
        <v>0</v>
      </c>
      <c r="AF96" s="14">
        <f>ALL!AJ75</f>
        <v>0</v>
      </c>
      <c r="AG96" s="14">
        <f>ALL!AK75</f>
        <v>0</v>
      </c>
      <c r="AH96" s="14">
        <f>ALL!AL75</f>
        <v>0</v>
      </c>
      <c r="AI96" s="14">
        <f>ALL!AM75</f>
        <v>0</v>
      </c>
    </row>
    <row r="97" spans="1:94" ht="21.75" collapsed="1" thickTop="1" x14ac:dyDescent="0.35">
      <c r="A97" s="92" t="s">
        <v>10</v>
      </c>
      <c r="B97" s="93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</row>
    <row r="98" spans="1:94" x14ac:dyDescent="0.35">
      <c r="A98" s="21">
        <f>Values!B1</f>
        <v>700</v>
      </c>
      <c r="B98" s="53">
        <f>MIN(B100:CP154)</f>
        <v>0</v>
      </c>
    </row>
    <row r="99" spans="1:94" ht="21.75" thickBot="1" x14ac:dyDescent="0.4">
      <c r="A99" s="22">
        <f>A98</f>
        <v>700</v>
      </c>
      <c r="B99" s="54">
        <v>0</v>
      </c>
    </row>
    <row r="100" spans="1:94" ht="22.5" thickTop="1" thickBot="1" x14ac:dyDescent="0.4">
      <c r="A100" s="4"/>
      <c r="B100" s="72"/>
      <c r="C100" s="72"/>
      <c r="D100" s="72"/>
      <c r="E100" s="72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</row>
    <row r="101" spans="1:94" ht="22.5" thickTop="1" thickBot="1" x14ac:dyDescent="0.4">
      <c r="A101" s="18"/>
    </row>
    <row r="102" spans="1:94" ht="21.75" thickBot="1" x14ac:dyDescent="0.4">
      <c r="A102" s="18"/>
    </row>
    <row r="103" spans="1:94" ht="21.75" thickBot="1" x14ac:dyDescent="0.4">
      <c r="A103" s="18"/>
    </row>
    <row r="104" spans="1:94" ht="21.75" thickBot="1" x14ac:dyDescent="0.4">
      <c r="A104" s="18"/>
    </row>
    <row r="105" spans="1:94" ht="21.75" thickBot="1" x14ac:dyDescent="0.4">
      <c r="A105" s="18"/>
    </row>
    <row r="106" spans="1:94" ht="21.75" thickBot="1" x14ac:dyDescent="0.4">
      <c r="A106" s="18"/>
    </row>
    <row r="107" spans="1:94" ht="21.75" thickBot="1" x14ac:dyDescent="0.4">
      <c r="A107" s="18"/>
    </row>
    <row r="108" spans="1:94" ht="21.75" thickBot="1" x14ac:dyDescent="0.4">
      <c r="A108" s="18"/>
    </row>
    <row r="109" spans="1:94" ht="21.75" thickBot="1" x14ac:dyDescent="0.4">
      <c r="A109" s="18"/>
    </row>
    <row r="110" spans="1:94" ht="21.75" thickBot="1" x14ac:dyDescent="0.4">
      <c r="A110" s="18"/>
    </row>
    <row r="111" spans="1:94" ht="21.75" thickBot="1" x14ac:dyDescent="0.4">
      <c r="A111" s="18"/>
    </row>
    <row r="112" spans="1:94" ht="21.75" thickBot="1" x14ac:dyDescent="0.4">
      <c r="A112" s="18"/>
    </row>
    <row r="113" spans="1:1" ht="21.75" hidden="1" thickBot="1" x14ac:dyDescent="0.4">
      <c r="A113" s="18"/>
    </row>
    <row r="114" spans="1:1" ht="21.75" hidden="1" thickBot="1" x14ac:dyDescent="0.4">
      <c r="A114" s="18"/>
    </row>
    <row r="115" spans="1:1" ht="21.75" hidden="1" thickBot="1" x14ac:dyDescent="0.4">
      <c r="A115" s="18"/>
    </row>
    <row r="116" spans="1:1" ht="21.75" hidden="1" thickBot="1" x14ac:dyDescent="0.4">
      <c r="A116" s="18"/>
    </row>
    <row r="117" spans="1:1" ht="21.75" hidden="1" thickBot="1" x14ac:dyDescent="0.4">
      <c r="A117" s="18"/>
    </row>
    <row r="118" spans="1:1" ht="21.75" hidden="1" thickBot="1" x14ac:dyDescent="0.4">
      <c r="A118" s="18"/>
    </row>
    <row r="119" spans="1:1" ht="21.75" hidden="1" thickBot="1" x14ac:dyDescent="0.4">
      <c r="A119" s="18"/>
    </row>
    <row r="120" spans="1:1" ht="21.75" hidden="1" thickBot="1" x14ac:dyDescent="0.4">
      <c r="A120" s="18"/>
    </row>
    <row r="121" spans="1:1" ht="21.75" hidden="1" thickBot="1" x14ac:dyDescent="0.4">
      <c r="A121" s="18"/>
    </row>
    <row r="122" spans="1:1" ht="21.75" hidden="1" thickBot="1" x14ac:dyDescent="0.4">
      <c r="A122" s="18"/>
    </row>
    <row r="123" spans="1:1" ht="21.75" hidden="1" thickBot="1" x14ac:dyDescent="0.4">
      <c r="A123" s="18"/>
    </row>
    <row r="124" spans="1:1" ht="21.75" hidden="1" thickBot="1" x14ac:dyDescent="0.4">
      <c r="A124" s="18"/>
    </row>
    <row r="125" spans="1:1" ht="21.75" hidden="1" thickBot="1" x14ac:dyDescent="0.4">
      <c r="A125" s="18"/>
    </row>
    <row r="126" spans="1:1" ht="21.75" hidden="1" thickBot="1" x14ac:dyDescent="0.4">
      <c r="A126" s="18"/>
    </row>
    <row r="127" spans="1:1" ht="21.75" hidden="1" thickBot="1" x14ac:dyDescent="0.4">
      <c r="A127" s="18"/>
    </row>
    <row r="128" spans="1:1" ht="21.75" hidden="1" thickBot="1" x14ac:dyDescent="0.4">
      <c r="A128" s="18"/>
    </row>
    <row r="129" spans="1:1" ht="21.75" hidden="1" thickBot="1" x14ac:dyDescent="0.4">
      <c r="A129" s="18"/>
    </row>
    <row r="130" spans="1:1" ht="21.75" hidden="1" thickBot="1" x14ac:dyDescent="0.4">
      <c r="A130" s="18"/>
    </row>
    <row r="131" spans="1:1" ht="21.75" thickBot="1" x14ac:dyDescent="0.4"/>
    <row r="132" spans="1:1" ht="21.75" thickBot="1" x14ac:dyDescent="0.4">
      <c r="A132" s="18"/>
    </row>
    <row r="133" spans="1:1" ht="21.75" thickBot="1" x14ac:dyDescent="0.4">
      <c r="A133" s="18"/>
    </row>
    <row r="134" spans="1:1" ht="21.75" thickBot="1" x14ac:dyDescent="0.4">
      <c r="A134" s="18"/>
    </row>
    <row r="135" spans="1:1" ht="21.75" thickBot="1" x14ac:dyDescent="0.4">
      <c r="A135" s="18"/>
    </row>
    <row r="136" spans="1:1" ht="21.75" thickBot="1" x14ac:dyDescent="0.4">
      <c r="A136" s="18"/>
    </row>
    <row r="137" spans="1:1" ht="21.75" thickBot="1" x14ac:dyDescent="0.4">
      <c r="A137" s="18"/>
    </row>
    <row r="138" spans="1:1" ht="21.75" thickBot="1" x14ac:dyDescent="0.4">
      <c r="A138" s="18"/>
    </row>
    <row r="139" spans="1:1" ht="21.75" thickBot="1" x14ac:dyDescent="0.4">
      <c r="A139" s="18"/>
    </row>
    <row r="140" spans="1:1" ht="21.75" thickBot="1" x14ac:dyDescent="0.4">
      <c r="A140" s="18"/>
    </row>
    <row r="141" spans="1:1" ht="21.75" thickBot="1" x14ac:dyDescent="0.4">
      <c r="A141" s="18"/>
    </row>
    <row r="142" spans="1:1" ht="21.75" thickBot="1" x14ac:dyDescent="0.4">
      <c r="A142" s="18"/>
    </row>
    <row r="143" spans="1:1" ht="21.75" thickBot="1" x14ac:dyDescent="0.4">
      <c r="A143" s="18"/>
    </row>
    <row r="144" spans="1:1" ht="21.75" thickBot="1" x14ac:dyDescent="0.4">
      <c r="A144" s="18"/>
    </row>
    <row r="145" spans="1:1" ht="21.75" thickBot="1" x14ac:dyDescent="0.4">
      <c r="A145" s="18"/>
    </row>
    <row r="146" spans="1:1" ht="21.75" thickBot="1" x14ac:dyDescent="0.4">
      <c r="A146" s="18"/>
    </row>
    <row r="147" spans="1:1" ht="21.75" thickBot="1" x14ac:dyDescent="0.4">
      <c r="A147" s="18"/>
    </row>
    <row r="148" spans="1:1" ht="21.75" thickBot="1" x14ac:dyDescent="0.4">
      <c r="A148" s="18"/>
    </row>
    <row r="149" spans="1:1" ht="21.75" thickBot="1" x14ac:dyDescent="0.4">
      <c r="A149" s="18"/>
    </row>
    <row r="150" spans="1:1" ht="21.75" thickBot="1" x14ac:dyDescent="0.4">
      <c r="A150" s="18"/>
    </row>
    <row r="151" spans="1:1" ht="21.75" thickBot="1" x14ac:dyDescent="0.4">
      <c r="A151" s="18"/>
    </row>
    <row r="152" spans="1:1" ht="21.75" thickBot="1" x14ac:dyDescent="0.4">
      <c r="A152" s="18"/>
    </row>
    <row r="153" spans="1:1" ht="21.75" thickBot="1" x14ac:dyDescent="0.4">
      <c r="A153" s="18"/>
    </row>
    <row r="154" spans="1:1" ht="21.75" thickBot="1" x14ac:dyDescent="0.4">
      <c r="A154" s="18"/>
    </row>
    <row r="155" spans="1:1" ht="21.75" thickBot="1" x14ac:dyDescent="0.4">
      <c r="A155" s="18"/>
    </row>
    <row r="156" spans="1:1" ht="21.75" thickBot="1" x14ac:dyDescent="0.4">
      <c r="A156" s="18"/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95</xdr:col>
                    <xdr:colOff>676275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D6" sqref="D6"/>
    </sheetView>
  </sheetViews>
  <sheetFormatPr defaultRowHeight="21" x14ac:dyDescent="0.35"/>
  <cols>
    <col min="1" max="1" width="4.81640625" customWidth="1"/>
  </cols>
  <sheetData>
    <row r="1" spans="1:12" ht="28.5" x14ac:dyDescent="0.45">
      <c r="A1" s="45">
        <v>0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</row>
    <row r="2" spans="1:12" ht="21.75" customHeight="1" x14ac:dyDescent="0.35">
      <c r="A2" s="46" t="s">
        <v>32</v>
      </c>
      <c r="B2" s="58"/>
      <c r="C2" s="56"/>
      <c r="D2" s="56"/>
      <c r="E2" s="56"/>
      <c r="F2" s="56"/>
      <c r="G2" s="56"/>
      <c r="H2" s="56"/>
      <c r="I2" s="56"/>
      <c r="J2" s="56"/>
      <c r="K2" s="56"/>
      <c r="L2" s="56"/>
    </row>
    <row r="3" spans="1:12" x14ac:dyDescent="0.35">
      <c r="B3" s="57"/>
      <c r="C3" s="56"/>
      <c r="D3" s="56"/>
      <c r="E3" s="56"/>
      <c r="F3" s="57"/>
      <c r="G3" s="56"/>
      <c r="H3" s="56"/>
      <c r="I3" s="56"/>
      <c r="J3" s="57"/>
      <c r="K3" s="56"/>
      <c r="L3" s="56"/>
    </row>
    <row r="4" spans="1:12" x14ac:dyDescent="0.35">
      <c r="B4" s="58"/>
      <c r="C4" s="56"/>
      <c r="D4" s="56"/>
      <c r="E4" s="56"/>
      <c r="F4" s="56"/>
      <c r="G4" s="56"/>
      <c r="H4" s="56"/>
      <c r="I4" s="56"/>
      <c r="J4" s="56"/>
      <c r="K4" s="56"/>
      <c r="L4" s="56"/>
    </row>
    <row r="5" spans="1:12" x14ac:dyDescent="0.35">
      <c r="B5" s="57"/>
      <c r="C5" s="56"/>
      <c r="D5" s="56"/>
      <c r="E5" s="56"/>
      <c r="F5" s="57"/>
      <c r="G5" s="56"/>
      <c r="H5" s="56"/>
      <c r="I5" s="56"/>
      <c r="J5" s="57"/>
      <c r="K5" s="56"/>
      <c r="L5" s="56"/>
    </row>
    <row r="6" spans="1:12" x14ac:dyDescent="0.35">
      <c r="B6" s="58"/>
      <c r="C6" s="56"/>
      <c r="D6" s="56"/>
      <c r="E6" s="56"/>
      <c r="F6" s="56"/>
      <c r="G6" s="56"/>
      <c r="H6" s="56"/>
      <c r="I6" s="56"/>
      <c r="J6" s="56"/>
      <c r="K6" s="56"/>
      <c r="L6" s="56"/>
    </row>
    <row r="7" spans="1:12" x14ac:dyDescent="0.35">
      <c r="B7" s="57"/>
      <c r="C7" s="56"/>
      <c r="D7" s="56"/>
      <c r="E7" s="56"/>
      <c r="F7" s="56"/>
      <c r="G7" s="56"/>
      <c r="H7" s="56"/>
      <c r="I7" s="56"/>
      <c r="J7" s="57"/>
      <c r="K7" s="56"/>
      <c r="L7" s="56"/>
    </row>
    <row r="8" spans="1:12" x14ac:dyDescent="0.35">
      <c r="B8" s="58"/>
      <c r="C8" s="56"/>
      <c r="D8" s="56"/>
      <c r="E8" s="56"/>
      <c r="F8" s="56"/>
      <c r="G8" s="56"/>
      <c r="H8" s="56"/>
      <c r="I8" s="56"/>
      <c r="J8" s="56"/>
      <c r="K8" s="56"/>
      <c r="L8" s="56"/>
    </row>
    <row r="9" spans="1:12" x14ac:dyDescent="0.35">
      <c r="B9" s="58"/>
      <c r="C9" s="56"/>
      <c r="D9" s="56"/>
      <c r="E9" s="56"/>
      <c r="F9" s="56"/>
      <c r="G9" s="56"/>
      <c r="H9" s="56"/>
      <c r="I9" s="56"/>
      <c r="J9" s="57"/>
      <c r="K9" s="56"/>
      <c r="L9" s="56"/>
    </row>
    <row r="10" spans="1:12" x14ac:dyDescent="0.35">
      <c r="B10" s="57"/>
      <c r="C10" s="56"/>
      <c r="D10" s="56"/>
      <c r="E10" s="56"/>
      <c r="F10" s="56"/>
      <c r="G10" s="56"/>
      <c r="H10" s="56"/>
      <c r="I10" s="56"/>
      <c r="J10" s="56"/>
      <c r="K10" s="56"/>
      <c r="L10" s="56"/>
    </row>
    <row r="11" spans="1:12" x14ac:dyDescent="0.35">
      <c r="B11" s="58"/>
      <c r="C11" s="56"/>
      <c r="D11" s="56"/>
      <c r="E11" s="56"/>
      <c r="F11" s="56"/>
      <c r="G11" s="56"/>
      <c r="H11" s="56"/>
      <c r="I11" s="56"/>
      <c r="J11" s="57"/>
      <c r="K11" s="56"/>
      <c r="L11" s="56"/>
    </row>
    <row r="12" spans="1:12" x14ac:dyDescent="0.35">
      <c r="B12" s="57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2" x14ac:dyDescent="0.35">
      <c r="B13" s="58"/>
      <c r="C13" s="56"/>
      <c r="D13" s="56"/>
      <c r="E13" s="56"/>
      <c r="F13" s="57"/>
      <c r="G13" s="56"/>
      <c r="H13" s="56"/>
      <c r="I13" s="56"/>
      <c r="J13" s="57"/>
      <c r="K13" s="56"/>
      <c r="L13" s="56"/>
    </row>
    <row r="14" spans="1:12" x14ac:dyDescent="0.35">
      <c r="B14" s="57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2" x14ac:dyDescent="0.35">
      <c r="B15" s="58"/>
      <c r="C15" s="56"/>
      <c r="D15" s="56"/>
      <c r="E15" s="56"/>
      <c r="F15" s="56"/>
      <c r="G15" s="56"/>
      <c r="H15" s="56"/>
      <c r="I15" s="56"/>
      <c r="J15" s="57"/>
      <c r="K15" s="56"/>
      <c r="L15" s="56"/>
    </row>
    <row r="16" spans="1:12" x14ac:dyDescent="0.35">
      <c r="B16" s="58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35">
      <c r="B17" s="57"/>
      <c r="C17" s="56"/>
      <c r="D17" s="56"/>
      <c r="E17" s="56"/>
      <c r="F17" s="57"/>
      <c r="G17" s="56"/>
      <c r="H17" s="56"/>
      <c r="I17" s="56"/>
      <c r="J17" s="57"/>
      <c r="K17" s="56"/>
      <c r="L17" s="56"/>
    </row>
    <row r="18" spans="1:12" x14ac:dyDescent="0.35">
      <c r="B18" s="58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35">
      <c r="B19" s="58"/>
      <c r="C19" s="56"/>
      <c r="D19" s="56"/>
      <c r="E19" s="56"/>
      <c r="F19" s="57"/>
      <c r="G19" s="56"/>
      <c r="H19" s="56"/>
      <c r="I19" s="56"/>
      <c r="J19" s="57"/>
      <c r="K19" s="56"/>
      <c r="L19" s="56"/>
    </row>
    <row r="20" spans="1:12" x14ac:dyDescent="0.35">
      <c r="B20" s="57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2" spans="1:12" x14ac:dyDescent="0.35">
      <c r="A22" t="e">
        <f>$A$1:$AZ$21</f>
        <v>#VALUE!</v>
      </c>
    </row>
  </sheetData>
  <conditionalFormatting sqref="A1:Z1 A21 A2:L20">
    <cfRule type="expression" dxfId="2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BE879-2186-4E8C-A1DE-4978C1112F04}">
  <sheetPr codeName="Лист7">
    <tabColor theme="1"/>
  </sheetPr>
  <dimension ref="A1:AH20"/>
  <sheetViews>
    <sheetView topLeftCell="Q1" zoomScale="85" zoomScaleNormal="85" workbookViewId="0">
      <selection activeCell="V31" sqref="V30:V31"/>
    </sheetView>
  </sheetViews>
  <sheetFormatPr defaultRowHeight="21" x14ac:dyDescent="0.35"/>
  <sheetData>
    <row r="1" spans="1:34" x14ac:dyDescent="0.35">
      <c r="A1" s="97" t="s">
        <v>67</v>
      </c>
      <c r="B1" s="98">
        <v>273.10000000000002</v>
      </c>
      <c r="C1" s="98">
        <v>339.2</v>
      </c>
      <c r="D1" s="98">
        <v>355.7</v>
      </c>
      <c r="E1" s="98">
        <v>372.3</v>
      </c>
      <c r="F1" s="98">
        <v>388.8</v>
      </c>
      <c r="G1" s="98">
        <v>405.3</v>
      </c>
      <c r="H1" s="98">
        <v>421.8</v>
      </c>
      <c r="I1" s="98">
        <v>438.3</v>
      </c>
      <c r="J1" s="98">
        <v>454.9</v>
      </c>
      <c r="K1" s="98">
        <v>471.4</v>
      </c>
      <c r="L1" s="98">
        <v>537.5</v>
      </c>
      <c r="M1" s="98">
        <v>603.5</v>
      </c>
      <c r="N1" s="102">
        <v>620.1</v>
      </c>
      <c r="O1" s="98">
        <v>636.6</v>
      </c>
      <c r="P1" s="98">
        <v>653.1</v>
      </c>
      <c r="Q1" s="98">
        <v>669.6</v>
      </c>
      <c r="R1" s="102">
        <v>686.1</v>
      </c>
      <c r="S1" s="98">
        <v>702.7</v>
      </c>
      <c r="T1" s="98">
        <v>719.2</v>
      </c>
      <c r="U1" s="98">
        <v>735.7</v>
      </c>
      <c r="V1" s="98">
        <v>752.2</v>
      </c>
      <c r="W1" s="98">
        <v>768.7</v>
      </c>
      <c r="X1" s="98">
        <v>785.2</v>
      </c>
      <c r="Y1" s="102">
        <v>801.8</v>
      </c>
      <c r="Z1" s="98">
        <v>818.3</v>
      </c>
      <c r="AA1" s="98">
        <v>834.8</v>
      </c>
      <c r="AB1" s="98">
        <v>851.3</v>
      </c>
      <c r="AC1" s="98">
        <v>867.8</v>
      </c>
      <c r="AD1" s="98">
        <v>884.4</v>
      </c>
      <c r="AE1" s="98">
        <v>900.9</v>
      </c>
      <c r="AF1" s="98">
        <v>917.4</v>
      </c>
      <c r="AG1" s="98">
        <v>933.9</v>
      </c>
      <c r="AH1" s="103">
        <v>1000</v>
      </c>
    </row>
    <row r="2" spans="1:34" x14ac:dyDescent="0.35">
      <c r="A2" s="100" t="s">
        <v>42</v>
      </c>
      <c r="B2" s="104">
        <v>0</v>
      </c>
      <c r="C2" s="105">
        <v>0</v>
      </c>
      <c r="D2" s="104">
        <v>0</v>
      </c>
      <c r="E2" s="104">
        <v>0</v>
      </c>
      <c r="F2" s="105">
        <v>0</v>
      </c>
      <c r="G2" s="104">
        <v>0</v>
      </c>
      <c r="H2" s="104">
        <v>0</v>
      </c>
      <c r="I2" s="105">
        <v>1.0086E-35</v>
      </c>
      <c r="J2" s="104">
        <v>1.8910000000000001E-33</v>
      </c>
      <c r="K2" s="104">
        <v>1.4972999999999999E-28</v>
      </c>
      <c r="L2" s="105">
        <v>0</v>
      </c>
      <c r="M2" s="104">
        <v>0</v>
      </c>
      <c r="N2" s="104">
        <v>0</v>
      </c>
      <c r="O2" s="105">
        <v>0</v>
      </c>
      <c r="P2" s="105">
        <v>1.7155999999999999E-22</v>
      </c>
      <c r="Q2" s="104">
        <v>8.7868000000000005E-13</v>
      </c>
      <c r="R2" s="105">
        <v>6.5733999999999997E-9</v>
      </c>
      <c r="S2" s="104">
        <v>1.7038E-8</v>
      </c>
      <c r="T2" s="104">
        <v>2.0628999999999999E-8</v>
      </c>
      <c r="U2" s="105">
        <v>3.9366999999999998E-8</v>
      </c>
      <c r="V2" s="104">
        <v>4.0946000000000001E-8</v>
      </c>
      <c r="W2" s="104">
        <v>3.8877999999999999E-8</v>
      </c>
      <c r="X2" s="105">
        <v>4.3952000000000002E-8</v>
      </c>
      <c r="Y2" s="104">
        <v>4.6760999999999998E-8</v>
      </c>
      <c r="Z2" s="104">
        <v>9.9950999999999995E-26</v>
      </c>
      <c r="AA2" s="105">
        <v>2.6071000000000001E-7</v>
      </c>
      <c r="AB2" s="104">
        <v>9.8987000000000006E-7</v>
      </c>
      <c r="AC2" s="104">
        <v>4.4281E-6</v>
      </c>
      <c r="AD2" s="105">
        <v>1.9005000000000001E-4</v>
      </c>
      <c r="AE2" s="104">
        <v>1.6909E-3</v>
      </c>
      <c r="AF2" s="104">
        <v>6.8487000000000001E-3</v>
      </c>
      <c r="AG2" s="105">
        <v>1.8144E-2</v>
      </c>
      <c r="AH2" s="105">
        <v>0.1216</v>
      </c>
    </row>
    <row r="3" spans="1:34" x14ac:dyDescent="0.35">
      <c r="A3" s="97" t="s">
        <v>68</v>
      </c>
      <c r="B3" s="106">
        <v>5.6252999999999997E-2</v>
      </c>
      <c r="C3" s="107">
        <v>6.4007999999999995E-2</v>
      </c>
      <c r="D3" s="106">
        <v>5.6304E-2</v>
      </c>
      <c r="E3" s="106">
        <v>4.6892000000000003E-2</v>
      </c>
      <c r="F3" s="107">
        <v>3.6861999999999999E-2</v>
      </c>
      <c r="G3" s="106">
        <v>2.7831000000000002E-2</v>
      </c>
      <c r="H3" s="108">
        <v>1.9467999999999999E-2</v>
      </c>
      <c r="I3" s="109">
        <v>1.2625000000000001E-2</v>
      </c>
      <c r="J3" s="109">
        <v>1.1017000000000001E-2</v>
      </c>
      <c r="K3" s="106">
        <v>1.1077E-2</v>
      </c>
      <c r="L3" s="107">
        <v>2.5934E-3</v>
      </c>
      <c r="M3" s="106">
        <v>5.3855999999999997E-7</v>
      </c>
      <c r="N3" s="106">
        <v>1.73E-7</v>
      </c>
      <c r="O3" s="107">
        <v>5.2321000000000002E-8</v>
      </c>
      <c r="P3" s="106">
        <v>1.5147E-8</v>
      </c>
      <c r="Q3" s="106">
        <v>3.3470000000000001E-9</v>
      </c>
      <c r="R3" s="107">
        <v>1.0486999999999999E-11</v>
      </c>
      <c r="S3" s="106">
        <v>3.2085999999999998E-20</v>
      </c>
      <c r="T3" s="108">
        <v>8.8301000000000003E-35</v>
      </c>
      <c r="U3" s="109">
        <v>0</v>
      </c>
      <c r="V3" s="108">
        <v>0</v>
      </c>
      <c r="W3" s="108">
        <v>0</v>
      </c>
      <c r="X3" s="109">
        <v>0</v>
      </c>
      <c r="Y3" s="108">
        <v>0</v>
      </c>
      <c r="Z3" s="108">
        <v>0</v>
      </c>
      <c r="AA3" s="109">
        <v>0</v>
      </c>
      <c r="AB3" s="108">
        <v>0</v>
      </c>
      <c r="AC3" s="108">
        <v>0</v>
      </c>
      <c r="AD3" s="109">
        <v>0</v>
      </c>
      <c r="AE3" s="108">
        <v>0</v>
      </c>
      <c r="AF3" s="108">
        <v>0</v>
      </c>
      <c r="AG3" s="109">
        <v>0</v>
      </c>
      <c r="AH3" s="108">
        <v>0</v>
      </c>
    </row>
    <row r="4" spans="1:34" x14ac:dyDescent="0.35">
      <c r="A4" s="101" t="s">
        <v>115</v>
      </c>
      <c r="B4" s="108">
        <v>0</v>
      </c>
      <c r="C4" s="109">
        <v>0</v>
      </c>
      <c r="D4" s="108">
        <v>0</v>
      </c>
      <c r="E4" s="108">
        <v>0</v>
      </c>
      <c r="F4" s="109">
        <v>0</v>
      </c>
      <c r="G4" s="108">
        <v>0</v>
      </c>
      <c r="H4" s="108">
        <v>0</v>
      </c>
      <c r="I4" s="109">
        <v>0</v>
      </c>
      <c r="J4" s="108">
        <v>0</v>
      </c>
      <c r="K4" s="108">
        <v>0</v>
      </c>
      <c r="L4" s="109">
        <v>0</v>
      </c>
      <c r="M4" s="108">
        <v>0</v>
      </c>
      <c r="N4" s="108">
        <v>0</v>
      </c>
      <c r="O4" s="109">
        <v>0</v>
      </c>
      <c r="P4" s="108">
        <v>0</v>
      </c>
      <c r="Q4" s="108">
        <v>0</v>
      </c>
      <c r="R4" s="109">
        <v>0</v>
      </c>
      <c r="S4" s="108">
        <v>0</v>
      </c>
      <c r="T4" s="108">
        <v>0</v>
      </c>
      <c r="U4" s="109">
        <v>0</v>
      </c>
      <c r="V4" s="109">
        <v>1.929E-31</v>
      </c>
      <c r="W4" s="108">
        <v>3.7936000000000003E-24</v>
      </c>
      <c r="X4" s="109">
        <v>1.9791E-16</v>
      </c>
      <c r="Y4" s="108">
        <v>4.4614000000000003E-9</v>
      </c>
      <c r="Z4" s="108">
        <v>2.7187000000000001E-3</v>
      </c>
      <c r="AA4" s="109">
        <v>4.7280999999999997E-2</v>
      </c>
      <c r="AB4" s="108">
        <v>7.3472999999999997E-2</v>
      </c>
      <c r="AC4" s="108">
        <v>0.11949</v>
      </c>
      <c r="AD4" s="109">
        <v>0.14405000000000001</v>
      </c>
      <c r="AE4" s="108">
        <v>0.14953</v>
      </c>
      <c r="AF4" s="108">
        <v>0.15276999999999999</v>
      </c>
      <c r="AG4" s="109">
        <v>0.15487999999999999</v>
      </c>
      <c r="AH4" s="108">
        <v>0.15878</v>
      </c>
    </row>
    <row r="5" spans="1:34" x14ac:dyDescent="0.35">
      <c r="A5" s="101" t="s">
        <v>4</v>
      </c>
      <c r="B5" s="108">
        <v>0</v>
      </c>
      <c r="C5" s="109">
        <v>0</v>
      </c>
      <c r="D5" s="108">
        <v>0</v>
      </c>
      <c r="E5" s="108">
        <v>0</v>
      </c>
      <c r="F5" s="109">
        <v>0</v>
      </c>
      <c r="G5" s="108">
        <v>0</v>
      </c>
      <c r="H5" s="106">
        <v>3.8320999999999999E-36</v>
      </c>
      <c r="I5" s="107">
        <v>2.2387000000000001E-34</v>
      </c>
      <c r="J5" s="106">
        <v>9.8779E-33</v>
      </c>
      <c r="K5" s="106">
        <v>3.3866E-31</v>
      </c>
      <c r="L5" s="107">
        <v>5.9233000000000004E-26</v>
      </c>
      <c r="M5" s="106">
        <v>8.4598E-22</v>
      </c>
      <c r="N5" s="106">
        <v>6.8566999999999995E-21</v>
      </c>
      <c r="O5" s="107">
        <v>5.0211999999999997E-20</v>
      </c>
      <c r="P5" s="106">
        <v>3.3474000000000001E-19</v>
      </c>
      <c r="Q5" s="106">
        <v>2.0452000000000001E-18</v>
      </c>
      <c r="R5" s="107">
        <v>1.152E-17</v>
      </c>
      <c r="S5" s="106">
        <v>6.0140000000000002E-17</v>
      </c>
      <c r="T5" s="106">
        <v>2.9229999999999999E-16</v>
      </c>
      <c r="U5" s="107">
        <v>1.3280000000000001E-15</v>
      </c>
      <c r="V5" s="106">
        <v>5.6599000000000003E-15</v>
      </c>
      <c r="W5" s="106">
        <v>2.2705E-14</v>
      </c>
      <c r="X5" s="107">
        <v>8.5984000000000002E-14</v>
      </c>
      <c r="Y5" s="106">
        <v>3.0819000000000002E-13</v>
      </c>
      <c r="Z5" s="106">
        <v>1.0271999999999999E-12</v>
      </c>
      <c r="AA5" s="107">
        <v>2.2298000000000001E-12</v>
      </c>
      <c r="AB5" s="106">
        <v>4.6901E-12</v>
      </c>
      <c r="AC5" s="106">
        <v>9.5887000000000001E-12</v>
      </c>
      <c r="AD5" s="107">
        <v>1.9085000000000001E-11</v>
      </c>
      <c r="AE5" s="106">
        <v>3.7036E-11</v>
      </c>
      <c r="AF5" s="106">
        <v>7.0170999999999997E-11</v>
      </c>
      <c r="AG5" s="107">
        <v>1.2996000000000001E-10</v>
      </c>
      <c r="AH5" s="107">
        <v>1.2466E-9</v>
      </c>
    </row>
    <row r="6" spans="1:34" x14ac:dyDescent="0.35">
      <c r="A6" s="97" t="s">
        <v>69</v>
      </c>
      <c r="B6" s="106">
        <v>0</v>
      </c>
      <c r="C6" s="107">
        <v>0</v>
      </c>
      <c r="D6" s="106">
        <v>0</v>
      </c>
      <c r="E6" s="106">
        <v>4.2332000000000003E-36</v>
      </c>
      <c r="F6" s="107">
        <v>6.0527000000000001E-34</v>
      </c>
      <c r="G6" s="106">
        <v>6.2144000000000001E-32</v>
      </c>
      <c r="H6" s="106">
        <v>4.5853999999999997E-30</v>
      </c>
      <c r="I6" s="107">
        <v>2.4974000000000001E-28</v>
      </c>
      <c r="J6" s="107">
        <v>1.0342E-26</v>
      </c>
      <c r="K6" s="106">
        <v>3.3470000000000002E-25</v>
      </c>
      <c r="L6" s="107">
        <v>4.8509000000000003E-20</v>
      </c>
      <c r="M6" s="106">
        <v>5.9017999999999996E-16</v>
      </c>
      <c r="N6" s="106">
        <v>4.5601000000000001E-15</v>
      </c>
      <c r="O6" s="107">
        <v>3.1510000000000003E-14</v>
      </c>
      <c r="P6" s="106">
        <v>1.9485E-13</v>
      </c>
      <c r="Q6" s="106">
        <v>1.0743999999999999E-12</v>
      </c>
      <c r="R6" s="107">
        <v>5.2356E-12</v>
      </c>
      <c r="S6" s="106">
        <v>2.2282000000000001E-11</v>
      </c>
      <c r="T6" s="106">
        <v>8.2526000000000003E-11</v>
      </c>
      <c r="U6" s="107">
        <v>2.7111999999999999E-10</v>
      </c>
      <c r="V6" s="106">
        <v>8.1524999999999995E-10</v>
      </c>
      <c r="W6" s="106">
        <v>2.2953000000000001E-9</v>
      </c>
      <c r="X6" s="107">
        <v>6.1175E-9</v>
      </c>
      <c r="Y6" s="106">
        <v>1.5509E-8</v>
      </c>
      <c r="Z6" s="106">
        <v>3.6494000000000002E-8</v>
      </c>
      <c r="AA6" s="107">
        <v>4.6166999999999999E-8</v>
      </c>
      <c r="AB6" s="106">
        <v>5.2561999999999998E-8</v>
      </c>
      <c r="AC6" s="106">
        <v>5.6626E-8</v>
      </c>
      <c r="AD6" s="107">
        <v>5.9237999999999997E-8</v>
      </c>
      <c r="AE6" s="106">
        <v>6.0924999999999998E-8</v>
      </c>
      <c r="AF6" s="106">
        <v>6.1962999999999997E-8</v>
      </c>
      <c r="AG6" s="107">
        <v>6.2491E-8</v>
      </c>
      <c r="AH6" s="106">
        <v>6.0654999999999996E-8</v>
      </c>
    </row>
    <row r="7" spans="1:34" x14ac:dyDescent="0.35">
      <c r="A7" s="101" t="s">
        <v>1</v>
      </c>
      <c r="B7" s="108">
        <v>0.2</v>
      </c>
      <c r="C7" s="109">
        <v>0.2</v>
      </c>
      <c r="D7" s="108">
        <v>0.2</v>
      </c>
      <c r="E7" s="108">
        <v>0.2</v>
      </c>
      <c r="F7" s="109">
        <v>0.2</v>
      </c>
      <c r="G7" s="108">
        <v>0.2</v>
      </c>
      <c r="H7" s="108">
        <v>0.2</v>
      </c>
      <c r="I7" s="109">
        <v>0.2</v>
      </c>
      <c r="J7" s="108">
        <v>0.2</v>
      </c>
      <c r="K7" s="108">
        <v>0.2</v>
      </c>
      <c r="L7" s="109">
        <v>0.2</v>
      </c>
      <c r="M7" s="108">
        <v>0.2</v>
      </c>
      <c r="N7" s="108">
        <v>0.2</v>
      </c>
      <c r="O7" s="109">
        <v>0.2</v>
      </c>
      <c r="P7" s="108">
        <v>0.2</v>
      </c>
      <c r="Q7" s="108">
        <v>0.2</v>
      </c>
      <c r="R7" s="109">
        <v>0.2</v>
      </c>
      <c r="S7" s="108">
        <v>0.2</v>
      </c>
      <c r="T7" s="108">
        <v>0.2</v>
      </c>
      <c r="U7" s="109">
        <v>0.2</v>
      </c>
      <c r="V7" s="108">
        <v>0.2</v>
      </c>
      <c r="W7" s="108">
        <v>0.2</v>
      </c>
      <c r="X7" s="109">
        <v>0.2</v>
      </c>
      <c r="Y7" s="108">
        <v>0.2</v>
      </c>
      <c r="Z7" s="108">
        <v>0.2</v>
      </c>
      <c r="AA7" s="109">
        <v>0.2</v>
      </c>
      <c r="AB7" s="108">
        <v>0.2</v>
      </c>
      <c r="AC7" s="108">
        <v>0.2</v>
      </c>
      <c r="AD7" s="109">
        <v>0.2</v>
      </c>
      <c r="AE7" s="108">
        <v>0.2</v>
      </c>
      <c r="AF7" s="108">
        <v>0.2</v>
      </c>
      <c r="AG7" s="109">
        <v>0.2</v>
      </c>
      <c r="AH7" s="108">
        <v>0.2</v>
      </c>
    </row>
    <row r="8" spans="1:34" x14ac:dyDescent="0.35">
      <c r="A8" s="97" t="s">
        <v>116</v>
      </c>
      <c r="B8" s="106">
        <v>0.10375</v>
      </c>
      <c r="C8" s="107">
        <v>9.5991999999999994E-2</v>
      </c>
      <c r="D8" s="106">
        <v>0.1037</v>
      </c>
      <c r="E8" s="108">
        <v>0.11311</v>
      </c>
      <c r="F8" s="109">
        <v>0.12314</v>
      </c>
      <c r="G8" s="109">
        <v>0.13217000000000001</v>
      </c>
      <c r="H8" s="106">
        <v>0.14052999999999999</v>
      </c>
      <c r="I8" s="107">
        <v>0.14737</v>
      </c>
      <c r="J8" s="106">
        <v>0.14896999999999999</v>
      </c>
      <c r="K8" s="108">
        <v>0.14888999999999999</v>
      </c>
      <c r="L8" s="109">
        <v>0.15684999999999999</v>
      </c>
      <c r="M8" s="108">
        <v>0.15464</v>
      </c>
      <c r="N8" s="108">
        <v>0.15109</v>
      </c>
      <c r="O8" s="109">
        <v>0.14537</v>
      </c>
      <c r="P8" s="108">
        <v>0.13619000000000001</v>
      </c>
      <c r="Q8" s="108">
        <v>0.12161</v>
      </c>
      <c r="R8" s="109">
        <v>9.9279000000000006E-2</v>
      </c>
      <c r="S8" s="108">
        <v>6.9083000000000006E-2</v>
      </c>
      <c r="T8" s="108">
        <v>3.8114000000000002E-2</v>
      </c>
      <c r="U8" s="109">
        <v>1.6809000000000001E-2</v>
      </c>
      <c r="V8" s="108">
        <v>6.5189000000000002E-3</v>
      </c>
      <c r="W8" s="106">
        <v>2.4256999999999998E-3</v>
      </c>
      <c r="X8" s="107">
        <v>9.0326000000000002E-4</v>
      </c>
      <c r="Y8" s="106">
        <v>3.4155999999999998E-4</v>
      </c>
      <c r="Z8" s="106">
        <v>1.3133E-4</v>
      </c>
      <c r="AA8" s="107">
        <v>4.0389000000000002E-5</v>
      </c>
      <c r="AB8" s="106">
        <v>9.8307000000000006E-6</v>
      </c>
      <c r="AC8" s="106">
        <v>2.1795999999999999E-6</v>
      </c>
      <c r="AD8" s="107">
        <v>4.7357000000000002E-7</v>
      </c>
      <c r="AE8" s="106">
        <v>1.0401E-7</v>
      </c>
      <c r="AF8" s="106">
        <v>2.3297E-8</v>
      </c>
      <c r="AG8" s="107">
        <v>5.3186999999999998E-9</v>
      </c>
      <c r="AH8" s="106">
        <v>1.7139999999999998E-11</v>
      </c>
    </row>
    <row r="9" spans="1:34" x14ac:dyDescent="0.35">
      <c r="A9" s="97" t="s">
        <v>117</v>
      </c>
      <c r="B9" s="106">
        <v>1.5078999999999999E-8</v>
      </c>
      <c r="C9" s="107">
        <v>1.7674E-8</v>
      </c>
      <c r="D9" s="106">
        <v>3.1464999999999998E-8</v>
      </c>
      <c r="E9" s="108">
        <v>8.8260999999999999E-8</v>
      </c>
      <c r="F9" s="109">
        <v>2.7841000000000002E-7</v>
      </c>
      <c r="G9" s="108">
        <v>8.4438999999999995E-7</v>
      </c>
      <c r="H9" s="108">
        <v>2.3898E-6</v>
      </c>
      <c r="I9" s="109">
        <v>6.2621999999999999E-6</v>
      </c>
      <c r="J9" s="108">
        <v>1.4905999999999999E-5</v>
      </c>
      <c r="K9" s="106">
        <v>3.3232999999999998E-5</v>
      </c>
      <c r="L9" s="107">
        <v>5.5696000000000001E-4</v>
      </c>
      <c r="M9" s="106">
        <v>5.3363999999999998E-3</v>
      </c>
      <c r="N9" s="106">
        <v>8.8681999999999997E-3</v>
      </c>
      <c r="O9" s="107">
        <v>1.4548999999999999E-2</v>
      </c>
      <c r="P9" s="106">
        <v>2.3650999999999998E-2</v>
      </c>
      <c r="Q9" s="106">
        <v>3.8098E-2</v>
      </c>
      <c r="R9" s="107">
        <v>6.0144000000000003E-2</v>
      </c>
      <c r="S9" s="106">
        <v>8.9802000000000007E-2</v>
      </c>
      <c r="T9" s="108">
        <v>0.11985</v>
      </c>
      <c r="U9" s="109">
        <v>0.13979</v>
      </c>
      <c r="V9" s="109">
        <v>0.14826</v>
      </c>
      <c r="W9" s="106">
        <v>0.14996999999999999</v>
      </c>
      <c r="X9" s="107">
        <v>0.14840999999999999</v>
      </c>
      <c r="Y9" s="106">
        <v>0.14505999999999999</v>
      </c>
      <c r="Z9" s="106">
        <v>0.13650000000000001</v>
      </c>
      <c r="AA9" s="107">
        <v>6.9397E-2</v>
      </c>
      <c r="AB9" s="106">
        <v>3.2823999999999999E-2</v>
      </c>
      <c r="AC9" s="106">
        <v>1.5162999999999999E-2</v>
      </c>
      <c r="AD9" s="107">
        <v>7.0063E-3</v>
      </c>
      <c r="AE9" s="106">
        <v>3.2650999999999999E-3</v>
      </c>
      <c r="AF9" s="106">
        <v>1.5336E-3</v>
      </c>
      <c r="AG9" s="107">
        <v>7.2294999999999998E-4</v>
      </c>
      <c r="AH9" s="106">
        <v>3.6019000000000002E-5</v>
      </c>
    </row>
    <row r="10" spans="1:34" x14ac:dyDescent="0.35">
      <c r="A10" s="97" t="s">
        <v>118</v>
      </c>
      <c r="B10" s="106">
        <v>1.6152E-13</v>
      </c>
      <c r="C10" s="107">
        <v>3.7678999999999997E-12</v>
      </c>
      <c r="D10" s="106">
        <v>1.107E-11</v>
      </c>
      <c r="E10" s="106">
        <v>4.3996999999999997E-11</v>
      </c>
      <c r="F10" s="107">
        <v>1.8399E-10</v>
      </c>
      <c r="G10" s="106">
        <v>7.2048999999999996E-10</v>
      </c>
      <c r="H10" s="106">
        <v>2.5944000000000001E-9</v>
      </c>
      <c r="I10" s="107">
        <v>8.5534000000000007E-9</v>
      </c>
      <c r="J10" s="106">
        <v>2.5361999999999999E-8</v>
      </c>
      <c r="K10" s="106">
        <v>6.9779999999999994E-8</v>
      </c>
      <c r="L10" s="107">
        <v>2.4799000000000002E-6</v>
      </c>
      <c r="M10" s="106">
        <v>4.4483000000000001E-5</v>
      </c>
      <c r="N10" s="106">
        <v>8.5549000000000004E-5</v>
      </c>
      <c r="O10" s="107">
        <v>1.6275999999999999E-4</v>
      </c>
      <c r="P10" s="106">
        <v>3.0941999999999998E-4</v>
      </c>
      <c r="Q10" s="106">
        <v>5.9373E-4</v>
      </c>
      <c r="R10" s="107">
        <v>1.1539E-3</v>
      </c>
      <c r="S10" s="106">
        <v>2.2290999999999999E-3</v>
      </c>
      <c r="T10" s="106">
        <v>4.0762000000000003E-3</v>
      </c>
      <c r="U10" s="107">
        <v>6.7939999999999997E-3</v>
      </c>
      <c r="V10" s="107">
        <v>1.044E-2</v>
      </c>
      <c r="W10" s="106">
        <v>1.5213000000000001E-2</v>
      </c>
      <c r="X10" s="107">
        <v>2.1381000000000001E-2</v>
      </c>
      <c r="Y10" s="106">
        <v>2.9191999999999999E-2</v>
      </c>
      <c r="Z10" s="106">
        <v>3.7984999999999998E-2</v>
      </c>
      <c r="AA10" s="107">
        <v>3.1954999999999997E-2</v>
      </c>
      <c r="AB10" s="106">
        <v>2.6592999999999999E-2</v>
      </c>
      <c r="AC10" s="106">
        <v>2.1922000000000001E-2</v>
      </c>
      <c r="AD10" s="107">
        <v>1.7888000000000001E-2</v>
      </c>
      <c r="AE10" s="107">
        <v>1.4407E-2</v>
      </c>
      <c r="AF10" s="106">
        <v>1.1393E-2</v>
      </c>
      <c r="AG10" s="107">
        <v>8.7919000000000001E-3</v>
      </c>
      <c r="AH10" s="106">
        <v>2.3739E-3</v>
      </c>
    </row>
    <row r="11" spans="1:34" x14ac:dyDescent="0.35">
      <c r="A11" s="97" t="s">
        <v>119</v>
      </c>
      <c r="B11" s="106">
        <v>2.1039E-19</v>
      </c>
      <c r="C11" s="107">
        <v>2.7014000000000001E-15</v>
      </c>
      <c r="D11" s="106">
        <v>1.4168E-14</v>
      </c>
      <c r="E11" s="106">
        <v>5.0641000000000002E-14</v>
      </c>
      <c r="F11" s="107">
        <v>1.4670999999999999E-13</v>
      </c>
      <c r="G11" s="106">
        <v>3.7254E-13</v>
      </c>
      <c r="H11" s="106">
        <v>8.6104999999999995E-13</v>
      </c>
      <c r="I11" s="107">
        <v>1.8305999999999999E-12</v>
      </c>
      <c r="J11" s="106">
        <v>3.5318E-12</v>
      </c>
      <c r="K11" s="106">
        <v>6.3879999999999998E-12</v>
      </c>
      <c r="L11" s="107">
        <v>5.3442000000000003E-11</v>
      </c>
      <c r="M11" s="106">
        <v>2.7569000000000001E-10</v>
      </c>
      <c r="N11" s="106">
        <v>3.9305999999999998E-10</v>
      </c>
      <c r="O11" s="107">
        <v>5.5368999999999998E-10</v>
      </c>
      <c r="P11" s="107">
        <v>7.7354E-10</v>
      </c>
      <c r="Q11" s="106">
        <v>1.0721000000000001E-9</v>
      </c>
      <c r="R11" s="107">
        <v>1.4585999999999999E-9</v>
      </c>
      <c r="S11" s="107">
        <v>1.8809E-9</v>
      </c>
      <c r="T11" s="106">
        <v>2.1754000000000002E-9</v>
      </c>
      <c r="U11" s="107">
        <v>2.2091000000000002E-9</v>
      </c>
      <c r="V11" s="106">
        <v>2.0516999999999999E-9</v>
      </c>
      <c r="W11" s="106">
        <v>1.8300000000000001E-9</v>
      </c>
      <c r="X11" s="107">
        <v>1.6101000000000001E-9</v>
      </c>
      <c r="Y11" s="106">
        <v>1.4125E-9</v>
      </c>
      <c r="Z11" s="108">
        <v>1.2550999999999999E-9</v>
      </c>
      <c r="AA11" s="109">
        <v>1.2994000000000001E-9</v>
      </c>
      <c r="AB11" s="109">
        <v>1.2258E-9</v>
      </c>
      <c r="AC11" s="106">
        <v>1.1044E-9</v>
      </c>
      <c r="AD11" s="107">
        <v>9.7423999999999994E-10</v>
      </c>
      <c r="AE11" s="106">
        <v>8.4955000000000003E-10</v>
      </c>
      <c r="AF11" s="106">
        <v>7.325E-10</v>
      </c>
      <c r="AG11" s="107">
        <v>6.2244999999999995E-10</v>
      </c>
      <c r="AH11" s="106">
        <v>2.7775999999999998E-10</v>
      </c>
    </row>
    <row r="12" spans="1:34" x14ac:dyDescent="0.35">
      <c r="A12" s="101" t="s">
        <v>120</v>
      </c>
      <c r="B12" s="108">
        <v>4.8492000000000003E-20</v>
      </c>
      <c r="C12" s="109">
        <v>9.5845000000000002E-16</v>
      </c>
      <c r="D12" s="108">
        <v>5.4674999999999998E-15</v>
      </c>
      <c r="E12" s="108">
        <v>2.1104999999999999E-14</v>
      </c>
      <c r="F12" s="109">
        <v>6.5613E-14</v>
      </c>
      <c r="G12" s="108">
        <v>1.7781E-13</v>
      </c>
      <c r="H12" s="108">
        <v>4.3641000000000001E-13</v>
      </c>
      <c r="I12" s="109">
        <v>9.8087999999999996E-13</v>
      </c>
      <c r="J12" s="109">
        <v>1.9925999999999998E-12</v>
      </c>
      <c r="K12" s="108">
        <v>3.7812999999999996E-12</v>
      </c>
      <c r="L12" s="109">
        <v>3.2878999999999998E-11</v>
      </c>
      <c r="M12" s="109">
        <v>1.6313999999999999E-10</v>
      </c>
      <c r="N12" s="108">
        <v>2.3025999999999999E-10</v>
      </c>
      <c r="O12" s="109">
        <v>3.2109000000000003E-10</v>
      </c>
      <c r="P12" s="109">
        <v>4.4404E-10</v>
      </c>
      <c r="Q12" s="108">
        <v>6.0920000000000003E-10</v>
      </c>
      <c r="R12" s="109">
        <v>8.2039999999999998E-10</v>
      </c>
      <c r="S12" s="108">
        <v>1.0473000000000001E-9</v>
      </c>
      <c r="T12" s="108">
        <v>1.1990999999999999E-9</v>
      </c>
      <c r="U12" s="109">
        <v>1.2056000000000001E-9</v>
      </c>
      <c r="V12" s="108">
        <v>1.1086000000000001E-9</v>
      </c>
      <c r="W12" s="108">
        <v>9.7908999999999998E-10</v>
      </c>
      <c r="X12" s="109">
        <v>8.5301000000000004E-10</v>
      </c>
      <c r="Y12" s="108">
        <v>7.4108999999999997E-10</v>
      </c>
      <c r="Z12" s="108">
        <v>6.5214999999999997E-10</v>
      </c>
      <c r="AA12" s="109">
        <v>6.6874999999999999E-10</v>
      </c>
      <c r="AB12" s="108">
        <v>6.2490999999999996E-10</v>
      </c>
      <c r="AC12" s="108">
        <v>5.5770000000000005E-10</v>
      </c>
      <c r="AD12" s="109">
        <v>4.8739000000000001E-10</v>
      </c>
      <c r="AE12" s="108">
        <v>4.2107000000000003E-10</v>
      </c>
      <c r="AF12" s="108">
        <v>3.5972000000000003E-10</v>
      </c>
      <c r="AG12" s="109">
        <v>3.0287999999999999E-10</v>
      </c>
      <c r="AH12" s="108">
        <v>1.3033E-10</v>
      </c>
    </row>
    <row r="13" spans="1:34" x14ac:dyDescent="0.35">
      <c r="A13" s="97" t="s">
        <v>121</v>
      </c>
      <c r="B13" s="106">
        <v>1.7719E-13</v>
      </c>
      <c r="C13" s="107">
        <v>5.1054000000000002E-9</v>
      </c>
      <c r="D13" s="106">
        <v>3.3136E-8</v>
      </c>
      <c r="E13" s="108">
        <v>1.4679000000000001E-7</v>
      </c>
      <c r="F13" s="109">
        <v>5.2728999999999995E-7</v>
      </c>
      <c r="G13" s="109">
        <v>1.6601E-6</v>
      </c>
      <c r="H13" s="106">
        <v>4.7536999999999999E-6</v>
      </c>
      <c r="I13" s="107">
        <v>1.2507000000000001E-5</v>
      </c>
      <c r="J13" s="106">
        <v>2.9819999999999999E-5</v>
      </c>
      <c r="K13" s="106">
        <v>6.6540999999999999E-5</v>
      </c>
      <c r="L13" s="107">
        <v>1.1176000000000001E-3</v>
      </c>
      <c r="M13" s="107">
        <v>1.0739E-2</v>
      </c>
      <c r="N13" s="106">
        <v>1.7864999999999999E-2</v>
      </c>
      <c r="O13" s="107">
        <v>2.9343000000000001E-2</v>
      </c>
      <c r="P13" s="107">
        <v>4.7766000000000003E-2</v>
      </c>
      <c r="Q13" s="108">
        <v>7.7086000000000002E-2</v>
      </c>
      <c r="R13" s="109">
        <v>0.12202</v>
      </c>
      <c r="S13" s="109">
        <v>0.18295</v>
      </c>
      <c r="T13" s="106">
        <v>0.24581</v>
      </c>
      <c r="U13" s="107">
        <v>0.28977999999999998</v>
      </c>
      <c r="V13" s="106">
        <v>0.31218000000000001</v>
      </c>
      <c r="W13" s="106">
        <v>0.32275999999999999</v>
      </c>
      <c r="X13" s="107">
        <v>0.32888000000000001</v>
      </c>
      <c r="Y13" s="106">
        <v>0.33390999999999998</v>
      </c>
      <c r="Z13" s="106">
        <v>0.34310000000000002</v>
      </c>
      <c r="AA13" s="107">
        <v>0.41048000000000001</v>
      </c>
      <c r="AB13" s="107">
        <v>0.44714999999999999</v>
      </c>
      <c r="AC13" s="106">
        <v>0.46483000000000002</v>
      </c>
      <c r="AD13" s="107">
        <v>0.4728</v>
      </c>
      <c r="AE13" s="106">
        <v>0.47504000000000002</v>
      </c>
      <c r="AF13" s="106">
        <v>0.47161999999999998</v>
      </c>
      <c r="AG13" s="107">
        <v>0.46113999999999999</v>
      </c>
      <c r="AH13" s="106">
        <v>0.35836000000000001</v>
      </c>
    </row>
    <row r="14" spans="1:34" x14ac:dyDescent="0.35">
      <c r="A14" s="101" t="s">
        <v>122</v>
      </c>
      <c r="B14" s="108">
        <v>0</v>
      </c>
      <c r="C14" s="109">
        <v>0</v>
      </c>
      <c r="D14" s="108">
        <v>0</v>
      </c>
      <c r="E14" s="108">
        <v>0</v>
      </c>
      <c r="F14" s="109">
        <v>0</v>
      </c>
      <c r="G14" s="108">
        <v>0</v>
      </c>
      <c r="H14" s="108">
        <v>0</v>
      </c>
      <c r="I14" s="109">
        <v>0</v>
      </c>
      <c r="J14" s="108">
        <v>0</v>
      </c>
      <c r="K14" s="108">
        <v>0</v>
      </c>
      <c r="L14" s="109">
        <v>0</v>
      </c>
      <c r="M14" s="108">
        <v>0</v>
      </c>
      <c r="N14" s="108">
        <v>0</v>
      </c>
      <c r="O14" s="109">
        <v>0</v>
      </c>
      <c r="P14" s="109">
        <v>0</v>
      </c>
      <c r="Q14" s="108">
        <v>0</v>
      </c>
      <c r="R14" s="109">
        <v>0</v>
      </c>
      <c r="S14" s="108">
        <v>0</v>
      </c>
      <c r="T14" s="108">
        <v>0</v>
      </c>
      <c r="U14" s="109">
        <v>0</v>
      </c>
      <c r="V14" s="109">
        <v>4.9137E-31</v>
      </c>
      <c r="W14" s="106">
        <v>9.2955999999999998E-24</v>
      </c>
      <c r="X14" s="107">
        <v>4.6778999999999996E-16</v>
      </c>
      <c r="Y14" s="106">
        <v>1.0198999999999999E-8</v>
      </c>
      <c r="Z14" s="106">
        <v>6.0271999999999999E-3</v>
      </c>
      <c r="AA14" s="107">
        <v>0.10188999999999999</v>
      </c>
      <c r="AB14" s="107">
        <v>0.15426999999999999</v>
      </c>
      <c r="AC14" s="106">
        <v>0.14826</v>
      </c>
      <c r="AD14" s="107">
        <v>0.14405000000000001</v>
      </c>
      <c r="AE14" s="106">
        <v>0.14953</v>
      </c>
      <c r="AF14" s="106">
        <v>0.15276999999999999</v>
      </c>
      <c r="AG14" s="107">
        <v>0.15487999999999999</v>
      </c>
      <c r="AH14" s="106">
        <v>0.15878</v>
      </c>
    </row>
    <row r="15" spans="1:34" x14ac:dyDescent="0.35">
      <c r="A15" s="101" t="s">
        <v>28</v>
      </c>
      <c r="B15" s="108">
        <v>-18.62</v>
      </c>
      <c r="C15" s="109">
        <v>-18.63</v>
      </c>
      <c r="D15" s="109">
        <v>-18.649999999999999</v>
      </c>
      <c r="E15" s="106">
        <v>-18.670000000000002</v>
      </c>
      <c r="F15" s="107">
        <v>-18.690000000000001</v>
      </c>
      <c r="G15" s="107">
        <v>-18.72</v>
      </c>
      <c r="H15" s="108">
        <v>-18.75</v>
      </c>
      <c r="I15" s="109">
        <v>-18.78</v>
      </c>
      <c r="J15" s="108">
        <v>-18.809999999999999</v>
      </c>
      <c r="K15" s="106">
        <v>-18.84</v>
      </c>
      <c r="L15" s="107">
        <v>-18.97</v>
      </c>
      <c r="M15" s="106">
        <v>-19.11</v>
      </c>
      <c r="N15" s="106">
        <v>-19.14</v>
      </c>
      <c r="O15" s="107">
        <v>-19.18</v>
      </c>
      <c r="P15" s="107">
        <v>-19.21</v>
      </c>
      <c r="Q15" s="106">
        <v>-19.25</v>
      </c>
      <c r="R15" s="107">
        <v>-19.28</v>
      </c>
      <c r="S15" s="107">
        <v>-19.32</v>
      </c>
      <c r="T15" s="106">
        <v>-19.350000000000001</v>
      </c>
      <c r="U15" s="107">
        <v>-19.38</v>
      </c>
      <c r="V15" s="107">
        <v>-19.420000000000002</v>
      </c>
      <c r="W15" s="106">
        <v>-19.45</v>
      </c>
      <c r="X15" s="107">
        <v>-19.48</v>
      </c>
      <c r="Y15" s="106">
        <v>-19.510000000000002</v>
      </c>
      <c r="Z15" s="106">
        <v>-19.55</v>
      </c>
      <c r="AA15" s="107">
        <v>-19.579999999999998</v>
      </c>
      <c r="AB15" s="106">
        <v>-19.61</v>
      </c>
      <c r="AC15" s="106">
        <v>-19.64</v>
      </c>
      <c r="AD15" s="107">
        <v>-19.670000000000002</v>
      </c>
      <c r="AE15" s="106">
        <v>-19.7</v>
      </c>
      <c r="AF15" s="106">
        <v>-19.73</v>
      </c>
      <c r="AG15" s="107">
        <v>-19.760000000000002</v>
      </c>
      <c r="AH15" s="106">
        <v>-19.88</v>
      </c>
    </row>
    <row r="16" spans="1:34" x14ac:dyDescent="0.35">
      <c r="A16" s="97" t="s">
        <v>5</v>
      </c>
      <c r="B16" s="106">
        <v>-32.090000000000003</v>
      </c>
      <c r="C16" s="107">
        <v>-28.88</v>
      </c>
      <c r="D16" s="106">
        <v>-27.9</v>
      </c>
      <c r="E16" s="106">
        <v>-26.63</v>
      </c>
      <c r="F16" s="107">
        <v>-25.32</v>
      </c>
      <c r="G16" s="106">
        <v>-24.06</v>
      </c>
      <c r="H16" s="106">
        <v>-22.88</v>
      </c>
      <c r="I16" s="107">
        <v>-21.77</v>
      </c>
      <c r="J16" s="106">
        <v>-20.73</v>
      </c>
      <c r="K16" s="106">
        <v>-19.760000000000002</v>
      </c>
      <c r="L16" s="107">
        <v>-16.39</v>
      </c>
      <c r="M16" s="107">
        <v>-13.66</v>
      </c>
      <c r="N16" s="106">
        <v>-13.06</v>
      </c>
      <c r="O16" s="107">
        <v>-12.48</v>
      </c>
      <c r="P16" s="106">
        <v>-11.93</v>
      </c>
      <c r="Q16" s="106">
        <v>-11.4</v>
      </c>
      <c r="R16" s="107">
        <v>-10.89</v>
      </c>
      <c r="S16" s="106">
        <v>-10.4</v>
      </c>
      <c r="T16" s="106">
        <v>-9.9329999999999998</v>
      </c>
      <c r="U16" s="107">
        <v>-9.484</v>
      </c>
      <c r="V16" s="106">
        <v>-9.0530000000000008</v>
      </c>
      <c r="W16" s="106">
        <v>-8.64</v>
      </c>
      <c r="X16" s="107">
        <v>-8.2449999999999992</v>
      </c>
      <c r="Y16" s="106">
        <v>-7.8680000000000003</v>
      </c>
      <c r="Z16" s="106">
        <v>-7.5279999999999996</v>
      </c>
      <c r="AA16" s="107">
        <v>-7.5839999999999996</v>
      </c>
      <c r="AB16" s="106">
        <v>-7.641</v>
      </c>
      <c r="AC16" s="106">
        <v>-7.6959999999999997</v>
      </c>
      <c r="AD16" s="107">
        <v>-7.7510000000000003</v>
      </c>
      <c r="AE16" s="106">
        <v>-7.8049999999999997</v>
      </c>
      <c r="AF16" s="106">
        <v>-7.8579999999999997</v>
      </c>
      <c r="AG16" s="107">
        <v>-7.91</v>
      </c>
      <c r="AH16" s="106">
        <v>-8.109</v>
      </c>
    </row>
    <row r="17" spans="1:34" x14ac:dyDescent="0.35">
      <c r="A17" s="97" t="s">
        <v>7</v>
      </c>
      <c r="B17" s="106">
        <v>-45.84</v>
      </c>
      <c r="C17" s="107">
        <v>-36.31</v>
      </c>
      <c r="D17" s="106">
        <v>-34.75</v>
      </c>
      <c r="E17" s="106">
        <v>-33.590000000000003</v>
      </c>
      <c r="F17" s="107">
        <v>-32.64</v>
      </c>
      <c r="G17" s="106">
        <v>-31.81</v>
      </c>
      <c r="H17" s="106">
        <v>-31.07</v>
      </c>
      <c r="I17" s="107">
        <v>-30.4</v>
      </c>
      <c r="J17" s="106">
        <v>-29.79</v>
      </c>
      <c r="K17" s="106">
        <v>-29.24</v>
      </c>
      <c r="L17" s="107">
        <v>-27.47</v>
      </c>
      <c r="M17" s="106">
        <v>-26.24</v>
      </c>
      <c r="N17" s="108">
        <v>-26.01</v>
      </c>
      <c r="O17" s="109">
        <v>-25.81</v>
      </c>
      <c r="P17" s="108">
        <v>-25.65</v>
      </c>
      <c r="Q17" s="106">
        <v>-25.54</v>
      </c>
      <c r="R17" s="107">
        <v>-25.48</v>
      </c>
      <c r="S17" s="106">
        <v>-25.5</v>
      </c>
      <c r="T17" s="106">
        <v>-25.59</v>
      </c>
      <c r="U17" s="107">
        <v>-25.76</v>
      </c>
      <c r="V17" s="106">
        <v>-25.95</v>
      </c>
      <c r="W17" s="108">
        <v>-26.17</v>
      </c>
      <c r="X17" s="109">
        <v>-26.38</v>
      </c>
      <c r="Y17" s="108">
        <v>-26.6</v>
      </c>
      <c r="Z17" s="108">
        <v>-26.8</v>
      </c>
      <c r="AA17" s="109">
        <v>-26.82</v>
      </c>
      <c r="AB17" s="108">
        <v>-26.93</v>
      </c>
      <c r="AC17" s="106">
        <v>-27.09</v>
      </c>
      <c r="AD17" s="107">
        <v>-27.27</v>
      </c>
      <c r="AE17" s="106">
        <v>-27.46</v>
      </c>
      <c r="AF17" s="108">
        <v>-27.65</v>
      </c>
      <c r="AG17" s="109">
        <v>-27.85</v>
      </c>
      <c r="AH17" s="108">
        <v>-28.62</v>
      </c>
    </row>
    <row r="18" spans="1:34" x14ac:dyDescent="0.35">
      <c r="A18" s="101" t="s">
        <v>47</v>
      </c>
      <c r="B18" s="108">
        <v>0.2</v>
      </c>
      <c r="C18" s="109">
        <v>0.2</v>
      </c>
      <c r="D18" s="108">
        <v>0.2</v>
      </c>
      <c r="E18" s="108">
        <v>0.2</v>
      </c>
      <c r="F18" s="109">
        <v>0.2</v>
      </c>
      <c r="G18" s="108">
        <v>0.2</v>
      </c>
      <c r="H18" s="108">
        <v>0.2</v>
      </c>
      <c r="I18" s="109">
        <v>0.2</v>
      </c>
      <c r="J18" s="108">
        <v>0.2</v>
      </c>
      <c r="K18" s="108">
        <v>0.2</v>
      </c>
      <c r="L18" s="109">
        <v>0.2</v>
      </c>
      <c r="M18" s="108">
        <v>0.2</v>
      </c>
      <c r="N18" s="108">
        <v>0.2</v>
      </c>
      <c r="O18" s="109">
        <v>0.2</v>
      </c>
      <c r="P18" s="108">
        <v>0.2</v>
      </c>
      <c r="Q18" s="108">
        <v>0.2</v>
      </c>
      <c r="R18" s="109">
        <v>0.2</v>
      </c>
      <c r="S18" s="108">
        <v>0.2</v>
      </c>
      <c r="T18" s="108">
        <v>0.2</v>
      </c>
      <c r="U18" s="109">
        <v>0.2</v>
      </c>
      <c r="V18" s="108">
        <v>0.2</v>
      </c>
      <c r="W18" s="108">
        <v>0.2</v>
      </c>
      <c r="X18" s="109">
        <v>0.2</v>
      </c>
      <c r="Y18" s="108">
        <v>0.2</v>
      </c>
      <c r="Z18" s="108">
        <v>0.2</v>
      </c>
      <c r="AA18" s="109">
        <v>0.2</v>
      </c>
      <c r="AB18" s="108">
        <v>0.2</v>
      </c>
      <c r="AC18" s="108">
        <v>0.2</v>
      </c>
      <c r="AD18" s="109">
        <v>0.2</v>
      </c>
      <c r="AE18" s="108">
        <v>0.2</v>
      </c>
      <c r="AF18" s="108">
        <v>0.2</v>
      </c>
      <c r="AG18" s="109">
        <v>0.2</v>
      </c>
      <c r="AH18" s="108">
        <v>0.2</v>
      </c>
    </row>
    <row r="19" spans="1:34" x14ac:dyDescent="0.35">
      <c r="A19" s="97" t="s">
        <v>123</v>
      </c>
      <c r="B19" s="106">
        <v>0.10375</v>
      </c>
      <c r="C19" s="107">
        <v>9.5991999999999994E-2</v>
      </c>
      <c r="D19" s="106">
        <v>0.1037</v>
      </c>
      <c r="E19" s="106">
        <v>0.11311</v>
      </c>
      <c r="F19" s="107">
        <v>0.12314</v>
      </c>
      <c r="G19" s="107">
        <v>0.13217000000000001</v>
      </c>
      <c r="H19" s="106">
        <v>0.14054</v>
      </c>
      <c r="I19" s="107">
        <v>0.14738999999999999</v>
      </c>
      <c r="J19" s="106">
        <v>0.14901</v>
      </c>
      <c r="K19" s="106">
        <v>0.14898</v>
      </c>
      <c r="L19" s="107">
        <v>0.1585</v>
      </c>
      <c r="M19" s="106">
        <v>0.17076</v>
      </c>
      <c r="N19" s="106">
        <v>0.17791000000000001</v>
      </c>
      <c r="O19" s="107">
        <v>0.18942000000000001</v>
      </c>
      <c r="P19" s="106">
        <v>0.20791999999999999</v>
      </c>
      <c r="Q19" s="108">
        <v>0.23738000000000001</v>
      </c>
      <c r="R19" s="109">
        <v>0.28260000000000002</v>
      </c>
      <c r="S19" s="108">
        <v>0.34405999999999998</v>
      </c>
      <c r="T19" s="106">
        <v>0.40784999999999999</v>
      </c>
      <c r="U19" s="107">
        <v>0.45318000000000003</v>
      </c>
      <c r="V19" s="106">
        <v>0.47739999999999999</v>
      </c>
      <c r="W19" s="106">
        <v>0.49036000000000002</v>
      </c>
      <c r="X19" s="107">
        <v>0.49957000000000001</v>
      </c>
      <c r="Y19" s="106">
        <v>0.50851000000000002</v>
      </c>
      <c r="Z19" s="106">
        <v>0.51771999999999996</v>
      </c>
      <c r="AA19" s="107">
        <v>0.51187000000000005</v>
      </c>
      <c r="AB19" s="106">
        <v>0.50656999999999996</v>
      </c>
      <c r="AC19" s="106">
        <v>0.50190999999999997</v>
      </c>
      <c r="AD19" s="107">
        <v>0.49769000000000002</v>
      </c>
      <c r="AE19" s="106">
        <v>0.49264999999999998</v>
      </c>
      <c r="AF19" s="106">
        <v>0.48436000000000001</v>
      </c>
      <c r="AG19" s="107">
        <v>0.47027999999999998</v>
      </c>
      <c r="AH19" s="106">
        <v>0.36015999999999998</v>
      </c>
    </row>
    <row r="20" spans="1:34" x14ac:dyDescent="0.35">
      <c r="A20" s="99" t="s">
        <v>124</v>
      </c>
      <c r="B20" s="110">
        <v>0</v>
      </c>
      <c r="C20" s="111">
        <v>0</v>
      </c>
      <c r="D20" s="110">
        <v>0</v>
      </c>
      <c r="E20" s="110">
        <v>0</v>
      </c>
      <c r="F20" s="111">
        <v>0</v>
      </c>
      <c r="G20" s="110">
        <v>0</v>
      </c>
      <c r="H20" s="110">
        <v>0</v>
      </c>
      <c r="I20" s="111">
        <v>0</v>
      </c>
      <c r="J20" s="110">
        <v>0</v>
      </c>
      <c r="K20" s="110">
        <v>0</v>
      </c>
      <c r="L20" s="111">
        <v>0</v>
      </c>
      <c r="M20" s="110">
        <v>0</v>
      </c>
      <c r="N20" s="110">
        <v>0</v>
      </c>
      <c r="O20" s="111">
        <v>0</v>
      </c>
      <c r="P20" s="110">
        <v>0</v>
      </c>
      <c r="Q20" s="110">
        <v>0</v>
      </c>
      <c r="R20" s="111">
        <v>2.8948000000000002E-37</v>
      </c>
      <c r="S20" s="110">
        <v>2.7293E-39</v>
      </c>
      <c r="T20" s="110">
        <v>1.7905E-40</v>
      </c>
      <c r="U20" s="111">
        <v>2.9762000000000001E-36</v>
      </c>
      <c r="V20" s="110">
        <v>2.8775E-30</v>
      </c>
      <c r="W20" s="110">
        <v>3.3855000000000001E-23</v>
      </c>
      <c r="X20" s="111">
        <v>1.08E-15</v>
      </c>
      <c r="Y20" s="111">
        <v>1.5212000000000001E-8</v>
      </c>
      <c r="Z20" s="110">
        <v>6.0359000000000003E-3</v>
      </c>
      <c r="AA20" s="111">
        <v>0.10188999999999999</v>
      </c>
      <c r="AB20" s="111">
        <v>0.15426999999999999</v>
      </c>
      <c r="AC20" s="110">
        <v>0.14826</v>
      </c>
      <c r="AD20" s="111">
        <v>0.14405000000000001</v>
      </c>
      <c r="AE20" s="110">
        <v>0.14953</v>
      </c>
      <c r="AF20" s="110">
        <v>0.15276999999999999</v>
      </c>
      <c r="AG20" s="111">
        <v>0.15489</v>
      </c>
      <c r="AH20" s="110">
        <v>0.15878</v>
      </c>
    </row>
  </sheetData>
  <conditionalFormatting sqref="B1:AH20">
    <cfRule type="expression" dxfId="1" priority="1">
      <formula>ISNUMBER(B1)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13A8D-B5F5-462E-9B8F-F586FF738FE9}">
  <sheetPr codeName="Лист8">
    <tabColor theme="1"/>
  </sheetPr>
  <dimension ref="A1:T20"/>
  <sheetViews>
    <sheetView topLeftCell="B1" workbookViewId="0">
      <selection activeCell="J22" sqref="J22"/>
    </sheetView>
  </sheetViews>
  <sheetFormatPr defaultRowHeight="21" x14ac:dyDescent="0.35"/>
  <sheetData>
    <row r="1" spans="1:20" x14ac:dyDescent="0.35">
      <c r="A1" s="113" t="s">
        <v>67</v>
      </c>
      <c r="B1" s="114" t="s">
        <v>49</v>
      </c>
      <c r="C1" s="114" t="s">
        <v>138</v>
      </c>
      <c r="D1" s="114" t="s">
        <v>143</v>
      </c>
      <c r="E1" s="114" t="s">
        <v>75</v>
      </c>
      <c r="F1" s="114" t="s">
        <v>166</v>
      </c>
      <c r="G1" s="114" t="s">
        <v>173</v>
      </c>
      <c r="H1" s="114" t="s">
        <v>187</v>
      </c>
      <c r="I1" s="114" t="s">
        <v>201</v>
      </c>
      <c r="J1" s="114" t="s">
        <v>208</v>
      </c>
      <c r="K1" s="125" t="s">
        <v>216</v>
      </c>
      <c r="L1" s="114" t="s">
        <v>223</v>
      </c>
      <c r="M1" s="125" t="s">
        <v>232</v>
      </c>
      <c r="N1" s="114" t="s">
        <v>243</v>
      </c>
      <c r="O1" s="114" t="s">
        <v>255</v>
      </c>
      <c r="P1" s="114" t="s">
        <v>267</v>
      </c>
      <c r="Q1" s="114" t="s">
        <v>98</v>
      </c>
      <c r="R1" s="114" t="s">
        <v>289</v>
      </c>
      <c r="S1" s="114" t="s">
        <v>301</v>
      </c>
      <c r="T1" s="126" t="s">
        <v>110</v>
      </c>
    </row>
    <row r="2" spans="1:20" x14ac:dyDescent="0.35">
      <c r="A2" s="116" t="s">
        <v>152</v>
      </c>
      <c r="B2" s="117" t="s">
        <v>134</v>
      </c>
      <c r="C2" s="118" t="s">
        <v>139</v>
      </c>
      <c r="D2" s="117" t="s">
        <v>144</v>
      </c>
      <c r="E2" s="117" t="s">
        <v>159</v>
      </c>
      <c r="F2" s="118" t="s">
        <v>134</v>
      </c>
      <c r="G2" s="117" t="s">
        <v>51</v>
      </c>
      <c r="H2" s="117" t="s">
        <v>188</v>
      </c>
      <c r="I2" s="118" t="s">
        <v>202</v>
      </c>
      <c r="J2" s="117" t="s">
        <v>209</v>
      </c>
      <c r="K2" s="117" t="s">
        <v>209</v>
      </c>
      <c r="L2" s="118" t="s">
        <v>224</v>
      </c>
      <c r="M2" s="117" t="s">
        <v>233</v>
      </c>
      <c r="N2" s="117" t="s">
        <v>244</v>
      </c>
      <c r="O2" s="118" t="s">
        <v>256</v>
      </c>
      <c r="P2" s="117" t="s">
        <v>268</v>
      </c>
      <c r="Q2" s="117" t="s">
        <v>278</v>
      </c>
      <c r="R2" s="118" t="s">
        <v>51</v>
      </c>
      <c r="S2" s="117" t="s">
        <v>51</v>
      </c>
      <c r="T2" s="117" t="s">
        <v>51</v>
      </c>
    </row>
    <row r="3" spans="1:20" x14ac:dyDescent="0.35">
      <c r="A3" s="119" t="s">
        <v>131</v>
      </c>
      <c r="B3" s="120" t="s">
        <v>51</v>
      </c>
      <c r="C3" s="121" t="s">
        <v>51</v>
      </c>
      <c r="D3" s="120" t="s">
        <v>51</v>
      </c>
      <c r="E3" s="120" t="s">
        <v>51</v>
      </c>
      <c r="F3" s="121" t="s">
        <v>51</v>
      </c>
      <c r="G3" s="120" t="s">
        <v>174</v>
      </c>
      <c r="H3" s="120" t="s">
        <v>189</v>
      </c>
      <c r="I3" s="121" t="s">
        <v>51</v>
      </c>
      <c r="J3" s="120" t="s">
        <v>51</v>
      </c>
      <c r="K3" s="120" t="s">
        <v>51</v>
      </c>
      <c r="L3" s="121" t="s">
        <v>51</v>
      </c>
      <c r="M3" s="120" t="s">
        <v>51</v>
      </c>
      <c r="N3" s="120" t="s">
        <v>51</v>
      </c>
      <c r="O3" s="121" t="s">
        <v>51</v>
      </c>
      <c r="P3" s="120" t="s">
        <v>51</v>
      </c>
      <c r="Q3" s="120" t="s">
        <v>51</v>
      </c>
      <c r="R3" s="121" t="s">
        <v>51</v>
      </c>
      <c r="S3" s="120" t="s">
        <v>51</v>
      </c>
      <c r="T3" s="120" t="s">
        <v>51</v>
      </c>
    </row>
    <row r="4" spans="1:20" x14ac:dyDescent="0.35">
      <c r="A4" s="119" t="s">
        <v>68</v>
      </c>
      <c r="B4" s="120" t="s">
        <v>135</v>
      </c>
      <c r="C4" s="121" t="s">
        <v>135</v>
      </c>
      <c r="D4" s="120" t="s">
        <v>135</v>
      </c>
      <c r="E4" s="120" t="s">
        <v>135</v>
      </c>
      <c r="F4" s="121" t="s">
        <v>135</v>
      </c>
      <c r="G4" s="120" t="s">
        <v>135</v>
      </c>
      <c r="H4" s="120" t="s">
        <v>135</v>
      </c>
      <c r="I4" s="121" t="s">
        <v>135</v>
      </c>
      <c r="J4" s="120" t="s">
        <v>135</v>
      </c>
      <c r="K4" s="120" t="s">
        <v>135</v>
      </c>
      <c r="L4" s="121" t="s">
        <v>135</v>
      </c>
      <c r="M4" s="120" t="s">
        <v>135</v>
      </c>
      <c r="N4" s="120" t="s">
        <v>135</v>
      </c>
      <c r="O4" s="121" t="s">
        <v>135</v>
      </c>
      <c r="P4" s="120" t="s">
        <v>135</v>
      </c>
      <c r="Q4" s="120" t="s">
        <v>135</v>
      </c>
      <c r="R4" s="121" t="s">
        <v>135</v>
      </c>
      <c r="S4" s="120" t="s">
        <v>135</v>
      </c>
      <c r="T4" s="120" t="s">
        <v>135</v>
      </c>
    </row>
    <row r="5" spans="1:20" x14ac:dyDescent="0.35">
      <c r="A5" s="119" t="s">
        <v>153</v>
      </c>
      <c r="B5" s="120" t="s">
        <v>51</v>
      </c>
      <c r="C5" s="121" t="s">
        <v>51</v>
      </c>
      <c r="D5" s="120" t="s">
        <v>51</v>
      </c>
      <c r="E5" s="114" t="s">
        <v>51</v>
      </c>
      <c r="F5" s="122" t="s">
        <v>51</v>
      </c>
      <c r="G5" s="122" t="s">
        <v>175</v>
      </c>
      <c r="H5" s="120" t="s">
        <v>190</v>
      </c>
      <c r="I5" s="121" t="s">
        <v>51</v>
      </c>
      <c r="J5" s="120" t="s">
        <v>51</v>
      </c>
      <c r="K5" s="120" t="s">
        <v>51</v>
      </c>
      <c r="L5" s="121" t="s">
        <v>51</v>
      </c>
      <c r="M5" s="120" t="s">
        <v>51</v>
      </c>
      <c r="N5" s="114" t="s">
        <v>245</v>
      </c>
      <c r="O5" s="122" t="s">
        <v>257</v>
      </c>
      <c r="P5" s="114" t="s">
        <v>269</v>
      </c>
      <c r="Q5" s="114" t="s">
        <v>279</v>
      </c>
      <c r="R5" s="122" t="s">
        <v>290</v>
      </c>
      <c r="S5" s="114" t="s">
        <v>302</v>
      </c>
      <c r="T5" s="114" t="s">
        <v>314</v>
      </c>
    </row>
    <row r="6" spans="1:20" x14ac:dyDescent="0.35">
      <c r="A6" s="113" t="s">
        <v>154</v>
      </c>
      <c r="B6" s="114" t="s">
        <v>51</v>
      </c>
      <c r="C6" s="122" t="s">
        <v>51</v>
      </c>
      <c r="D6" s="114" t="s">
        <v>51</v>
      </c>
      <c r="E6" s="114" t="s">
        <v>51</v>
      </c>
      <c r="F6" s="122" t="s">
        <v>51</v>
      </c>
      <c r="G6" s="114" t="s">
        <v>176</v>
      </c>
      <c r="H6" s="114" t="s">
        <v>191</v>
      </c>
      <c r="I6" s="122" t="s">
        <v>51</v>
      </c>
      <c r="J6" s="114" t="s">
        <v>51</v>
      </c>
      <c r="K6" s="114" t="s">
        <v>51</v>
      </c>
      <c r="L6" s="122" t="s">
        <v>51</v>
      </c>
      <c r="M6" s="114" t="s">
        <v>51</v>
      </c>
      <c r="N6" s="114" t="s">
        <v>51</v>
      </c>
      <c r="O6" s="122" t="s">
        <v>51</v>
      </c>
      <c r="P6" s="114" t="s">
        <v>51</v>
      </c>
      <c r="Q6" s="114" t="s">
        <v>280</v>
      </c>
      <c r="R6" s="122" t="s">
        <v>291</v>
      </c>
      <c r="S6" s="114" t="s">
        <v>303</v>
      </c>
      <c r="T6" s="114" t="s">
        <v>315</v>
      </c>
    </row>
    <row r="7" spans="1:20" x14ac:dyDescent="0.35">
      <c r="A7" s="119" t="s">
        <v>155</v>
      </c>
      <c r="B7" s="120" t="s">
        <v>51</v>
      </c>
      <c r="C7" s="121" t="s">
        <v>51</v>
      </c>
      <c r="D7" s="120" t="s">
        <v>51</v>
      </c>
      <c r="E7" s="120" t="s">
        <v>51</v>
      </c>
      <c r="F7" s="121" t="s">
        <v>51</v>
      </c>
      <c r="G7" s="120" t="s">
        <v>177</v>
      </c>
      <c r="H7" s="120" t="s">
        <v>192</v>
      </c>
      <c r="I7" s="121" t="s">
        <v>51</v>
      </c>
      <c r="J7" s="120" t="s">
        <v>51</v>
      </c>
      <c r="K7" s="120" t="s">
        <v>51</v>
      </c>
      <c r="L7" s="121" t="s">
        <v>51</v>
      </c>
      <c r="M7" s="120" t="s">
        <v>51</v>
      </c>
      <c r="N7" s="120" t="s">
        <v>51</v>
      </c>
      <c r="O7" s="121" t="s">
        <v>51</v>
      </c>
      <c r="P7" s="120" t="s">
        <v>51</v>
      </c>
      <c r="Q7" s="120" t="s">
        <v>51</v>
      </c>
      <c r="R7" s="121" t="s">
        <v>51</v>
      </c>
      <c r="S7" s="120" t="s">
        <v>304</v>
      </c>
      <c r="T7" s="120" t="s">
        <v>316</v>
      </c>
    </row>
    <row r="8" spans="1:20" x14ac:dyDescent="0.35">
      <c r="A8" s="119" t="s">
        <v>132</v>
      </c>
      <c r="B8" s="120" t="s">
        <v>51</v>
      </c>
      <c r="C8" s="121" t="s">
        <v>51</v>
      </c>
      <c r="D8" s="120" t="s">
        <v>51</v>
      </c>
      <c r="E8" s="120" t="s">
        <v>51</v>
      </c>
      <c r="F8" s="121" t="s">
        <v>51</v>
      </c>
      <c r="G8" s="120" t="s">
        <v>178</v>
      </c>
      <c r="H8" s="120" t="s">
        <v>193</v>
      </c>
      <c r="I8" s="121" t="s">
        <v>51</v>
      </c>
      <c r="J8" s="120" t="s">
        <v>51</v>
      </c>
      <c r="K8" s="120" t="s">
        <v>51</v>
      </c>
      <c r="L8" s="121" t="s">
        <v>51</v>
      </c>
      <c r="M8" s="120" t="s">
        <v>51</v>
      </c>
      <c r="N8" s="120" t="s">
        <v>51</v>
      </c>
      <c r="O8" s="121" t="s">
        <v>51</v>
      </c>
      <c r="P8" s="120" t="s">
        <v>51</v>
      </c>
      <c r="Q8" s="120" t="s">
        <v>51</v>
      </c>
      <c r="R8" s="121" t="s">
        <v>51</v>
      </c>
      <c r="S8" s="120" t="s">
        <v>305</v>
      </c>
      <c r="T8" s="120" t="s">
        <v>317</v>
      </c>
    </row>
    <row r="9" spans="1:20" x14ac:dyDescent="0.35">
      <c r="A9" s="119" t="s">
        <v>156</v>
      </c>
      <c r="B9" s="120" t="s">
        <v>51</v>
      </c>
      <c r="C9" s="121" t="s">
        <v>51</v>
      </c>
      <c r="D9" s="120" t="s">
        <v>51</v>
      </c>
      <c r="E9" s="120" t="s">
        <v>51</v>
      </c>
      <c r="F9" s="121" t="s">
        <v>51</v>
      </c>
      <c r="G9" s="120" t="s">
        <v>179</v>
      </c>
      <c r="H9" s="120" t="s">
        <v>194</v>
      </c>
      <c r="I9" s="121" t="s">
        <v>51</v>
      </c>
      <c r="J9" s="120" t="s">
        <v>51</v>
      </c>
      <c r="K9" s="120" t="s">
        <v>51</v>
      </c>
      <c r="L9" s="121" t="s">
        <v>51</v>
      </c>
      <c r="M9" s="120" t="s">
        <v>51</v>
      </c>
      <c r="N9" s="120" t="s">
        <v>51</v>
      </c>
      <c r="O9" s="121" t="s">
        <v>51</v>
      </c>
      <c r="P9" s="120" t="s">
        <v>51</v>
      </c>
      <c r="Q9" s="120" t="s">
        <v>51</v>
      </c>
      <c r="R9" s="121" t="s">
        <v>51</v>
      </c>
      <c r="S9" s="120" t="s">
        <v>51</v>
      </c>
      <c r="T9" s="120" t="s">
        <v>318</v>
      </c>
    </row>
    <row r="10" spans="1:20" x14ac:dyDescent="0.35">
      <c r="A10" s="119" t="s">
        <v>157</v>
      </c>
      <c r="B10" s="120" t="s">
        <v>51</v>
      </c>
      <c r="C10" s="121" t="s">
        <v>51</v>
      </c>
      <c r="D10" s="120" t="s">
        <v>51</v>
      </c>
      <c r="E10" s="120" t="s">
        <v>51</v>
      </c>
      <c r="F10" s="121" t="s">
        <v>51</v>
      </c>
      <c r="G10" s="120" t="s">
        <v>180</v>
      </c>
      <c r="H10" s="120" t="s">
        <v>135</v>
      </c>
      <c r="I10" s="121" t="s">
        <v>51</v>
      </c>
      <c r="J10" s="120" t="s">
        <v>51</v>
      </c>
      <c r="K10" s="120" t="s">
        <v>51</v>
      </c>
      <c r="L10" s="121" t="s">
        <v>51</v>
      </c>
      <c r="M10" s="120" t="s">
        <v>234</v>
      </c>
      <c r="N10" s="114" t="s">
        <v>246</v>
      </c>
      <c r="O10" s="122" t="s">
        <v>258</v>
      </c>
      <c r="P10" s="114" t="s">
        <v>270</v>
      </c>
      <c r="Q10" s="114" t="s">
        <v>281</v>
      </c>
      <c r="R10" s="122" t="s">
        <v>292</v>
      </c>
      <c r="S10" s="114" t="s">
        <v>306</v>
      </c>
      <c r="T10" s="114" t="s">
        <v>319</v>
      </c>
    </row>
    <row r="11" spans="1:20" x14ac:dyDescent="0.35">
      <c r="A11" s="119" t="s">
        <v>69</v>
      </c>
      <c r="B11" s="120" t="s">
        <v>51</v>
      </c>
      <c r="C11" s="121" t="s">
        <v>140</v>
      </c>
      <c r="D11" s="120" t="s">
        <v>145</v>
      </c>
      <c r="E11" s="120" t="s">
        <v>160</v>
      </c>
      <c r="F11" s="121" t="s">
        <v>167</v>
      </c>
      <c r="G11" s="120" t="s">
        <v>51</v>
      </c>
      <c r="H11" s="114" t="s">
        <v>195</v>
      </c>
      <c r="I11" s="122" t="s">
        <v>203</v>
      </c>
      <c r="J11" s="122" t="s">
        <v>210</v>
      </c>
      <c r="K11" s="114" t="s">
        <v>217</v>
      </c>
      <c r="L11" s="122" t="s">
        <v>225</v>
      </c>
      <c r="M11" s="114" t="s">
        <v>235</v>
      </c>
      <c r="N11" s="114" t="s">
        <v>247</v>
      </c>
      <c r="O11" s="122" t="s">
        <v>259</v>
      </c>
      <c r="P11" s="114" t="s">
        <v>271</v>
      </c>
      <c r="Q11" s="114" t="s">
        <v>282</v>
      </c>
      <c r="R11" s="122" t="s">
        <v>293</v>
      </c>
      <c r="S11" s="114" t="s">
        <v>307</v>
      </c>
      <c r="T11" s="114" t="s">
        <v>320</v>
      </c>
    </row>
    <row r="12" spans="1:20" x14ac:dyDescent="0.35">
      <c r="A12" s="119" t="s">
        <v>158</v>
      </c>
      <c r="B12" s="120" t="s">
        <v>51</v>
      </c>
      <c r="C12" s="121" t="s">
        <v>51</v>
      </c>
      <c r="D12" s="121" t="s">
        <v>146</v>
      </c>
      <c r="E12" s="114" t="s">
        <v>161</v>
      </c>
      <c r="F12" s="122" t="s">
        <v>168</v>
      </c>
      <c r="G12" s="114" t="s">
        <v>181</v>
      </c>
      <c r="H12" s="114" t="s">
        <v>196</v>
      </c>
      <c r="I12" s="122" t="s">
        <v>204</v>
      </c>
      <c r="J12" s="114" t="s">
        <v>211</v>
      </c>
      <c r="K12" s="114" t="s">
        <v>218</v>
      </c>
      <c r="L12" s="122" t="s">
        <v>226</v>
      </c>
      <c r="M12" s="114" t="s">
        <v>236</v>
      </c>
      <c r="N12" s="114" t="s">
        <v>248</v>
      </c>
      <c r="O12" s="122" t="s">
        <v>260</v>
      </c>
      <c r="P12" s="114" t="s">
        <v>272</v>
      </c>
      <c r="Q12" s="114" t="s">
        <v>283</v>
      </c>
      <c r="R12" s="122" t="s">
        <v>294</v>
      </c>
      <c r="S12" s="114" t="s">
        <v>308</v>
      </c>
      <c r="T12" s="114" t="s">
        <v>321</v>
      </c>
    </row>
    <row r="13" spans="1:20" x14ac:dyDescent="0.35">
      <c r="A13" s="119" t="s">
        <v>2</v>
      </c>
      <c r="B13" s="120" t="s">
        <v>51</v>
      </c>
      <c r="C13" s="121" t="s">
        <v>51</v>
      </c>
      <c r="D13" s="120" t="s">
        <v>147</v>
      </c>
      <c r="E13" s="114" t="s">
        <v>162</v>
      </c>
      <c r="F13" s="122" t="s">
        <v>169</v>
      </c>
      <c r="G13" s="114" t="s">
        <v>182</v>
      </c>
      <c r="H13" s="114" t="s">
        <v>189</v>
      </c>
      <c r="I13" s="122" t="s">
        <v>205</v>
      </c>
      <c r="J13" s="114" t="s">
        <v>212</v>
      </c>
      <c r="K13" s="114" t="s">
        <v>219</v>
      </c>
      <c r="L13" s="122" t="s">
        <v>227</v>
      </c>
      <c r="M13" s="114" t="s">
        <v>237</v>
      </c>
      <c r="N13" s="114" t="s">
        <v>249</v>
      </c>
      <c r="O13" s="122" t="s">
        <v>261</v>
      </c>
      <c r="P13" s="114" t="s">
        <v>273</v>
      </c>
      <c r="Q13" s="120" t="s">
        <v>284</v>
      </c>
      <c r="R13" s="121" t="s">
        <v>295</v>
      </c>
      <c r="S13" s="120" t="s">
        <v>309</v>
      </c>
      <c r="T13" s="114" t="s">
        <v>322</v>
      </c>
    </row>
    <row r="14" spans="1:20" x14ac:dyDescent="0.35">
      <c r="A14" s="119" t="s">
        <v>1</v>
      </c>
      <c r="B14" s="120" t="s">
        <v>52</v>
      </c>
      <c r="C14" s="121" t="s">
        <v>52</v>
      </c>
      <c r="D14" s="120" t="s">
        <v>52</v>
      </c>
      <c r="E14" s="120" t="s">
        <v>52</v>
      </c>
      <c r="F14" s="121" t="s">
        <v>52</v>
      </c>
      <c r="G14" s="120" t="s">
        <v>52</v>
      </c>
      <c r="H14" s="120" t="s">
        <v>52</v>
      </c>
      <c r="I14" s="121" t="s">
        <v>52</v>
      </c>
      <c r="J14" s="120" t="s">
        <v>52</v>
      </c>
      <c r="K14" s="120" t="s">
        <v>52</v>
      </c>
      <c r="L14" s="121" t="s">
        <v>52</v>
      </c>
      <c r="M14" s="120" t="s">
        <v>52</v>
      </c>
      <c r="N14" s="120" t="s">
        <v>52</v>
      </c>
      <c r="O14" s="121" t="s">
        <v>52</v>
      </c>
      <c r="P14" s="120" t="s">
        <v>52</v>
      </c>
      <c r="Q14" s="120" t="s">
        <v>52</v>
      </c>
      <c r="R14" s="121" t="s">
        <v>52</v>
      </c>
      <c r="S14" s="120" t="s">
        <v>52</v>
      </c>
      <c r="T14" s="120" t="s">
        <v>52</v>
      </c>
    </row>
    <row r="15" spans="1:20" x14ac:dyDescent="0.35">
      <c r="A15" s="119" t="s">
        <v>133</v>
      </c>
      <c r="B15" s="120" t="s">
        <v>51</v>
      </c>
      <c r="C15" s="121" t="s">
        <v>51</v>
      </c>
      <c r="D15" s="120" t="s">
        <v>51</v>
      </c>
      <c r="E15" s="120" t="s">
        <v>51</v>
      </c>
      <c r="F15" s="121" t="s">
        <v>51</v>
      </c>
      <c r="G15" s="120" t="s">
        <v>174</v>
      </c>
      <c r="H15" s="120" t="s">
        <v>189</v>
      </c>
      <c r="I15" s="121" t="s">
        <v>51</v>
      </c>
      <c r="J15" s="120" t="s">
        <v>51</v>
      </c>
      <c r="K15" s="120" t="s">
        <v>51</v>
      </c>
      <c r="L15" s="121" t="s">
        <v>51</v>
      </c>
      <c r="M15" s="120" t="s">
        <v>238</v>
      </c>
      <c r="N15" s="114" t="s">
        <v>250</v>
      </c>
      <c r="O15" s="122" t="s">
        <v>262</v>
      </c>
      <c r="P15" s="114" t="s">
        <v>274</v>
      </c>
      <c r="Q15" s="114" t="s">
        <v>285</v>
      </c>
      <c r="R15" s="122" t="s">
        <v>296</v>
      </c>
      <c r="S15" s="114" t="s">
        <v>51</v>
      </c>
      <c r="T15" s="120" t="s">
        <v>51</v>
      </c>
    </row>
    <row r="16" spans="1:20" x14ac:dyDescent="0.35">
      <c r="A16" s="113" t="s">
        <v>44</v>
      </c>
      <c r="B16" s="114" t="s">
        <v>53</v>
      </c>
      <c r="C16" s="122" t="s">
        <v>55</v>
      </c>
      <c r="D16" s="114" t="s">
        <v>148</v>
      </c>
      <c r="E16" s="120" t="s">
        <v>76</v>
      </c>
      <c r="F16" s="121" t="s">
        <v>78</v>
      </c>
      <c r="G16" s="120" t="s">
        <v>183</v>
      </c>
      <c r="H16" s="114" t="s">
        <v>197</v>
      </c>
      <c r="I16" s="122" t="s">
        <v>81</v>
      </c>
      <c r="J16" s="114" t="s">
        <v>213</v>
      </c>
      <c r="K16" s="114" t="s">
        <v>220</v>
      </c>
      <c r="L16" s="122" t="s">
        <v>228</v>
      </c>
      <c r="M16" s="122" t="s">
        <v>239</v>
      </c>
      <c r="N16" s="114" t="s">
        <v>251</v>
      </c>
      <c r="O16" s="122" t="s">
        <v>263</v>
      </c>
      <c r="P16" s="114" t="s">
        <v>96</v>
      </c>
      <c r="Q16" s="114" t="s">
        <v>99</v>
      </c>
      <c r="R16" s="122" t="s">
        <v>297</v>
      </c>
      <c r="S16" s="114" t="s">
        <v>310</v>
      </c>
      <c r="T16" s="114" t="s">
        <v>112</v>
      </c>
    </row>
    <row r="17" spans="1:20" x14ac:dyDescent="0.35">
      <c r="A17" s="113" t="s">
        <v>45</v>
      </c>
      <c r="B17" s="114" t="s">
        <v>136</v>
      </c>
      <c r="C17" s="122" t="s">
        <v>141</v>
      </c>
      <c r="D17" s="114" t="s">
        <v>149</v>
      </c>
      <c r="E17" s="114" t="s">
        <v>163</v>
      </c>
      <c r="F17" s="122" t="s">
        <v>170</v>
      </c>
      <c r="G17" s="114" t="s">
        <v>184</v>
      </c>
      <c r="H17" s="114" t="s">
        <v>198</v>
      </c>
      <c r="I17" s="122" t="s">
        <v>206</v>
      </c>
      <c r="J17" s="114" t="s">
        <v>214</v>
      </c>
      <c r="K17" s="120" t="s">
        <v>221</v>
      </c>
      <c r="L17" s="121" t="s">
        <v>229</v>
      </c>
      <c r="M17" s="121" t="s">
        <v>240</v>
      </c>
      <c r="N17" s="114" t="s">
        <v>252</v>
      </c>
      <c r="O17" s="122" t="s">
        <v>264</v>
      </c>
      <c r="P17" s="114" t="s">
        <v>275</v>
      </c>
      <c r="Q17" s="120" t="s">
        <v>286</v>
      </c>
      <c r="R17" s="121" t="s">
        <v>298</v>
      </c>
      <c r="S17" s="120" t="s">
        <v>311</v>
      </c>
      <c r="T17" s="114" t="s">
        <v>323</v>
      </c>
    </row>
    <row r="18" spans="1:20" x14ac:dyDescent="0.35">
      <c r="A18" s="113" t="s">
        <v>46</v>
      </c>
      <c r="B18" s="114" t="s">
        <v>137</v>
      </c>
      <c r="C18" s="122" t="s">
        <v>142</v>
      </c>
      <c r="D18" s="114" t="s">
        <v>150</v>
      </c>
      <c r="E18" s="114" t="s">
        <v>164</v>
      </c>
      <c r="F18" s="122" t="s">
        <v>171</v>
      </c>
      <c r="G18" s="114" t="s">
        <v>185</v>
      </c>
      <c r="H18" s="114" t="s">
        <v>199</v>
      </c>
      <c r="I18" s="122" t="s">
        <v>207</v>
      </c>
      <c r="J18" s="114" t="s">
        <v>215</v>
      </c>
      <c r="K18" s="114" t="s">
        <v>222</v>
      </c>
      <c r="L18" s="122" t="s">
        <v>230</v>
      </c>
      <c r="M18" s="114" t="s">
        <v>241</v>
      </c>
      <c r="N18" s="114" t="s">
        <v>253</v>
      </c>
      <c r="O18" s="122" t="s">
        <v>265</v>
      </c>
      <c r="P18" s="114" t="s">
        <v>276</v>
      </c>
      <c r="Q18" s="114" t="s">
        <v>287</v>
      </c>
      <c r="R18" s="122" t="s">
        <v>299</v>
      </c>
      <c r="S18" s="114" t="s">
        <v>312</v>
      </c>
      <c r="T18" s="122" t="s">
        <v>324</v>
      </c>
    </row>
    <row r="19" spans="1:20" x14ac:dyDescent="0.35">
      <c r="A19" s="119" t="s">
        <v>47</v>
      </c>
      <c r="B19" s="120" t="s">
        <v>52</v>
      </c>
      <c r="C19" s="121" t="s">
        <v>52</v>
      </c>
      <c r="D19" s="120" t="s">
        <v>52</v>
      </c>
      <c r="E19" s="120" t="s">
        <v>52</v>
      </c>
      <c r="F19" s="121" t="s">
        <v>52</v>
      </c>
      <c r="G19" s="120" t="s">
        <v>52</v>
      </c>
      <c r="H19" s="120" t="s">
        <v>52</v>
      </c>
      <c r="I19" s="121" t="s">
        <v>52</v>
      </c>
      <c r="J19" s="120" t="s">
        <v>52</v>
      </c>
      <c r="K19" s="120" t="s">
        <v>52</v>
      </c>
      <c r="L19" s="121" t="s">
        <v>52</v>
      </c>
      <c r="M19" s="120" t="s">
        <v>52</v>
      </c>
      <c r="N19" s="120" t="s">
        <v>52</v>
      </c>
      <c r="O19" s="121" t="s">
        <v>52</v>
      </c>
      <c r="P19" s="120" t="s">
        <v>52</v>
      </c>
      <c r="Q19" s="120" t="s">
        <v>52</v>
      </c>
      <c r="R19" s="121" t="s">
        <v>52</v>
      </c>
      <c r="S19" s="120" t="s">
        <v>52</v>
      </c>
      <c r="T19" s="120" t="s">
        <v>52</v>
      </c>
    </row>
    <row r="20" spans="1:20" x14ac:dyDescent="0.35">
      <c r="A20" s="115" t="s">
        <v>48</v>
      </c>
      <c r="B20" s="123" t="s">
        <v>51</v>
      </c>
      <c r="C20" s="124" t="s">
        <v>51</v>
      </c>
      <c r="D20" s="123" t="s">
        <v>51</v>
      </c>
      <c r="E20" s="123" t="s">
        <v>165</v>
      </c>
      <c r="F20" s="124" t="s">
        <v>172</v>
      </c>
      <c r="G20" s="124" t="s">
        <v>186</v>
      </c>
      <c r="H20" s="123" t="s">
        <v>200</v>
      </c>
      <c r="I20" s="124" t="s">
        <v>51</v>
      </c>
      <c r="J20" s="123" t="s">
        <v>51</v>
      </c>
      <c r="K20" s="123" t="s">
        <v>51</v>
      </c>
      <c r="L20" s="124" t="s">
        <v>231</v>
      </c>
      <c r="M20" s="123" t="s">
        <v>242</v>
      </c>
      <c r="N20" s="123" t="s">
        <v>254</v>
      </c>
      <c r="O20" s="124" t="s">
        <v>266</v>
      </c>
      <c r="P20" s="123" t="s">
        <v>277</v>
      </c>
      <c r="Q20" s="123" t="s">
        <v>288</v>
      </c>
      <c r="R20" s="124" t="s">
        <v>300</v>
      </c>
      <c r="S20" s="123" t="s">
        <v>313</v>
      </c>
      <c r="T20" s="123" t="s">
        <v>325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364FC-639A-4233-A8B6-F707634ADC1F}">
  <sheetPr codeName="Лист9">
    <tabColor theme="1"/>
  </sheetPr>
  <dimension ref="A1:AV49"/>
  <sheetViews>
    <sheetView tabSelected="1" workbookViewId="0">
      <selection activeCell="F26" sqref="F26"/>
    </sheetView>
  </sheetViews>
  <sheetFormatPr defaultRowHeight="21" x14ac:dyDescent="0.35"/>
  <sheetData>
    <row r="1" spans="1:48" x14ac:dyDescent="0.35">
      <c r="A1" s="127" t="s">
        <v>39</v>
      </c>
      <c r="B1" s="128"/>
      <c r="C1" s="128"/>
      <c r="D1" s="128"/>
      <c r="E1" s="127" t="s">
        <v>39</v>
      </c>
      <c r="F1" s="128"/>
      <c r="G1" s="128"/>
      <c r="H1" s="128"/>
      <c r="I1" s="127" t="s">
        <v>39</v>
      </c>
      <c r="J1" s="128"/>
      <c r="K1" s="128"/>
      <c r="L1" s="128"/>
      <c r="M1" s="127" t="s">
        <v>39</v>
      </c>
      <c r="N1" s="128"/>
      <c r="O1" s="128"/>
      <c r="P1" s="128"/>
      <c r="Q1" s="144" t="s">
        <v>432</v>
      </c>
      <c r="R1" s="128"/>
      <c r="S1" s="128"/>
      <c r="T1" s="128"/>
      <c r="U1" s="127" t="s">
        <v>39</v>
      </c>
      <c r="V1" s="128"/>
      <c r="W1" s="128"/>
      <c r="X1" s="128"/>
      <c r="Y1" s="127" t="s">
        <v>39</v>
      </c>
      <c r="Z1" s="128"/>
      <c r="AA1" s="128"/>
      <c r="AB1" s="128"/>
      <c r="AC1" s="127" t="s">
        <v>39</v>
      </c>
      <c r="AD1" s="128"/>
      <c r="AE1" s="128"/>
      <c r="AF1" s="128"/>
      <c r="AG1" s="127" t="s">
        <v>39</v>
      </c>
      <c r="AH1" s="128"/>
      <c r="AI1" s="128"/>
      <c r="AJ1" s="128"/>
      <c r="AK1" s="127" t="s">
        <v>39</v>
      </c>
      <c r="AL1" s="128"/>
      <c r="AM1" s="128"/>
      <c r="AN1" s="128"/>
      <c r="AO1" s="127" t="s">
        <v>39</v>
      </c>
      <c r="AP1" s="128"/>
      <c r="AQ1" s="128"/>
      <c r="AR1" s="128"/>
      <c r="AS1" s="127" t="s">
        <v>39</v>
      </c>
      <c r="AT1" s="128"/>
      <c r="AU1" s="128"/>
      <c r="AV1" s="128"/>
    </row>
    <row r="2" spans="1:48" x14ac:dyDescent="0.35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8"/>
    </row>
    <row r="3" spans="1:48" x14ac:dyDescent="0.35">
      <c r="A3" s="129" t="s">
        <v>40</v>
      </c>
      <c r="B3" s="128"/>
      <c r="C3" s="128"/>
      <c r="D3" s="128"/>
      <c r="E3" s="129" t="s">
        <v>40</v>
      </c>
      <c r="F3" s="128"/>
      <c r="G3" s="128"/>
      <c r="H3" s="128"/>
      <c r="I3" s="129" t="s">
        <v>40</v>
      </c>
      <c r="J3" s="128"/>
      <c r="K3" s="128"/>
      <c r="L3" s="128"/>
      <c r="M3" s="129" t="s">
        <v>40</v>
      </c>
      <c r="N3" s="128"/>
      <c r="O3" s="128"/>
      <c r="P3" s="128"/>
      <c r="Q3" s="129" t="s">
        <v>40</v>
      </c>
      <c r="R3" s="128"/>
      <c r="S3" s="128"/>
      <c r="T3" s="128"/>
      <c r="U3" s="129" t="s">
        <v>40</v>
      </c>
      <c r="V3" s="128"/>
      <c r="W3" s="128"/>
      <c r="X3" s="128"/>
      <c r="Y3" s="129" t="s">
        <v>40</v>
      </c>
      <c r="Z3" s="128"/>
      <c r="AA3" s="128"/>
      <c r="AB3" s="128"/>
      <c r="AC3" s="129" t="s">
        <v>40</v>
      </c>
      <c r="AD3" s="128"/>
      <c r="AE3" s="128"/>
      <c r="AF3" s="128"/>
      <c r="AG3" s="129" t="s">
        <v>40</v>
      </c>
      <c r="AH3" s="128"/>
      <c r="AI3" s="128"/>
      <c r="AJ3" s="128"/>
      <c r="AK3" s="129" t="s">
        <v>40</v>
      </c>
      <c r="AL3" s="128"/>
      <c r="AM3" s="128"/>
      <c r="AN3" s="128"/>
      <c r="AO3" s="129" t="s">
        <v>40</v>
      </c>
      <c r="AP3" s="128"/>
      <c r="AQ3" s="128"/>
      <c r="AR3" s="128"/>
      <c r="AS3" s="129" t="s">
        <v>40</v>
      </c>
      <c r="AT3" s="128"/>
      <c r="AU3" s="128"/>
      <c r="AV3" s="128"/>
    </row>
    <row r="4" spans="1:48" x14ac:dyDescent="0.35">
      <c r="A4" s="128"/>
      <c r="B4" s="128"/>
      <c r="C4" s="128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8"/>
      <c r="AK4" s="128"/>
      <c r="AL4" s="128"/>
      <c r="AM4" s="128"/>
      <c r="AN4" s="128"/>
      <c r="AO4" s="128"/>
      <c r="AP4" s="128"/>
      <c r="AQ4" s="128"/>
      <c r="AR4" s="128"/>
      <c r="AS4" s="128"/>
      <c r="AT4" s="128"/>
      <c r="AU4" s="128"/>
      <c r="AV4" s="128"/>
    </row>
    <row r="5" spans="1:48" ht="22.5" x14ac:dyDescent="0.35">
      <c r="A5" s="130" t="s">
        <v>348</v>
      </c>
      <c r="B5" s="131" t="s">
        <v>329</v>
      </c>
      <c r="C5" s="131" t="s">
        <v>334</v>
      </c>
      <c r="D5" s="131" t="s">
        <v>340</v>
      </c>
      <c r="E5" s="130" t="s">
        <v>348</v>
      </c>
      <c r="F5" s="131" t="s">
        <v>352</v>
      </c>
      <c r="G5" s="131" t="s">
        <v>358</v>
      </c>
      <c r="H5" s="131" t="s">
        <v>364</v>
      </c>
      <c r="I5" s="130" t="s">
        <v>348</v>
      </c>
      <c r="J5" s="131" t="s">
        <v>371</v>
      </c>
      <c r="K5" s="131" t="s">
        <v>377</v>
      </c>
      <c r="L5" s="131" t="s">
        <v>384</v>
      </c>
      <c r="M5" s="130" t="s">
        <v>348</v>
      </c>
      <c r="N5" s="131" t="s">
        <v>389</v>
      </c>
      <c r="O5" s="131" t="s">
        <v>396</v>
      </c>
      <c r="P5" s="131" t="s">
        <v>401</v>
      </c>
      <c r="Q5" s="129" t="s">
        <v>151</v>
      </c>
      <c r="R5" s="128"/>
      <c r="S5" s="128"/>
      <c r="T5" s="128"/>
      <c r="U5" s="132" t="s">
        <v>67</v>
      </c>
      <c r="V5" s="133" t="s">
        <v>433</v>
      </c>
      <c r="W5" s="145" t="s">
        <v>444</v>
      </c>
      <c r="X5" s="133" t="s">
        <v>82</v>
      </c>
      <c r="Y5" s="130" t="s">
        <v>348</v>
      </c>
      <c r="Z5" s="147" t="s">
        <v>464</v>
      </c>
      <c r="AA5" s="131" t="s">
        <v>476</v>
      </c>
      <c r="AB5" s="131" t="s">
        <v>487</v>
      </c>
      <c r="AC5" s="130" t="s">
        <v>348</v>
      </c>
      <c r="AD5" s="131" t="s">
        <v>499</v>
      </c>
      <c r="AE5" s="147" t="s">
        <v>511</v>
      </c>
      <c r="AF5" s="131" t="s">
        <v>523</v>
      </c>
      <c r="AG5" s="130" t="s">
        <v>348</v>
      </c>
      <c r="AH5" s="131" t="s">
        <v>534</v>
      </c>
      <c r="AI5" s="131" t="s">
        <v>545</v>
      </c>
      <c r="AJ5" s="131" t="s">
        <v>560</v>
      </c>
      <c r="AK5" s="130" t="s">
        <v>348</v>
      </c>
      <c r="AL5" s="131" t="s">
        <v>575</v>
      </c>
      <c r="AM5" s="131" t="s">
        <v>590</v>
      </c>
      <c r="AN5" s="147" t="s">
        <v>603</v>
      </c>
      <c r="AO5" s="130" t="s">
        <v>348</v>
      </c>
      <c r="AP5" s="131" t="s">
        <v>618</v>
      </c>
      <c r="AQ5" s="131" t="s">
        <v>632</v>
      </c>
      <c r="AR5" s="131" t="s">
        <v>643</v>
      </c>
      <c r="AS5" s="130" t="s">
        <v>348</v>
      </c>
      <c r="AT5" s="131" t="s">
        <v>655</v>
      </c>
      <c r="AU5" s="131" t="s">
        <v>667</v>
      </c>
      <c r="AV5" s="147" t="s">
        <v>678</v>
      </c>
    </row>
    <row r="6" spans="1:48" x14ac:dyDescent="0.35">
      <c r="A6" s="132" t="s">
        <v>152</v>
      </c>
      <c r="B6" s="133" t="s">
        <v>51</v>
      </c>
      <c r="C6" s="134" t="s">
        <v>51</v>
      </c>
      <c r="D6" s="134" t="s">
        <v>51</v>
      </c>
      <c r="E6" s="132" t="s">
        <v>152</v>
      </c>
      <c r="F6" s="133" t="s">
        <v>51</v>
      </c>
      <c r="G6" s="134" t="s">
        <v>51</v>
      </c>
      <c r="H6" s="134" t="s">
        <v>51</v>
      </c>
      <c r="I6" s="132" t="s">
        <v>152</v>
      </c>
      <c r="J6" s="133" t="s">
        <v>372</v>
      </c>
      <c r="K6" s="134" t="s">
        <v>51</v>
      </c>
      <c r="L6" s="134" t="s">
        <v>51</v>
      </c>
      <c r="M6" s="132" t="s">
        <v>152</v>
      </c>
      <c r="N6" s="133" t="s">
        <v>51</v>
      </c>
      <c r="O6" s="133" t="s">
        <v>51</v>
      </c>
      <c r="P6" s="134" t="s">
        <v>51</v>
      </c>
      <c r="Q6" s="128"/>
      <c r="R6" s="128"/>
      <c r="S6" s="128"/>
      <c r="T6" s="128"/>
      <c r="U6" s="141" t="s">
        <v>41</v>
      </c>
      <c r="V6" s="146" t="s">
        <v>50</v>
      </c>
      <c r="W6" s="146" t="s">
        <v>50</v>
      </c>
      <c r="X6" s="146" t="s">
        <v>50</v>
      </c>
      <c r="Y6" s="132" t="s">
        <v>152</v>
      </c>
      <c r="Z6" s="133" t="s">
        <v>51</v>
      </c>
      <c r="AA6" s="134" t="s">
        <v>477</v>
      </c>
      <c r="AB6" s="134" t="s">
        <v>488</v>
      </c>
      <c r="AC6" s="132" t="s">
        <v>152</v>
      </c>
      <c r="AD6" s="133" t="s">
        <v>51</v>
      </c>
      <c r="AE6" s="134" t="s">
        <v>512</v>
      </c>
      <c r="AF6" s="134" t="s">
        <v>524</v>
      </c>
      <c r="AG6" s="132" t="s">
        <v>152</v>
      </c>
      <c r="AH6" s="133" t="s">
        <v>135</v>
      </c>
      <c r="AI6" s="134" t="s">
        <v>135</v>
      </c>
      <c r="AJ6" s="134" t="s">
        <v>135</v>
      </c>
      <c r="AK6" s="132" t="s">
        <v>152</v>
      </c>
      <c r="AL6" s="133" t="s">
        <v>135</v>
      </c>
      <c r="AM6" s="134" t="s">
        <v>135</v>
      </c>
      <c r="AN6" s="134" t="s">
        <v>604</v>
      </c>
      <c r="AO6" s="132" t="s">
        <v>152</v>
      </c>
      <c r="AP6" s="133" t="s">
        <v>619</v>
      </c>
      <c r="AQ6" s="133" t="s">
        <v>633</v>
      </c>
      <c r="AR6" s="134" t="s">
        <v>644</v>
      </c>
      <c r="AS6" s="132" t="s">
        <v>152</v>
      </c>
      <c r="AT6" s="133" t="s">
        <v>656</v>
      </c>
      <c r="AU6" s="133" t="s">
        <v>668</v>
      </c>
      <c r="AV6" s="134" t="s">
        <v>679</v>
      </c>
    </row>
    <row r="7" spans="1:48" x14ac:dyDescent="0.35">
      <c r="A7" s="135" t="s">
        <v>42</v>
      </c>
      <c r="B7" s="136" t="s">
        <v>330</v>
      </c>
      <c r="C7" s="137" t="s">
        <v>335</v>
      </c>
      <c r="D7" s="137" t="s">
        <v>341</v>
      </c>
      <c r="E7" s="135" t="s">
        <v>42</v>
      </c>
      <c r="F7" s="136" t="s">
        <v>353</v>
      </c>
      <c r="G7" s="137" t="s">
        <v>359</v>
      </c>
      <c r="H7" s="137" t="s">
        <v>365</v>
      </c>
      <c r="I7" s="135" t="s">
        <v>42</v>
      </c>
      <c r="J7" s="136" t="s">
        <v>51</v>
      </c>
      <c r="K7" s="137" t="s">
        <v>378</v>
      </c>
      <c r="L7" s="137" t="s">
        <v>335</v>
      </c>
      <c r="M7" s="135" t="s">
        <v>42</v>
      </c>
      <c r="N7" s="136" t="s">
        <v>390</v>
      </c>
      <c r="O7" s="136" t="s">
        <v>390</v>
      </c>
      <c r="P7" s="136" t="s">
        <v>390</v>
      </c>
      <c r="Q7" s="129" t="s">
        <v>347</v>
      </c>
      <c r="R7" s="128"/>
      <c r="S7" s="128"/>
      <c r="T7" s="128"/>
      <c r="U7" s="132" t="s">
        <v>152</v>
      </c>
      <c r="V7" s="133" t="s">
        <v>51</v>
      </c>
      <c r="W7" s="134" t="s">
        <v>445</v>
      </c>
      <c r="X7" s="134" t="s">
        <v>224</v>
      </c>
      <c r="Y7" s="135" t="s">
        <v>42</v>
      </c>
      <c r="Z7" s="136" t="s">
        <v>465</v>
      </c>
      <c r="AA7" s="137" t="s">
        <v>51</v>
      </c>
      <c r="AB7" s="137" t="s">
        <v>51</v>
      </c>
      <c r="AC7" s="135" t="s">
        <v>42</v>
      </c>
      <c r="AD7" s="136" t="s">
        <v>500</v>
      </c>
      <c r="AE7" s="137" t="s">
        <v>513</v>
      </c>
      <c r="AF7" s="136" t="s">
        <v>525</v>
      </c>
      <c r="AG7" s="135" t="s">
        <v>42</v>
      </c>
      <c r="AH7" s="136" t="s">
        <v>535</v>
      </c>
      <c r="AI7" s="137" t="s">
        <v>535</v>
      </c>
      <c r="AJ7" s="137" t="s">
        <v>535</v>
      </c>
      <c r="AK7" s="135" t="s">
        <v>42</v>
      </c>
      <c r="AL7" s="136" t="s">
        <v>535</v>
      </c>
      <c r="AM7" s="137" t="s">
        <v>535</v>
      </c>
      <c r="AN7" s="136" t="s">
        <v>605</v>
      </c>
      <c r="AO7" s="135" t="s">
        <v>42</v>
      </c>
      <c r="AP7" s="136" t="s">
        <v>189</v>
      </c>
      <c r="AQ7" s="136" t="s">
        <v>189</v>
      </c>
      <c r="AR7" s="136" t="s">
        <v>189</v>
      </c>
      <c r="AS7" s="135" t="s">
        <v>42</v>
      </c>
      <c r="AT7" s="136" t="s">
        <v>189</v>
      </c>
      <c r="AU7" s="136" t="s">
        <v>189</v>
      </c>
      <c r="AV7" s="136" t="s">
        <v>189</v>
      </c>
    </row>
    <row r="8" spans="1:48" x14ac:dyDescent="0.35">
      <c r="A8" s="135" t="s">
        <v>68</v>
      </c>
      <c r="B8" s="136" t="s">
        <v>135</v>
      </c>
      <c r="C8" s="137" t="s">
        <v>135</v>
      </c>
      <c r="D8" s="137" t="s">
        <v>135</v>
      </c>
      <c r="E8" s="135" t="s">
        <v>68</v>
      </c>
      <c r="F8" s="136" t="s">
        <v>135</v>
      </c>
      <c r="G8" s="137" t="s">
        <v>135</v>
      </c>
      <c r="H8" s="137" t="s">
        <v>135</v>
      </c>
      <c r="I8" s="135" t="s">
        <v>68</v>
      </c>
      <c r="J8" s="136" t="s">
        <v>135</v>
      </c>
      <c r="K8" s="137" t="s">
        <v>135</v>
      </c>
      <c r="L8" s="137" t="s">
        <v>135</v>
      </c>
      <c r="M8" s="135" t="s">
        <v>68</v>
      </c>
      <c r="N8" s="136" t="s">
        <v>135</v>
      </c>
      <c r="O8" s="137" t="s">
        <v>135</v>
      </c>
      <c r="P8" s="137" t="s">
        <v>135</v>
      </c>
      <c r="Q8" s="128"/>
      <c r="R8" s="128"/>
      <c r="S8" s="128"/>
      <c r="T8" s="128"/>
      <c r="U8" s="135" t="s">
        <v>42</v>
      </c>
      <c r="V8" s="136" t="s">
        <v>434</v>
      </c>
      <c r="W8" s="137" t="s">
        <v>51</v>
      </c>
      <c r="X8" s="137" t="s">
        <v>51</v>
      </c>
      <c r="Y8" s="135" t="s">
        <v>68</v>
      </c>
      <c r="Z8" s="136" t="s">
        <v>135</v>
      </c>
      <c r="AA8" s="137" t="s">
        <v>135</v>
      </c>
      <c r="AB8" s="137" t="s">
        <v>135</v>
      </c>
      <c r="AC8" s="135" t="s">
        <v>68</v>
      </c>
      <c r="AD8" s="136" t="s">
        <v>135</v>
      </c>
      <c r="AE8" s="137" t="s">
        <v>135</v>
      </c>
      <c r="AF8" s="137" t="s">
        <v>135</v>
      </c>
      <c r="AG8" s="138" t="s">
        <v>68</v>
      </c>
      <c r="AH8" s="139" t="s">
        <v>536</v>
      </c>
      <c r="AI8" s="140" t="s">
        <v>546</v>
      </c>
      <c r="AJ8" s="140" t="s">
        <v>561</v>
      </c>
      <c r="AK8" s="135" t="s">
        <v>68</v>
      </c>
      <c r="AL8" s="136" t="s">
        <v>576</v>
      </c>
      <c r="AM8" s="137" t="s">
        <v>51</v>
      </c>
      <c r="AN8" s="137" t="s">
        <v>51</v>
      </c>
      <c r="AO8" s="135" t="s">
        <v>68</v>
      </c>
      <c r="AP8" s="136" t="s">
        <v>51</v>
      </c>
      <c r="AQ8" s="137" t="s">
        <v>51</v>
      </c>
      <c r="AR8" s="137" t="s">
        <v>51</v>
      </c>
      <c r="AS8" s="135" t="s">
        <v>68</v>
      </c>
      <c r="AT8" s="136" t="s">
        <v>51</v>
      </c>
      <c r="AU8" s="137" t="s">
        <v>51</v>
      </c>
      <c r="AV8" s="137" t="s">
        <v>51</v>
      </c>
    </row>
    <row r="9" spans="1:48" x14ac:dyDescent="0.35">
      <c r="A9" s="135" t="s">
        <v>43</v>
      </c>
      <c r="B9" s="136" t="s">
        <v>51</v>
      </c>
      <c r="C9" s="137" t="s">
        <v>51</v>
      </c>
      <c r="D9" s="137" t="s">
        <v>51</v>
      </c>
      <c r="E9" s="135" t="s">
        <v>43</v>
      </c>
      <c r="F9" s="136" t="s">
        <v>51</v>
      </c>
      <c r="G9" s="137" t="s">
        <v>51</v>
      </c>
      <c r="H9" s="137" t="s">
        <v>51</v>
      </c>
      <c r="I9" s="135" t="s">
        <v>43</v>
      </c>
      <c r="J9" s="136" t="s">
        <v>51</v>
      </c>
      <c r="K9" s="137" t="s">
        <v>51</v>
      </c>
      <c r="L9" s="137" t="s">
        <v>51</v>
      </c>
      <c r="M9" s="135" t="s">
        <v>43</v>
      </c>
      <c r="N9" s="136" t="s">
        <v>51</v>
      </c>
      <c r="O9" s="137" t="s">
        <v>51</v>
      </c>
      <c r="P9" s="137" t="s">
        <v>51</v>
      </c>
      <c r="Q9" s="129" t="s">
        <v>57</v>
      </c>
      <c r="R9" s="128"/>
      <c r="S9" s="128"/>
      <c r="T9" s="128"/>
      <c r="U9" s="135" t="s">
        <v>68</v>
      </c>
      <c r="V9" s="136" t="s">
        <v>135</v>
      </c>
      <c r="W9" s="137" t="s">
        <v>135</v>
      </c>
      <c r="X9" s="137" t="s">
        <v>454</v>
      </c>
      <c r="Y9" s="135" t="s">
        <v>43</v>
      </c>
      <c r="Z9" s="136" t="s">
        <v>51</v>
      </c>
      <c r="AA9" s="137" t="s">
        <v>51</v>
      </c>
      <c r="AB9" s="137" t="s">
        <v>489</v>
      </c>
      <c r="AC9" s="135" t="s">
        <v>43</v>
      </c>
      <c r="AD9" s="136" t="s">
        <v>51</v>
      </c>
      <c r="AE9" s="137" t="s">
        <v>51</v>
      </c>
      <c r="AF9" s="137" t="s">
        <v>51</v>
      </c>
      <c r="AG9" s="135" t="s">
        <v>43</v>
      </c>
      <c r="AH9" s="136" t="s">
        <v>51</v>
      </c>
      <c r="AI9" s="137" t="s">
        <v>547</v>
      </c>
      <c r="AJ9" s="137" t="s">
        <v>562</v>
      </c>
      <c r="AK9" s="138" t="s">
        <v>43</v>
      </c>
      <c r="AL9" s="139" t="s">
        <v>577</v>
      </c>
      <c r="AM9" s="140" t="s">
        <v>591</v>
      </c>
      <c r="AN9" s="140" t="s">
        <v>606</v>
      </c>
      <c r="AO9" s="138" t="s">
        <v>43</v>
      </c>
      <c r="AP9" s="139" t="s">
        <v>620</v>
      </c>
      <c r="AQ9" s="140" t="s">
        <v>634</v>
      </c>
      <c r="AR9" s="139" t="s">
        <v>645</v>
      </c>
      <c r="AS9" s="135" t="s">
        <v>43</v>
      </c>
      <c r="AT9" s="136" t="s">
        <v>657</v>
      </c>
      <c r="AU9" s="137" t="s">
        <v>135</v>
      </c>
      <c r="AV9" s="137" t="s">
        <v>135</v>
      </c>
    </row>
    <row r="10" spans="1:48" x14ac:dyDescent="0.35">
      <c r="A10" s="135" t="s">
        <v>326</v>
      </c>
      <c r="B10" s="136" t="s">
        <v>51</v>
      </c>
      <c r="C10" s="137" t="s">
        <v>51</v>
      </c>
      <c r="D10" s="137" t="s">
        <v>51</v>
      </c>
      <c r="E10" s="135" t="s">
        <v>326</v>
      </c>
      <c r="F10" s="136" t="s">
        <v>51</v>
      </c>
      <c r="G10" s="137" t="s">
        <v>51</v>
      </c>
      <c r="H10" s="137" t="s">
        <v>51</v>
      </c>
      <c r="I10" s="135" t="s">
        <v>326</v>
      </c>
      <c r="J10" s="136" t="s">
        <v>51</v>
      </c>
      <c r="K10" s="137" t="s">
        <v>51</v>
      </c>
      <c r="L10" s="137" t="s">
        <v>51</v>
      </c>
      <c r="M10" s="135" t="s">
        <v>326</v>
      </c>
      <c r="N10" s="136" t="s">
        <v>51</v>
      </c>
      <c r="O10" s="137" t="s">
        <v>51</v>
      </c>
      <c r="P10" s="137" t="s">
        <v>51</v>
      </c>
      <c r="Q10" s="129" t="s">
        <v>58</v>
      </c>
      <c r="R10" s="128"/>
      <c r="S10" s="128"/>
      <c r="T10" s="128"/>
      <c r="U10" s="135" t="s">
        <v>43</v>
      </c>
      <c r="V10" s="136" t="s">
        <v>51</v>
      </c>
      <c r="W10" s="137" t="s">
        <v>51</v>
      </c>
      <c r="X10" s="137" t="s">
        <v>51</v>
      </c>
      <c r="Y10" s="135" t="s">
        <v>326</v>
      </c>
      <c r="Z10" s="136" t="s">
        <v>51</v>
      </c>
      <c r="AA10" s="137" t="s">
        <v>51</v>
      </c>
      <c r="AB10" s="137" t="s">
        <v>51</v>
      </c>
      <c r="AC10" s="135" t="s">
        <v>326</v>
      </c>
      <c r="AD10" s="136" t="s">
        <v>51</v>
      </c>
      <c r="AE10" s="137" t="s">
        <v>51</v>
      </c>
      <c r="AF10" s="137" t="s">
        <v>51</v>
      </c>
      <c r="AG10" s="135" t="s">
        <v>326</v>
      </c>
      <c r="AH10" s="136" t="s">
        <v>51</v>
      </c>
      <c r="AI10" s="137" t="s">
        <v>548</v>
      </c>
      <c r="AJ10" s="137" t="s">
        <v>563</v>
      </c>
      <c r="AK10" s="135" t="s">
        <v>326</v>
      </c>
      <c r="AL10" s="136" t="s">
        <v>578</v>
      </c>
      <c r="AM10" s="137" t="s">
        <v>51</v>
      </c>
      <c r="AN10" s="137" t="s">
        <v>51</v>
      </c>
      <c r="AO10" s="138" t="s">
        <v>326</v>
      </c>
      <c r="AP10" s="139" t="s">
        <v>621</v>
      </c>
      <c r="AQ10" s="140" t="s">
        <v>635</v>
      </c>
      <c r="AR10" s="140" t="s">
        <v>646</v>
      </c>
      <c r="AS10" s="138" t="s">
        <v>326</v>
      </c>
      <c r="AT10" s="139" t="s">
        <v>658</v>
      </c>
      <c r="AU10" s="140" t="s">
        <v>669</v>
      </c>
      <c r="AV10" s="140" t="s">
        <v>680</v>
      </c>
    </row>
    <row r="11" spans="1:48" x14ac:dyDescent="0.35">
      <c r="A11" s="135" t="s">
        <v>4</v>
      </c>
      <c r="B11" s="136" t="s">
        <v>51</v>
      </c>
      <c r="C11" s="137" t="s">
        <v>51</v>
      </c>
      <c r="D11" s="137" t="s">
        <v>51</v>
      </c>
      <c r="E11" s="135" t="s">
        <v>4</v>
      </c>
      <c r="F11" s="136" t="s">
        <v>51</v>
      </c>
      <c r="G11" s="137" t="s">
        <v>51</v>
      </c>
      <c r="H11" s="137" t="s">
        <v>51</v>
      </c>
      <c r="I11" s="135" t="s">
        <v>4</v>
      </c>
      <c r="J11" s="136" t="s">
        <v>51</v>
      </c>
      <c r="K11" s="137" t="s">
        <v>51</v>
      </c>
      <c r="L11" s="137" t="s">
        <v>51</v>
      </c>
      <c r="M11" s="135" t="s">
        <v>4</v>
      </c>
      <c r="N11" s="136" t="s">
        <v>51</v>
      </c>
      <c r="O11" s="137" t="s">
        <v>51</v>
      </c>
      <c r="P11" s="137" t="s">
        <v>51</v>
      </c>
      <c r="Q11" s="128"/>
      <c r="R11" s="128"/>
      <c r="S11" s="128"/>
      <c r="T11" s="128"/>
      <c r="U11" s="135" t="s">
        <v>326</v>
      </c>
      <c r="V11" s="136" t="s">
        <v>51</v>
      </c>
      <c r="W11" s="137" t="s">
        <v>51</v>
      </c>
      <c r="X11" s="137" t="s">
        <v>51</v>
      </c>
      <c r="Y11" s="135" t="s">
        <v>4</v>
      </c>
      <c r="Z11" s="136" t="s">
        <v>466</v>
      </c>
      <c r="AA11" s="137" t="s">
        <v>478</v>
      </c>
      <c r="AB11" s="137" t="s">
        <v>490</v>
      </c>
      <c r="AC11" s="138" t="s">
        <v>4</v>
      </c>
      <c r="AD11" s="139" t="s">
        <v>501</v>
      </c>
      <c r="AE11" s="140" t="s">
        <v>514</v>
      </c>
      <c r="AF11" s="140" t="s">
        <v>526</v>
      </c>
      <c r="AG11" s="138" t="s">
        <v>4</v>
      </c>
      <c r="AH11" s="139" t="s">
        <v>537</v>
      </c>
      <c r="AI11" s="140" t="s">
        <v>549</v>
      </c>
      <c r="AJ11" s="140" t="s">
        <v>564</v>
      </c>
      <c r="AK11" s="138" t="s">
        <v>4</v>
      </c>
      <c r="AL11" s="139" t="s">
        <v>579</v>
      </c>
      <c r="AM11" s="140" t="s">
        <v>592</v>
      </c>
      <c r="AN11" s="139" t="s">
        <v>607</v>
      </c>
      <c r="AO11" s="138" t="s">
        <v>4</v>
      </c>
      <c r="AP11" s="139" t="s">
        <v>622</v>
      </c>
      <c r="AQ11" s="140" t="s">
        <v>100</v>
      </c>
      <c r="AR11" s="139" t="s">
        <v>103</v>
      </c>
      <c r="AS11" s="138" t="s">
        <v>4</v>
      </c>
      <c r="AT11" s="139" t="s">
        <v>106</v>
      </c>
      <c r="AU11" s="140" t="s">
        <v>670</v>
      </c>
      <c r="AV11" s="140" t="s">
        <v>111</v>
      </c>
    </row>
    <row r="12" spans="1:48" x14ac:dyDescent="0.35">
      <c r="A12" s="135" t="s">
        <v>349</v>
      </c>
      <c r="B12" s="136" t="s">
        <v>51</v>
      </c>
      <c r="C12" s="137" t="s">
        <v>51</v>
      </c>
      <c r="D12" s="137" t="s">
        <v>51</v>
      </c>
      <c r="E12" s="135" t="s">
        <v>349</v>
      </c>
      <c r="F12" s="136" t="s">
        <v>51</v>
      </c>
      <c r="G12" s="137" t="s">
        <v>51</v>
      </c>
      <c r="H12" s="137" t="s">
        <v>51</v>
      </c>
      <c r="I12" s="135" t="s">
        <v>349</v>
      </c>
      <c r="J12" s="136" t="s">
        <v>51</v>
      </c>
      <c r="K12" s="137" t="s">
        <v>51</v>
      </c>
      <c r="L12" s="137" t="s">
        <v>51</v>
      </c>
      <c r="M12" s="135" t="s">
        <v>349</v>
      </c>
      <c r="N12" s="136" t="s">
        <v>51</v>
      </c>
      <c r="O12" s="137" t="s">
        <v>51</v>
      </c>
      <c r="P12" s="137" t="s">
        <v>51</v>
      </c>
      <c r="Q12" s="132" t="s">
        <v>67</v>
      </c>
      <c r="R12" s="145" t="s">
        <v>77</v>
      </c>
      <c r="S12" s="133" t="s">
        <v>80</v>
      </c>
      <c r="T12" s="145" t="s">
        <v>422</v>
      </c>
      <c r="U12" s="138" t="s">
        <v>4</v>
      </c>
      <c r="V12" s="139" t="s">
        <v>435</v>
      </c>
      <c r="W12" s="140" t="s">
        <v>446</v>
      </c>
      <c r="X12" s="140" t="s">
        <v>455</v>
      </c>
      <c r="Y12" s="138" t="s">
        <v>349</v>
      </c>
      <c r="Z12" s="139" t="s">
        <v>467</v>
      </c>
      <c r="AA12" s="140" t="s">
        <v>479</v>
      </c>
      <c r="AB12" s="140" t="s">
        <v>491</v>
      </c>
      <c r="AC12" s="138" t="s">
        <v>349</v>
      </c>
      <c r="AD12" s="139" t="s">
        <v>502</v>
      </c>
      <c r="AE12" s="140" t="s">
        <v>515</v>
      </c>
      <c r="AF12" s="140" t="s">
        <v>527</v>
      </c>
      <c r="AG12" s="135" t="s">
        <v>349</v>
      </c>
      <c r="AH12" s="136" t="s">
        <v>538</v>
      </c>
      <c r="AI12" s="137" t="s">
        <v>550</v>
      </c>
      <c r="AJ12" s="137" t="s">
        <v>565</v>
      </c>
      <c r="AK12" s="135" t="s">
        <v>349</v>
      </c>
      <c r="AL12" s="136" t="s">
        <v>580</v>
      </c>
      <c r="AM12" s="137" t="s">
        <v>593</v>
      </c>
      <c r="AN12" s="137" t="s">
        <v>608</v>
      </c>
      <c r="AO12" s="138" t="s">
        <v>349</v>
      </c>
      <c r="AP12" s="139" t="s">
        <v>623</v>
      </c>
      <c r="AQ12" s="140" t="s">
        <v>636</v>
      </c>
      <c r="AR12" s="139" t="s">
        <v>647</v>
      </c>
      <c r="AS12" s="138" t="s">
        <v>349</v>
      </c>
      <c r="AT12" s="139" t="s">
        <v>659</v>
      </c>
      <c r="AU12" s="140" t="s">
        <v>671</v>
      </c>
      <c r="AV12" s="139" t="s">
        <v>681</v>
      </c>
    </row>
    <row r="13" spans="1:48" x14ac:dyDescent="0.35">
      <c r="A13" s="135" t="s">
        <v>69</v>
      </c>
      <c r="B13" s="136" t="s">
        <v>51</v>
      </c>
      <c r="C13" s="137" t="s">
        <v>51</v>
      </c>
      <c r="D13" s="137" t="s">
        <v>51</v>
      </c>
      <c r="E13" s="135" t="s">
        <v>69</v>
      </c>
      <c r="F13" s="136" t="s">
        <v>51</v>
      </c>
      <c r="G13" s="137" t="s">
        <v>51</v>
      </c>
      <c r="H13" s="137" t="s">
        <v>51</v>
      </c>
      <c r="I13" s="135" t="s">
        <v>69</v>
      </c>
      <c r="J13" s="136" t="s">
        <v>373</v>
      </c>
      <c r="K13" s="137" t="s">
        <v>51</v>
      </c>
      <c r="L13" s="137" t="s">
        <v>51</v>
      </c>
      <c r="M13" s="135" t="s">
        <v>69</v>
      </c>
      <c r="N13" s="136" t="s">
        <v>51</v>
      </c>
      <c r="O13" s="137" t="s">
        <v>397</v>
      </c>
      <c r="P13" s="137" t="s">
        <v>402</v>
      </c>
      <c r="Q13" s="141" t="s">
        <v>41</v>
      </c>
      <c r="R13" s="146" t="s">
        <v>50</v>
      </c>
      <c r="S13" s="146" t="s">
        <v>50</v>
      </c>
      <c r="T13" s="146" t="s">
        <v>50</v>
      </c>
      <c r="U13" s="138" t="s">
        <v>349</v>
      </c>
      <c r="V13" s="139" t="s">
        <v>436</v>
      </c>
      <c r="W13" s="140" t="s">
        <v>447</v>
      </c>
      <c r="X13" s="140" t="s">
        <v>456</v>
      </c>
      <c r="Y13" s="138" t="s">
        <v>69</v>
      </c>
      <c r="Z13" s="139" t="s">
        <v>468</v>
      </c>
      <c r="AA13" s="140" t="s">
        <v>480</v>
      </c>
      <c r="AB13" s="140" t="s">
        <v>492</v>
      </c>
      <c r="AC13" s="138" t="s">
        <v>69</v>
      </c>
      <c r="AD13" s="139" t="s">
        <v>503</v>
      </c>
      <c r="AE13" s="140" t="s">
        <v>516</v>
      </c>
      <c r="AF13" s="140" t="s">
        <v>528</v>
      </c>
      <c r="AG13" s="138" t="s">
        <v>69</v>
      </c>
      <c r="AH13" s="139" t="s">
        <v>539</v>
      </c>
      <c r="AI13" s="140" t="s">
        <v>551</v>
      </c>
      <c r="AJ13" s="140" t="s">
        <v>566</v>
      </c>
      <c r="AK13" s="138" t="s">
        <v>69</v>
      </c>
      <c r="AL13" s="139" t="s">
        <v>581</v>
      </c>
      <c r="AM13" s="140" t="s">
        <v>594</v>
      </c>
      <c r="AN13" s="140" t="s">
        <v>609</v>
      </c>
      <c r="AO13" s="138" t="s">
        <v>69</v>
      </c>
      <c r="AP13" s="139" t="s">
        <v>624</v>
      </c>
      <c r="AQ13" s="140" t="s">
        <v>637</v>
      </c>
      <c r="AR13" s="140" t="s">
        <v>648</v>
      </c>
      <c r="AS13" s="138" t="s">
        <v>69</v>
      </c>
      <c r="AT13" s="139" t="s">
        <v>660</v>
      </c>
      <c r="AU13" s="140" t="s">
        <v>672</v>
      </c>
      <c r="AV13" s="140" t="s">
        <v>682</v>
      </c>
    </row>
    <row r="14" spans="1:48" x14ac:dyDescent="0.35">
      <c r="A14" s="135" t="s">
        <v>158</v>
      </c>
      <c r="B14" s="136" t="s">
        <v>51</v>
      </c>
      <c r="C14" s="137" t="s">
        <v>336</v>
      </c>
      <c r="D14" s="137" t="s">
        <v>342</v>
      </c>
      <c r="E14" s="138" t="s">
        <v>158</v>
      </c>
      <c r="F14" s="139" t="s">
        <v>354</v>
      </c>
      <c r="G14" s="140" t="s">
        <v>360</v>
      </c>
      <c r="H14" s="140" t="s">
        <v>366</v>
      </c>
      <c r="I14" s="135" t="s">
        <v>158</v>
      </c>
      <c r="J14" s="136" t="s">
        <v>51</v>
      </c>
      <c r="K14" s="137" t="s">
        <v>379</v>
      </c>
      <c r="L14" s="137" t="s">
        <v>385</v>
      </c>
      <c r="M14" s="138" t="s">
        <v>158</v>
      </c>
      <c r="N14" s="139" t="s">
        <v>391</v>
      </c>
      <c r="O14" s="140" t="s">
        <v>398</v>
      </c>
      <c r="P14" s="140" t="s">
        <v>403</v>
      </c>
      <c r="Q14" s="132" t="s">
        <v>152</v>
      </c>
      <c r="R14" s="133" t="s">
        <v>51</v>
      </c>
      <c r="S14" s="134" t="s">
        <v>51</v>
      </c>
      <c r="T14" s="134" t="s">
        <v>51</v>
      </c>
      <c r="U14" s="138" t="s">
        <v>69</v>
      </c>
      <c r="V14" s="139" t="s">
        <v>437</v>
      </c>
      <c r="W14" s="140" t="s">
        <v>448</v>
      </c>
      <c r="X14" s="140" t="s">
        <v>457</v>
      </c>
      <c r="Y14" s="138" t="s">
        <v>158</v>
      </c>
      <c r="Z14" s="139" t="s">
        <v>469</v>
      </c>
      <c r="AA14" s="140" t="s">
        <v>481</v>
      </c>
      <c r="AB14" s="140" t="s">
        <v>493</v>
      </c>
      <c r="AC14" s="138" t="s">
        <v>158</v>
      </c>
      <c r="AD14" s="139" t="s">
        <v>504</v>
      </c>
      <c r="AE14" s="140" t="s">
        <v>517</v>
      </c>
      <c r="AF14" s="140" t="s">
        <v>529</v>
      </c>
      <c r="AG14" s="138" t="s">
        <v>158</v>
      </c>
      <c r="AH14" s="139" t="s">
        <v>540</v>
      </c>
      <c r="AI14" s="140" t="s">
        <v>552</v>
      </c>
      <c r="AJ14" s="140" t="s">
        <v>567</v>
      </c>
      <c r="AK14" s="138" t="s">
        <v>158</v>
      </c>
      <c r="AL14" s="139" t="s">
        <v>582</v>
      </c>
      <c r="AM14" s="140" t="s">
        <v>595</v>
      </c>
      <c r="AN14" s="139" t="s">
        <v>610</v>
      </c>
      <c r="AO14" s="138" t="s">
        <v>158</v>
      </c>
      <c r="AP14" s="139" t="s">
        <v>625</v>
      </c>
      <c r="AQ14" s="140" t="s">
        <v>638</v>
      </c>
      <c r="AR14" s="140" t="s">
        <v>649</v>
      </c>
      <c r="AS14" s="138" t="s">
        <v>158</v>
      </c>
      <c r="AT14" s="139" t="s">
        <v>661</v>
      </c>
      <c r="AU14" s="140" t="s">
        <v>673</v>
      </c>
      <c r="AV14" s="140" t="s">
        <v>683</v>
      </c>
    </row>
    <row r="15" spans="1:48" x14ac:dyDescent="0.35">
      <c r="A15" s="135" t="s">
        <v>2</v>
      </c>
      <c r="B15" s="136" t="s">
        <v>51</v>
      </c>
      <c r="C15" s="137" t="s">
        <v>51</v>
      </c>
      <c r="D15" s="137" t="s">
        <v>51</v>
      </c>
      <c r="E15" s="135" t="s">
        <v>2</v>
      </c>
      <c r="F15" s="136" t="s">
        <v>51</v>
      </c>
      <c r="G15" s="137" t="s">
        <v>51</v>
      </c>
      <c r="H15" s="136" t="s">
        <v>367</v>
      </c>
      <c r="I15" s="135" t="s">
        <v>2</v>
      </c>
      <c r="J15" s="136" t="s">
        <v>51</v>
      </c>
      <c r="K15" s="137" t="s">
        <v>380</v>
      </c>
      <c r="L15" s="137" t="s">
        <v>386</v>
      </c>
      <c r="M15" s="138" t="s">
        <v>2</v>
      </c>
      <c r="N15" s="139" t="s">
        <v>392</v>
      </c>
      <c r="O15" s="140" t="s">
        <v>399</v>
      </c>
      <c r="P15" s="139" t="s">
        <v>404</v>
      </c>
      <c r="Q15" s="135" t="s">
        <v>42</v>
      </c>
      <c r="R15" s="136" t="s">
        <v>407</v>
      </c>
      <c r="S15" s="137" t="s">
        <v>415</v>
      </c>
      <c r="T15" s="137" t="s">
        <v>423</v>
      </c>
      <c r="U15" s="138" t="s">
        <v>158</v>
      </c>
      <c r="V15" s="139" t="s">
        <v>438</v>
      </c>
      <c r="W15" s="140" t="s">
        <v>449</v>
      </c>
      <c r="X15" s="140" t="s">
        <v>458</v>
      </c>
      <c r="Y15" s="138" t="s">
        <v>2</v>
      </c>
      <c r="Z15" s="139" t="s">
        <v>470</v>
      </c>
      <c r="AA15" s="140" t="s">
        <v>482</v>
      </c>
      <c r="AB15" s="140" t="s">
        <v>494</v>
      </c>
      <c r="AC15" s="138" t="s">
        <v>2</v>
      </c>
      <c r="AD15" s="139" t="s">
        <v>505</v>
      </c>
      <c r="AE15" s="140" t="s">
        <v>518</v>
      </c>
      <c r="AF15" s="140" t="s">
        <v>530</v>
      </c>
      <c r="AG15" s="138" t="s">
        <v>2</v>
      </c>
      <c r="AH15" s="139" t="s">
        <v>541</v>
      </c>
      <c r="AI15" s="140" t="s">
        <v>553</v>
      </c>
      <c r="AJ15" s="140" t="s">
        <v>568</v>
      </c>
      <c r="AK15" s="138" t="s">
        <v>2</v>
      </c>
      <c r="AL15" s="139" t="s">
        <v>583</v>
      </c>
      <c r="AM15" s="140" t="s">
        <v>596</v>
      </c>
      <c r="AN15" s="140" t="s">
        <v>611</v>
      </c>
      <c r="AO15" s="138" t="s">
        <v>2</v>
      </c>
      <c r="AP15" s="139" t="s">
        <v>626</v>
      </c>
      <c r="AQ15" s="140" t="s">
        <v>639</v>
      </c>
      <c r="AR15" s="140" t="s">
        <v>650</v>
      </c>
      <c r="AS15" s="135" t="s">
        <v>2</v>
      </c>
      <c r="AT15" s="136" t="s">
        <v>662</v>
      </c>
      <c r="AU15" s="137" t="s">
        <v>674</v>
      </c>
      <c r="AV15" s="137" t="s">
        <v>684</v>
      </c>
    </row>
    <row r="16" spans="1:48" x14ac:dyDescent="0.35">
      <c r="A16" s="135" t="s">
        <v>1</v>
      </c>
      <c r="B16" s="136" t="s">
        <v>52</v>
      </c>
      <c r="C16" s="137" t="s">
        <v>52</v>
      </c>
      <c r="D16" s="137" t="s">
        <v>52</v>
      </c>
      <c r="E16" s="135" t="s">
        <v>1</v>
      </c>
      <c r="F16" s="136" t="s">
        <v>52</v>
      </c>
      <c r="G16" s="137" t="s">
        <v>52</v>
      </c>
      <c r="H16" s="137" t="s">
        <v>52</v>
      </c>
      <c r="I16" s="135" t="s">
        <v>1</v>
      </c>
      <c r="J16" s="136" t="s">
        <v>52</v>
      </c>
      <c r="K16" s="137" t="s">
        <v>52</v>
      </c>
      <c r="L16" s="137" t="s">
        <v>52</v>
      </c>
      <c r="M16" s="135" t="s">
        <v>1</v>
      </c>
      <c r="N16" s="136" t="s">
        <v>52</v>
      </c>
      <c r="O16" s="137" t="s">
        <v>52</v>
      </c>
      <c r="P16" s="137" t="s">
        <v>52</v>
      </c>
      <c r="Q16" s="135" t="s">
        <v>68</v>
      </c>
      <c r="R16" s="136" t="s">
        <v>135</v>
      </c>
      <c r="S16" s="137" t="s">
        <v>135</v>
      </c>
      <c r="T16" s="137" t="s">
        <v>135</v>
      </c>
      <c r="U16" s="138" t="s">
        <v>2</v>
      </c>
      <c r="V16" s="139" t="s">
        <v>439</v>
      </c>
      <c r="W16" s="140" t="s">
        <v>450</v>
      </c>
      <c r="X16" s="140" t="s">
        <v>459</v>
      </c>
      <c r="Y16" s="135" t="s">
        <v>1</v>
      </c>
      <c r="Z16" s="136" t="s">
        <v>52</v>
      </c>
      <c r="AA16" s="137" t="s">
        <v>52</v>
      </c>
      <c r="AB16" s="137" t="s">
        <v>52</v>
      </c>
      <c r="AC16" s="135" t="s">
        <v>1</v>
      </c>
      <c r="AD16" s="136" t="s">
        <v>52</v>
      </c>
      <c r="AE16" s="137" t="s">
        <v>52</v>
      </c>
      <c r="AF16" s="137" t="s">
        <v>52</v>
      </c>
      <c r="AG16" s="135" t="s">
        <v>1</v>
      </c>
      <c r="AH16" s="136" t="s">
        <v>52</v>
      </c>
      <c r="AI16" s="137" t="s">
        <v>52</v>
      </c>
      <c r="AJ16" s="137" t="s">
        <v>52</v>
      </c>
      <c r="AK16" s="135" t="s">
        <v>1</v>
      </c>
      <c r="AL16" s="136" t="s">
        <v>52</v>
      </c>
      <c r="AM16" s="137" t="s">
        <v>52</v>
      </c>
      <c r="AN16" s="137" t="s">
        <v>52</v>
      </c>
      <c r="AO16" s="135" t="s">
        <v>1</v>
      </c>
      <c r="AP16" s="136" t="s">
        <v>52</v>
      </c>
      <c r="AQ16" s="137" t="s">
        <v>52</v>
      </c>
      <c r="AR16" s="137" t="s">
        <v>52</v>
      </c>
      <c r="AS16" s="135" t="s">
        <v>1</v>
      </c>
      <c r="AT16" s="136" t="s">
        <v>52</v>
      </c>
      <c r="AU16" s="137" t="s">
        <v>52</v>
      </c>
      <c r="AV16" s="137" t="s">
        <v>52</v>
      </c>
    </row>
    <row r="17" spans="1:48" x14ac:dyDescent="0.35">
      <c r="A17" s="135" t="s">
        <v>327</v>
      </c>
      <c r="B17" s="136" t="s">
        <v>51</v>
      </c>
      <c r="C17" s="137" t="s">
        <v>51</v>
      </c>
      <c r="D17" s="137" t="s">
        <v>51</v>
      </c>
      <c r="E17" s="135" t="s">
        <v>327</v>
      </c>
      <c r="F17" s="136" t="s">
        <v>51</v>
      </c>
      <c r="G17" s="137" t="s">
        <v>51</v>
      </c>
      <c r="H17" s="137" t="s">
        <v>51</v>
      </c>
      <c r="I17" s="135" t="s">
        <v>327</v>
      </c>
      <c r="J17" s="136" t="s">
        <v>51</v>
      </c>
      <c r="K17" s="137" t="s">
        <v>51</v>
      </c>
      <c r="L17" s="137" t="s">
        <v>51</v>
      </c>
      <c r="M17" s="135" t="s">
        <v>327</v>
      </c>
      <c r="N17" s="136" t="s">
        <v>51</v>
      </c>
      <c r="O17" s="137" t="s">
        <v>51</v>
      </c>
      <c r="P17" s="137" t="s">
        <v>51</v>
      </c>
      <c r="Q17" s="135" t="s">
        <v>43</v>
      </c>
      <c r="R17" s="136" t="s">
        <v>51</v>
      </c>
      <c r="S17" s="137" t="s">
        <v>51</v>
      </c>
      <c r="T17" s="137" t="s">
        <v>51</v>
      </c>
      <c r="U17" s="135" t="s">
        <v>1</v>
      </c>
      <c r="V17" s="136" t="s">
        <v>52</v>
      </c>
      <c r="W17" s="137" t="s">
        <v>52</v>
      </c>
      <c r="X17" s="137" t="s">
        <v>52</v>
      </c>
      <c r="Y17" s="135" t="s">
        <v>327</v>
      </c>
      <c r="Z17" s="136" t="s">
        <v>471</v>
      </c>
      <c r="AA17" s="137" t="s">
        <v>51</v>
      </c>
      <c r="AB17" s="137" t="s">
        <v>489</v>
      </c>
      <c r="AC17" s="135" t="s">
        <v>327</v>
      </c>
      <c r="AD17" s="136" t="s">
        <v>506</v>
      </c>
      <c r="AE17" s="137" t="s">
        <v>51</v>
      </c>
      <c r="AF17" s="137" t="s">
        <v>51</v>
      </c>
      <c r="AG17" s="135" t="s">
        <v>327</v>
      </c>
      <c r="AH17" s="136" t="s">
        <v>51</v>
      </c>
      <c r="AI17" s="137" t="s">
        <v>554</v>
      </c>
      <c r="AJ17" s="137" t="s">
        <v>569</v>
      </c>
      <c r="AK17" s="138" t="s">
        <v>327</v>
      </c>
      <c r="AL17" s="139" t="s">
        <v>584</v>
      </c>
      <c r="AM17" s="140" t="s">
        <v>597</v>
      </c>
      <c r="AN17" s="140" t="s">
        <v>612</v>
      </c>
      <c r="AO17" s="135" t="s">
        <v>327</v>
      </c>
      <c r="AP17" s="136" t="s">
        <v>627</v>
      </c>
      <c r="AQ17" s="137" t="s">
        <v>640</v>
      </c>
      <c r="AR17" s="137" t="s">
        <v>651</v>
      </c>
      <c r="AS17" s="135" t="s">
        <v>327</v>
      </c>
      <c r="AT17" s="136" t="s">
        <v>663</v>
      </c>
      <c r="AU17" s="137" t="s">
        <v>135</v>
      </c>
      <c r="AV17" s="137" t="s">
        <v>135</v>
      </c>
    </row>
    <row r="18" spans="1:48" x14ac:dyDescent="0.35">
      <c r="A18" s="135" t="s">
        <v>133</v>
      </c>
      <c r="B18" s="136" t="s">
        <v>51</v>
      </c>
      <c r="C18" s="137" t="s">
        <v>51</v>
      </c>
      <c r="D18" s="137" t="s">
        <v>51</v>
      </c>
      <c r="E18" s="135" t="s">
        <v>351</v>
      </c>
      <c r="F18" s="136" t="s">
        <v>51</v>
      </c>
      <c r="G18" s="137" t="s">
        <v>51</v>
      </c>
      <c r="H18" s="137" t="s">
        <v>51</v>
      </c>
      <c r="I18" s="135" t="s">
        <v>133</v>
      </c>
      <c r="J18" s="136" t="s">
        <v>51</v>
      </c>
      <c r="K18" s="137" t="s">
        <v>51</v>
      </c>
      <c r="L18" s="137" t="s">
        <v>51</v>
      </c>
      <c r="M18" s="135" t="s">
        <v>133</v>
      </c>
      <c r="N18" s="136" t="s">
        <v>51</v>
      </c>
      <c r="O18" s="137" t="s">
        <v>51</v>
      </c>
      <c r="P18" s="137" t="s">
        <v>51</v>
      </c>
      <c r="Q18" s="135" t="s">
        <v>326</v>
      </c>
      <c r="R18" s="136" t="s">
        <v>51</v>
      </c>
      <c r="S18" s="137" t="s">
        <v>51</v>
      </c>
      <c r="T18" s="137" t="s">
        <v>51</v>
      </c>
      <c r="U18" s="135" t="s">
        <v>327</v>
      </c>
      <c r="V18" s="136" t="s">
        <v>51</v>
      </c>
      <c r="W18" s="137" t="s">
        <v>51</v>
      </c>
      <c r="X18" s="137" t="s">
        <v>51</v>
      </c>
      <c r="Y18" s="135" t="s">
        <v>351</v>
      </c>
      <c r="Z18" s="136" t="s">
        <v>472</v>
      </c>
      <c r="AA18" s="137" t="s">
        <v>51</v>
      </c>
      <c r="AB18" s="137" t="s">
        <v>51</v>
      </c>
      <c r="AC18" s="135" t="s">
        <v>351</v>
      </c>
      <c r="AD18" s="136" t="s">
        <v>51</v>
      </c>
      <c r="AE18" s="137" t="s">
        <v>51</v>
      </c>
      <c r="AF18" s="137" t="s">
        <v>51</v>
      </c>
      <c r="AG18" s="135" t="s">
        <v>133</v>
      </c>
      <c r="AH18" s="136" t="s">
        <v>51</v>
      </c>
      <c r="AI18" s="137" t="s">
        <v>555</v>
      </c>
      <c r="AJ18" s="137" t="s">
        <v>570</v>
      </c>
      <c r="AK18" s="138" t="s">
        <v>351</v>
      </c>
      <c r="AL18" s="139" t="s">
        <v>585</v>
      </c>
      <c r="AM18" s="140" t="s">
        <v>598</v>
      </c>
      <c r="AN18" s="139" t="s">
        <v>613</v>
      </c>
      <c r="AO18" s="138" t="s">
        <v>133</v>
      </c>
      <c r="AP18" s="139" t="s">
        <v>628</v>
      </c>
      <c r="AQ18" s="140" t="s">
        <v>641</v>
      </c>
      <c r="AR18" s="140" t="s">
        <v>652</v>
      </c>
      <c r="AS18" s="138" t="s">
        <v>133</v>
      </c>
      <c r="AT18" s="139" t="s">
        <v>664</v>
      </c>
      <c r="AU18" s="140" t="s">
        <v>675</v>
      </c>
      <c r="AV18" s="140" t="s">
        <v>685</v>
      </c>
    </row>
    <row r="19" spans="1:48" x14ac:dyDescent="0.35">
      <c r="A19" s="135" t="s">
        <v>44</v>
      </c>
      <c r="B19" s="136" t="s">
        <v>53</v>
      </c>
      <c r="C19" s="137" t="s">
        <v>337</v>
      </c>
      <c r="D19" s="137" t="s">
        <v>337</v>
      </c>
      <c r="E19" s="135" t="s">
        <v>44</v>
      </c>
      <c r="F19" s="136" t="s">
        <v>53</v>
      </c>
      <c r="G19" s="137" t="s">
        <v>54</v>
      </c>
      <c r="H19" s="137" t="s">
        <v>55</v>
      </c>
      <c r="I19" s="138" t="s">
        <v>44</v>
      </c>
      <c r="J19" s="139" t="s">
        <v>70</v>
      </c>
      <c r="K19" s="140" t="s">
        <v>71</v>
      </c>
      <c r="L19" s="140" t="s">
        <v>72</v>
      </c>
      <c r="M19" s="138" t="s">
        <v>44</v>
      </c>
      <c r="N19" s="139" t="s">
        <v>73</v>
      </c>
      <c r="O19" s="140" t="s">
        <v>74</v>
      </c>
      <c r="P19" s="140" t="s">
        <v>76</v>
      </c>
      <c r="Q19" s="138" t="s">
        <v>4</v>
      </c>
      <c r="R19" s="139" t="s">
        <v>408</v>
      </c>
      <c r="S19" s="140" t="s">
        <v>416</v>
      </c>
      <c r="T19" s="140" t="s">
        <v>424</v>
      </c>
      <c r="U19" s="135" t="s">
        <v>351</v>
      </c>
      <c r="V19" s="136" t="s">
        <v>51</v>
      </c>
      <c r="W19" s="137" t="s">
        <v>51</v>
      </c>
      <c r="X19" s="137" t="s">
        <v>51</v>
      </c>
      <c r="Y19" s="138" t="s">
        <v>44</v>
      </c>
      <c r="Z19" s="139" t="s">
        <v>84</v>
      </c>
      <c r="AA19" s="140" t="s">
        <v>85</v>
      </c>
      <c r="AB19" s="140" t="s">
        <v>86</v>
      </c>
      <c r="AC19" s="138" t="s">
        <v>44</v>
      </c>
      <c r="AD19" s="139" t="s">
        <v>87</v>
      </c>
      <c r="AE19" s="140" t="s">
        <v>89</v>
      </c>
      <c r="AF19" s="140" t="s">
        <v>90</v>
      </c>
      <c r="AG19" s="138" t="s">
        <v>44</v>
      </c>
      <c r="AH19" s="139" t="s">
        <v>91</v>
      </c>
      <c r="AI19" s="140" t="s">
        <v>92</v>
      </c>
      <c r="AJ19" s="140" t="s">
        <v>93</v>
      </c>
      <c r="AK19" s="138" t="s">
        <v>44</v>
      </c>
      <c r="AL19" s="139" t="s">
        <v>94</v>
      </c>
      <c r="AM19" s="140" t="s">
        <v>95</v>
      </c>
      <c r="AN19" s="140" t="s">
        <v>96</v>
      </c>
      <c r="AO19" s="138" t="s">
        <v>44</v>
      </c>
      <c r="AP19" s="139" t="s">
        <v>99</v>
      </c>
      <c r="AQ19" s="140" t="s">
        <v>101</v>
      </c>
      <c r="AR19" s="140" t="s">
        <v>104</v>
      </c>
      <c r="AS19" s="138" t="s">
        <v>44</v>
      </c>
      <c r="AT19" s="139" t="s">
        <v>107</v>
      </c>
      <c r="AU19" s="140" t="s">
        <v>79</v>
      </c>
      <c r="AV19" s="140" t="s">
        <v>112</v>
      </c>
    </row>
    <row r="20" spans="1:48" x14ac:dyDescent="0.35">
      <c r="A20" s="138" t="s">
        <v>45</v>
      </c>
      <c r="B20" s="139" t="s">
        <v>331</v>
      </c>
      <c r="C20" s="140" t="s">
        <v>338</v>
      </c>
      <c r="D20" s="140" t="s">
        <v>343</v>
      </c>
      <c r="E20" s="138" t="s">
        <v>45</v>
      </c>
      <c r="F20" s="139" t="s">
        <v>355</v>
      </c>
      <c r="G20" s="140" t="s">
        <v>361</v>
      </c>
      <c r="H20" s="140" t="s">
        <v>368</v>
      </c>
      <c r="I20" s="135" t="s">
        <v>45</v>
      </c>
      <c r="J20" s="136" t="s">
        <v>374</v>
      </c>
      <c r="K20" s="137" t="s">
        <v>381</v>
      </c>
      <c r="L20" s="137" t="s">
        <v>387</v>
      </c>
      <c r="M20" s="138" t="s">
        <v>45</v>
      </c>
      <c r="N20" s="139" t="s">
        <v>393</v>
      </c>
      <c r="O20" s="140" t="s">
        <v>164</v>
      </c>
      <c r="P20" s="140" t="s">
        <v>405</v>
      </c>
      <c r="Q20" s="135" t="s">
        <v>349</v>
      </c>
      <c r="R20" s="136" t="s">
        <v>51</v>
      </c>
      <c r="S20" s="137" t="s">
        <v>51</v>
      </c>
      <c r="T20" s="137" t="s">
        <v>51</v>
      </c>
      <c r="U20" s="138" t="s">
        <v>44</v>
      </c>
      <c r="V20" s="139" t="s">
        <v>440</v>
      </c>
      <c r="W20" s="140" t="s">
        <v>451</v>
      </c>
      <c r="X20" s="140" t="s">
        <v>83</v>
      </c>
      <c r="Y20" s="138" t="s">
        <v>45</v>
      </c>
      <c r="Z20" s="139" t="s">
        <v>473</v>
      </c>
      <c r="AA20" s="140" t="s">
        <v>483</v>
      </c>
      <c r="AB20" s="140" t="s">
        <v>495</v>
      </c>
      <c r="AC20" s="135" t="s">
        <v>45</v>
      </c>
      <c r="AD20" s="136" t="s">
        <v>507</v>
      </c>
      <c r="AE20" s="137" t="s">
        <v>519</v>
      </c>
      <c r="AF20" s="137" t="s">
        <v>531</v>
      </c>
      <c r="AG20" s="135" t="s">
        <v>45</v>
      </c>
      <c r="AH20" s="136" t="s">
        <v>542</v>
      </c>
      <c r="AI20" s="137" t="s">
        <v>556</v>
      </c>
      <c r="AJ20" s="137" t="s">
        <v>571</v>
      </c>
      <c r="AK20" s="138" t="s">
        <v>45</v>
      </c>
      <c r="AL20" s="139" t="s">
        <v>586</v>
      </c>
      <c r="AM20" s="140" t="s">
        <v>599</v>
      </c>
      <c r="AN20" s="140" t="s">
        <v>614</v>
      </c>
      <c r="AO20" s="138" t="s">
        <v>45</v>
      </c>
      <c r="AP20" s="139" t="s">
        <v>629</v>
      </c>
      <c r="AQ20" s="140" t="s">
        <v>102</v>
      </c>
      <c r="AR20" s="140" t="s">
        <v>105</v>
      </c>
      <c r="AS20" s="138" t="s">
        <v>45</v>
      </c>
      <c r="AT20" s="139" t="s">
        <v>108</v>
      </c>
      <c r="AU20" s="140" t="s">
        <v>109</v>
      </c>
      <c r="AV20" s="140" t="s">
        <v>113</v>
      </c>
    </row>
    <row r="21" spans="1:48" x14ac:dyDescent="0.35">
      <c r="A21" s="138" t="s">
        <v>46</v>
      </c>
      <c r="B21" s="139" t="s">
        <v>332</v>
      </c>
      <c r="C21" s="140" t="s">
        <v>339</v>
      </c>
      <c r="D21" s="140" t="s">
        <v>344</v>
      </c>
      <c r="E21" s="138" t="s">
        <v>46</v>
      </c>
      <c r="F21" s="139" t="s">
        <v>356</v>
      </c>
      <c r="G21" s="140" t="s">
        <v>362</v>
      </c>
      <c r="H21" s="140" t="s">
        <v>369</v>
      </c>
      <c r="I21" s="138" t="s">
        <v>46</v>
      </c>
      <c r="J21" s="139" t="s">
        <v>375</v>
      </c>
      <c r="K21" s="140" t="s">
        <v>382</v>
      </c>
      <c r="L21" s="140" t="s">
        <v>388</v>
      </c>
      <c r="M21" s="138" t="s">
        <v>46</v>
      </c>
      <c r="N21" s="139" t="s">
        <v>394</v>
      </c>
      <c r="O21" s="140" t="s">
        <v>400</v>
      </c>
      <c r="P21" s="140" t="s">
        <v>406</v>
      </c>
      <c r="Q21" s="138" t="s">
        <v>69</v>
      </c>
      <c r="R21" s="139" t="s">
        <v>409</v>
      </c>
      <c r="S21" s="140" t="s">
        <v>417</v>
      </c>
      <c r="T21" s="139" t="s">
        <v>425</v>
      </c>
      <c r="U21" s="135" t="s">
        <v>45</v>
      </c>
      <c r="V21" s="136" t="s">
        <v>441</v>
      </c>
      <c r="W21" s="137" t="s">
        <v>88</v>
      </c>
      <c r="X21" s="137" t="s">
        <v>460</v>
      </c>
      <c r="Y21" s="138" t="s">
        <v>46</v>
      </c>
      <c r="Z21" s="139" t="s">
        <v>474</v>
      </c>
      <c r="AA21" s="140" t="s">
        <v>484</v>
      </c>
      <c r="AB21" s="140" t="s">
        <v>496</v>
      </c>
      <c r="AC21" s="138" t="s">
        <v>46</v>
      </c>
      <c r="AD21" s="139" t="s">
        <v>508</v>
      </c>
      <c r="AE21" s="140" t="s">
        <v>520</v>
      </c>
      <c r="AF21" s="140" t="s">
        <v>532</v>
      </c>
      <c r="AG21" s="138" t="s">
        <v>46</v>
      </c>
      <c r="AH21" s="139" t="s">
        <v>543</v>
      </c>
      <c r="AI21" s="140" t="s">
        <v>557</v>
      </c>
      <c r="AJ21" s="140" t="s">
        <v>572</v>
      </c>
      <c r="AK21" s="138" t="s">
        <v>46</v>
      </c>
      <c r="AL21" s="139" t="s">
        <v>587</v>
      </c>
      <c r="AM21" s="140" t="s">
        <v>600</v>
      </c>
      <c r="AN21" s="140" t="s">
        <v>615</v>
      </c>
      <c r="AO21" s="135" t="s">
        <v>46</v>
      </c>
      <c r="AP21" s="136" t="s">
        <v>630</v>
      </c>
      <c r="AQ21" s="137" t="s">
        <v>97</v>
      </c>
      <c r="AR21" s="137" t="s">
        <v>653</v>
      </c>
      <c r="AS21" s="138" t="s">
        <v>46</v>
      </c>
      <c r="AT21" s="139" t="s">
        <v>665</v>
      </c>
      <c r="AU21" s="140" t="s">
        <v>676</v>
      </c>
      <c r="AV21" s="140" t="s">
        <v>114</v>
      </c>
    </row>
    <row r="22" spans="1:48" x14ac:dyDescent="0.35">
      <c r="A22" s="135" t="s">
        <v>47</v>
      </c>
      <c r="B22" s="136" t="s">
        <v>52</v>
      </c>
      <c r="C22" s="137" t="s">
        <v>52</v>
      </c>
      <c r="D22" s="137" t="s">
        <v>52</v>
      </c>
      <c r="E22" s="135" t="s">
        <v>47</v>
      </c>
      <c r="F22" s="136" t="s">
        <v>52</v>
      </c>
      <c r="G22" s="137" t="s">
        <v>52</v>
      </c>
      <c r="H22" s="137" t="s">
        <v>52</v>
      </c>
      <c r="I22" s="135" t="s">
        <v>47</v>
      </c>
      <c r="J22" s="136" t="s">
        <v>52</v>
      </c>
      <c r="K22" s="137" t="s">
        <v>52</v>
      </c>
      <c r="L22" s="137" t="s">
        <v>52</v>
      </c>
      <c r="M22" s="135" t="s">
        <v>47</v>
      </c>
      <c r="N22" s="136" t="s">
        <v>52</v>
      </c>
      <c r="O22" s="137" t="s">
        <v>52</v>
      </c>
      <c r="P22" s="137" t="s">
        <v>52</v>
      </c>
      <c r="Q22" s="138" t="s">
        <v>158</v>
      </c>
      <c r="R22" s="139" t="s">
        <v>410</v>
      </c>
      <c r="S22" s="140" t="s">
        <v>418</v>
      </c>
      <c r="T22" s="140" t="s">
        <v>426</v>
      </c>
      <c r="U22" s="138" t="s">
        <v>46</v>
      </c>
      <c r="V22" s="139" t="s">
        <v>442</v>
      </c>
      <c r="W22" s="140" t="s">
        <v>452</v>
      </c>
      <c r="X22" s="140" t="s">
        <v>461</v>
      </c>
      <c r="Y22" s="135" t="s">
        <v>47</v>
      </c>
      <c r="Z22" s="136" t="s">
        <v>52</v>
      </c>
      <c r="AA22" s="137" t="s">
        <v>52</v>
      </c>
      <c r="AB22" s="137" t="s">
        <v>52</v>
      </c>
      <c r="AC22" s="135" t="s">
        <v>47</v>
      </c>
      <c r="AD22" s="136" t="s">
        <v>52</v>
      </c>
      <c r="AE22" s="137" t="s">
        <v>52</v>
      </c>
      <c r="AF22" s="137" t="s">
        <v>52</v>
      </c>
      <c r="AG22" s="135" t="s">
        <v>47</v>
      </c>
      <c r="AH22" s="136" t="s">
        <v>52</v>
      </c>
      <c r="AI22" s="137" t="s">
        <v>52</v>
      </c>
      <c r="AJ22" s="137" t="s">
        <v>52</v>
      </c>
      <c r="AK22" s="135" t="s">
        <v>47</v>
      </c>
      <c r="AL22" s="136" t="s">
        <v>52</v>
      </c>
      <c r="AM22" s="137" t="s">
        <v>52</v>
      </c>
      <c r="AN22" s="137" t="s">
        <v>52</v>
      </c>
      <c r="AO22" s="135" t="s">
        <v>47</v>
      </c>
      <c r="AP22" s="136" t="s">
        <v>52</v>
      </c>
      <c r="AQ22" s="137" t="s">
        <v>52</v>
      </c>
      <c r="AR22" s="137" t="s">
        <v>52</v>
      </c>
      <c r="AS22" s="135" t="s">
        <v>47</v>
      </c>
      <c r="AT22" s="136" t="s">
        <v>52</v>
      </c>
      <c r="AU22" s="137" t="s">
        <v>52</v>
      </c>
      <c r="AV22" s="137" t="s">
        <v>52</v>
      </c>
    </row>
    <row r="23" spans="1:48" x14ac:dyDescent="0.35">
      <c r="A23" s="135" t="s">
        <v>48</v>
      </c>
      <c r="B23" s="136" t="s">
        <v>51</v>
      </c>
      <c r="C23" s="137" t="s">
        <v>51</v>
      </c>
      <c r="D23" s="137" t="s">
        <v>51</v>
      </c>
      <c r="E23" s="135" t="s">
        <v>48</v>
      </c>
      <c r="F23" s="136" t="s">
        <v>51</v>
      </c>
      <c r="G23" s="137" t="s">
        <v>51</v>
      </c>
      <c r="H23" s="137" t="s">
        <v>51</v>
      </c>
      <c r="I23" s="135" t="s">
        <v>48</v>
      </c>
      <c r="J23" s="136" t="s">
        <v>51</v>
      </c>
      <c r="K23" s="137" t="s">
        <v>51</v>
      </c>
      <c r="L23" s="137" t="s">
        <v>51</v>
      </c>
      <c r="M23" s="135" t="s">
        <v>48</v>
      </c>
      <c r="N23" s="136" t="s">
        <v>51</v>
      </c>
      <c r="O23" s="137" t="s">
        <v>51</v>
      </c>
      <c r="P23" s="137" t="s">
        <v>51</v>
      </c>
      <c r="Q23" s="138" t="s">
        <v>2</v>
      </c>
      <c r="R23" s="139" t="s">
        <v>411</v>
      </c>
      <c r="S23" s="140" t="s">
        <v>419</v>
      </c>
      <c r="T23" s="140" t="s">
        <v>427</v>
      </c>
      <c r="U23" s="135" t="s">
        <v>47</v>
      </c>
      <c r="V23" s="136" t="s">
        <v>52</v>
      </c>
      <c r="W23" s="137" t="s">
        <v>52</v>
      </c>
      <c r="X23" s="137" t="s">
        <v>52</v>
      </c>
      <c r="Y23" s="138" t="s">
        <v>48</v>
      </c>
      <c r="Z23" s="139" t="s">
        <v>475</v>
      </c>
      <c r="AA23" s="140" t="s">
        <v>485</v>
      </c>
      <c r="AB23" s="139" t="s">
        <v>497</v>
      </c>
      <c r="AC23" s="138" t="s">
        <v>48</v>
      </c>
      <c r="AD23" s="139" t="s">
        <v>509</v>
      </c>
      <c r="AE23" s="140" t="s">
        <v>521</v>
      </c>
      <c r="AF23" s="140" t="s">
        <v>51</v>
      </c>
      <c r="AG23" s="135" t="s">
        <v>48</v>
      </c>
      <c r="AH23" s="136" t="s">
        <v>51</v>
      </c>
      <c r="AI23" s="137" t="s">
        <v>558</v>
      </c>
      <c r="AJ23" s="137" t="s">
        <v>573</v>
      </c>
      <c r="AK23" s="138" t="s">
        <v>48</v>
      </c>
      <c r="AL23" s="139" t="s">
        <v>588</v>
      </c>
      <c r="AM23" s="140" t="s">
        <v>601</v>
      </c>
      <c r="AN23" s="140" t="s">
        <v>616</v>
      </c>
      <c r="AO23" s="135" t="s">
        <v>48</v>
      </c>
      <c r="AP23" s="136" t="s">
        <v>627</v>
      </c>
      <c r="AQ23" s="137" t="s">
        <v>640</v>
      </c>
      <c r="AR23" s="137" t="s">
        <v>651</v>
      </c>
      <c r="AS23" s="135" t="s">
        <v>48</v>
      </c>
      <c r="AT23" s="136" t="s">
        <v>663</v>
      </c>
      <c r="AU23" s="137" t="s">
        <v>135</v>
      </c>
      <c r="AV23" s="137" t="s">
        <v>135</v>
      </c>
    </row>
    <row r="24" spans="1:48" x14ac:dyDescent="0.35">
      <c r="A24" s="141" t="s">
        <v>328</v>
      </c>
      <c r="B24" s="142" t="s">
        <v>333</v>
      </c>
      <c r="C24" s="143" t="s">
        <v>333</v>
      </c>
      <c r="D24" s="143" t="s">
        <v>345</v>
      </c>
      <c r="E24" s="141" t="s">
        <v>328</v>
      </c>
      <c r="F24" s="142" t="s">
        <v>357</v>
      </c>
      <c r="G24" s="143" t="s">
        <v>363</v>
      </c>
      <c r="H24" s="143" t="s">
        <v>370</v>
      </c>
      <c r="I24" s="141" t="s">
        <v>328</v>
      </c>
      <c r="J24" s="142" t="s">
        <v>376</v>
      </c>
      <c r="K24" s="143" t="s">
        <v>383</v>
      </c>
      <c r="L24" s="143" t="s">
        <v>333</v>
      </c>
      <c r="M24" s="141" t="s">
        <v>328</v>
      </c>
      <c r="N24" s="142" t="s">
        <v>395</v>
      </c>
      <c r="O24" s="143" t="s">
        <v>395</v>
      </c>
      <c r="P24" s="143" t="s">
        <v>395</v>
      </c>
      <c r="Q24" s="135" t="s">
        <v>1</v>
      </c>
      <c r="R24" s="136" t="s">
        <v>52</v>
      </c>
      <c r="S24" s="137" t="s">
        <v>52</v>
      </c>
      <c r="T24" s="137" t="s">
        <v>52</v>
      </c>
      <c r="U24" s="135" t="s">
        <v>48</v>
      </c>
      <c r="V24" s="136" t="s">
        <v>51</v>
      </c>
      <c r="W24" s="137" t="s">
        <v>51</v>
      </c>
      <c r="X24" s="137" t="s">
        <v>51</v>
      </c>
      <c r="Y24" s="141" t="s">
        <v>328</v>
      </c>
      <c r="Z24" s="142" t="s">
        <v>189</v>
      </c>
      <c r="AA24" s="143" t="s">
        <v>486</v>
      </c>
      <c r="AB24" s="143" t="s">
        <v>498</v>
      </c>
      <c r="AC24" s="141" t="s">
        <v>328</v>
      </c>
      <c r="AD24" s="142" t="s">
        <v>510</v>
      </c>
      <c r="AE24" s="143" t="s">
        <v>522</v>
      </c>
      <c r="AF24" s="142" t="s">
        <v>533</v>
      </c>
      <c r="AG24" s="141" t="s">
        <v>328</v>
      </c>
      <c r="AH24" s="142" t="s">
        <v>544</v>
      </c>
      <c r="AI24" s="142" t="s">
        <v>559</v>
      </c>
      <c r="AJ24" s="143" t="s">
        <v>574</v>
      </c>
      <c r="AK24" s="141" t="s">
        <v>328</v>
      </c>
      <c r="AL24" s="142" t="s">
        <v>589</v>
      </c>
      <c r="AM24" s="143" t="s">
        <v>602</v>
      </c>
      <c r="AN24" s="143" t="s">
        <v>617</v>
      </c>
      <c r="AO24" s="141" t="s">
        <v>328</v>
      </c>
      <c r="AP24" s="142" t="s">
        <v>631</v>
      </c>
      <c r="AQ24" s="143" t="s">
        <v>642</v>
      </c>
      <c r="AR24" s="143" t="s">
        <v>654</v>
      </c>
      <c r="AS24" s="141" t="s">
        <v>328</v>
      </c>
      <c r="AT24" s="142" t="s">
        <v>666</v>
      </c>
      <c r="AU24" s="143" t="s">
        <v>677</v>
      </c>
      <c r="AV24" s="143" t="s">
        <v>686</v>
      </c>
    </row>
    <row r="25" spans="1:48" x14ac:dyDescent="0.3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35" t="s">
        <v>327</v>
      </c>
      <c r="R25" s="136" t="s">
        <v>51</v>
      </c>
      <c r="S25" s="137" t="s">
        <v>51</v>
      </c>
      <c r="T25" s="137" t="s">
        <v>51</v>
      </c>
      <c r="U25" s="141" t="s">
        <v>328</v>
      </c>
      <c r="V25" s="142" t="s">
        <v>443</v>
      </c>
      <c r="W25" s="143" t="s">
        <v>453</v>
      </c>
      <c r="X25" s="143" t="s">
        <v>462</v>
      </c>
      <c r="Y25" s="128"/>
      <c r="Z25" s="128"/>
      <c r="AA25" s="128"/>
      <c r="AB25" s="128"/>
      <c r="AC25" s="128"/>
      <c r="AD25" s="128"/>
      <c r="AE25" s="128"/>
      <c r="AF25" s="128"/>
      <c r="AG25" s="128"/>
      <c r="AH25" s="128"/>
      <c r="AI25" s="128"/>
      <c r="AJ25" s="128"/>
      <c r="AK25" s="128"/>
      <c r="AL25" s="128"/>
      <c r="AM25" s="128"/>
      <c r="AN25" s="128"/>
      <c r="AO25" s="128"/>
      <c r="AP25" s="128"/>
      <c r="AQ25" s="128"/>
      <c r="AR25" s="128"/>
      <c r="AS25" s="128"/>
      <c r="AT25" s="128"/>
      <c r="AU25" s="128"/>
      <c r="AV25" s="128"/>
    </row>
    <row r="26" spans="1:48" x14ac:dyDescent="0.35">
      <c r="A26" s="129" t="s">
        <v>59</v>
      </c>
      <c r="B26" s="128"/>
      <c r="C26" s="128"/>
      <c r="D26" s="128"/>
      <c r="E26" s="129" t="s">
        <v>59</v>
      </c>
      <c r="F26" s="128"/>
      <c r="G26" s="128"/>
      <c r="H26" s="128"/>
      <c r="I26" s="129" t="s">
        <v>59</v>
      </c>
      <c r="J26" s="128"/>
      <c r="K26" s="128"/>
      <c r="L26" s="128"/>
      <c r="M26" s="129" t="s">
        <v>59</v>
      </c>
      <c r="N26" s="128"/>
      <c r="O26" s="128"/>
      <c r="P26" s="128"/>
      <c r="Q26" s="135" t="s">
        <v>133</v>
      </c>
      <c r="R26" s="136" t="s">
        <v>51</v>
      </c>
      <c r="S26" s="137" t="s">
        <v>51</v>
      </c>
      <c r="T26" s="137" t="s">
        <v>51</v>
      </c>
      <c r="U26" s="128"/>
      <c r="V26" s="128"/>
      <c r="W26" s="128"/>
      <c r="X26" s="128"/>
      <c r="Y26" s="129" t="s">
        <v>59</v>
      </c>
      <c r="Z26" s="128"/>
      <c r="AA26" s="128"/>
      <c r="AB26" s="128"/>
      <c r="AC26" s="129" t="s">
        <v>59</v>
      </c>
      <c r="AD26" s="128"/>
      <c r="AE26" s="128"/>
      <c r="AF26" s="128"/>
      <c r="AG26" s="129" t="s">
        <v>59</v>
      </c>
      <c r="AH26" s="128"/>
      <c r="AI26" s="128"/>
      <c r="AJ26" s="128"/>
      <c r="AK26" s="129" t="s">
        <v>59</v>
      </c>
      <c r="AL26" s="128"/>
      <c r="AM26" s="128"/>
      <c r="AN26" s="128"/>
      <c r="AO26" s="129" t="s">
        <v>59</v>
      </c>
      <c r="AP26" s="128"/>
      <c r="AQ26" s="128"/>
      <c r="AR26" s="128"/>
      <c r="AS26" s="129" t="s">
        <v>59</v>
      </c>
      <c r="AT26" s="128"/>
      <c r="AU26" s="128"/>
      <c r="AV26" s="128"/>
    </row>
    <row r="27" spans="1:48" x14ac:dyDescent="0.3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38" t="s">
        <v>44</v>
      </c>
      <c r="R27" s="139" t="s">
        <v>78</v>
      </c>
      <c r="S27" s="140" t="s">
        <v>81</v>
      </c>
      <c r="T27" s="140" t="s">
        <v>213</v>
      </c>
      <c r="U27" s="129" t="s">
        <v>59</v>
      </c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28"/>
      <c r="AO27" s="128"/>
      <c r="AP27" s="128"/>
      <c r="AQ27" s="128"/>
      <c r="AR27" s="128"/>
      <c r="AS27" s="128"/>
      <c r="AT27" s="128"/>
      <c r="AU27" s="128"/>
      <c r="AV27" s="128"/>
    </row>
    <row r="28" spans="1:48" x14ac:dyDescent="0.35">
      <c r="A28" s="129" t="s">
        <v>60</v>
      </c>
      <c r="B28" s="128"/>
      <c r="C28" s="128"/>
      <c r="D28" s="128"/>
      <c r="E28" s="129" t="s">
        <v>60</v>
      </c>
      <c r="F28" s="128"/>
      <c r="G28" s="128"/>
      <c r="H28" s="128"/>
      <c r="I28" s="129" t="s">
        <v>60</v>
      </c>
      <c r="J28" s="128"/>
      <c r="K28" s="128"/>
      <c r="L28" s="128"/>
      <c r="M28" s="129" t="s">
        <v>60</v>
      </c>
      <c r="N28" s="128"/>
      <c r="O28" s="128"/>
      <c r="P28" s="128"/>
      <c r="Q28" s="135" t="s">
        <v>45</v>
      </c>
      <c r="R28" s="136" t="s">
        <v>412</v>
      </c>
      <c r="S28" s="137" t="s">
        <v>388</v>
      </c>
      <c r="T28" s="137" t="s">
        <v>428</v>
      </c>
      <c r="U28" s="128"/>
      <c r="V28" s="128"/>
      <c r="W28" s="128"/>
      <c r="X28" s="128"/>
      <c r="Y28" s="129" t="s">
        <v>60</v>
      </c>
      <c r="Z28" s="128"/>
      <c r="AA28" s="128"/>
      <c r="AB28" s="128"/>
      <c r="AC28" s="129" t="s">
        <v>60</v>
      </c>
      <c r="AD28" s="128"/>
      <c r="AE28" s="128"/>
      <c r="AF28" s="128"/>
      <c r="AG28" s="129" t="s">
        <v>60</v>
      </c>
      <c r="AH28" s="128"/>
      <c r="AI28" s="128"/>
      <c r="AJ28" s="128"/>
      <c r="AK28" s="129" t="s">
        <v>60</v>
      </c>
      <c r="AL28" s="128"/>
      <c r="AM28" s="128"/>
      <c r="AN28" s="128"/>
      <c r="AO28" s="129" t="s">
        <v>60</v>
      </c>
      <c r="AP28" s="128"/>
      <c r="AQ28" s="128"/>
      <c r="AR28" s="128"/>
      <c r="AS28" s="129" t="s">
        <v>60</v>
      </c>
      <c r="AT28" s="128"/>
      <c r="AU28" s="128"/>
      <c r="AV28" s="128"/>
    </row>
    <row r="29" spans="1:48" x14ac:dyDescent="0.3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38" t="s">
        <v>46</v>
      </c>
      <c r="R29" s="139" t="s">
        <v>413</v>
      </c>
      <c r="S29" s="140" t="s">
        <v>420</v>
      </c>
      <c r="T29" s="140" t="s">
        <v>429</v>
      </c>
      <c r="U29" s="129" t="s">
        <v>60</v>
      </c>
      <c r="V29" s="128"/>
      <c r="W29" s="128"/>
      <c r="X29" s="128"/>
      <c r="Y29" s="128"/>
      <c r="Z29" s="128"/>
      <c r="AA29" s="128"/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28"/>
      <c r="AO29" s="128"/>
      <c r="AP29" s="128"/>
      <c r="AQ29" s="128"/>
      <c r="AR29" s="128"/>
      <c r="AS29" s="128"/>
      <c r="AT29" s="128"/>
      <c r="AU29" s="128"/>
      <c r="AV29" s="128"/>
    </row>
    <row r="30" spans="1:48" x14ac:dyDescent="0.35">
      <c r="A30" s="129" t="s">
        <v>350</v>
      </c>
      <c r="B30" s="128"/>
      <c r="C30" s="128"/>
      <c r="D30" s="128"/>
      <c r="E30" s="129" t="s">
        <v>350</v>
      </c>
      <c r="F30" s="128"/>
      <c r="G30" s="128"/>
      <c r="H30" s="128"/>
      <c r="I30" s="129" t="s">
        <v>350</v>
      </c>
      <c r="J30" s="128"/>
      <c r="K30" s="128"/>
      <c r="L30" s="128"/>
      <c r="M30" s="129" t="s">
        <v>350</v>
      </c>
      <c r="N30" s="128"/>
      <c r="O30" s="128"/>
      <c r="P30" s="128"/>
      <c r="Q30" s="135" t="s">
        <v>47</v>
      </c>
      <c r="R30" s="136" t="s">
        <v>52</v>
      </c>
      <c r="S30" s="137" t="s">
        <v>52</v>
      </c>
      <c r="T30" s="137" t="s">
        <v>52</v>
      </c>
      <c r="U30" s="128"/>
      <c r="V30" s="128"/>
      <c r="W30" s="128"/>
      <c r="X30" s="128"/>
      <c r="Y30" s="129" t="s">
        <v>350</v>
      </c>
      <c r="Z30" s="128"/>
      <c r="AA30" s="128"/>
      <c r="AB30" s="128"/>
      <c r="AC30" s="129" t="s">
        <v>350</v>
      </c>
      <c r="AD30" s="128"/>
      <c r="AE30" s="128"/>
      <c r="AF30" s="128"/>
      <c r="AG30" s="129" t="s">
        <v>350</v>
      </c>
      <c r="AH30" s="128"/>
      <c r="AI30" s="128"/>
      <c r="AJ30" s="128"/>
      <c r="AK30" s="129" t="s">
        <v>350</v>
      </c>
      <c r="AL30" s="128"/>
      <c r="AM30" s="128"/>
      <c r="AN30" s="128"/>
      <c r="AO30" s="129" t="s">
        <v>350</v>
      </c>
      <c r="AP30" s="128"/>
      <c r="AQ30" s="128"/>
      <c r="AR30" s="128"/>
      <c r="AS30" s="129" t="s">
        <v>350</v>
      </c>
      <c r="AT30" s="128"/>
      <c r="AU30" s="128"/>
      <c r="AV30" s="128"/>
    </row>
    <row r="31" spans="1:48" x14ac:dyDescent="0.3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35" t="s">
        <v>48</v>
      </c>
      <c r="R31" s="136" t="s">
        <v>51</v>
      </c>
      <c r="S31" s="137" t="s">
        <v>51</v>
      </c>
      <c r="T31" s="137" t="s">
        <v>51</v>
      </c>
      <c r="U31" s="129" t="s">
        <v>463</v>
      </c>
      <c r="V31" s="128"/>
      <c r="W31" s="128"/>
      <c r="X31" s="128"/>
      <c r="Y31" s="128"/>
      <c r="Z31" s="128"/>
      <c r="AA31" s="128"/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28"/>
      <c r="AO31" s="128"/>
      <c r="AP31" s="128"/>
      <c r="AQ31" s="128"/>
      <c r="AR31" s="128"/>
      <c r="AS31" s="128"/>
      <c r="AT31" s="128"/>
      <c r="AU31" s="128"/>
      <c r="AV31" s="128"/>
    </row>
    <row r="32" spans="1:48" x14ac:dyDescent="0.35">
      <c r="A32" s="129" t="s">
        <v>56</v>
      </c>
      <c r="B32" s="128"/>
      <c r="C32" s="128"/>
      <c r="D32" s="128"/>
      <c r="E32" s="129" t="s">
        <v>56</v>
      </c>
      <c r="F32" s="128"/>
      <c r="G32" s="128"/>
      <c r="H32" s="128"/>
      <c r="I32" s="129" t="s">
        <v>56</v>
      </c>
      <c r="J32" s="128"/>
      <c r="K32" s="128"/>
      <c r="L32" s="128"/>
      <c r="M32" s="129" t="s">
        <v>56</v>
      </c>
      <c r="N32" s="128"/>
      <c r="O32" s="128"/>
      <c r="P32" s="128"/>
      <c r="Q32" s="141" t="s">
        <v>328</v>
      </c>
      <c r="R32" s="142" t="s">
        <v>414</v>
      </c>
      <c r="S32" s="143" t="s">
        <v>421</v>
      </c>
      <c r="T32" s="143" t="s">
        <v>430</v>
      </c>
      <c r="U32" s="128"/>
      <c r="V32" s="128"/>
      <c r="W32" s="128"/>
      <c r="X32" s="128"/>
      <c r="Y32" s="129" t="s">
        <v>56</v>
      </c>
      <c r="Z32" s="128"/>
      <c r="AA32" s="128"/>
      <c r="AB32" s="128"/>
      <c r="AC32" s="129" t="s">
        <v>56</v>
      </c>
      <c r="AD32" s="128"/>
      <c r="AE32" s="128"/>
      <c r="AF32" s="128"/>
      <c r="AG32" s="129" t="s">
        <v>56</v>
      </c>
      <c r="AH32" s="128"/>
      <c r="AI32" s="128"/>
      <c r="AJ32" s="128"/>
      <c r="AK32" s="129" t="s">
        <v>56</v>
      </c>
      <c r="AL32" s="128"/>
      <c r="AM32" s="128"/>
      <c r="AN32" s="128"/>
      <c r="AO32" s="129" t="s">
        <v>56</v>
      </c>
      <c r="AP32" s="128"/>
      <c r="AQ32" s="128"/>
      <c r="AR32" s="128"/>
      <c r="AS32" s="129" t="s">
        <v>56</v>
      </c>
      <c r="AT32" s="128"/>
      <c r="AU32" s="128"/>
      <c r="AV32" s="128"/>
    </row>
    <row r="33" spans="1:48" x14ac:dyDescent="0.35">
      <c r="A33" s="129" t="s">
        <v>57</v>
      </c>
      <c r="B33" s="128"/>
      <c r="C33" s="128"/>
      <c r="D33" s="128"/>
      <c r="E33" s="129" t="s">
        <v>57</v>
      </c>
      <c r="F33" s="128"/>
      <c r="G33" s="128"/>
      <c r="H33" s="128"/>
      <c r="I33" s="129" t="s">
        <v>57</v>
      </c>
      <c r="J33" s="128"/>
      <c r="K33" s="128"/>
      <c r="L33" s="128"/>
      <c r="M33" s="129" t="s">
        <v>57</v>
      </c>
      <c r="N33" s="128"/>
      <c r="O33" s="128"/>
      <c r="P33" s="128"/>
      <c r="Q33" s="128"/>
      <c r="R33" s="128"/>
      <c r="S33" s="128"/>
      <c r="T33" s="128"/>
      <c r="U33" s="129" t="s">
        <v>56</v>
      </c>
      <c r="V33" s="128"/>
      <c r="W33" s="128"/>
      <c r="X33" s="128"/>
      <c r="Y33" s="129" t="s">
        <v>57</v>
      </c>
      <c r="Z33" s="128"/>
      <c r="AA33" s="128"/>
      <c r="AB33" s="128"/>
      <c r="AC33" s="129" t="s">
        <v>57</v>
      </c>
      <c r="AD33" s="128"/>
      <c r="AE33" s="128"/>
      <c r="AF33" s="128"/>
      <c r="AG33" s="129" t="s">
        <v>57</v>
      </c>
      <c r="AH33" s="128"/>
      <c r="AI33" s="128"/>
      <c r="AJ33" s="128"/>
      <c r="AK33" s="129" t="s">
        <v>57</v>
      </c>
      <c r="AL33" s="128"/>
      <c r="AM33" s="128"/>
      <c r="AN33" s="128"/>
      <c r="AO33" s="129" t="s">
        <v>57</v>
      </c>
      <c r="AP33" s="128"/>
      <c r="AQ33" s="128"/>
      <c r="AR33" s="128"/>
      <c r="AS33" s="129" t="s">
        <v>57</v>
      </c>
      <c r="AT33" s="128"/>
      <c r="AU33" s="128"/>
      <c r="AV33" s="128"/>
    </row>
    <row r="34" spans="1:48" x14ac:dyDescent="0.35">
      <c r="A34" s="129" t="s">
        <v>58</v>
      </c>
      <c r="B34" s="128"/>
      <c r="C34" s="128"/>
      <c r="D34" s="128"/>
      <c r="E34" s="129" t="s">
        <v>58</v>
      </c>
      <c r="F34" s="128"/>
      <c r="G34" s="128"/>
      <c r="H34" s="128"/>
      <c r="I34" s="129" t="s">
        <v>58</v>
      </c>
      <c r="J34" s="128"/>
      <c r="K34" s="128"/>
      <c r="L34" s="128"/>
      <c r="M34" s="129" t="s">
        <v>58</v>
      </c>
      <c r="N34" s="128"/>
      <c r="O34" s="128"/>
      <c r="P34" s="128"/>
      <c r="Q34" s="129" t="s">
        <v>59</v>
      </c>
      <c r="R34" s="128"/>
      <c r="S34" s="128"/>
      <c r="T34" s="128"/>
      <c r="U34" s="129" t="s">
        <v>57</v>
      </c>
      <c r="V34" s="128"/>
      <c r="W34" s="128"/>
      <c r="X34" s="128"/>
      <c r="Y34" s="129" t="s">
        <v>58</v>
      </c>
      <c r="Z34" s="128"/>
      <c r="AA34" s="128"/>
      <c r="AB34" s="128"/>
      <c r="AC34" s="129" t="s">
        <v>58</v>
      </c>
      <c r="AD34" s="128"/>
      <c r="AE34" s="128"/>
      <c r="AF34" s="128"/>
      <c r="AG34" s="129" t="s">
        <v>58</v>
      </c>
      <c r="AH34" s="128"/>
      <c r="AI34" s="128"/>
      <c r="AJ34" s="128"/>
      <c r="AK34" s="129" t="s">
        <v>58</v>
      </c>
      <c r="AL34" s="128"/>
      <c r="AM34" s="128"/>
      <c r="AN34" s="128"/>
      <c r="AO34" s="129" t="s">
        <v>58</v>
      </c>
      <c r="AP34" s="128"/>
      <c r="AQ34" s="128"/>
      <c r="AR34" s="128"/>
      <c r="AS34" s="129" t="s">
        <v>58</v>
      </c>
      <c r="AT34" s="128"/>
      <c r="AU34" s="128"/>
      <c r="AV34" s="128"/>
    </row>
    <row r="35" spans="1:48" x14ac:dyDescent="0.35">
      <c r="A35" s="128"/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9" t="s">
        <v>58</v>
      </c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  <c r="AR35" s="128"/>
      <c r="AS35" s="128"/>
      <c r="AT35" s="128"/>
      <c r="AU35" s="128"/>
      <c r="AV35" s="128"/>
    </row>
    <row r="36" spans="1:48" x14ac:dyDescent="0.35">
      <c r="A36" s="129" t="s">
        <v>346</v>
      </c>
      <c r="B36" s="128"/>
      <c r="C36" s="128"/>
      <c r="D36" s="128"/>
      <c r="E36" s="129" t="s">
        <v>346</v>
      </c>
      <c r="F36" s="128"/>
      <c r="G36" s="128"/>
      <c r="H36" s="128"/>
      <c r="I36" s="129" t="s">
        <v>346</v>
      </c>
      <c r="J36" s="128"/>
      <c r="K36" s="128"/>
      <c r="L36" s="128"/>
      <c r="M36" s="129" t="s">
        <v>346</v>
      </c>
      <c r="N36" s="128"/>
      <c r="O36" s="128"/>
      <c r="P36" s="128"/>
      <c r="Q36" s="129" t="s">
        <v>60</v>
      </c>
      <c r="R36" s="128"/>
      <c r="S36" s="128"/>
      <c r="T36" s="128"/>
      <c r="U36" s="128"/>
      <c r="V36" s="128"/>
      <c r="W36" s="128"/>
      <c r="X36" s="128"/>
      <c r="Y36" s="129" t="s">
        <v>346</v>
      </c>
      <c r="Z36" s="128"/>
      <c r="AA36" s="128"/>
      <c r="AB36" s="128"/>
      <c r="AC36" s="129" t="s">
        <v>346</v>
      </c>
      <c r="AD36" s="128"/>
      <c r="AE36" s="128"/>
      <c r="AF36" s="128"/>
      <c r="AG36" s="129" t="s">
        <v>346</v>
      </c>
      <c r="AH36" s="128"/>
      <c r="AI36" s="128"/>
      <c r="AJ36" s="128"/>
      <c r="AK36" s="129" t="s">
        <v>346</v>
      </c>
      <c r="AL36" s="128"/>
      <c r="AM36" s="128"/>
      <c r="AN36" s="128"/>
      <c r="AO36" s="129" t="s">
        <v>346</v>
      </c>
      <c r="AP36" s="128"/>
      <c r="AQ36" s="128"/>
      <c r="AR36" s="128"/>
      <c r="AS36" s="129" t="s">
        <v>346</v>
      </c>
      <c r="AT36" s="128"/>
      <c r="AU36" s="128"/>
      <c r="AV36" s="128"/>
    </row>
    <row r="37" spans="1:48" x14ac:dyDescent="0.35">
      <c r="A37" s="129" t="s">
        <v>61</v>
      </c>
      <c r="B37" s="128"/>
      <c r="C37" s="128"/>
      <c r="D37" s="128"/>
      <c r="E37" s="129" t="s">
        <v>61</v>
      </c>
      <c r="F37" s="128"/>
      <c r="G37" s="128"/>
      <c r="H37" s="128"/>
      <c r="I37" s="129" t="s">
        <v>61</v>
      </c>
      <c r="J37" s="128"/>
      <c r="K37" s="128"/>
      <c r="L37" s="128"/>
      <c r="M37" s="129" t="s">
        <v>61</v>
      </c>
      <c r="N37" s="128"/>
      <c r="O37" s="128"/>
      <c r="P37" s="128"/>
      <c r="Q37" s="128"/>
      <c r="R37" s="128"/>
      <c r="S37" s="128"/>
      <c r="T37" s="128"/>
      <c r="U37" s="129" t="s">
        <v>346</v>
      </c>
      <c r="V37" s="128"/>
      <c r="W37" s="128"/>
      <c r="X37" s="128"/>
      <c r="Y37" s="129" t="s">
        <v>61</v>
      </c>
      <c r="Z37" s="128"/>
      <c r="AA37" s="128"/>
      <c r="AB37" s="128"/>
      <c r="AC37" s="129" t="s">
        <v>61</v>
      </c>
      <c r="AD37" s="128"/>
      <c r="AE37" s="128"/>
      <c r="AF37" s="128"/>
      <c r="AG37" s="129" t="s">
        <v>61</v>
      </c>
      <c r="AH37" s="128"/>
      <c r="AI37" s="128"/>
      <c r="AJ37" s="128"/>
      <c r="AK37" s="129" t="s">
        <v>61</v>
      </c>
      <c r="AL37" s="128"/>
      <c r="AM37" s="128"/>
      <c r="AN37" s="128"/>
      <c r="AO37" s="129" t="s">
        <v>61</v>
      </c>
      <c r="AP37" s="128"/>
      <c r="AQ37" s="128"/>
      <c r="AR37" s="128"/>
      <c r="AS37" s="129" t="s">
        <v>61</v>
      </c>
      <c r="AT37" s="128"/>
      <c r="AU37" s="128"/>
      <c r="AV37" s="128"/>
    </row>
    <row r="38" spans="1:48" x14ac:dyDescent="0.35">
      <c r="A38" s="128"/>
      <c r="B38" s="128"/>
      <c r="C38" s="128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9" t="s">
        <v>431</v>
      </c>
      <c r="R38" s="128"/>
      <c r="S38" s="128"/>
      <c r="T38" s="128"/>
      <c r="U38" s="129" t="s">
        <v>61</v>
      </c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</row>
    <row r="39" spans="1:48" x14ac:dyDescent="0.35">
      <c r="A39" s="129" t="s">
        <v>62</v>
      </c>
      <c r="B39" s="128"/>
      <c r="C39" s="128"/>
      <c r="D39" s="128"/>
      <c r="E39" s="129" t="s">
        <v>62</v>
      </c>
      <c r="F39" s="128"/>
      <c r="G39" s="128"/>
      <c r="H39" s="128"/>
      <c r="I39" s="129" t="s">
        <v>62</v>
      </c>
      <c r="J39" s="128"/>
      <c r="K39" s="128"/>
      <c r="L39" s="128"/>
      <c r="M39" s="129" t="s">
        <v>62</v>
      </c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9" t="s">
        <v>62</v>
      </c>
      <c r="Z39" s="128"/>
      <c r="AA39" s="128"/>
      <c r="AB39" s="128"/>
      <c r="AC39" s="129" t="s">
        <v>62</v>
      </c>
      <c r="AD39" s="128"/>
      <c r="AE39" s="128"/>
      <c r="AF39" s="128"/>
      <c r="AG39" s="129" t="s">
        <v>62</v>
      </c>
      <c r="AH39" s="128"/>
      <c r="AI39" s="128"/>
      <c r="AJ39" s="128"/>
      <c r="AK39" s="129" t="s">
        <v>62</v>
      </c>
      <c r="AL39" s="128"/>
      <c r="AM39" s="128"/>
      <c r="AN39" s="128"/>
      <c r="AO39" s="129" t="s">
        <v>62</v>
      </c>
      <c r="AP39" s="128"/>
      <c r="AQ39" s="128"/>
      <c r="AR39" s="128"/>
      <c r="AS39" s="129" t="s">
        <v>62</v>
      </c>
      <c r="AT39" s="128"/>
      <c r="AU39" s="128"/>
      <c r="AV39" s="128"/>
    </row>
    <row r="40" spans="1:48" x14ac:dyDescent="0.35">
      <c r="A40" s="129" t="s">
        <v>63</v>
      </c>
      <c r="B40" s="128"/>
      <c r="C40" s="128"/>
      <c r="D40" s="128"/>
      <c r="E40" s="129" t="s">
        <v>63</v>
      </c>
      <c r="F40" s="128"/>
      <c r="G40" s="128"/>
      <c r="H40" s="128"/>
      <c r="I40" s="129" t="s">
        <v>63</v>
      </c>
      <c r="J40" s="128"/>
      <c r="K40" s="128"/>
      <c r="L40" s="128"/>
      <c r="M40" s="129" t="s">
        <v>63</v>
      </c>
      <c r="N40" s="128"/>
      <c r="O40" s="128"/>
      <c r="P40" s="128"/>
      <c r="Q40" s="129" t="s">
        <v>346</v>
      </c>
      <c r="R40" s="128"/>
      <c r="S40" s="128"/>
      <c r="T40" s="128"/>
      <c r="U40" s="129" t="s">
        <v>62</v>
      </c>
      <c r="V40" s="128"/>
      <c r="W40" s="128"/>
      <c r="X40" s="128"/>
      <c r="Y40" s="129" t="s">
        <v>63</v>
      </c>
      <c r="Z40" s="128"/>
      <c r="AA40" s="128"/>
      <c r="AB40" s="128"/>
      <c r="AC40" s="129" t="s">
        <v>63</v>
      </c>
      <c r="AD40" s="128"/>
      <c r="AE40" s="128"/>
      <c r="AF40" s="128"/>
      <c r="AG40" s="129" t="s">
        <v>63</v>
      </c>
      <c r="AH40" s="128"/>
      <c r="AI40" s="128"/>
      <c r="AJ40" s="128"/>
      <c r="AK40" s="129" t="s">
        <v>63</v>
      </c>
      <c r="AL40" s="128"/>
      <c r="AM40" s="128"/>
      <c r="AN40" s="128"/>
      <c r="AO40" s="129" t="s">
        <v>63</v>
      </c>
      <c r="AP40" s="128"/>
      <c r="AQ40" s="128"/>
      <c r="AR40" s="128"/>
      <c r="AS40" s="129" t="s">
        <v>63</v>
      </c>
      <c r="AT40" s="128"/>
      <c r="AU40" s="128"/>
      <c r="AV40" s="128"/>
    </row>
    <row r="41" spans="1:48" x14ac:dyDescent="0.35">
      <c r="A41" s="129" t="s">
        <v>64</v>
      </c>
      <c r="B41" s="128"/>
      <c r="C41" s="128"/>
      <c r="D41" s="128"/>
      <c r="E41" s="129" t="s">
        <v>64</v>
      </c>
      <c r="F41" s="128"/>
      <c r="G41" s="128"/>
      <c r="H41" s="128"/>
      <c r="I41" s="129" t="s">
        <v>64</v>
      </c>
      <c r="J41" s="128"/>
      <c r="K41" s="128"/>
      <c r="L41" s="128"/>
      <c r="M41" s="129" t="s">
        <v>64</v>
      </c>
      <c r="N41" s="128"/>
      <c r="O41" s="128"/>
      <c r="P41" s="128"/>
      <c r="Q41" s="129" t="s">
        <v>61</v>
      </c>
      <c r="R41" s="128"/>
      <c r="S41" s="128"/>
      <c r="T41" s="128"/>
      <c r="U41" s="129" t="s">
        <v>63</v>
      </c>
      <c r="V41" s="128"/>
      <c r="W41" s="128"/>
      <c r="X41" s="128"/>
      <c r="Y41" s="129" t="s">
        <v>64</v>
      </c>
      <c r="Z41" s="128"/>
      <c r="AA41" s="128"/>
      <c r="AB41" s="128"/>
      <c r="AC41" s="129" t="s">
        <v>64</v>
      </c>
      <c r="AD41" s="128"/>
      <c r="AE41" s="128"/>
      <c r="AF41" s="128"/>
      <c r="AG41" s="129" t="s">
        <v>64</v>
      </c>
      <c r="AH41" s="128"/>
      <c r="AI41" s="128"/>
      <c r="AJ41" s="128"/>
      <c r="AK41" s="129" t="s">
        <v>64</v>
      </c>
      <c r="AL41" s="128"/>
      <c r="AM41" s="128"/>
      <c r="AN41" s="128"/>
      <c r="AO41" s="129" t="s">
        <v>64</v>
      </c>
      <c r="AP41" s="128"/>
      <c r="AQ41" s="128"/>
      <c r="AR41" s="128"/>
      <c r="AS41" s="129" t="s">
        <v>64</v>
      </c>
      <c r="AT41" s="128"/>
      <c r="AU41" s="128"/>
      <c r="AV41" s="128"/>
    </row>
    <row r="42" spans="1:48" x14ac:dyDescent="0.35">
      <c r="A42" s="129" t="s">
        <v>65</v>
      </c>
      <c r="B42" s="128"/>
      <c r="C42" s="128"/>
      <c r="D42" s="128"/>
      <c r="E42" s="129" t="s">
        <v>65</v>
      </c>
      <c r="F42" s="128"/>
      <c r="G42" s="128"/>
      <c r="H42" s="128"/>
      <c r="I42" s="129" t="s">
        <v>65</v>
      </c>
      <c r="J42" s="128"/>
      <c r="K42" s="128"/>
      <c r="L42" s="128"/>
      <c r="M42" s="129" t="s">
        <v>65</v>
      </c>
      <c r="N42" s="128"/>
      <c r="O42" s="128"/>
      <c r="P42" s="128"/>
      <c r="Q42" s="128"/>
      <c r="R42" s="128"/>
      <c r="S42" s="128"/>
      <c r="T42" s="128"/>
      <c r="U42" s="129" t="s">
        <v>64</v>
      </c>
      <c r="V42" s="128"/>
      <c r="W42" s="128"/>
      <c r="X42" s="128"/>
      <c r="Y42" s="129" t="s">
        <v>65</v>
      </c>
      <c r="Z42" s="128"/>
      <c r="AA42" s="128"/>
      <c r="AB42" s="128"/>
      <c r="AC42" s="129" t="s">
        <v>65</v>
      </c>
      <c r="AD42" s="128"/>
      <c r="AE42" s="128"/>
      <c r="AF42" s="128"/>
      <c r="AG42" s="129" t="s">
        <v>65</v>
      </c>
      <c r="AH42" s="128"/>
      <c r="AI42" s="128"/>
      <c r="AJ42" s="128"/>
      <c r="AK42" s="129" t="s">
        <v>65</v>
      </c>
      <c r="AL42" s="128"/>
      <c r="AM42" s="128"/>
      <c r="AN42" s="128"/>
      <c r="AO42" s="129" t="s">
        <v>65</v>
      </c>
      <c r="AP42" s="128"/>
      <c r="AQ42" s="128"/>
      <c r="AR42" s="128"/>
      <c r="AS42" s="129" t="s">
        <v>65</v>
      </c>
      <c r="AT42" s="128"/>
      <c r="AU42" s="128"/>
      <c r="AV42" s="128"/>
    </row>
    <row r="43" spans="1:48" x14ac:dyDescent="0.35">
      <c r="A43" s="128"/>
      <c r="B43" s="128"/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29" t="s">
        <v>62</v>
      </c>
      <c r="R43" s="128"/>
      <c r="S43" s="128"/>
      <c r="T43" s="128"/>
      <c r="U43" s="129" t="s">
        <v>65</v>
      </c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8"/>
      <c r="AO43" s="128"/>
      <c r="AP43" s="128"/>
      <c r="AQ43" s="128"/>
      <c r="AR43" s="128"/>
      <c r="AS43" s="128"/>
      <c r="AT43" s="128"/>
      <c r="AU43" s="128"/>
      <c r="AV43" s="128"/>
    </row>
    <row r="44" spans="1:48" x14ac:dyDescent="0.35">
      <c r="A44" s="129" t="s">
        <v>151</v>
      </c>
      <c r="B44" s="128"/>
      <c r="C44" s="128"/>
      <c r="D44" s="128"/>
      <c r="E44" s="129" t="s">
        <v>151</v>
      </c>
      <c r="F44" s="128"/>
      <c r="G44" s="128"/>
      <c r="H44" s="128"/>
      <c r="I44" s="129" t="s">
        <v>151</v>
      </c>
      <c r="J44" s="128"/>
      <c r="K44" s="128"/>
      <c r="L44" s="128"/>
      <c r="M44" s="129" t="s">
        <v>151</v>
      </c>
      <c r="N44" s="128"/>
      <c r="O44" s="128"/>
      <c r="P44" s="128"/>
      <c r="Q44" s="129" t="s">
        <v>63</v>
      </c>
      <c r="R44" s="128"/>
      <c r="S44" s="128"/>
      <c r="T44" s="128"/>
      <c r="U44" s="128"/>
      <c r="V44" s="128"/>
      <c r="W44" s="128"/>
      <c r="X44" s="128"/>
      <c r="Y44" s="129" t="s">
        <v>151</v>
      </c>
      <c r="Z44" s="128"/>
      <c r="AA44" s="128"/>
      <c r="AB44" s="128"/>
      <c r="AC44" s="129" t="s">
        <v>151</v>
      </c>
      <c r="AD44" s="128"/>
      <c r="AE44" s="128"/>
      <c r="AF44" s="128"/>
      <c r="AG44" s="129" t="s">
        <v>151</v>
      </c>
      <c r="AH44" s="128"/>
      <c r="AI44" s="128"/>
      <c r="AJ44" s="128"/>
      <c r="AK44" s="129" t="s">
        <v>151</v>
      </c>
      <c r="AL44" s="128"/>
      <c r="AM44" s="128"/>
      <c r="AN44" s="128"/>
      <c r="AO44" s="129" t="s">
        <v>151</v>
      </c>
      <c r="AP44" s="128"/>
      <c r="AQ44" s="128"/>
      <c r="AR44" s="128"/>
      <c r="AS44" s="129" t="s">
        <v>151</v>
      </c>
      <c r="AT44" s="128"/>
      <c r="AU44" s="128"/>
      <c r="AV44" s="128"/>
    </row>
    <row r="45" spans="1:48" x14ac:dyDescent="0.35">
      <c r="A45" s="128"/>
      <c r="B45" s="128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9" t="s">
        <v>64</v>
      </c>
      <c r="R45" s="128"/>
      <c r="S45" s="128"/>
      <c r="T45" s="128"/>
      <c r="U45" s="129" t="s">
        <v>151</v>
      </c>
      <c r="V45" s="128"/>
      <c r="W45" s="128"/>
      <c r="X45" s="128"/>
      <c r="Y45" s="128"/>
      <c r="Z45" s="128"/>
      <c r="AA45" s="128"/>
      <c r="AB45" s="128"/>
      <c r="AC45" s="128"/>
      <c r="AD45" s="128"/>
      <c r="AE45" s="128"/>
      <c r="AF45" s="128"/>
      <c r="AG45" s="128"/>
      <c r="AH45" s="128"/>
      <c r="AI45" s="128"/>
      <c r="AJ45" s="128"/>
      <c r="AK45" s="128"/>
      <c r="AL45" s="128"/>
      <c r="AM45" s="128"/>
      <c r="AN45" s="128"/>
      <c r="AO45" s="128"/>
      <c r="AP45" s="128"/>
      <c r="AQ45" s="128"/>
      <c r="AR45" s="128"/>
      <c r="AS45" s="128"/>
      <c r="AT45" s="128"/>
      <c r="AU45" s="128"/>
      <c r="AV45" s="128"/>
    </row>
    <row r="46" spans="1:48" x14ac:dyDescent="0.35">
      <c r="A46" s="129" t="s">
        <v>347</v>
      </c>
      <c r="B46" s="128"/>
      <c r="C46" s="128"/>
      <c r="D46" s="128"/>
      <c r="E46" s="129" t="s">
        <v>347</v>
      </c>
      <c r="F46" s="128"/>
      <c r="G46" s="128"/>
      <c r="H46" s="128"/>
      <c r="I46" s="129" t="s">
        <v>347</v>
      </c>
      <c r="J46" s="128"/>
      <c r="K46" s="128"/>
      <c r="L46" s="128"/>
      <c r="M46" s="129" t="s">
        <v>347</v>
      </c>
      <c r="N46" s="128"/>
      <c r="O46" s="128"/>
      <c r="P46" s="128"/>
      <c r="Q46" s="129" t="s">
        <v>65</v>
      </c>
      <c r="R46" s="128"/>
      <c r="S46" s="128"/>
      <c r="T46" s="128"/>
      <c r="U46" s="128"/>
      <c r="V46" s="128"/>
      <c r="W46" s="128"/>
      <c r="X46" s="128"/>
      <c r="Y46" s="129" t="s">
        <v>347</v>
      </c>
      <c r="Z46" s="128"/>
      <c r="AA46" s="128"/>
      <c r="AB46" s="128"/>
      <c r="AC46" s="129" t="s">
        <v>347</v>
      </c>
      <c r="AD46" s="128"/>
      <c r="AE46" s="128"/>
      <c r="AF46" s="128"/>
      <c r="AG46" s="129" t="s">
        <v>347</v>
      </c>
      <c r="AH46" s="128"/>
      <c r="AI46" s="128"/>
      <c r="AJ46" s="128"/>
      <c r="AK46" s="129" t="s">
        <v>347</v>
      </c>
      <c r="AL46" s="128"/>
      <c r="AM46" s="128"/>
      <c r="AN46" s="128"/>
      <c r="AO46" s="129" t="s">
        <v>347</v>
      </c>
      <c r="AP46" s="128"/>
      <c r="AQ46" s="128"/>
      <c r="AR46" s="128"/>
      <c r="AS46" s="129" t="s">
        <v>347</v>
      </c>
      <c r="AT46" s="128"/>
      <c r="AU46" s="128"/>
      <c r="AV46" s="128"/>
    </row>
    <row r="47" spans="1:48" x14ac:dyDescent="0.35">
      <c r="A47" s="128"/>
      <c r="B47" s="128"/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9" t="s">
        <v>347</v>
      </c>
      <c r="V47" s="128"/>
      <c r="W47" s="128"/>
      <c r="X47" s="128"/>
      <c r="Y47" s="128"/>
      <c r="Z47" s="128"/>
      <c r="AA47" s="128"/>
      <c r="AB47" s="128"/>
      <c r="AC47" s="128"/>
      <c r="AD47" s="128"/>
      <c r="AE47" s="128"/>
      <c r="AF47" s="128"/>
      <c r="AG47" s="128"/>
      <c r="AH47" s="128"/>
      <c r="AI47" s="128"/>
      <c r="AJ47" s="128"/>
      <c r="AK47" s="128"/>
      <c r="AL47" s="128"/>
      <c r="AM47" s="128"/>
      <c r="AN47" s="128"/>
      <c r="AO47" s="128"/>
      <c r="AP47" s="128"/>
      <c r="AQ47" s="128"/>
      <c r="AR47" s="128"/>
      <c r="AS47" s="128"/>
      <c r="AT47" s="128"/>
      <c r="AU47" s="128"/>
      <c r="AV47" s="128"/>
    </row>
    <row r="48" spans="1:48" x14ac:dyDescent="0.35">
      <c r="A48" s="129" t="s">
        <v>66</v>
      </c>
      <c r="B48" s="128"/>
      <c r="C48" s="128"/>
      <c r="D48" s="128"/>
      <c r="E48" s="129" t="s">
        <v>66</v>
      </c>
      <c r="F48" s="128"/>
      <c r="G48" s="128"/>
      <c r="H48" s="128"/>
      <c r="I48" s="129" t="s">
        <v>66</v>
      </c>
      <c r="J48" s="128"/>
      <c r="K48" s="128"/>
      <c r="L48" s="128"/>
      <c r="M48" s="129" t="s">
        <v>66</v>
      </c>
      <c r="N48" s="128"/>
      <c r="O48" s="128"/>
      <c r="P48" s="128"/>
      <c r="Q48" s="129" t="s">
        <v>66</v>
      </c>
      <c r="R48" s="128"/>
      <c r="S48" s="128"/>
      <c r="T48" s="128"/>
      <c r="U48" s="128"/>
      <c r="V48" s="128"/>
      <c r="W48" s="128"/>
      <c r="X48" s="128"/>
      <c r="Y48" s="129" t="s">
        <v>66</v>
      </c>
      <c r="Z48" s="128"/>
      <c r="AA48" s="128"/>
      <c r="AB48" s="128"/>
      <c r="AC48" s="129" t="s">
        <v>66</v>
      </c>
      <c r="AD48" s="128"/>
      <c r="AE48" s="128"/>
      <c r="AF48" s="128"/>
      <c r="AG48" s="129" t="s">
        <v>66</v>
      </c>
      <c r="AH48" s="128"/>
      <c r="AI48" s="128"/>
      <c r="AJ48" s="128"/>
      <c r="AK48" s="129" t="s">
        <v>66</v>
      </c>
      <c r="AL48" s="128"/>
      <c r="AM48" s="128"/>
      <c r="AN48" s="128"/>
      <c r="AO48" s="129" t="s">
        <v>66</v>
      </c>
      <c r="AP48" s="128"/>
      <c r="AQ48" s="128"/>
      <c r="AR48" s="128"/>
      <c r="AS48" s="129" t="s">
        <v>66</v>
      </c>
      <c r="AT48" s="128"/>
      <c r="AU48" s="128"/>
      <c r="AV48" s="128"/>
    </row>
    <row r="49" spans="21:24" x14ac:dyDescent="0.35">
      <c r="U49" s="129" t="s">
        <v>66</v>
      </c>
      <c r="V49" s="128"/>
      <c r="W49" s="128"/>
      <c r="X49" s="12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12</vt:i4>
      </vt:variant>
    </vt:vector>
  </HeadingPairs>
  <TitlesOfParts>
    <vt:vector size="21" baseType="lpstr">
      <vt:lpstr>Values</vt:lpstr>
      <vt:lpstr>ALL</vt:lpstr>
      <vt:lpstr>FLUID</vt:lpstr>
      <vt:lpstr>SOLID</vt:lpstr>
      <vt:lpstr>EVALUATION</vt:lpstr>
      <vt:lpstr>data</vt:lpstr>
      <vt:lpstr>A</vt:lpstr>
      <vt:lpstr>F</vt:lpstr>
      <vt:lpstr>S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2021-03-06T16:57:40Z</dcterms:modified>
</cp:coreProperties>
</file>