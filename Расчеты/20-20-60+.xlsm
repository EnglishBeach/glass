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_{29356CF0-8DC6-44B9-9B56-B166D1EB8982}" xr6:coauthVersionLast="46" xr6:coauthVersionMax="46" xr10:uidLastSave="{00000000-0000-0000-0000-000000000000}"/>
  <bookViews>
    <workbookView xWindow="-120" yWindow="-120" windowWidth="29040" windowHeight="15990" activeTab="3" xr2:uid="{0302BE19-1FF7-41F7-880F-6539212B9FEB}"/>
  </bookViews>
  <sheets>
    <sheet name="Values" sheetId="2" r:id="rId1"/>
    <sheet name="ALL" sheetId="4" r:id="rId2"/>
    <sheet name="FLUID" sheetId="10" r:id="rId3"/>
    <sheet name="SOLID" sheetId="9" r:id="rId4"/>
    <sheet name="EVALUATION" sheetId="8" r:id="rId5"/>
    <sheet name="data" sheetId="7" r:id="rId6"/>
    <sheet name="Solid (2)" sheetId="11" r:id="rId7"/>
    <sheet name="Fluid (2)" sheetId="12" r:id="rId8"/>
    <sheet name="All (2)" sheetId="13" r:id="rId9"/>
    <sheet name="All2" sheetId="14" r:id="rId10"/>
  </sheets>
  <functionGroups builtInGroupCount="19"/>
  <externalReferences>
    <externalReference r:id="rId11"/>
  </externalReferences>
  <definedNames>
    <definedName name="H.Ar" localSheetId="1">ALL!$F$34:$AL$34</definedName>
    <definedName name="H.Ar" localSheetId="2">FLUID!$F$34:$AL$34</definedName>
    <definedName name="H.Ar" localSheetId="3">SOLID!$F$34:$AL$34</definedName>
    <definedName name="H.Ga" localSheetId="1">ALL!$F$35:$AL$35</definedName>
    <definedName name="H.Ga" localSheetId="2">FLUID!$F$35:$AL$35</definedName>
    <definedName name="H.Ga" localSheetId="3">SOLID!$F$35:$AL$35</definedName>
    <definedName name="H.Ge" localSheetId="1">ALL!$F$36:$AL$36</definedName>
    <definedName name="H.Ge" localSheetId="2">FLUID!$F$36:$AL$36</definedName>
    <definedName name="H.Ge" localSheetId="3">SOLID!$F$36:$AL$36</definedName>
    <definedName name="H.Se" localSheetId="1">ALL!$F$37:$AL$37</definedName>
    <definedName name="H.Se" localSheetId="2">FLUID!$F$37:$AL$37</definedName>
    <definedName name="H.Se" localSheetId="3">SOLID!$F$37:$AL$37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G83" i="10"/>
  <c r="H83" i="10"/>
  <c r="I83" i="10"/>
  <c r="J83" i="10"/>
  <c r="K83" i="10"/>
  <c r="L83" i="10"/>
  <c r="M83" i="10"/>
  <c r="N83" i="10"/>
  <c r="O83" i="10"/>
  <c r="P83" i="10"/>
  <c r="Q83" i="10"/>
  <c r="R83" i="10"/>
  <c r="S83" i="10"/>
  <c r="T83" i="10"/>
  <c r="U83" i="10"/>
  <c r="V83" i="10"/>
  <c r="W83" i="10"/>
  <c r="X83" i="10"/>
  <c r="Y83" i="10"/>
  <c r="Z83" i="10"/>
  <c r="AA83" i="10"/>
  <c r="AB83" i="10"/>
  <c r="AC83" i="10"/>
  <c r="AD83" i="10"/>
  <c r="AE83" i="10"/>
  <c r="AF83" i="10"/>
  <c r="AG83" i="10"/>
  <c r="AH83" i="10"/>
  <c r="AI83" i="10"/>
  <c r="AJ83" i="10"/>
  <c r="AK83" i="10"/>
  <c r="AL83" i="10"/>
  <c r="G84" i="10"/>
  <c r="H84" i="10"/>
  <c r="I84" i="10"/>
  <c r="J84" i="10"/>
  <c r="K84" i="10"/>
  <c r="L84" i="10"/>
  <c r="M84" i="10"/>
  <c r="N84" i="10"/>
  <c r="O84" i="10"/>
  <c r="P84" i="10"/>
  <c r="Q84" i="10"/>
  <c r="R84" i="10"/>
  <c r="S84" i="10"/>
  <c r="T84" i="10"/>
  <c r="U84" i="10"/>
  <c r="V84" i="10"/>
  <c r="W84" i="10"/>
  <c r="X84" i="10"/>
  <c r="Y84" i="10"/>
  <c r="Z84" i="10"/>
  <c r="AA84" i="10"/>
  <c r="AB84" i="10"/>
  <c r="AC84" i="10"/>
  <c r="AD84" i="10"/>
  <c r="AE84" i="10"/>
  <c r="AF84" i="10"/>
  <c r="AG84" i="10"/>
  <c r="AH84" i="10"/>
  <c r="AI84" i="10"/>
  <c r="AJ84" i="10"/>
  <c r="AK84" i="10"/>
  <c r="AL84" i="10"/>
  <c r="G85" i="10"/>
  <c r="H85" i="10"/>
  <c r="I85" i="10"/>
  <c r="J85" i="10"/>
  <c r="K85" i="10"/>
  <c r="L85" i="10"/>
  <c r="M85" i="10"/>
  <c r="N85" i="10"/>
  <c r="O85" i="10"/>
  <c r="P85" i="10"/>
  <c r="Q85" i="10"/>
  <c r="R85" i="10"/>
  <c r="S85" i="10"/>
  <c r="T85" i="10"/>
  <c r="U85" i="10"/>
  <c r="V85" i="10"/>
  <c r="W85" i="10"/>
  <c r="X85" i="10"/>
  <c r="Y85" i="10"/>
  <c r="Z85" i="10"/>
  <c r="AA85" i="10"/>
  <c r="AB85" i="10"/>
  <c r="AC85" i="10"/>
  <c r="AD85" i="10"/>
  <c r="AE85" i="10"/>
  <c r="AF85" i="10"/>
  <c r="AG85" i="10"/>
  <c r="AH85" i="10"/>
  <c r="AI85" i="10"/>
  <c r="AJ85" i="10"/>
  <c r="AK85" i="10"/>
  <c r="AL85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X86" i="10"/>
  <c r="Y86" i="10"/>
  <c r="Z86" i="10"/>
  <c r="AA86" i="10"/>
  <c r="AB86" i="10"/>
  <c r="AC86" i="10"/>
  <c r="AD86" i="10"/>
  <c r="AE86" i="10"/>
  <c r="AF86" i="10"/>
  <c r="AG86" i="10"/>
  <c r="AH86" i="10"/>
  <c r="AI86" i="10"/>
  <c r="AJ86" i="10"/>
  <c r="AK86" i="10"/>
  <c r="AL86" i="10"/>
  <c r="G87" i="10"/>
  <c r="H87" i="10"/>
  <c r="I87" i="10"/>
  <c r="J87" i="10"/>
  <c r="K87" i="10"/>
  <c r="L87" i="10"/>
  <c r="M87" i="10"/>
  <c r="N87" i="10"/>
  <c r="O87" i="10"/>
  <c r="P87" i="10"/>
  <c r="Q87" i="10"/>
  <c r="R87" i="10"/>
  <c r="S87" i="10"/>
  <c r="T87" i="10"/>
  <c r="U87" i="10"/>
  <c r="V87" i="10"/>
  <c r="W87" i="10"/>
  <c r="X87" i="10"/>
  <c r="Y87" i="10"/>
  <c r="Z87" i="10"/>
  <c r="AA87" i="10"/>
  <c r="AB87" i="10"/>
  <c r="AC87" i="10"/>
  <c r="AD87" i="10"/>
  <c r="AE87" i="10"/>
  <c r="AF87" i="10"/>
  <c r="AG87" i="10"/>
  <c r="AH87" i="10"/>
  <c r="AI87" i="10"/>
  <c r="AJ87" i="10"/>
  <c r="AK87" i="10"/>
  <c r="AL87" i="10"/>
  <c r="G88" i="10"/>
  <c r="H88" i="10"/>
  <c r="I88" i="10"/>
  <c r="J88" i="10"/>
  <c r="K88" i="10"/>
  <c r="L88" i="10"/>
  <c r="M88" i="10"/>
  <c r="N88" i="10"/>
  <c r="O88" i="10"/>
  <c r="P88" i="10"/>
  <c r="Q88" i="10"/>
  <c r="R88" i="10"/>
  <c r="S88" i="10"/>
  <c r="T88" i="10"/>
  <c r="U88" i="10"/>
  <c r="V88" i="10"/>
  <c r="W88" i="10"/>
  <c r="X88" i="10"/>
  <c r="Y88" i="10"/>
  <c r="Z88" i="10"/>
  <c r="AA88" i="10"/>
  <c r="AB88" i="10"/>
  <c r="AC88" i="10"/>
  <c r="AD88" i="10"/>
  <c r="AE88" i="10"/>
  <c r="AF88" i="10"/>
  <c r="AG88" i="10"/>
  <c r="AH88" i="10"/>
  <c r="AI88" i="10"/>
  <c r="AJ88" i="10"/>
  <c r="AK88" i="10"/>
  <c r="AL88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E89" i="10"/>
  <c r="AF89" i="10"/>
  <c r="AG89" i="10"/>
  <c r="AH89" i="10"/>
  <c r="AI89" i="10"/>
  <c r="AJ89" i="10"/>
  <c r="AK89" i="10"/>
  <c r="AL89" i="10"/>
  <c r="G90" i="10"/>
  <c r="H90" i="10"/>
  <c r="I90" i="10"/>
  <c r="J90" i="10"/>
  <c r="K90" i="10"/>
  <c r="L90" i="10"/>
  <c r="M90" i="10"/>
  <c r="N90" i="10"/>
  <c r="O90" i="10"/>
  <c r="P90" i="10"/>
  <c r="Q90" i="10"/>
  <c r="R90" i="10"/>
  <c r="S90" i="10"/>
  <c r="T90" i="10"/>
  <c r="U90" i="10"/>
  <c r="V90" i="10"/>
  <c r="W90" i="10"/>
  <c r="X90" i="10"/>
  <c r="Y90" i="10"/>
  <c r="Z90" i="10"/>
  <c r="AA90" i="10"/>
  <c r="AB90" i="10"/>
  <c r="AC90" i="10"/>
  <c r="AD90" i="10"/>
  <c r="AE90" i="10"/>
  <c r="AF90" i="10"/>
  <c r="AG90" i="10"/>
  <c r="AH90" i="10"/>
  <c r="AI90" i="10"/>
  <c r="AJ90" i="10"/>
  <c r="AK90" i="10"/>
  <c r="AL90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Z91" i="10"/>
  <c r="AA91" i="10"/>
  <c r="AB91" i="10"/>
  <c r="AC91" i="10"/>
  <c r="AD91" i="10"/>
  <c r="AE91" i="10"/>
  <c r="AF91" i="10"/>
  <c r="AG91" i="10"/>
  <c r="AH91" i="10"/>
  <c r="AI91" i="10"/>
  <c r="AJ91" i="10"/>
  <c r="AK91" i="10"/>
  <c r="AL91" i="10"/>
  <c r="G92" i="10"/>
  <c r="H92" i="10"/>
  <c r="I92" i="10"/>
  <c r="J92" i="10"/>
  <c r="K92" i="10"/>
  <c r="L92" i="10"/>
  <c r="M92" i="10"/>
  <c r="N92" i="10"/>
  <c r="O92" i="10"/>
  <c r="P92" i="10"/>
  <c r="Q92" i="10"/>
  <c r="R92" i="10"/>
  <c r="S92" i="10"/>
  <c r="T92" i="10"/>
  <c r="U92" i="10"/>
  <c r="V92" i="10"/>
  <c r="W92" i="10"/>
  <c r="X92" i="10"/>
  <c r="Y92" i="10"/>
  <c r="Z92" i="10"/>
  <c r="AA92" i="10"/>
  <c r="AB92" i="10"/>
  <c r="AC92" i="10"/>
  <c r="AD92" i="10"/>
  <c r="AE92" i="10"/>
  <c r="AF92" i="10"/>
  <c r="AG92" i="10"/>
  <c r="AH92" i="10"/>
  <c r="AI92" i="10"/>
  <c r="AJ92" i="10"/>
  <c r="AK92" i="10"/>
  <c r="AL92" i="10"/>
  <c r="G93" i="10"/>
  <c r="H93" i="10"/>
  <c r="I93" i="10"/>
  <c r="J93" i="10"/>
  <c r="K93" i="10"/>
  <c r="L93" i="10"/>
  <c r="M93" i="10"/>
  <c r="N93" i="10"/>
  <c r="O93" i="10"/>
  <c r="P93" i="10"/>
  <c r="Q93" i="10"/>
  <c r="R93" i="10"/>
  <c r="S93" i="10"/>
  <c r="T93" i="10"/>
  <c r="U93" i="10"/>
  <c r="V93" i="10"/>
  <c r="W93" i="10"/>
  <c r="X93" i="10"/>
  <c r="Y93" i="10"/>
  <c r="Z93" i="10"/>
  <c r="AA93" i="10"/>
  <c r="AB93" i="10"/>
  <c r="AC93" i="10"/>
  <c r="AD93" i="10"/>
  <c r="AE93" i="10"/>
  <c r="AF93" i="10"/>
  <c r="AG93" i="10"/>
  <c r="AH93" i="10"/>
  <c r="AI93" i="10"/>
  <c r="AJ93" i="10"/>
  <c r="AK93" i="10"/>
  <c r="AL93" i="10"/>
  <c r="G94" i="10"/>
  <c r="H94" i="10"/>
  <c r="I94" i="10"/>
  <c r="J94" i="10"/>
  <c r="K94" i="10"/>
  <c r="L94" i="10"/>
  <c r="M94" i="10"/>
  <c r="N94" i="10"/>
  <c r="O94" i="10"/>
  <c r="P94" i="10"/>
  <c r="Q94" i="10"/>
  <c r="R94" i="10"/>
  <c r="S94" i="10"/>
  <c r="T94" i="10"/>
  <c r="U94" i="10"/>
  <c r="V94" i="10"/>
  <c r="W94" i="10"/>
  <c r="X94" i="10"/>
  <c r="Y94" i="10"/>
  <c r="Z94" i="10"/>
  <c r="AA94" i="10"/>
  <c r="AB94" i="10"/>
  <c r="AC94" i="10"/>
  <c r="AD94" i="10"/>
  <c r="AE94" i="10"/>
  <c r="AF94" i="10"/>
  <c r="AG94" i="10"/>
  <c r="AH94" i="10"/>
  <c r="AI94" i="10"/>
  <c r="AJ94" i="10"/>
  <c r="AK94" i="10"/>
  <c r="AL94" i="10"/>
  <c r="G95" i="10"/>
  <c r="H95" i="10"/>
  <c r="I95" i="10"/>
  <c r="J95" i="10"/>
  <c r="K95" i="10"/>
  <c r="L95" i="10"/>
  <c r="M95" i="10"/>
  <c r="N95" i="10"/>
  <c r="O95" i="10"/>
  <c r="P95" i="10"/>
  <c r="Q95" i="10"/>
  <c r="R95" i="10"/>
  <c r="S95" i="10"/>
  <c r="T95" i="10"/>
  <c r="U95" i="10"/>
  <c r="V95" i="10"/>
  <c r="W95" i="10"/>
  <c r="X95" i="10"/>
  <c r="Y95" i="10"/>
  <c r="Z95" i="10"/>
  <c r="AA95" i="10"/>
  <c r="AB95" i="10"/>
  <c r="AC95" i="10"/>
  <c r="AD95" i="10"/>
  <c r="AE95" i="10"/>
  <c r="AF95" i="10"/>
  <c r="AG95" i="10"/>
  <c r="AH95" i="10"/>
  <c r="AI95" i="10"/>
  <c r="AJ95" i="10"/>
  <c r="AK95" i="10"/>
  <c r="AL95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S96" i="10"/>
  <c r="T96" i="10"/>
  <c r="U96" i="10"/>
  <c r="V96" i="10"/>
  <c r="W96" i="10"/>
  <c r="X96" i="10"/>
  <c r="Y96" i="10"/>
  <c r="Z96" i="10"/>
  <c r="AA96" i="10"/>
  <c r="AB96" i="10"/>
  <c r="AC96" i="10"/>
  <c r="AD96" i="10"/>
  <c r="AE96" i="10"/>
  <c r="AF96" i="10"/>
  <c r="AG96" i="10"/>
  <c r="AH96" i="10"/>
  <c r="AI96" i="10"/>
  <c r="AJ96" i="10"/>
  <c r="AK96" i="10"/>
  <c r="AL96" i="10"/>
  <c r="G97" i="10"/>
  <c r="H97" i="10"/>
  <c r="I97" i="10"/>
  <c r="J97" i="10"/>
  <c r="K97" i="10"/>
  <c r="L97" i="10"/>
  <c r="M97" i="10"/>
  <c r="N97" i="10"/>
  <c r="O97" i="10"/>
  <c r="P97" i="10"/>
  <c r="Q97" i="10"/>
  <c r="R97" i="10"/>
  <c r="S97" i="10"/>
  <c r="T97" i="10"/>
  <c r="U97" i="10"/>
  <c r="V97" i="10"/>
  <c r="W97" i="10"/>
  <c r="X97" i="10"/>
  <c r="Y97" i="10"/>
  <c r="Z97" i="10"/>
  <c r="AA97" i="10"/>
  <c r="AB97" i="10"/>
  <c r="AC97" i="10"/>
  <c r="AD97" i="10"/>
  <c r="AE97" i="10"/>
  <c r="AF97" i="10"/>
  <c r="AG97" i="10"/>
  <c r="AH97" i="10"/>
  <c r="AI97" i="10"/>
  <c r="AJ97" i="10"/>
  <c r="AK97" i="10"/>
  <c r="AL97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S98" i="10"/>
  <c r="T98" i="10"/>
  <c r="U98" i="10"/>
  <c r="V98" i="10"/>
  <c r="W98" i="10"/>
  <c r="X98" i="10"/>
  <c r="Y98" i="10"/>
  <c r="Z98" i="10"/>
  <c r="AA98" i="10"/>
  <c r="AB98" i="10"/>
  <c r="AC98" i="10"/>
  <c r="AD98" i="10"/>
  <c r="AE98" i="10"/>
  <c r="AF98" i="10"/>
  <c r="AG98" i="10"/>
  <c r="AH98" i="10"/>
  <c r="AI98" i="10"/>
  <c r="AJ98" i="10"/>
  <c r="AK98" i="10"/>
  <c r="AL98" i="10"/>
  <c r="G99" i="10"/>
  <c r="H99" i="10"/>
  <c r="I99" i="10"/>
  <c r="J99" i="10"/>
  <c r="K99" i="10"/>
  <c r="L99" i="10"/>
  <c r="M99" i="10"/>
  <c r="N99" i="10"/>
  <c r="O99" i="10"/>
  <c r="P99" i="10"/>
  <c r="Q99" i="10"/>
  <c r="R99" i="10"/>
  <c r="S99" i="10"/>
  <c r="T99" i="10"/>
  <c r="U99" i="10"/>
  <c r="V99" i="10"/>
  <c r="W99" i="10"/>
  <c r="X99" i="10"/>
  <c r="Y99" i="10"/>
  <c r="Z99" i="10"/>
  <c r="AA99" i="10"/>
  <c r="AB99" i="10"/>
  <c r="AC99" i="10"/>
  <c r="AD99" i="10"/>
  <c r="AE99" i="10"/>
  <c r="AF99" i="10"/>
  <c r="AG99" i="10"/>
  <c r="AH99" i="10"/>
  <c r="AI99" i="10"/>
  <c r="AJ99" i="10"/>
  <c r="AK99" i="10"/>
  <c r="AL99" i="10"/>
  <c r="G100" i="10"/>
  <c r="H100" i="10"/>
  <c r="I100" i="10"/>
  <c r="J100" i="10"/>
  <c r="K100" i="10"/>
  <c r="L100" i="10"/>
  <c r="M100" i="10"/>
  <c r="N100" i="10"/>
  <c r="O100" i="10"/>
  <c r="P100" i="10"/>
  <c r="Q100" i="10"/>
  <c r="R100" i="10"/>
  <c r="S100" i="10"/>
  <c r="T100" i="10"/>
  <c r="U100" i="10"/>
  <c r="V100" i="10"/>
  <c r="W100" i="10"/>
  <c r="X100" i="10"/>
  <c r="Y100" i="10"/>
  <c r="Z100" i="10"/>
  <c r="AA100" i="10"/>
  <c r="AB100" i="10"/>
  <c r="AC100" i="10"/>
  <c r="AD100" i="10"/>
  <c r="AE100" i="10"/>
  <c r="AF100" i="10"/>
  <c r="AG100" i="10"/>
  <c r="AH100" i="10"/>
  <c r="AI100" i="10"/>
  <c r="AJ100" i="10"/>
  <c r="AK100" i="10"/>
  <c r="AL100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AA101" i="10"/>
  <c r="AB101" i="10"/>
  <c r="AC101" i="10"/>
  <c r="AD101" i="10"/>
  <c r="AE101" i="10"/>
  <c r="AF101" i="10"/>
  <c r="AG101" i="10"/>
  <c r="AH101" i="10"/>
  <c r="AI101" i="10"/>
  <c r="AJ101" i="10"/>
  <c r="AK101" i="10"/>
  <c r="AL101" i="10"/>
  <c r="G102" i="10"/>
  <c r="H102" i="10"/>
  <c r="I102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AA102" i="10"/>
  <c r="AB102" i="10"/>
  <c r="AC102" i="10"/>
  <c r="AD102" i="10"/>
  <c r="AE102" i="10"/>
  <c r="AF102" i="10"/>
  <c r="AG102" i="10"/>
  <c r="AH102" i="10"/>
  <c r="AI102" i="10"/>
  <c r="AJ102" i="10"/>
  <c r="AK102" i="10"/>
  <c r="AL102" i="10"/>
  <c r="G103" i="10"/>
  <c r="H103" i="10"/>
  <c r="I103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AA103" i="10"/>
  <c r="AB103" i="10"/>
  <c r="AC103" i="10"/>
  <c r="AD103" i="10"/>
  <c r="AE103" i="10"/>
  <c r="AF103" i="10"/>
  <c r="AG103" i="10"/>
  <c r="AH103" i="10"/>
  <c r="AI103" i="10"/>
  <c r="AJ103" i="10"/>
  <c r="AK103" i="10"/>
  <c r="AL103" i="10"/>
  <c r="G104" i="10"/>
  <c r="H104" i="10"/>
  <c r="I104" i="10"/>
  <c r="J104" i="10"/>
  <c r="K104" i="10"/>
  <c r="L104" i="10"/>
  <c r="M104" i="10"/>
  <c r="N104" i="10"/>
  <c r="O104" i="10"/>
  <c r="P104" i="10"/>
  <c r="Q104" i="10"/>
  <c r="R104" i="10"/>
  <c r="S104" i="10"/>
  <c r="T104" i="10"/>
  <c r="U104" i="10"/>
  <c r="V104" i="10"/>
  <c r="W104" i="10"/>
  <c r="X104" i="10"/>
  <c r="Y104" i="10"/>
  <c r="Z104" i="10"/>
  <c r="AA104" i="10"/>
  <c r="AB104" i="10"/>
  <c r="AC104" i="10"/>
  <c r="AD104" i="10"/>
  <c r="AE104" i="10"/>
  <c r="AF104" i="10"/>
  <c r="AG104" i="10"/>
  <c r="AH104" i="10"/>
  <c r="AI104" i="10"/>
  <c r="AJ104" i="10"/>
  <c r="AK104" i="10"/>
  <c r="AL104" i="10"/>
  <c r="G105" i="10"/>
  <c r="H105" i="10"/>
  <c r="I105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AA105" i="10"/>
  <c r="AB105" i="10"/>
  <c r="AC105" i="10"/>
  <c r="AD105" i="10"/>
  <c r="AE105" i="10"/>
  <c r="AF105" i="10"/>
  <c r="AG105" i="10"/>
  <c r="AH105" i="10"/>
  <c r="AI105" i="10"/>
  <c r="AJ105" i="10"/>
  <c r="AK105" i="10"/>
  <c r="AL105" i="10"/>
  <c r="G106" i="10"/>
  <c r="H106" i="10"/>
  <c r="I106" i="10"/>
  <c r="J106" i="10"/>
  <c r="K106" i="10"/>
  <c r="L106" i="10"/>
  <c r="M106" i="10"/>
  <c r="N106" i="10"/>
  <c r="O106" i="10"/>
  <c r="P106" i="10"/>
  <c r="Q106" i="10"/>
  <c r="R106" i="10"/>
  <c r="S106" i="10"/>
  <c r="T106" i="10"/>
  <c r="U106" i="10"/>
  <c r="V106" i="10"/>
  <c r="W106" i="10"/>
  <c r="X106" i="10"/>
  <c r="Y106" i="10"/>
  <c r="Z106" i="10"/>
  <c r="AA106" i="10"/>
  <c r="AB106" i="10"/>
  <c r="AC106" i="10"/>
  <c r="AD106" i="10"/>
  <c r="AE106" i="10"/>
  <c r="AF106" i="10"/>
  <c r="AG106" i="10"/>
  <c r="AH106" i="10"/>
  <c r="AI106" i="10"/>
  <c r="AJ106" i="10"/>
  <c r="AK106" i="10"/>
  <c r="AL106" i="10"/>
  <c r="G107" i="10"/>
  <c r="H107" i="10"/>
  <c r="I107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AA107" i="10"/>
  <c r="AB107" i="10"/>
  <c r="AC107" i="10"/>
  <c r="AD107" i="10"/>
  <c r="AE107" i="10"/>
  <c r="AF107" i="10"/>
  <c r="AG107" i="10"/>
  <c r="AH107" i="10"/>
  <c r="AI107" i="10"/>
  <c r="AJ107" i="10"/>
  <c r="AK107" i="10"/>
  <c r="AL107" i="10"/>
  <c r="G108" i="10"/>
  <c r="H108" i="10"/>
  <c r="I108" i="10"/>
  <c r="J108" i="10"/>
  <c r="K108" i="10"/>
  <c r="L108" i="10"/>
  <c r="M108" i="10"/>
  <c r="N108" i="10"/>
  <c r="O108" i="10"/>
  <c r="P108" i="10"/>
  <c r="Q108" i="10"/>
  <c r="R108" i="10"/>
  <c r="S108" i="10"/>
  <c r="T108" i="10"/>
  <c r="U108" i="10"/>
  <c r="V108" i="10"/>
  <c r="W108" i="10"/>
  <c r="X108" i="10"/>
  <c r="Y108" i="10"/>
  <c r="Z108" i="10"/>
  <c r="AA108" i="10"/>
  <c r="AB108" i="10"/>
  <c r="AC108" i="10"/>
  <c r="AD108" i="10"/>
  <c r="AE108" i="10"/>
  <c r="AF108" i="10"/>
  <c r="AG108" i="10"/>
  <c r="AH108" i="10"/>
  <c r="AI108" i="10"/>
  <c r="AJ108" i="10"/>
  <c r="AK108" i="10"/>
  <c r="AL108" i="10"/>
  <c r="G109" i="10"/>
  <c r="H109" i="10"/>
  <c r="I109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AA109" i="10"/>
  <c r="AB109" i="10"/>
  <c r="AC109" i="10"/>
  <c r="AD109" i="10"/>
  <c r="AE109" i="10"/>
  <c r="AF109" i="10"/>
  <c r="AG109" i="10"/>
  <c r="AH109" i="10"/>
  <c r="AI109" i="10"/>
  <c r="AJ109" i="10"/>
  <c r="AK109" i="10"/>
  <c r="AL109" i="10"/>
  <c r="G110" i="10"/>
  <c r="H110" i="10"/>
  <c r="I110" i="10"/>
  <c r="J110" i="10"/>
  <c r="K110" i="10"/>
  <c r="L110" i="10"/>
  <c r="M110" i="10"/>
  <c r="N110" i="10"/>
  <c r="O110" i="10"/>
  <c r="P110" i="10"/>
  <c r="Q110" i="10"/>
  <c r="R110" i="10"/>
  <c r="S110" i="10"/>
  <c r="T110" i="10"/>
  <c r="U110" i="10"/>
  <c r="V110" i="10"/>
  <c r="W110" i="10"/>
  <c r="X110" i="10"/>
  <c r="Y110" i="10"/>
  <c r="Z110" i="10"/>
  <c r="AA110" i="10"/>
  <c r="AB110" i="10"/>
  <c r="AC110" i="10"/>
  <c r="AD110" i="10"/>
  <c r="AE110" i="10"/>
  <c r="AF110" i="10"/>
  <c r="AG110" i="10"/>
  <c r="AH110" i="10"/>
  <c r="AI110" i="10"/>
  <c r="AJ110" i="10"/>
  <c r="AK110" i="10"/>
  <c r="AL110" i="10"/>
  <c r="G111" i="10"/>
  <c r="H111" i="10"/>
  <c r="I111" i="10"/>
  <c r="J111" i="10"/>
  <c r="K111" i="10"/>
  <c r="L111" i="10"/>
  <c r="M111" i="10"/>
  <c r="N111" i="10"/>
  <c r="O111" i="10"/>
  <c r="P111" i="10"/>
  <c r="Q111" i="10"/>
  <c r="R111" i="10"/>
  <c r="S111" i="10"/>
  <c r="T111" i="10"/>
  <c r="U111" i="10"/>
  <c r="V111" i="10"/>
  <c r="W111" i="10"/>
  <c r="X111" i="10"/>
  <c r="Y111" i="10"/>
  <c r="Z111" i="10"/>
  <c r="AA111" i="10"/>
  <c r="AB111" i="10"/>
  <c r="AC111" i="10"/>
  <c r="AD111" i="10"/>
  <c r="AE111" i="10"/>
  <c r="AF111" i="10"/>
  <c r="AG111" i="10"/>
  <c r="AH111" i="10"/>
  <c r="AI111" i="10"/>
  <c r="AJ111" i="10"/>
  <c r="AK111" i="10"/>
  <c r="AL111" i="10"/>
  <c r="G112" i="10"/>
  <c r="H112" i="10"/>
  <c r="I112" i="10"/>
  <c r="J112" i="10"/>
  <c r="K112" i="10"/>
  <c r="L112" i="10"/>
  <c r="M112" i="10"/>
  <c r="N112" i="10"/>
  <c r="O112" i="10"/>
  <c r="P112" i="10"/>
  <c r="Q112" i="10"/>
  <c r="R112" i="10"/>
  <c r="S112" i="10"/>
  <c r="T112" i="10"/>
  <c r="U112" i="10"/>
  <c r="V112" i="10"/>
  <c r="W112" i="10"/>
  <c r="X112" i="10"/>
  <c r="Y112" i="10"/>
  <c r="Z112" i="10"/>
  <c r="AA112" i="10"/>
  <c r="AB112" i="10"/>
  <c r="AC112" i="10"/>
  <c r="AD112" i="10"/>
  <c r="AE112" i="10"/>
  <c r="AF112" i="10"/>
  <c r="AG112" i="10"/>
  <c r="AH112" i="10"/>
  <c r="AI112" i="10"/>
  <c r="AJ112" i="10"/>
  <c r="AK112" i="10"/>
  <c r="AL112" i="10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AK83" i="4"/>
  <c r="AL83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AK117" i="4"/>
  <c r="AL117" i="4"/>
  <c r="D37" i="10"/>
  <c r="M37" i="10" s="1"/>
  <c r="D35" i="10"/>
  <c r="G35" i="10" s="1"/>
  <c r="D36" i="10"/>
  <c r="G36" i="10" s="1"/>
  <c r="D34" i="10"/>
  <c r="G34" i="10" s="1"/>
  <c r="A22" i="7"/>
  <c r="F35" i="10" l="1"/>
  <c r="AK35" i="10"/>
  <c r="AC35" i="10"/>
  <c r="T37" i="10"/>
  <c r="AA37" i="10"/>
  <c r="Z37" i="10"/>
  <c r="J37" i="10"/>
  <c r="AG37" i="10"/>
  <c r="Y37" i="10"/>
  <c r="Q37" i="10"/>
  <c r="I37" i="10"/>
  <c r="AB37" i="10"/>
  <c r="AI37" i="10"/>
  <c r="S37" i="10"/>
  <c r="AH37" i="10"/>
  <c r="R37" i="10"/>
  <c r="E37" i="10"/>
  <c r="AF37" i="10"/>
  <c r="X37" i="10"/>
  <c r="P37" i="10"/>
  <c r="H37" i="10"/>
  <c r="AJ37" i="10"/>
  <c r="L37" i="10"/>
  <c r="K37" i="10"/>
  <c r="AE37" i="10"/>
  <c r="W37" i="10"/>
  <c r="O37" i="10"/>
  <c r="G37" i="10"/>
  <c r="G51" i="10" s="1"/>
  <c r="AL37" i="10"/>
  <c r="AD37" i="10"/>
  <c r="V37" i="10"/>
  <c r="N37" i="10"/>
  <c r="AK37" i="10"/>
  <c r="AC37" i="10"/>
  <c r="U37" i="10"/>
  <c r="AL36" i="10"/>
  <c r="AD36" i="10"/>
  <c r="V36" i="10"/>
  <c r="N36" i="10"/>
  <c r="AL35" i="10"/>
  <c r="AD35" i="10"/>
  <c r="V35" i="10"/>
  <c r="N35" i="10"/>
  <c r="AL34" i="10"/>
  <c r="AD34" i="10"/>
  <c r="V34" i="10"/>
  <c r="N34" i="10"/>
  <c r="M36" i="10"/>
  <c r="AJ36" i="10"/>
  <c r="L36" i="10"/>
  <c r="AB35" i="10"/>
  <c r="L35" i="10"/>
  <c r="AJ34" i="10"/>
  <c r="AB34" i="10"/>
  <c r="T34" i="10"/>
  <c r="L34" i="10"/>
  <c r="E34" i="10"/>
  <c r="AC36" i="10"/>
  <c r="U36" i="10"/>
  <c r="U35" i="10"/>
  <c r="AK34" i="10"/>
  <c r="U34" i="10"/>
  <c r="AI36" i="10"/>
  <c r="AA36" i="10"/>
  <c r="S36" i="10"/>
  <c r="K36" i="10"/>
  <c r="AI35" i="10"/>
  <c r="AA35" i="10"/>
  <c r="S35" i="10"/>
  <c r="K35" i="10"/>
  <c r="AI34" i="10"/>
  <c r="AA34" i="10"/>
  <c r="S34" i="10"/>
  <c r="K34" i="10"/>
  <c r="T36" i="10"/>
  <c r="T35" i="10"/>
  <c r="E36" i="10"/>
  <c r="E35" i="10"/>
  <c r="AH36" i="10"/>
  <c r="Z36" i="10"/>
  <c r="R36" i="10"/>
  <c r="J36" i="10"/>
  <c r="AH35" i="10"/>
  <c r="Z35" i="10"/>
  <c r="R35" i="10"/>
  <c r="J35" i="10"/>
  <c r="AH34" i="10"/>
  <c r="Z34" i="10"/>
  <c r="R34" i="10"/>
  <c r="J34" i="10"/>
  <c r="AK36" i="10"/>
  <c r="M35" i="10"/>
  <c r="AC34" i="10"/>
  <c r="M34" i="10"/>
  <c r="AB36" i="10"/>
  <c r="AJ35" i="10"/>
  <c r="F36" i="10"/>
  <c r="AG36" i="10"/>
  <c r="Y36" i="10"/>
  <c r="Q36" i="10"/>
  <c r="I36" i="10"/>
  <c r="AG35" i="10"/>
  <c r="Y35" i="10"/>
  <c r="Q35" i="10"/>
  <c r="I35" i="10"/>
  <c r="AG34" i="10"/>
  <c r="Y34" i="10"/>
  <c r="Q34" i="10"/>
  <c r="I34" i="10"/>
  <c r="AF36" i="10"/>
  <c r="X36" i="10"/>
  <c r="P36" i="10"/>
  <c r="H36" i="10"/>
  <c r="AF35" i="10"/>
  <c r="X35" i="10"/>
  <c r="P35" i="10"/>
  <c r="H35" i="10"/>
  <c r="AF34" i="10"/>
  <c r="X34" i="10"/>
  <c r="P34" i="10"/>
  <c r="H34" i="10"/>
  <c r="F34" i="10"/>
  <c r="AE36" i="10"/>
  <c r="W36" i="10"/>
  <c r="O36" i="10"/>
  <c r="AE35" i="10"/>
  <c r="W35" i="10"/>
  <c r="O35" i="10"/>
  <c r="AE34" i="10"/>
  <c r="W34" i="10"/>
  <c r="O34" i="10"/>
  <c r="A98" i="8"/>
  <c r="A99" i="8" s="1"/>
  <c r="B98" i="8"/>
  <c r="H41" i="10" l="1"/>
  <c r="S41" i="10"/>
  <c r="Z41" i="10"/>
  <c r="AI41" i="10"/>
  <c r="X41" i="10"/>
  <c r="AF41" i="10"/>
  <c r="AH41" i="10"/>
  <c r="Q41" i="10"/>
  <c r="AL41" i="10"/>
  <c r="W41" i="10"/>
  <c r="R41" i="10"/>
  <c r="AJ41" i="10"/>
  <c r="G78" i="10"/>
  <c r="G64" i="10"/>
  <c r="G56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AE41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AK41" i="10"/>
  <c r="T41" i="10"/>
  <c r="U41" i="10"/>
  <c r="G76" i="10"/>
  <c r="G66" i="10"/>
  <c r="G58" i="10"/>
  <c r="G50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AG50" i="10"/>
  <c r="AG51" i="10"/>
  <c r="AG52" i="10"/>
  <c r="AG53" i="10"/>
  <c r="AG54" i="10"/>
  <c r="AG55" i="10"/>
  <c r="AG56" i="10"/>
  <c r="AG57" i="10"/>
  <c r="AG58" i="10"/>
  <c r="AG59" i="10"/>
  <c r="AG60" i="10"/>
  <c r="AG61" i="10"/>
  <c r="AG62" i="10"/>
  <c r="AG63" i="10"/>
  <c r="AG64" i="10"/>
  <c r="AG65" i="10"/>
  <c r="AG66" i="10"/>
  <c r="AG67" i="10"/>
  <c r="AG68" i="10"/>
  <c r="AG69" i="10"/>
  <c r="AG70" i="10"/>
  <c r="AG71" i="10"/>
  <c r="AG72" i="10"/>
  <c r="AG73" i="10"/>
  <c r="AG74" i="10"/>
  <c r="AG75" i="10"/>
  <c r="AG76" i="10"/>
  <c r="AG77" i="10"/>
  <c r="AG78" i="10"/>
  <c r="AG41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41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2" i="10"/>
  <c r="K74" i="10"/>
  <c r="K78" i="10"/>
  <c r="K71" i="10"/>
  <c r="K73" i="10"/>
  <c r="K75" i="10"/>
  <c r="K77" i="10"/>
  <c r="K76" i="10"/>
  <c r="K41" i="10"/>
  <c r="AC41" i="10"/>
  <c r="L41" i="10"/>
  <c r="G77" i="10"/>
  <c r="G65" i="10"/>
  <c r="G57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8" i="10"/>
  <c r="S71" i="10"/>
  <c r="S70" i="10"/>
  <c r="S76" i="10"/>
  <c r="S73" i="10"/>
  <c r="S75" i="10"/>
  <c r="S77" i="10"/>
  <c r="S72" i="10"/>
  <c r="S74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M41" i="10"/>
  <c r="G71" i="10"/>
  <c r="G41" i="10"/>
  <c r="G63" i="10"/>
  <c r="G55" i="10"/>
  <c r="AA50" i="10"/>
  <c r="AA51" i="10"/>
  <c r="AA52" i="10"/>
  <c r="AA53" i="10"/>
  <c r="AA54" i="10"/>
  <c r="AA55" i="10"/>
  <c r="AA56" i="10"/>
  <c r="AA57" i="10"/>
  <c r="AA58" i="10"/>
  <c r="AA59" i="10"/>
  <c r="AA60" i="10"/>
  <c r="AA61" i="10"/>
  <c r="AA62" i="10"/>
  <c r="AA63" i="10"/>
  <c r="AA64" i="10"/>
  <c r="AA65" i="10"/>
  <c r="AA66" i="10"/>
  <c r="AA67" i="10"/>
  <c r="AA68" i="10"/>
  <c r="AA69" i="10"/>
  <c r="AA72" i="10"/>
  <c r="AA70" i="10"/>
  <c r="AA76" i="10"/>
  <c r="AA74" i="10"/>
  <c r="AA77" i="10"/>
  <c r="AA78" i="10"/>
  <c r="AA71" i="10"/>
  <c r="AA73" i="10"/>
  <c r="AA75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AH50" i="10"/>
  <c r="AH51" i="10"/>
  <c r="AH52" i="10"/>
  <c r="AH53" i="10"/>
  <c r="AH54" i="10"/>
  <c r="AH55" i="10"/>
  <c r="AH56" i="10"/>
  <c r="AH57" i="10"/>
  <c r="AH58" i="10"/>
  <c r="AH59" i="10"/>
  <c r="AH60" i="10"/>
  <c r="AH61" i="10"/>
  <c r="AH62" i="10"/>
  <c r="AH63" i="10"/>
  <c r="AH64" i="10"/>
  <c r="AH65" i="10"/>
  <c r="AH66" i="10"/>
  <c r="AH67" i="10"/>
  <c r="AH68" i="10"/>
  <c r="AH69" i="10"/>
  <c r="AH70" i="10"/>
  <c r="AH71" i="10"/>
  <c r="AH72" i="10"/>
  <c r="AH73" i="10"/>
  <c r="AH74" i="10"/>
  <c r="AH75" i="10"/>
  <c r="AH76" i="10"/>
  <c r="AH77" i="10"/>
  <c r="AH78" i="10"/>
  <c r="T50" i="10"/>
  <c r="T51" i="10"/>
  <c r="T52" i="10"/>
  <c r="T53" i="10"/>
  <c r="T54" i="10"/>
  <c r="T55" i="10"/>
  <c r="T56" i="10"/>
  <c r="T57" i="10"/>
  <c r="T58" i="10"/>
  <c r="T59" i="10"/>
  <c r="T60" i="10"/>
  <c r="T61" i="10"/>
  <c r="T62" i="10"/>
  <c r="T63" i="10"/>
  <c r="T64" i="10"/>
  <c r="T65" i="10"/>
  <c r="T66" i="10"/>
  <c r="T67" i="10"/>
  <c r="T68" i="10"/>
  <c r="T69" i="10"/>
  <c r="T70" i="10"/>
  <c r="T71" i="10"/>
  <c r="T72" i="10"/>
  <c r="T73" i="10"/>
  <c r="T74" i="10"/>
  <c r="T75" i="10"/>
  <c r="T76" i="10"/>
  <c r="T77" i="10"/>
  <c r="T78" i="10"/>
  <c r="G70" i="10"/>
  <c r="P41" i="10"/>
  <c r="AA41" i="10"/>
  <c r="AB41" i="10"/>
  <c r="N50" i="10"/>
  <c r="N51" i="10"/>
  <c r="N52" i="10"/>
  <c r="N53" i="10"/>
  <c r="N54" i="10"/>
  <c r="N55" i="10"/>
  <c r="N56" i="10"/>
  <c r="N57" i="10"/>
  <c r="N58" i="10"/>
  <c r="N59" i="10"/>
  <c r="N60" i="10"/>
  <c r="N61" i="10"/>
  <c r="N62" i="10"/>
  <c r="N63" i="10"/>
  <c r="N64" i="10"/>
  <c r="N65" i="10"/>
  <c r="N66" i="10"/>
  <c r="N67" i="10"/>
  <c r="N68" i="10"/>
  <c r="N69" i="10"/>
  <c r="N70" i="10"/>
  <c r="N71" i="10"/>
  <c r="N72" i="10"/>
  <c r="N73" i="10"/>
  <c r="N74" i="10"/>
  <c r="N75" i="10"/>
  <c r="N76" i="10"/>
  <c r="N77" i="10"/>
  <c r="N78" i="10"/>
  <c r="G72" i="10"/>
  <c r="G62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V70" i="10"/>
  <c r="V71" i="10"/>
  <c r="V72" i="10"/>
  <c r="V73" i="10"/>
  <c r="V74" i="10"/>
  <c r="V75" i="10"/>
  <c r="V76" i="10"/>
  <c r="V77" i="10"/>
  <c r="V78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41" i="10"/>
  <c r="G73" i="10"/>
  <c r="G69" i="10"/>
  <c r="G61" i="10"/>
  <c r="G53" i="10"/>
  <c r="AE50" i="10"/>
  <c r="AE51" i="10"/>
  <c r="AE52" i="10"/>
  <c r="AE53" i="10"/>
  <c r="AE54" i="10"/>
  <c r="AE55" i="10"/>
  <c r="AE56" i="10"/>
  <c r="AE57" i="10"/>
  <c r="AE58" i="10"/>
  <c r="AE59" i="10"/>
  <c r="AE60" i="10"/>
  <c r="AE61" i="10"/>
  <c r="AE62" i="10"/>
  <c r="AE63" i="10"/>
  <c r="AE64" i="10"/>
  <c r="AE65" i="10"/>
  <c r="AE66" i="10"/>
  <c r="AE67" i="10"/>
  <c r="AE68" i="10"/>
  <c r="AE69" i="10"/>
  <c r="AE70" i="10"/>
  <c r="AE71" i="10"/>
  <c r="AE72" i="10"/>
  <c r="AE73" i="10"/>
  <c r="AE74" i="10"/>
  <c r="AE75" i="10"/>
  <c r="AE76" i="10"/>
  <c r="AE77" i="10"/>
  <c r="AE78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AI50" i="10"/>
  <c r="AI51" i="10"/>
  <c r="AI52" i="10"/>
  <c r="AI53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4" i="10"/>
  <c r="AI76" i="10"/>
  <c r="AI72" i="10"/>
  <c r="AI75" i="10"/>
  <c r="AI71" i="10"/>
  <c r="AI73" i="10"/>
  <c r="AI78" i="10"/>
  <c r="AI70" i="10"/>
  <c r="AI77" i="10"/>
  <c r="N41" i="10"/>
  <c r="G54" i="10"/>
  <c r="AF50" i="10"/>
  <c r="AF51" i="10"/>
  <c r="AF52" i="10"/>
  <c r="AF53" i="10"/>
  <c r="AF54" i="10"/>
  <c r="AF55" i="10"/>
  <c r="AF56" i="10"/>
  <c r="AF57" i="10"/>
  <c r="AF58" i="10"/>
  <c r="AF59" i="10"/>
  <c r="AF60" i="10"/>
  <c r="AF61" i="10"/>
  <c r="AF62" i="10"/>
  <c r="AF63" i="10"/>
  <c r="AF64" i="10"/>
  <c r="AF65" i="10"/>
  <c r="AF66" i="10"/>
  <c r="AF67" i="10"/>
  <c r="AF68" i="10"/>
  <c r="AF69" i="10"/>
  <c r="AF70" i="10"/>
  <c r="AF71" i="10"/>
  <c r="AF72" i="10"/>
  <c r="AF73" i="10"/>
  <c r="AF74" i="10"/>
  <c r="AF75" i="10"/>
  <c r="AF76" i="10"/>
  <c r="AF77" i="10"/>
  <c r="AF78" i="10"/>
  <c r="O41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41" i="10"/>
  <c r="AC50" i="10"/>
  <c r="AC51" i="10"/>
  <c r="AC52" i="10"/>
  <c r="AC53" i="10"/>
  <c r="AC54" i="10"/>
  <c r="AC55" i="10"/>
  <c r="AC56" i="10"/>
  <c r="AC57" i="10"/>
  <c r="AC58" i="10"/>
  <c r="AC59" i="10"/>
  <c r="AC60" i="10"/>
  <c r="AC61" i="10"/>
  <c r="AC62" i="10"/>
  <c r="AC63" i="10"/>
  <c r="AC64" i="10"/>
  <c r="AC65" i="10"/>
  <c r="AC66" i="10"/>
  <c r="AC67" i="10"/>
  <c r="AC68" i="10"/>
  <c r="AC69" i="10"/>
  <c r="AC70" i="10"/>
  <c r="AC71" i="10"/>
  <c r="AC72" i="10"/>
  <c r="AC73" i="10"/>
  <c r="AC74" i="10"/>
  <c r="AC75" i="10"/>
  <c r="AC76" i="10"/>
  <c r="AC77" i="10"/>
  <c r="AC78" i="10"/>
  <c r="AK50" i="10"/>
  <c r="AK51" i="10"/>
  <c r="AK52" i="10"/>
  <c r="AK53" i="10"/>
  <c r="AK54" i="10"/>
  <c r="AK55" i="10"/>
  <c r="AK56" i="10"/>
  <c r="AK57" i="10"/>
  <c r="AK58" i="10"/>
  <c r="AK59" i="10"/>
  <c r="AK60" i="10"/>
  <c r="AK61" i="10"/>
  <c r="AK62" i="10"/>
  <c r="AK63" i="10"/>
  <c r="AK64" i="10"/>
  <c r="AK65" i="10"/>
  <c r="AK66" i="10"/>
  <c r="AK67" i="10"/>
  <c r="AK68" i="10"/>
  <c r="AK69" i="10"/>
  <c r="AK70" i="10"/>
  <c r="AK71" i="10"/>
  <c r="AK72" i="10"/>
  <c r="AK73" i="10"/>
  <c r="AK74" i="10"/>
  <c r="AK75" i="10"/>
  <c r="AK76" i="10"/>
  <c r="AK77" i="10"/>
  <c r="AK78" i="10"/>
  <c r="AJ68" i="10"/>
  <c r="AJ50" i="10"/>
  <c r="AJ51" i="10"/>
  <c r="AJ52" i="10"/>
  <c r="AJ53" i="10"/>
  <c r="AJ54" i="10"/>
  <c r="AJ55" i="10"/>
  <c r="AJ56" i="10"/>
  <c r="AJ57" i="10"/>
  <c r="AJ58" i="10"/>
  <c r="AJ59" i="10"/>
  <c r="AJ60" i="10"/>
  <c r="AJ61" i="10"/>
  <c r="AJ63" i="10"/>
  <c r="AJ64" i="10"/>
  <c r="AJ67" i="10"/>
  <c r="AJ62" i="10"/>
  <c r="AJ65" i="10"/>
  <c r="AJ66" i="10"/>
  <c r="AJ70" i="10"/>
  <c r="AJ71" i="10"/>
  <c r="AJ72" i="10"/>
  <c r="AJ73" i="10"/>
  <c r="AJ74" i="10"/>
  <c r="AJ75" i="10"/>
  <c r="AJ76" i="10"/>
  <c r="AJ77" i="10"/>
  <c r="AJ78" i="10"/>
  <c r="AJ69" i="10"/>
  <c r="AD70" i="10"/>
  <c r="AD71" i="10"/>
  <c r="AD72" i="10"/>
  <c r="AD73" i="10"/>
  <c r="AD74" i="10"/>
  <c r="AD75" i="10"/>
  <c r="AD76" i="10"/>
  <c r="AD77" i="10"/>
  <c r="AD78" i="10"/>
  <c r="AD50" i="10"/>
  <c r="AD51" i="10"/>
  <c r="AD52" i="10"/>
  <c r="AD53" i="10"/>
  <c r="AD54" i="10"/>
  <c r="AD55" i="10"/>
  <c r="AD56" i="10"/>
  <c r="AD57" i="10"/>
  <c r="AD58" i="10"/>
  <c r="AD59" i="10"/>
  <c r="AD60" i="10"/>
  <c r="AD61" i="10"/>
  <c r="AD62" i="10"/>
  <c r="AD63" i="10"/>
  <c r="AD64" i="10"/>
  <c r="AD65" i="10"/>
  <c r="AD66" i="10"/>
  <c r="AD67" i="10"/>
  <c r="AD68" i="10"/>
  <c r="AD69" i="10"/>
  <c r="AD41" i="10"/>
  <c r="G74" i="10"/>
  <c r="G68" i="10"/>
  <c r="G60" i="10"/>
  <c r="G52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AL70" i="10"/>
  <c r="AL71" i="10"/>
  <c r="AL72" i="10"/>
  <c r="AL73" i="10"/>
  <c r="AL74" i="10"/>
  <c r="AL75" i="10"/>
  <c r="AL76" i="10"/>
  <c r="AL77" i="10"/>
  <c r="AL78" i="10"/>
  <c r="AL50" i="10"/>
  <c r="AL51" i="10"/>
  <c r="AL52" i="10"/>
  <c r="AL53" i="10"/>
  <c r="AL54" i="10"/>
  <c r="AL55" i="10"/>
  <c r="AL56" i="10"/>
  <c r="AL57" i="10"/>
  <c r="AL58" i="10"/>
  <c r="AL59" i="10"/>
  <c r="AL60" i="10"/>
  <c r="AL61" i="10"/>
  <c r="AL62" i="10"/>
  <c r="AL63" i="10"/>
  <c r="AL64" i="10"/>
  <c r="AL65" i="10"/>
  <c r="AL66" i="10"/>
  <c r="AL67" i="10"/>
  <c r="AL68" i="10"/>
  <c r="AL69" i="10"/>
  <c r="G75" i="10"/>
  <c r="G67" i="10"/>
  <c r="G5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Y41" i="10"/>
  <c r="D35" i="9"/>
  <c r="D36" i="9"/>
  <c r="D37" i="9"/>
  <c r="D34" i="9"/>
  <c r="D35" i="4"/>
  <c r="D36" i="4"/>
  <c r="D37" i="4"/>
  <c r="D34" i="4"/>
  <c r="V37" i="4" l="1"/>
  <c r="W37" i="4"/>
  <c r="T37" i="4"/>
  <c r="U37" i="4"/>
  <c r="U36" i="4"/>
  <c r="V36" i="4"/>
  <c r="W36" i="4"/>
  <c r="A51" i="8"/>
  <c r="A61" i="8"/>
  <c r="B64" i="8"/>
  <c r="AI34" i="8"/>
  <c r="AI35" i="8"/>
  <c r="AI36" i="8"/>
  <c r="AI37" i="8"/>
  <c r="AI38" i="8"/>
  <c r="AI39" i="8"/>
  <c r="AI40" i="8"/>
  <c r="AI41" i="8"/>
  <c r="AI42" i="8"/>
  <c r="AI43" i="8"/>
  <c r="AI44" i="8"/>
  <c r="AI45" i="8"/>
  <c r="AI46" i="8"/>
  <c r="AI47" i="8"/>
  <c r="AI48" i="8"/>
  <c r="AI49" i="8"/>
  <c r="AI50" i="8"/>
  <c r="AI51" i="8"/>
  <c r="AI52" i="8"/>
  <c r="AI53" i="8"/>
  <c r="AI54" i="8"/>
  <c r="AI55" i="8"/>
  <c r="AI56" i="8"/>
  <c r="AI57" i="8"/>
  <c r="AI58" i="8"/>
  <c r="AI59" i="8"/>
  <c r="AI60" i="8"/>
  <c r="AI61" i="8"/>
  <c r="AI62" i="8"/>
  <c r="AI63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27" i="8"/>
  <c r="B32" i="8"/>
  <c r="AI2" i="8"/>
  <c r="AI3" i="8"/>
  <c r="AI4" i="8"/>
  <c r="AI5" i="8"/>
  <c r="AI6" i="8"/>
  <c r="AI7" i="8"/>
  <c r="AI8" i="8"/>
  <c r="AI9" i="8"/>
  <c r="AI10" i="8"/>
  <c r="AI11" i="8"/>
  <c r="AI12" i="8"/>
  <c r="AI13" i="8"/>
  <c r="AI14" i="8"/>
  <c r="AI15" i="8"/>
  <c r="AI16" i="8"/>
  <c r="AI17" i="8"/>
  <c r="AI18" i="8"/>
  <c r="AI19" i="8"/>
  <c r="AI20" i="8"/>
  <c r="AI21" i="8"/>
  <c r="AI22" i="8"/>
  <c r="AI23" i="8"/>
  <c r="AI24" i="8"/>
  <c r="AI25" i="8"/>
  <c r="AI26" i="8"/>
  <c r="AI27" i="8"/>
  <c r="AI28" i="8"/>
  <c r="AI29" i="8"/>
  <c r="AI30" i="8"/>
  <c r="AI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F145" i="10"/>
  <c r="F146" i="10" s="1"/>
  <c r="E145" i="10"/>
  <c r="E146" i="10" s="1"/>
  <c r="D145" i="10"/>
  <c r="D146" i="10" s="1"/>
  <c r="C145" i="10"/>
  <c r="C146" i="10" s="1"/>
  <c r="C118" i="10"/>
  <c r="AL117" i="10"/>
  <c r="AK117" i="10"/>
  <c r="AJ117" i="10"/>
  <c r="AI117" i="10"/>
  <c r="AH117" i="10"/>
  <c r="AG117" i="10"/>
  <c r="AF117" i="10"/>
  <c r="AE117" i="10"/>
  <c r="AD117" i="10"/>
  <c r="AC117" i="10"/>
  <c r="AB117" i="10"/>
  <c r="AA117" i="10"/>
  <c r="Z117" i="10"/>
  <c r="Y117" i="10"/>
  <c r="X117" i="10"/>
  <c r="W117" i="10"/>
  <c r="V117" i="10"/>
  <c r="U117" i="10"/>
  <c r="T117" i="10"/>
  <c r="S117" i="10"/>
  <c r="R117" i="10"/>
  <c r="Q117" i="10"/>
  <c r="P117" i="10"/>
  <c r="O117" i="10"/>
  <c r="N117" i="10"/>
  <c r="M117" i="10"/>
  <c r="L117" i="10"/>
  <c r="K117" i="10"/>
  <c r="J117" i="10"/>
  <c r="I117" i="10"/>
  <c r="H117" i="10"/>
  <c r="G117" i="10"/>
  <c r="F117" i="10"/>
  <c r="F83" i="10"/>
  <c r="E79" i="10"/>
  <c r="E113" i="10" s="1"/>
  <c r="E78" i="10"/>
  <c r="E112" i="10" s="1"/>
  <c r="E77" i="10"/>
  <c r="E111" i="10" s="1"/>
  <c r="E76" i="10"/>
  <c r="E110" i="10" s="1"/>
  <c r="E75" i="10"/>
  <c r="E109" i="10" s="1"/>
  <c r="E74" i="10"/>
  <c r="E108" i="10" s="1"/>
  <c r="E73" i="10"/>
  <c r="E107" i="10" s="1"/>
  <c r="E72" i="10"/>
  <c r="E106" i="10" s="1"/>
  <c r="E71" i="10"/>
  <c r="E105" i="10" s="1"/>
  <c r="E70" i="10"/>
  <c r="E104" i="10" s="1"/>
  <c r="E69" i="10"/>
  <c r="E103" i="10" s="1"/>
  <c r="E68" i="10"/>
  <c r="E102" i="10" s="1"/>
  <c r="E67" i="10"/>
  <c r="E101" i="10" s="1"/>
  <c r="E66" i="10"/>
  <c r="E100" i="10" s="1"/>
  <c r="E65" i="10"/>
  <c r="E99" i="10" s="1"/>
  <c r="E64" i="10"/>
  <c r="E98" i="10" s="1"/>
  <c r="E63" i="10"/>
  <c r="E97" i="10" s="1"/>
  <c r="E62" i="10"/>
  <c r="E96" i="10" s="1"/>
  <c r="E61" i="10"/>
  <c r="E95" i="10" s="1"/>
  <c r="E60" i="10"/>
  <c r="E94" i="10" s="1"/>
  <c r="E59" i="10"/>
  <c r="E93" i="10" s="1"/>
  <c r="E58" i="10"/>
  <c r="E92" i="10" s="1"/>
  <c r="E57" i="10"/>
  <c r="E91" i="10" s="1"/>
  <c r="E56" i="10"/>
  <c r="E90" i="10" s="1"/>
  <c r="E55" i="10"/>
  <c r="E89" i="10" s="1"/>
  <c r="E54" i="10"/>
  <c r="E88" i="10" s="1"/>
  <c r="E53" i="10"/>
  <c r="E87" i="10" s="1"/>
  <c r="E52" i="10"/>
  <c r="E86" i="10" s="1"/>
  <c r="E51" i="10"/>
  <c r="E85" i="10" s="1"/>
  <c r="E50" i="10"/>
  <c r="E84" i="10" s="1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F49" i="10"/>
  <c r="B2" i="8" s="1"/>
  <c r="E49" i="10"/>
  <c r="E83" i="10" s="1"/>
  <c r="A45" i="10" a="1"/>
  <c r="D45" i="10" s="1"/>
  <c r="F40" i="10"/>
  <c r="D33" i="10"/>
  <c r="D79" i="10" s="1"/>
  <c r="D113" i="10" s="1"/>
  <c r="C33" i="10"/>
  <c r="C79" i="10" s="1"/>
  <c r="C113" i="10" s="1"/>
  <c r="B33" i="10"/>
  <c r="B79" i="10" s="1"/>
  <c r="B113" i="10" s="1"/>
  <c r="A33" i="10"/>
  <c r="A79" i="10" s="1"/>
  <c r="A113" i="10" s="1"/>
  <c r="D32" i="10"/>
  <c r="D78" i="10" s="1"/>
  <c r="D112" i="10" s="1"/>
  <c r="C32" i="10"/>
  <c r="C78" i="10" s="1"/>
  <c r="C112" i="10" s="1"/>
  <c r="B32" i="10"/>
  <c r="B78" i="10" s="1"/>
  <c r="B112" i="10" s="1"/>
  <c r="A32" i="10"/>
  <c r="A78" i="10" s="1"/>
  <c r="D31" i="10"/>
  <c r="D77" i="10" s="1"/>
  <c r="D111" i="10" s="1"/>
  <c r="C31" i="10"/>
  <c r="C77" i="10" s="1"/>
  <c r="C111" i="10" s="1"/>
  <c r="B31" i="10"/>
  <c r="B77" i="10" s="1"/>
  <c r="B111" i="10" s="1"/>
  <c r="A31" i="10"/>
  <c r="A77" i="10" s="1"/>
  <c r="D30" i="10"/>
  <c r="D76" i="10" s="1"/>
  <c r="D110" i="10" s="1"/>
  <c r="C30" i="10"/>
  <c r="C76" i="10" s="1"/>
  <c r="C110" i="10" s="1"/>
  <c r="B30" i="10"/>
  <c r="B76" i="10" s="1"/>
  <c r="B110" i="10" s="1"/>
  <c r="A30" i="10"/>
  <c r="A76" i="10" s="1"/>
  <c r="D29" i="10"/>
  <c r="D75" i="10" s="1"/>
  <c r="D109" i="10" s="1"/>
  <c r="C29" i="10"/>
  <c r="C75" i="10" s="1"/>
  <c r="C109" i="10" s="1"/>
  <c r="B29" i="10"/>
  <c r="B75" i="10" s="1"/>
  <c r="B109" i="10" s="1"/>
  <c r="A29" i="10"/>
  <c r="A75" i="10" s="1"/>
  <c r="D28" i="10"/>
  <c r="D74" i="10" s="1"/>
  <c r="D108" i="10" s="1"/>
  <c r="C28" i="10"/>
  <c r="C74" i="10" s="1"/>
  <c r="C108" i="10" s="1"/>
  <c r="B28" i="10"/>
  <c r="B74" i="10" s="1"/>
  <c r="B108" i="10" s="1"/>
  <c r="A28" i="10"/>
  <c r="A74" i="10" s="1"/>
  <c r="D27" i="10"/>
  <c r="D73" i="10" s="1"/>
  <c r="D107" i="10" s="1"/>
  <c r="C27" i="10"/>
  <c r="C73" i="10" s="1"/>
  <c r="C107" i="10" s="1"/>
  <c r="B27" i="10"/>
  <c r="B73" i="10" s="1"/>
  <c r="B107" i="10" s="1"/>
  <c r="A27" i="10"/>
  <c r="A73" i="10" s="1"/>
  <c r="D26" i="10"/>
  <c r="D72" i="10" s="1"/>
  <c r="D106" i="10" s="1"/>
  <c r="C26" i="10"/>
  <c r="C72" i="10" s="1"/>
  <c r="C106" i="10" s="1"/>
  <c r="B26" i="10"/>
  <c r="B72" i="10" s="1"/>
  <c r="B106" i="10" s="1"/>
  <c r="A26" i="10"/>
  <c r="A72" i="10" s="1"/>
  <c r="D25" i="10"/>
  <c r="D71" i="10" s="1"/>
  <c r="D105" i="10" s="1"/>
  <c r="C25" i="10"/>
  <c r="C71" i="10" s="1"/>
  <c r="C105" i="10" s="1"/>
  <c r="B25" i="10"/>
  <c r="B71" i="10" s="1"/>
  <c r="B105" i="10" s="1"/>
  <c r="A25" i="10"/>
  <c r="A71" i="10" s="1"/>
  <c r="D24" i="10"/>
  <c r="D70" i="10" s="1"/>
  <c r="D104" i="10" s="1"/>
  <c r="C24" i="10"/>
  <c r="C70" i="10" s="1"/>
  <c r="C104" i="10" s="1"/>
  <c r="B24" i="10"/>
  <c r="B70" i="10" s="1"/>
  <c r="B104" i="10" s="1"/>
  <c r="A24" i="10"/>
  <c r="A70" i="10" s="1"/>
  <c r="D23" i="10"/>
  <c r="D69" i="10" s="1"/>
  <c r="D103" i="10" s="1"/>
  <c r="C23" i="10"/>
  <c r="C69" i="10" s="1"/>
  <c r="C103" i="10" s="1"/>
  <c r="B23" i="10"/>
  <c r="B69" i="10" s="1"/>
  <c r="B103" i="10" s="1"/>
  <c r="A23" i="10"/>
  <c r="A69" i="10" s="1"/>
  <c r="D22" i="10"/>
  <c r="D68" i="10" s="1"/>
  <c r="D102" i="10" s="1"/>
  <c r="C22" i="10"/>
  <c r="C68" i="10" s="1"/>
  <c r="C102" i="10" s="1"/>
  <c r="B22" i="10"/>
  <c r="B68" i="10" s="1"/>
  <c r="B102" i="10" s="1"/>
  <c r="A22" i="10"/>
  <c r="A68" i="10" s="1"/>
  <c r="D21" i="10"/>
  <c r="D67" i="10" s="1"/>
  <c r="D101" i="10" s="1"/>
  <c r="C21" i="10"/>
  <c r="C67" i="10" s="1"/>
  <c r="C101" i="10" s="1"/>
  <c r="B21" i="10"/>
  <c r="B67" i="10" s="1"/>
  <c r="B101" i="10" s="1"/>
  <c r="A21" i="10"/>
  <c r="A67" i="10" s="1"/>
  <c r="D20" i="10"/>
  <c r="D66" i="10" s="1"/>
  <c r="D100" i="10" s="1"/>
  <c r="C20" i="10"/>
  <c r="C66" i="10" s="1"/>
  <c r="C100" i="10" s="1"/>
  <c r="B20" i="10"/>
  <c r="B66" i="10" s="1"/>
  <c r="B100" i="10" s="1"/>
  <c r="A20" i="10"/>
  <c r="A66" i="10" s="1"/>
  <c r="D19" i="10"/>
  <c r="D65" i="10" s="1"/>
  <c r="D99" i="10" s="1"/>
  <c r="C19" i="10"/>
  <c r="C65" i="10" s="1"/>
  <c r="C99" i="10" s="1"/>
  <c r="B19" i="10"/>
  <c r="B65" i="10" s="1"/>
  <c r="B99" i="10" s="1"/>
  <c r="A19" i="10"/>
  <c r="A65" i="10" s="1"/>
  <c r="D18" i="10"/>
  <c r="D64" i="10" s="1"/>
  <c r="D98" i="10" s="1"/>
  <c r="C18" i="10"/>
  <c r="C64" i="10" s="1"/>
  <c r="C98" i="10" s="1"/>
  <c r="B18" i="10"/>
  <c r="B64" i="10" s="1"/>
  <c r="B98" i="10" s="1"/>
  <c r="A18" i="10"/>
  <c r="A64" i="10" s="1"/>
  <c r="D17" i="10"/>
  <c r="D63" i="10" s="1"/>
  <c r="D97" i="10" s="1"/>
  <c r="C17" i="10"/>
  <c r="C63" i="10" s="1"/>
  <c r="C97" i="10" s="1"/>
  <c r="B17" i="10"/>
  <c r="B63" i="10" s="1"/>
  <c r="B97" i="10" s="1"/>
  <c r="A17" i="10"/>
  <c r="A63" i="10" s="1"/>
  <c r="D16" i="10"/>
  <c r="D62" i="10" s="1"/>
  <c r="D96" i="10" s="1"/>
  <c r="C16" i="10"/>
  <c r="C62" i="10" s="1"/>
  <c r="C96" i="10" s="1"/>
  <c r="B16" i="10"/>
  <c r="B62" i="10" s="1"/>
  <c r="B96" i="10" s="1"/>
  <c r="A16" i="10"/>
  <c r="A62" i="10" s="1"/>
  <c r="D15" i="10"/>
  <c r="D61" i="10" s="1"/>
  <c r="D95" i="10" s="1"/>
  <c r="C15" i="10"/>
  <c r="C61" i="10" s="1"/>
  <c r="C95" i="10" s="1"/>
  <c r="B15" i="10"/>
  <c r="B61" i="10" s="1"/>
  <c r="B95" i="10" s="1"/>
  <c r="A15" i="10"/>
  <c r="A61" i="10" s="1"/>
  <c r="D14" i="10"/>
  <c r="D60" i="10" s="1"/>
  <c r="D94" i="10" s="1"/>
  <c r="C14" i="10"/>
  <c r="C60" i="10" s="1"/>
  <c r="C94" i="10" s="1"/>
  <c r="B14" i="10"/>
  <c r="B60" i="10" s="1"/>
  <c r="B94" i="10" s="1"/>
  <c r="A14" i="10"/>
  <c r="A60" i="10" s="1"/>
  <c r="D13" i="10"/>
  <c r="D59" i="10" s="1"/>
  <c r="D93" i="10" s="1"/>
  <c r="C13" i="10"/>
  <c r="C59" i="10" s="1"/>
  <c r="C93" i="10" s="1"/>
  <c r="B13" i="10"/>
  <c r="B59" i="10" s="1"/>
  <c r="B93" i="10" s="1"/>
  <c r="A13" i="10"/>
  <c r="A59" i="10" s="1"/>
  <c r="D12" i="10"/>
  <c r="D58" i="10" s="1"/>
  <c r="D92" i="10" s="1"/>
  <c r="C12" i="10"/>
  <c r="C58" i="10" s="1"/>
  <c r="C92" i="10" s="1"/>
  <c r="B12" i="10"/>
  <c r="B58" i="10" s="1"/>
  <c r="B92" i="10" s="1"/>
  <c r="A12" i="10"/>
  <c r="A58" i="10" s="1"/>
  <c r="D11" i="10"/>
  <c r="D57" i="10" s="1"/>
  <c r="D91" i="10" s="1"/>
  <c r="C11" i="10"/>
  <c r="C57" i="10" s="1"/>
  <c r="C91" i="10" s="1"/>
  <c r="B11" i="10"/>
  <c r="B57" i="10" s="1"/>
  <c r="B91" i="10" s="1"/>
  <c r="A11" i="10"/>
  <c r="A57" i="10" s="1"/>
  <c r="D10" i="10"/>
  <c r="D56" i="10" s="1"/>
  <c r="D90" i="10" s="1"/>
  <c r="C10" i="10"/>
  <c r="C56" i="10" s="1"/>
  <c r="C90" i="10" s="1"/>
  <c r="B10" i="10"/>
  <c r="B56" i="10" s="1"/>
  <c r="B90" i="10" s="1"/>
  <c r="A10" i="10"/>
  <c r="A56" i="10" s="1"/>
  <c r="D9" i="10"/>
  <c r="D55" i="10" s="1"/>
  <c r="D89" i="10" s="1"/>
  <c r="C9" i="10"/>
  <c r="C55" i="10" s="1"/>
  <c r="C89" i="10" s="1"/>
  <c r="B9" i="10"/>
  <c r="B55" i="10" s="1"/>
  <c r="B89" i="10" s="1"/>
  <c r="A9" i="10"/>
  <c r="A55" i="10" s="1"/>
  <c r="D8" i="10"/>
  <c r="D54" i="10" s="1"/>
  <c r="D88" i="10" s="1"/>
  <c r="C8" i="10"/>
  <c r="C54" i="10" s="1"/>
  <c r="C88" i="10" s="1"/>
  <c r="B8" i="10"/>
  <c r="B54" i="10" s="1"/>
  <c r="B88" i="10" s="1"/>
  <c r="A8" i="10"/>
  <c r="A54" i="10" s="1"/>
  <c r="D7" i="10"/>
  <c r="D53" i="10" s="1"/>
  <c r="D87" i="10" s="1"/>
  <c r="C7" i="10"/>
  <c r="C53" i="10" s="1"/>
  <c r="C87" i="10" s="1"/>
  <c r="B7" i="10"/>
  <c r="B53" i="10" s="1"/>
  <c r="B87" i="10" s="1"/>
  <c r="A7" i="10"/>
  <c r="A53" i="10" s="1"/>
  <c r="A87" i="10" s="1"/>
  <c r="D6" i="10"/>
  <c r="D52" i="10" s="1"/>
  <c r="D86" i="10" s="1"/>
  <c r="C6" i="10"/>
  <c r="C52" i="10" s="1"/>
  <c r="C86" i="10" s="1"/>
  <c r="B6" i="10"/>
  <c r="B52" i="10" s="1"/>
  <c r="B86" i="10" s="1"/>
  <c r="A6" i="10"/>
  <c r="A52" i="10" s="1"/>
  <c r="D5" i="10"/>
  <c r="D51" i="10" s="1"/>
  <c r="D85" i="10" s="1"/>
  <c r="C5" i="10"/>
  <c r="C51" i="10" s="1"/>
  <c r="C85" i="10" s="1"/>
  <c r="B5" i="10"/>
  <c r="B51" i="10" s="1"/>
  <c r="B85" i="10" s="1"/>
  <c r="A5" i="10"/>
  <c r="A51" i="10" s="1"/>
  <c r="D4" i="10"/>
  <c r="D50" i="10" s="1"/>
  <c r="D84" i="10" s="1"/>
  <c r="C4" i="10"/>
  <c r="C50" i="10" s="1"/>
  <c r="C84" i="10" s="1"/>
  <c r="B4" i="10"/>
  <c r="B50" i="10" s="1"/>
  <c r="B84" i="10" s="1"/>
  <c r="A4" i="10"/>
  <c r="A50" i="10" s="1"/>
  <c r="A2" i="10"/>
  <c r="A118" i="10" s="1"/>
  <c r="A119" i="10" s="1"/>
  <c r="C118" i="9"/>
  <c r="F117" i="9"/>
  <c r="F83" i="9"/>
  <c r="E79" i="9"/>
  <c r="E113" i="9" s="1"/>
  <c r="E78" i="9"/>
  <c r="E112" i="9" s="1"/>
  <c r="E77" i="9"/>
  <c r="E111" i="9" s="1"/>
  <c r="E76" i="9"/>
  <c r="E110" i="9" s="1"/>
  <c r="E75" i="9"/>
  <c r="E109" i="9" s="1"/>
  <c r="E74" i="9"/>
  <c r="E108" i="9" s="1"/>
  <c r="E73" i="9"/>
  <c r="E107" i="9" s="1"/>
  <c r="E72" i="9"/>
  <c r="E106" i="9" s="1"/>
  <c r="E71" i="9"/>
  <c r="E105" i="9" s="1"/>
  <c r="E70" i="9"/>
  <c r="E104" i="9" s="1"/>
  <c r="E69" i="9"/>
  <c r="E103" i="9" s="1"/>
  <c r="E68" i="9"/>
  <c r="E102" i="9" s="1"/>
  <c r="E67" i="9"/>
  <c r="E101" i="9" s="1"/>
  <c r="E66" i="9"/>
  <c r="E100" i="9" s="1"/>
  <c r="E65" i="9"/>
  <c r="E99" i="9" s="1"/>
  <c r="E64" i="9"/>
  <c r="E98" i="9" s="1"/>
  <c r="E63" i="9"/>
  <c r="E97" i="9" s="1"/>
  <c r="E62" i="9"/>
  <c r="E96" i="9" s="1"/>
  <c r="E61" i="9"/>
  <c r="E95" i="9" s="1"/>
  <c r="E60" i="9"/>
  <c r="E94" i="9" s="1"/>
  <c r="E59" i="9"/>
  <c r="E93" i="9" s="1"/>
  <c r="E58" i="9"/>
  <c r="E92" i="9" s="1"/>
  <c r="E57" i="9"/>
  <c r="E91" i="9" s="1"/>
  <c r="E56" i="9"/>
  <c r="E90" i="9" s="1"/>
  <c r="E55" i="9"/>
  <c r="E89" i="9" s="1"/>
  <c r="E54" i="9"/>
  <c r="E88" i="9" s="1"/>
  <c r="E53" i="9"/>
  <c r="E87" i="9" s="1"/>
  <c r="E52" i="9"/>
  <c r="E86" i="9" s="1"/>
  <c r="E51" i="9"/>
  <c r="E85" i="9" s="1"/>
  <c r="E50" i="9"/>
  <c r="E84" i="9" s="1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F49" i="9"/>
  <c r="B34" i="8" s="1"/>
  <c r="E49" i="9"/>
  <c r="E83" i="9" s="1"/>
  <c r="A45" i="9" a="1"/>
  <c r="C45" i="9" s="1"/>
  <c r="F40" i="9"/>
  <c r="AH37" i="9"/>
  <c r="AL36" i="9"/>
  <c r="AH35" i="9"/>
  <c r="AC34" i="9"/>
  <c r="D33" i="9"/>
  <c r="D79" i="9" s="1"/>
  <c r="D113" i="9" s="1"/>
  <c r="C33" i="9"/>
  <c r="C79" i="9" s="1"/>
  <c r="C113" i="9" s="1"/>
  <c r="B33" i="9"/>
  <c r="B79" i="9" s="1"/>
  <c r="B113" i="9" s="1"/>
  <c r="A33" i="9"/>
  <c r="A79" i="9" s="1"/>
  <c r="A113" i="9" s="1"/>
  <c r="D32" i="9"/>
  <c r="D78" i="9" s="1"/>
  <c r="D112" i="9" s="1"/>
  <c r="C32" i="9"/>
  <c r="C78" i="9" s="1"/>
  <c r="C112" i="9" s="1"/>
  <c r="B32" i="9"/>
  <c r="B78" i="9" s="1"/>
  <c r="B112" i="9" s="1"/>
  <c r="A32" i="9"/>
  <c r="A78" i="9" s="1"/>
  <c r="D31" i="9"/>
  <c r="D77" i="9" s="1"/>
  <c r="D111" i="9" s="1"/>
  <c r="C31" i="9"/>
  <c r="C77" i="9" s="1"/>
  <c r="C111" i="9" s="1"/>
  <c r="B31" i="9"/>
  <c r="B77" i="9" s="1"/>
  <c r="B111" i="9" s="1"/>
  <c r="A31" i="9"/>
  <c r="A77" i="9" s="1"/>
  <c r="D30" i="9"/>
  <c r="D76" i="9" s="1"/>
  <c r="D110" i="9" s="1"/>
  <c r="C30" i="9"/>
  <c r="C76" i="9" s="1"/>
  <c r="C110" i="9" s="1"/>
  <c r="B30" i="9"/>
  <c r="B76" i="9" s="1"/>
  <c r="B110" i="9" s="1"/>
  <c r="A30" i="9"/>
  <c r="A76" i="9" s="1"/>
  <c r="D29" i="9"/>
  <c r="D75" i="9" s="1"/>
  <c r="D109" i="9" s="1"/>
  <c r="C29" i="9"/>
  <c r="C75" i="9" s="1"/>
  <c r="C109" i="9" s="1"/>
  <c r="B29" i="9"/>
  <c r="B75" i="9" s="1"/>
  <c r="B109" i="9" s="1"/>
  <c r="A29" i="9"/>
  <c r="A75" i="9" s="1"/>
  <c r="D28" i="9"/>
  <c r="D74" i="9" s="1"/>
  <c r="D108" i="9" s="1"/>
  <c r="C28" i="9"/>
  <c r="C74" i="9" s="1"/>
  <c r="C108" i="9" s="1"/>
  <c r="B28" i="9"/>
  <c r="B74" i="9" s="1"/>
  <c r="B108" i="9" s="1"/>
  <c r="A28" i="9"/>
  <c r="A74" i="9" s="1"/>
  <c r="D27" i="9"/>
  <c r="D73" i="9" s="1"/>
  <c r="D107" i="9" s="1"/>
  <c r="C27" i="9"/>
  <c r="C73" i="9" s="1"/>
  <c r="C107" i="9" s="1"/>
  <c r="B27" i="9"/>
  <c r="B73" i="9" s="1"/>
  <c r="B107" i="9" s="1"/>
  <c r="A27" i="9"/>
  <c r="A73" i="9" s="1"/>
  <c r="D26" i="9"/>
  <c r="D72" i="9" s="1"/>
  <c r="D106" i="9" s="1"/>
  <c r="C26" i="9"/>
  <c r="C72" i="9" s="1"/>
  <c r="C106" i="9" s="1"/>
  <c r="B26" i="9"/>
  <c r="B72" i="9" s="1"/>
  <c r="B106" i="9" s="1"/>
  <c r="A26" i="9"/>
  <c r="A72" i="9" s="1"/>
  <c r="D25" i="9"/>
  <c r="D71" i="9" s="1"/>
  <c r="D105" i="9" s="1"/>
  <c r="C25" i="9"/>
  <c r="C71" i="9" s="1"/>
  <c r="C105" i="9" s="1"/>
  <c r="B25" i="9"/>
  <c r="B71" i="9" s="1"/>
  <c r="B105" i="9" s="1"/>
  <c r="A25" i="9"/>
  <c r="A71" i="9" s="1"/>
  <c r="D24" i="9"/>
  <c r="D70" i="9" s="1"/>
  <c r="D104" i="9" s="1"/>
  <c r="C24" i="9"/>
  <c r="C70" i="9" s="1"/>
  <c r="C104" i="9" s="1"/>
  <c r="B24" i="9"/>
  <c r="B70" i="9" s="1"/>
  <c r="B104" i="9" s="1"/>
  <c r="A24" i="9"/>
  <c r="A70" i="9" s="1"/>
  <c r="D23" i="9"/>
  <c r="D69" i="9" s="1"/>
  <c r="D103" i="9" s="1"/>
  <c r="C23" i="9"/>
  <c r="C69" i="9" s="1"/>
  <c r="C103" i="9" s="1"/>
  <c r="B23" i="9"/>
  <c r="B69" i="9" s="1"/>
  <c r="B103" i="9" s="1"/>
  <c r="A23" i="9"/>
  <c r="A69" i="9" s="1"/>
  <c r="D22" i="9"/>
  <c r="D68" i="9" s="1"/>
  <c r="D102" i="9" s="1"/>
  <c r="C22" i="9"/>
  <c r="C68" i="9" s="1"/>
  <c r="C102" i="9" s="1"/>
  <c r="B22" i="9"/>
  <c r="B68" i="9" s="1"/>
  <c r="B102" i="9" s="1"/>
  <c r="A22" i="9"/>
  <c r="A68" i="9" s="1"/>
  <c r="D21" i="9"/>
  <c r="D67" i="9" s="1"/>
  <c r="D101" i="9" s="1"/>
  <c r="C21" i="9"/>
  <c r="C67" i="9" s="1"/>
  <c r="C101" i="9" s="1"/>
  <c r="B21" i="9"/>
  <c r="B67" i="9" s="1"/>
  <c r="B101" i="9" s="1"/>
  <c r="A21" i="9"/>
  <c r="A67" i="9" s="1"/>
  <c r="D20" i="9"/>
  <c r="D66" i="9" s="1"/>
  <c r="D100" i="9" s="1"/>
  <c r="C20" i="9"/>
  <c r="C66" i="9" s="1"/>
  <c r="C100" i="9" s="1"/>
  <c r="B20" i="9"/>
  <c r="B66" i="9" s="1"/>
  <c r="B100" i="9" s="1"/>
  <c r="A20" i="9"/>
  <c r="A66" i="9" s="1"/>
  <c r="D19" i="9"/>
  <c r="D65" i="9" s="1"/>
  <c r="D99" i="9" s="1"/>
  <c r="C19" i="9"/>
  <c r="C65" i="9" s="1"/>
  <c r="C99" i="9" s="1"/>
  <c r="B19" i="9"/>
  <c r="B65" i="9" s="1"/>
  <c r="B99" i="9" s="1"/>
  <c r="A19" i="9"/>
  <c r="A65" i="9" s="1"/>
  <c r="D18" i="9"/>
  <c r="D64" i="9" s="1"/>
  <c r="D98" i="9" s="1"/>
  <c r="C18" i="9"/>
  <c r="C64" i="9" s="1"/>
  <c r="C98" i="9" s="1"/>
  <c r="B18" i="9"/>
  <c r="B64" i="9" s="1"/>
  <c r="B98" i="9" s="1"/>
  <c r="A18" i="9"/>
  <c r="A64" i="9" s="1"/>
  <c r="D17" i="9"/>
  <c r="D63" i="9" s="1"/>
  <c r="D97" i="9" s="1"/>
  <c r="C17" i="9"/>
  <c r="C63" i="9" s="1"/>
  <c r="C97" i="9" s="1"/>
  <c r="B17" i="9"/>
  <c r="B63" i="9" s="1"/>
  <c r="B97" i="9" s="1"/>
  <c r="A17" i="9"/>
  <c r="A63" i="9" s="1"/>
  <c r="D16" i="9"/>
  <c r="D62" i="9" s="1"/>
  <c r="D96" i="9" s="1"/>
  <c r="C16" i="9"/>
  <c r="C62" i="9" s="1"/>
  <c r="C96" i="9" s="1"/>
  <c r="B16" i="9"/>
  <c r="B62" i="9" s="1"/>
  <c r="B96" i="9" s="1"/>
  <c r="A16" i="9"/>
  <c r="A62" i="9" s="1"/>
  <c r="D15" i="9"/>
  <c r="D61" i="9" s="1"/>
  <c r="D95" i="9" s="1"/>
  <c r="C15" i="9"/>
  <c r="C61" i="9" s="1"/>
  <c r="C95" i="9" s="1"/>
  <c r="B15" i="9"/>
  <c r="B61" i="9" s="1"/>
  <c r="B95" i="9" s="1"/>
  <c r="A15" i="9"/>
  <c r="A61" i="9" s="1"/>
  <c r="D14" i="9"/>
  <c r="D60" i="9" s="1"/>
  <c r="D94" i="9" s="1"/>
  <c r="C14" i="9"/>
  <c r="C60" i="9" s="1"/>
  <c r="C94" i="9" s="1"/>
  <c r="B14" i="9"/>
  <c r="B60" i="9" s="1"/>
  <c r="B94" i="9" s="1"/>
  <c r="A14" i="9"/>
  <c r="A60" i="9" s="1"/>
  <c r="D13" i="9"/>
  <c r="D59" i="9" s="1"/>
  <c r="D93" i="9" s="1"/>
  <c r="C13" i="9"/>
  <c r="C59" i="9" s="1"/>
  <c r="C93" i="9" s="1"/>
  <c r="B13" i="9"/>
  <c r="B59" i="9" s="1"/>
  <c r="B93" i="9" s="1"/>
  <c r="A13" i="9"/>
  <c r="A59" i="9" s="1"/>
  <c r="D12" i="9"/>
  <c r="D58" i="9" s="1"/>
  <c r="D92" i="9" s="1"/>
  <c r="C12" i="9"/>
  <c r="C58" i="9" s="1"/>
  <c r="C92" i="9" s="1"/>
  <c r="B12" i="9"/>
  <c r="B58" i="9" s="1"/>
  <c r="B92" i="9" s="1"/>
  <c r="A12" i="9"/>
  <c r="A58" i="9" s="1"/>
  <c r="D11" i="9"/>
  <c r="D57" i="9" s="1"/>
  <c r="D91" i="9" s="1"/>
  <c r="C11" i="9"/>
  <c r="C57" i="9" s="1"/>
  <c r="C91" i="9" s="1"/>
  <c r="B11" i="9"/>
  <c r="B57" i="9" s="1"/>
  <c r="B91" i="9" s="1"/>
  <c r="A11" i="9"/>
  <c r="A57" i="9" s="1"/>
  <c r="D10" i="9"/>
  <c r="D56" i="9" s="1"/>
  <c r="D90" i="9" s="1"/>
  <c r="C10" i="9"/>
  <c r="C56" i="9" s="1"/>
  <c r="C90" i="9" s="1"/>
  <c r="B10" i="9"/>
  <c r="B56" i="9" s="1"/>
  <c r="B90" i="9" s="1"/>
  <c r="A10" i="9"/>
  <c r="A56" i="9" s="1"/>
  <c r="D9" i="9"/>
  <c r="D55" i="9" s="1"/>
  <c r="D89" i="9" s="1"/>
  <c r="C9" i="9"/>
  <c r="C55" i="9" s="1"/>
  <c r="C89" i="9" s="1"/>
  <c r="B9" i="9"/>
  <c r="B55" i="9" s="1"/>
  <c r="B89" i="9" s="1"/>
  <c r="A9" i="9"/>
  <c r="A55" i="9" s="1"/>
  <c r="D8" i="9"/>
  <c r="D54" i="9" s="1"/>
  <c r="D88" i="9" s="1"/>
  <c r="C8" i="9"/>
  <c r="C54" i="9" s="1"/>
  <c r="C88" i="9" s="1"/>
  <c r="B8" i="9"/>
  <c r="B54" i="9" s="1"/>
  <c r="B88" i="9" s="1"/>
  <c r="A8" i="9"/>
  <c r="A54" i="9" s="1"/>
  <c r="D7" i="9"/>
  <c r="D53" i="9" s="1"/>
  <c r="D87" i="9" s="1"/>
  <c r="C7" i="9"/>
  <c r="C53" i="9" s="1"/>
  <c r="C87" i="9" s="1"/>
  <c r="B7" i="9"/>
  <c r="B53" i="9" s="1"/>
  <c r="B87" i="9" s="1"/>
  <c r="A7" i="9"/>
  <c r="A53" i="9" s="1"/>
  <c r="D6" i="9"/>
  <c r="D52" i="9" s="1"/>
  <c r="D86" i="9" s="1"/>
  <c r="C6" i="9"/>
  <c r="C52" i="9" s="1"/>
  <c r="C86" i="9" s="1"/>
  <c r="B6" i="9"/>
  <c r="B52" i="9" s="1"/>
  <c r="B86" i="9" s="1"/>
  <c r="A6" i="9"/>
  <c r="A52" i="9" s="1"/>
  <c r="D5" i="9"/>
  <c r="D51" i="9" s="1"/>
  <c r="D85" i="9" s="1"/>
  <c r="C5" i="9"/>
  <c r="C51" i="9" s="1"/>
  <c r="C85" i="9" s="1"/>
  <c r="B5" i="9"/>
  <c r="B51" i="9" s="1"/>
  <c r="B85" i="9" s="1"/>
  <c r="A5" i="9"/>
  <c r="A51" i="9" s="1"/>
  <c r="D4" i="9"/>
  <c r="D50" i="9" s="1"/>
  <c r="D84" i="9" s="1"/>
  <c r="C4" i="9"/>
  <c r="C50" i="9" s="1"/>
  <c r="C84" i="9" s="1"/>
  <c r="B4" i="9"/>
  <c r="B50" i="9" s="1"/>
  <c r="B84" i="9" s="1"/>
  <c r="A4" i="9"/>
  <c r="A50" i="9" s="1"/>
  <c r="A2" i="9"/>
  <c r="A35" i="9" s="1"/>
  <c r="H37" i="4"/>
  <c r="J36" i="4"/>
  <c r="K34" i="4"/>
  <c r="J35" i="4"/>
  <c r="D45" i="9" l="1"/>
  <c r="A60" i="8"/>
  <c r="A59" i="8"/>
  <c r="A58" i="8"/>
  <c r="A57" i="8"/>
  <c r="A64" i="8"/>
  <c r="A56" i="8"/>
  <c r="A63" i="8"/>
  <c r="A55" i="8"/>
  <c r="A62" i="8"/>
  <c r="A54" i="8"/>
  <c r="A26" i="8"/>
  <c r="A25" i="8"/>
  <c r="A45" i="10"/>
  <c r="A32" i="8"/>
  <c r="A24" i="8"/>
  <c r="A31" i="8"/>
  <c r="A23" i="8"/>
  <c r="A30" i="8"/>
  <c r="A29" i="8"/>
  <c r="A28" i="8"/>
  <c r="A34" i="10"/>
  <c r="P35" i="9"/>
  <c r="A43" i="8"/>
  <c r="E36" i="9"/>
  <c r="AC36" i="9"/>
  <c r="A35" i="8"/>
  <c r="A50" i="8"/>
  <c r="A42" i="8"/>
  <c r="W36" i="9"/>
  <c r="L35" i="9"/>
  <c r="G36" i="9"/>
  <c r="AE36" i="9"/>
  <c r="A49" i="8"/>
  <c r="A41" i="8"/>
  <c r="O35" i="9"/>
  <c r="I36" i="9"/>
  <c r="AK36" i="9"/>
  <c r="A48" i="8"/>
  <c r="A40" i="8"/>
  <c r="M36" i="9"/>
  <c r="A47" i="8"/>
  <c r="A39" i="8"/>
  <c r="AB35" i="9"/>
  <c r="O36" i="9"/>
  <c r="A46" i="8"/>
  <c r="A38" i="8"/>
  <c r="AE35" i="9"/>
  <c r="Q36" i="9"/>
  <c r="A53" i="8"/>
  <c r="A45" i="8"/>
  <c r="A37" i="8"/>
  <c r="AF35" i="9"/>
  <c r="U36" i="9"/>
  <c r="A52" i="8"/>
  <c r="A44" i="8"/>
  <c r="A36" i="8"/>
  <c r="A11" i="8"/>
  <c r="A19" i="8"/>
  <c r="A20" i="8"/>
  <c r="A12" i="8"/>
  <c r="A4" i="8"/>
  <c r="A3" i="8"/>
  <c r="A18" i="8"/>
  <c r="A10" i="8"/>
  <c r="A17" i="8"/>
  <c r="A9" i="8"/>
  <c r="A16" i="8"/>
  <c r="A8" i="8"/>
  <c r="A15" i="8"/>
  <c r="A7" i="8"/>
  <c r="A22" i="8"/>
  <c r="A14" i="8"/>
  <c r="A6" i="8"/>
  <c r="A21" i="8"/>
  <c r="A13" i="8"/>
  <c r="A5" i="8"/>
  <c r="A89" i="10"/>
  <c r="A95" i="10"/>
  <c r="A88" i="10"/>
  <c r="A90" i="10"/>
  <c r="A92" i="10"/>
  <c r="A94" i="10"/>
  <c r="A96" i="10"/>
  <c r="A98" i="10"/>
  <c r="A100" i="10"/>
  <c r="A102" i="10"/>
  <c r="A104" i="10"/>
  <c r="A106" i="10"/>
  <c r="A108" i="10"/>
  <c r="A110" i="10"/>
  <c r="A112" i="10"/>
  <c r="A84" i="10"/>
  <c r="A86" i="10"/>
  <c r="A85" i="10"/>
  <c r="A97" i="10"/>
  <c r="A105" i="10"/>
  <c r="A93" i="10"/>
  <c r="A99" i="10"/>
  <c r="A101" i="10"/>
  <c r="A91" i="10"/>
  <c r="B45" i="10"/>
  <c r="D41" i="10" s="1"/>
  <c r="C45" i="10"/>
  <c r="A103" i="10"/>
  <c r="A107" i="10"/>
  <c r="A109" i="10"/>
  <c r="A111" i="10"/>
  <c r="A35" i="10"/>
  <c r="F37" i="10"/>
  <c r="C119" i="10"/>
  <c r="AI37" i="9"/>
  <c r="AA37" i="9"/>
  <c r="S37" i="9"/>
  <c r="K37" i="9"/>
  <c r="AG37" i="9"/>
  <c r="Y37" i="9"/>
  <c r="Q37" i="9"/>
  <c r="I37" i="9"/>
  <c r="AF37" i="9"/>
  <c r="X37" i="9"/>
  <c r="P37" i="9"/>
  <c r="H37" i="9"/>
  <c r="AE37" i="9"/>
  <c r="W37" i="9"/>
  <c r="O37" i="9"/>
  <c r="G37" i="9"/>
  <c r="AL37" i="9"/>
  <c r="AD37" i="9"/>
  <c r="V37" i="9"/>
  <c r="N37" i="9"/>
  <c r="F37" i="9"/>
  <c r="AK37" i="9"/>
  <c r="AC37" i="9"/>
  <c r="U37" i="9"/>
  <c r="M37" i="9"/>
  <c r="E37" i="9"/>
  <c r="AJ37" i="9"/>
  <c r="G34" i="9"/>
  <c r="A85" i="9"/>
  <c r="A87" i="9"/>
  <c r="A89" i="9"/>
  <c r="A91" i="9"/>
  <c r="A93" i="9"/>
  <c r="A95" i="9"/>
  <c r="A97" i="9"/>
  <c r="A99" i="9"/>
  <c r="A101" i="9"/>
  <c r="A103" i="9"/>
  <c r="A105" i="9"/>
  <c r="A107" i="9"/>
  <c r="I34" i="9"/>
  <c r="Y34" i="9"/>
  <c r="R35" i="9"/>
  <c r="L37" i="9"/>
  <c r="AK34" i="9"/>
  <c r="L34" i="9"/>
  <c r="AB34" i="9"/>
  <c r="AG35" i="9"/>
  <c r="Y35" i="9"/>
  <c r="Q35" i="9"/>
  <c r="I35" i="9"/>
  <c r="AL35" i="9"/>
  <c r="AD35" i="9"/>
  <c r="V35" i="9"/>
  <c r="N35" i="9"/>
  <c r="F35" i="9"/>
  <c r="AK35" i="9"/>
  <c r="AC35" i="9"/>
  <c r="U35" i="9"/>
  <c r="M35" i="9"/>
  <c r="E35" i="9"/>
  <c r="AI35" i="9"/>
  <c r="AA35" i="9"/>
  <c r="S35" i="9"/>
  <c r="K35" i="9"/>
  <c r="T35" i="9"/>
  <c r="AJ35" i="9"/>
  <c r="R37" i="9"/>
  <c r="M34" i="9"/>
  <c r="G35" i="9"/>
  <c r="W35" i="9"/>
  <c r="T37" i="9"/>
  <c r="AL34" i="9"/>
  <c r="AD34" i="9"/>
  <c r="V34" i="9"/>
  <c r="N34" i="9"/>
  <c r="F34" i="9"/>
  <c r="AI34" i="9"/>
  <c r="AA34" i="9"/>
  <c r="S34" i="9"/>
  <c r="K34" i="9"/>
  <c r="AH34" i="9"/>
  <c r="Z34" i="9"/>
  <c r="R34" i="9"/>
  <c r="J34" i="9"/>
  <c r="AF34" i="9"/>
  <c r="X34" i="9"/>
  <c r="P34" i="9"/>
  <c r="H34" i="9"/>
  <c r="AJ34" i="9"/>
  <c r="E34" i="9"/>
  <c r="U34" i="9"/>
  <c r="O34" i="9"/>
  <c r="AE34" i="9"/>
  <c r="H35" i="9"/>
  <c r="X35" i="9"/>
  <c r="Z37" i="9"/>
  <c r="T34" i="9"/>
  <c r="W34" i="9"/>
  <c r="J37" i="9"/>
  <c r="A118" i="9"/>
  <c r="A119" i="9" s="1"/>
  <c r="A34" i="9"/>
  <c r="A84" i="9"/>
  <c r="A86" i="9"/>
  <c r="A88" i="9"/>
  <c r="A90" i="9"/>
  <c r="A92" i="9"/>
  <c r="A94" i="9"/>
  <c r="A96" i="9"/>
  <c r="A98" i="9"/>
  <c r="A100" i="9"/>
  <c r="A102" i="9"/>
  <c r="A104" i="9"/>
  <c r="A106" i="9"/>
  <c r="A108" i="9"/>
  <c r="Q34" i="9"/>
  <c r="AG34" i="9"/>
  <c r="J35" i="9"/>
  <c r="Z35" i="9"/>
  <c r="AB37" i="9"/>
  <c r="H36" i="9"/>
  <c r="P36" i="9"/>
  <c r="X36" i="9"/>
  <c r="AF36" i="9"/>
  <c r="Y36" i="9"/>
  <c r="AG36" i="9"/>
  <c r="A110" i="9"/>
  <c r="A112" i="9"/>
  <c r="J36" i="9"/>
  <c r="R36" i="9"/>
  <c r="Z36" i="9"/>
  <c r="AH36" i="9"/>
  <c r="AH41" i="9" s="1"/>
  <c r="A45" i="9"/>
  <c r="K36" i="9"/>
  <c r="S36" i="9"/>
  <c r="AA36" i="9"/>
  <c r="AI36" i="9"/>
  <c r="B45" i="9"/>
  <c r="L36" i="9"/>
  <c r="T36" i="9"/>
  <c r="AB36" i="9"/>
  <c r="AJ36" i="9"/>
  <c r="A109" i="9"/>
  <c r="A111" i="9"/>
  <c r="F36" i="9"/>
  <c r="N36" i="9"/>
  <c r="V36" i="9"/>
  <c r="AD36" i="9"/>
  <c r="C119" i="9"/>
  <c r="AH34" i="4"/>
  <c r="AG34" i="4"/>
  <c r="AI34" i="4"/>
  <c r="J34" i="4"/>
  <c r="I34" i="4"/>
  <c r="K35" i="4"/>
  <c r="AF34" i="4"/>
  <c r="AD37" i="4"/>
  <c r="Z34" i="4"/>
  <c r="T34" i="4"/>
  <c r="AE37" i="4"/>
  <c r="O34" i="4"/>
  <c r="F37" i="4"/>
  <c r="L34" i="4"/>
  <c r="AK35" i="4"/>
  <c r="AI35" i="4"/>
  <c r="AC35" i="4"/>
  <c r="Y34" i="4"/>
  <c r="H34" i="4"/>
  <c r="R37" i="4"/>
  <c r="AA35" i="4"/>
  <c r="S37" i="4"/>
  <c r="J37" i="4"/>
  <c r="X34" i="4"/>
  <c r="AI37" i="4"/>
  <c r="U35" i="4"/>
  <c r="AJ34" i="4"/>
  <c r="W34" i="4"/>
  <c r="AH37" i="4"/>
  <c r="G37" i="4"/>
  <c r="S35" i="4"/>
  <c r="E37" i="4"/>
  <c r="Z35" i="4"/>
  <c r="AC37" i="4"/>
  <c r="Q35" i="4"/>
  <c r="AE34" i="4"/>
  <c r="R34" i="4"/>
  <c r="G34" i="4"/>
  <c r="AA37" i="4"/>
  <c r="N37" i="4"/>
  <c r="Y36" i="4"/>
  <c r="AF35" i="4"/>
  <c r="X35" i="4"/>
  <c r="P35" i="4"/>
  <c r="H35" i="4"/>
  <c r="AH35" i="4"/>
  <c r="R35" i="4"/>
  <c r="O37" i="4"/>
  <c r="AG36" i="4"/>
  <c r="AG35" i="4"/>
  <c r="Y35" i="4"/>
  <c r="I35" i="4"/>
  <c r="AB34" i="4"/>
  <c r="Z37" i="4"/>
  <c r="AE35" i="4"/>
  <c r="G35" i="4"/>
  <c r="Q34" i="4"/>
  <c r="AL37" i="4"/>
  <c r="M37" i="4"/>
  <c r="Q36" i="4"/>
  <c r="W35" i="4"/>
  <c r="O35" i="4"/>
  <c r="E34" i="4"/>
  <c r="AA34" i="4"/>
  <c r="P34" i="4"/>
  <c r="AK37" i="4"/>
  <c r="K37" i="4"/>
  <c r="AL35" i="4"/>
  <c r="AD35" i="4"/>
  <c r="V35" i="4"/>
  <c r="N35" i="4"/>
  <c r="F35" i="4"/>
  <c r="M35" i="4"/>
  <c r="E35" i="4"/>
  <c r="AJ35" i="4"/>
  <c r="AB35" i="4"/>
  <c r="T35" i="4"/>
  <c r="L35" i="4"/>
  <c r="AJ37" i="4"/>
  <c r="AB37" i="4"/>
  <c r="L37" i="4"/>
  <c r="AG37" i="4"/>
  <c r="Y37" i="4"/>
  <c r="Q37" i="4"/>
  <c r="I37" i="4"/>
  <c r="AF37" i="4"/>
  <c r="X37" i="4"/>
  <c r="P37" i="4"/>
  <c r="I36" i="4"/>
  <c r="AF36" i="4"/>
  <c r="X36" i="4"/>
  <c r="P36" i="4"/>
  <c r="H36" i="4"/>
  <c r="AE36" i="4"/>
  <c r="O36" i="4"/>
  <c r="G36" i="4"/>
  <c r="AL36" i="4"/>
  <c r="N36" i="4"/>
  <c r="F36" i="4"/>
  <c r="E36" i="4"/>
  <c r="AD36" i="4"/>
  <c r="AC36" i="4"/>
  <c r="AJ36" i="4"/>
  <c r="AB36" i="4"/>
  <c r="T36" i="4"/>
  <c r="L36" i="4"/>
  <c r="AK36" i="4"/>
  <c r="M36" i="4"/>
  <c r="AI36" i="4"/>
  <c r="AA36" i="4"/>
  <c r="S36" i="4"/>
  <c r="K36" i="4"/>
  <c r="AH36" i="4"/>
  <c r="Z36" i="4"/>
  <c r="R36" i="4"/>
  <c r="AL34" i="4"/>
  <c r="AD34" i="4"/>
  <c r="V34" i="4"/>
  <c r="N34" i="4"/>
  <c r="F34" i="4"/>
  <c r="AK34" i="4"/>
  <c r="AC34" i="4"/>
  <c r="U34" i="4"/>
  <c r="M34" i="4"/>
  <c r="S34" i="4"/>
  <c r="AI41" i="9" l="1"/>
  <c r="AJ41" i="9"/>
  <c r="S41" i="9"/>
  <c r="AG41" i="9"/>
  <c r="AB41" i="9"/>
  <c r="T41" i="9"/>
  <c r="AD41" i="9"/>
  <c r="P41" i="9"/>
  <c r="AC51" i="9"/>
  <c r="Y36" i="8" s="1"/>
  <c r="Y41" i="9"/>
  <c r="AF41" i="9"/>
  <c r="AL41" i="9"/>
  <c r="AC41" i="9"/>
  <c r="R50" i="9"/>
  <c r="N35" i="8" s="1"/>
  <c r="R51" i="9"/>
  <c r="N36" i="8" s="1"/>
  <c r="R52" i="9"/>
  <c r="N37" i="8" s="1"/>
  <c r="R53" i="9"/>
  <c r="N38" i="8" s="1"/>
  <c r="R54" i="9"/>
  <c r="N39" i="8" s="1"/>
  <c r="R55" i="9"/>
  <c r="R56" i="9"/>
  <c r="R57" i="9"/>
  <c r="R58" i="9"/>
  <c r="N43" i="8" s="1"/>
  <c r="R59" i="9"/>
  <c r="N44" i="8" s="1"/>
  <c r="R60" i="9"/>
  <c r="R61" i="9"/>
  <c r="R62" i="9"/>
  <c r="N47" i="8" s="1"/>
  <c r="R63" i="9"/>
  <c r="R64" i="9"/>
  <c r="R65" i="9"/>
  <c r="R66" i="9"/>
  <c r="R67" i="9"/>
  <c r="N52" i="8" s="1"/>
  <c r="R68" i="9"/>
  <c r="N53" i="8" s="1"/>
  <c r="R69" i="9"/>
  <c r="N54" i="8" s="1"/>
  <c r="R70" i="9"/>
  <c r="R71" i="9"/>
  <c r="R72" i="9"/>
  <c r="R73" i="9"/>
  <c r="N58" i="8" s="1"/>
  <c r="R74" i="9"/>
  <c r="R75" i="9"/>
  <c r="N60" i="8" s="1"/>
  <c r="R76" i="9"/>
  <c r="N61" i="8" s="1"/>
  <c r="R77" i="9"/>
  <c r="N62" i="8" s="1"/>
  <c r="R78" i="9"/>
  <c r="N63" i="8" s="1"/>
  <c r="N50" i="9"/>
  <c r="N51" i="9"/>
  <c r="N52" i="9"/>
  <c r="J37" i="8" s="1"/>
  <c r="N53" i="9"/>
  <c r="J38" i="8" s="1"/>
  <c r="N54" i="9"/>
  <c r="J39" i="8" s="1"/>
  <c r="N55" i="9"/>
  <c r="J40" i="8" s="1"/>
  <c r="N56" i="9"/>
  <c r="J41" i="8" s="1"/>
  <c r="N57" i="9"/>
  <c r="N58" i="9"/>
  <c r="N59" i="9"/>
  <c r="N60" i="9"/>
  <c r="N61" i="9"/>
  <c r="N62" i="9"/>
  <c r="J47" i="8" s="1"/>
  <c r="N63" i="9"/>
  <c r="J48" i="8" s="1"/>
  <c r="N64" i="9"/>
  <c r="J49" i="8" s="1"/>
  <c r="N74" i="9"/>
  <c r="N66" i="9"/>
  <c r="N68" i="9"/>
  <c r="N76" i="9"/>
  <c r="J61" i="8" s="1"/>
  <c r="N72" i="9"/>
  <c r="J57" i="8" s="1"/>
  <c r="N65" i="9"/>
  <c r="J50" i="8" s="1"/>
  <c r="N67" i="9"/>
  <c r="J52" i="8" s="1"/>
  <c r="N69" i="9"/>
  <c r="J54" i="8" s="1"/>
  <c r="N75" i="9"/>
  <c r="J60" i="8" s="1"/>
  <c r="N77" i="9"/>
  <c r="N70" i="9"/>
  <c r="N71" i="9"/>
  <c r="N73" i="9"/>
  <c r="J58" i="8" s="1"/>
  <c r="N78" i="9"/>
  <c r="J63" i="8" s="1"/>
  <c r="G50" i="9"/>
  <c r="C35" i="8" s="1"/>
  <c r="G51" i="9"/>
  <c r="C36" i="8" s="1"/>
  <c r="G52" i="9"/>
  <c r="C37" i="8" s="1"/>
  <c r="G53" i="9"/>
  <c r="G54" i="9"/>
  <c r="G55" i="9"/>
  <c r="C40" i="8" s="1"/>
  <c r="G56" i="9"/>
  <c r="C41" i="8" s="1"/>
  <c r="G57" i="9"/>
  <c r="G58" i="9"/>
  <c r="C43" i="8" s="1"/>
  <c r="G59" i="9"/>
  <c r="C44" i="8" s="1"/>
  <c r="G60" i="9"/>
  <c r="G61" i="9"/>
  <c r="G62" i="9"/>
  <c r="G63" i="9"/>
  <c r="C48" i="8" s="1"/>
  <c r="G64" i="9"/>
  <c r="C49" i="8" s="1"/>
  <c r="G65" i="9"/>
  <c r="C50" i="8" s="1"/>
  <c r="G66" i="9"/>
  <c r="C51" i="8" s="1"/>
  <c r="G67" i="9"/>
  <c r="C52" i="8" s="1"/>
  <c r="G68" i="9"/>
  <c r="C53" i="8" s="1"/>
  <c r="G69" i="9"/>
  <c r="G71" i="9"/>
  <c r="G72" i="9"/>
  <c r="G73" i="9"/>
  <c r="G74" i="9"/>
  <c r="C59" i="8" s="1"/>
  <c r="G75" i="9"/>
  <c r="C60" i="8" s="1"/>
  <c r="G76" i="9"/>
  <c r="C61" i="8" s="1"/>
  <c r="G77" i="9"/>
  <c r="C62" i="8" s="1"/>
  <c r="G78" i="9"/>
  <c r="G70" i="9"/>
  <c r="AC72" i="9"/>
  <c r="Y57" i="8" s="1"/>
  <c r="AC64" i="9"/>
  <c r="Y49" i="8" s="1"/>
  <c r="AC56" i="9"/>
  <c r="Y41" i="8" s="1"/>
  <c r="V41" i="9"/>
  <c r="L41" i="9"/>
  <c r="Z41" i="9"/>
  <c r="X41" i="9"/>
  <c r="W50" i="9"/>
  <c r="W51" i="9"/>
  <c r="S36" i="8" s="1"/>
  <c r="W52" i="9"/>
  <c r="S37" i="8" s="1"/>
  <c r="W53" i="9"/>
  <c r="S38" i="8" s="1"/>
  <c r="W54" i="9"/>
  <c r="S39" i="8" s="1"/>
  <c r="W55" i="9"/>
  <c r="S40" i="8" s="1"/>
  <c r="W56" i="9"/>
  <c r="S41" i="8" s="1"/>
  <c r="W57" i="9"/>
  <c r="W58" i="9"/>
  <c r="W59" i="9"/>
  <c r="S44" i="8" s="1"/>
  <c r="W60" i="9"/>
  <c r="W61" i="9"/>
  <c r="W62" i="9"/>
  <c r="S47" i="8" s="1"/>
  <c r="W63" i="9"/>
  <c r="S48" i="8" s="1"/>
  <c r="W64" i="9"/>
  <c r="S49" i="8" s="1"/>
  <c r="W65" i="9"/>
  <c r="W66" i="9"/>
  <c r="W67" i="9"/>
  <c r="S52" i="8" s="1"/>
  <c r="W68" i="9"/>
  <c r="W70" i="9"/>
  <c r="S55" i="8" s="1"/>
  <c r="W71" i="9"/>
  <c r="S56" i="8" s="1"/>
  <c r="W72" i="9"/>
  <c r="S57" i="8" s="1"/>
  <c r="W73" i="9"/>
  <c r="S58" i="8" s="1"/>
  <c r="W74" i="9"/>
  <c r="W75" i="9"/>
  <c r="W76" i="9"/>
  <c r="S61" i="8" s="1"/>
  <c r="W77" i="9"/>
  <c r="S62" i="8" s="1"/>
  <c r="W78" i="9"/>
  <c r="S63" i="8" s="1"/>
  <c r="W69" i="9"/>
  <c r="S54" i="8" s="1"/>
  <c r="Z50" i="9"/>
  <c r="V35" i="8" s="1"/>
  <c r="Z51" i="9"/>
  <c r="V36" i="8" s="1"/>
  <c r="Z52" i="9"/>
  <c r="Z53" i="9"/>
  <c r="Z54" i="9"/>
  <c r="V39" i="8" s="1"/>
  <c r="Z55" i="9"/>
  <c r="V40" i="8" s="1"/>
  <c r="Z56" i="9"/>
  <c r="V41" i="8" s="1"/>
  <c r="Z57" i="9"/>
  <c r="Z58" i="9"/>
  <c r="Z59" i="9"/>
  <c r="V44" i="8" s="1"/>
  <c r="Z60" i="9"/>
  <c r="Z61" i="9"/>
  <c r="Z62" i="9"/>
  <c r="V47" i="8" s="1"/>
  <c r="Z63" i="9"/>
  <c r="V48" i="8" s="1"/>
  <c r="Z64" i="9"/>
  <c r="V49" i="8" s="1"/>
  <c r="Z65" i="9"/>
  <c r="V50" i="8" s="1"/>
  <c r="Z66" i="9"/>
  <c r="V51" i="8" s="1"/>
  <c r="Z67" i="9"/>
  <c r="V52" i="8" s="1"/>
  <c r="Z68" i="9"/>
  <c r="Z69" i="9"/>
  <c r="Z70" i="9"/>
  <c r="V55" i="8" s="1"/>
  <c r="Z71" i="9"/>
  <c r="V56" i="8" s="1"/>
  <c r="Z72" i="9"/>
  <c r="V57" i="8" s="1"/>
  <c r="Z73" i="9"/>
  <c r="V58" i="8" s="1"/>
  <c r="Z74" i="9"/>
  <c r="V59" i="8" s="1"/>
  <c r="Z75" i="9"/>
  <c r="V60" i="8" s="1"/>
  <c r="Z76" i="9"/>
  <c r="Z77" i="9"/>
  <c r="Z78" i="9"/>
  <c r="V63" i="8" s="1"/>
  <c r="V50" i="9"/>
  <c r="R35" i="8" s="1"/>
  <c r="V51" i="9"/>
  <c r="R36" i="8" s="1"/>
  <c r="V52" i="9"/>
  <c r="R37" i="8" s="1"/>
  <c r="V53" i="9"/>
  <c r="R38" i="8" s="1"/>
  <c r="V54" i="9"/>
  <c r="V55" i="9"/>
  <c r="V56" i="9"/>
  <c r="V57" i="9"/>
  <c r="V58" i="9"/>
  <c r="R43" i="8" s="1"/>
  <c r="V59" i="9"/>
  <c r="R44" i="8" s="1"/>
  <c r="V60" i="9"/>
  <c r="V61" i="9"/>
  <c r="V62" i="9"/>
  <c r="R47" i="8" s="1"/>
  <c r="V63" i="9"/>
  <c r="V65" i="9"/>
  <c r="V67" i="9"/>
  <c r="V69" i="9"/>
  <c r="R54" i="8" s="1"/>
  <c r="V72" i="9"/>
  <c r="R57" i="8" s="1"/>
  <c r="V76" i="9"/>
  <c r="R61" i="8" s="1"/>
  <c r="V64" i="9"/>
  <c r="V66" i="9"/>
  <c r="R51" i="8" s="1"/>
  <c r="V68" i="9"/>
  <c r="V70" i="9"/>
  <c r="V71" i="9"/>
  <c r="V73" i="9"/>
  <c r="R58" i="8" s="1"/>
  <c r="V75" i="9"/>
  <c r="R60" i="8" s="1"/>
  <c r="V74" i="9"/>
  <c r="R59" i="8" s="1"/>
  <c r="V77" i="9"/>
  <c r="R62" i="8" s="1"/>
  <c r="V78" i="9"/>
  <c r="R63" i="8" s="1"/>
  <c r="Q41" i="9"/>
  <c r="M41" i="9"/>
  <c r="AE41" i="9"/>
  <c r="AC71" i="9"/>
  <c r="Y56" i="8" s="1"/>
  <c r="AC63" i="9"/>
  <c r="Y48" i="8" s="1"/>
  <c r="AC55" i="9"/>
  <c r="Y40" i="8" s="1"/>
  <c r="N41" i="9"/>
  <c r="R41" i="9"/>
  <c r="T69" i="9"/>
  <c r="T50" i="9"/>
  <c r="T51" i="9"/>
  <c r="P36" i="8" s="1"/>
  <c r="T52" i="9"/>
  <c r="P37" i="8" s="1"/>
  <c r="T53" i="9"/>
  <c r="P38" i="8" s="1"/>
  <c r="T54" i="9"/>
  <c r="P39" i="8" s="1"/>
  <c r="T55" i="9"/>
  <c r="P40" i="8" s="1"/>
  <c r="T56" i="9"/>
  <c r="P41" i="8" s="1"/>
  <c r="T57" i="9"/>
  <c r="T58" i="9"/>
  <c r="T59" i="9"/>
  <c r="P44" i="8" s="1"/>
  <c r="T60" i="9"/>
  <c r="T61" i="9"/>
  <c r="T62" i="9"/>
  <c r="P47" i="8" s="1"/>
  <c r="T63" i="9"/>
  <c r="P48" i="8" s="1"/>
  <c r="T64" i="9"/>
  <c r="P49" i="8" s="1"/>
  <c r="T66" i="9"/>
  <c r="T68" i="9"/>
  <c r="T70" i="9"/>
  <c r="P55" i="8" s="1"/>
  <c r="T71" i="9"/>
  <c r="P56" i="8" s="1"/>
  <c r="T72" i="9"/>
  <c r="P57" i="8" s="1"/>
  <c r="T73" i="9"/>
  <c r="P58" i="8" s="1"/>
  <c r="T74" i="9"/>
  <c r="P59" i="8" s="1"/>
  <c r="T75" i="9"/>
  <c r="P60" i="8" s="1"/>
  <c r="T76" i="9"/>
  <c r="T77" i="9"/>
  <c r="T78" i="9"/>
  <c r="P63" i="8" s="1"/>
  <c r="T65" i="9"/>
  <c r="T67" i="9"/>
  <c r="P52" i="8" s="1"/>
  <c r="AJ64" i="9"/>
  <c r="AF49" i="8" s="1"/>
  <c r="AJ66" i="9"/>
  <c r="AF51" i="8" s="1"/>
  <c r="AJ68" i="9"/>
  <c r="AF53" i="8" s="1"/>
  <c r="AJ69" i="9"/>
  <c r="AJ52" i="9"/>
  <c r="AJ54" i="9"/>
  <c r="AJ57" i="9"/>
  <c r="AJ60" i="9"/>
  <c r="AJ63" i="9"/>
  <c r="AF48" i="8" s="1"/>
  <c r="AJ65" i="9"/>
  <c r="AJ67" i="9"/>
  <c r="AF52" i="8" s="1"/>
  <c r="AJ70" i="9"/>
  <c r="AJ71" i="9"/>
  <c r="AJ72" i="9"/>
  <c r="AF57" i="8" s="1"/>
  <c r="AJ73" i="9"/>
  <c r="AF58" i="8" s="1"/>
  <c r="AJ74" i="9"/>
  <c r="AF59" i="8" s="1"/>
  <c r="AJ75" i="9"/>
  <c r="AF60" i="8" s="1"/>
  <c r="AJ76" i="9"/>
  <c r="AF61" i="8" s="1"/>
  <c r="AJ77" i="9"/>
  <c r="AF62" i="8" s="1"/>
  <c r="AJ78" i="9"/>
  <c r="AJ51" i="9"/>
  <c r="AJ55" i="9"/>
  <c r="AF40" i="8" s="1"/>
  <c r="AJ58" i="9"/>
  <c r="AF43" i="8" s="1"/>
  <c r="AJ61" i="9"/>
  <c r="AJ50" i="9"/>
  <c r="AF35" i="8" s="1"/>
  <c r="AJ53" i="9"/>
  <c r="AF38" i="8" s="1"/>
  <c r="AJ56" i="9"/>
  <c r="AF41" i="8" s="1"/>
  <c r="AJ59" i="9"/>
  <c r="AJ62" i="9"/>
  <c r="AH50" i="9"/>
  <c r="AD35" i="8" s="1"/>
  <c r="AH51" i="9"/>
  <c r="AD36" i="8" s="1"/>
  <c r="AH52" i="9"/>
  <c r="AD37" i="8" s="1"/>
  <c r="AH53" i="9"/>
  <c r="AD38" i="8" s="1"/>
  <c r="AH54" i="9"/>
  <c r="AD39" i="8" s="1"/>
  <c r="AH55" i="9"/>
  <c r="AD40" i="8" s="1"/>
  <c r="AH56" i="9"/>
  <c r="AH57" i="9"/>
  <c r="AH58" i="9"/>
  <c r="AD43" i="8" s="1"/>
  <c r="AH59" i="9"/>
  <c r="AD44" i="8" s="1"/>
  <c r="AH60" i="9"/>
  <c r="AH61" i="9"/>
  <c r="AH62" i="9"/>
  <c r="AD47" i="8" s="1"/>
  <c r="AH63" i="9"/>
  <c r="AD48" i="8" s="1"/>
  <c r="AH64" i="9"/>
  <c r="AH65" i="9"/>
  <c r="AH66" i="9"/>
  <c r="AD51" i="8" s="1"/>
  <c r="AH67" i="9"/>
  <c r="AH68" i="9"/>
  <c r="AD53" i="8" s="1"/>
  <c r="AH69" i="9"/>
  <c r="AD54" i="8" s="1"/>
  <c r="AH70" i="9"/>
  <c r="AD55" i="8" s="1"/>
  <c r="AH71" i="9"/>
  <c r="AD56" i="8" s="1"/>
  <c r="AH72" i="9"/>
  <c r="AH73" i="9"/>
  <c r="AH74" i="9"/>
  <c r="AH75" i="9"/>
  <c r="AD60" i="8" s="1"/>
  <c r="AH76" i="9"/>
  <c r="AD61" i="8" s="1"/>
  <c r="AH77" i="9"/>
  <c r="AD62" i="8" s="1"/>
  <c r="AH78" i="9"/>
  <c r="AD63" i="8" s="1"/>
  <c r="AD50" i="9"/>
  <c r="AD51" i="9"/>
  <c r="AD52" i="9"/>
  <c r="AD53" i="9"/>
  <c r="Z38" i="8" s="1"/>
  <c r="AD54" i="9"/>
  <c r="Z39" i="8" s="1"/>
  <c r="AD55" i="9"/>
  <c r="Z40" i="8" s="1"/>
  <c r="AD56" i="9"/>
  <c r="Z41" i="8" s="1"/>
  <c r="AD57" i="9"/>
  <c r="AD58" i="9"/>
  <c r="Z43" i="8" s="1"/>
  <c r="AD59" i="9"/>
  <c r="AD60" i="9"/>
  <c r="AD61" i="9"/>
  <c r="AD62" i="9"/>
  <c r="Z47" i="8" s="1"/>
  <c r="AD63" i="9"/>
  <c r="Z48" i="8" s="1"/>
  <c r="AD75" i="9"/>
  <c r="Z60" i="8" s="1"/>
  <c r="AD70" i="9"/>
  <c r="Z55" i="8" s="1"/>
  <c r="AD77" i="9"/>
  <c r="Z62" i="8" s="1"/>
  <c r="AD72" i="9"/>
  <c r="AD65" i="9"/>
  <c r="AD67" i="9"/>
  <c r="Z52" i="8" s="1"/>
  <c r="AD76" i="9"/>
  <c r="Z61" i="8" s="1"/>
  <c r="AD69" i="9"/>
  <c r="Z54" i="8" s="1"/>
  <c r="AD64" i="9"/>
  <c r="Z49" i="8" s="1"/>
  <c r="AD66" i="9"/>
  <c r="Z51" i="8" s="1"/>
  <c r="AD68" i="9"/>
  <c r="Z53" i="8" s="1"/>
  <c r="AD71" i="9"/>
  <c r="AD73" i="9"/>
  <c r="AD74" i="9"/>
  <c r="Z59" i="8" s="1"/>
  <c r="AD78" i="9"/>
  <c r="Z63" i="8" s="1"/>
  <c r="Y65" i="9"/>
  <c r="U50" i="8" s="1"/>
  <c r="Y67" i="9"/>
  <c r="U52" i="8" s="1"/>
  <c r="Y69" i="9"/>
  <c r="U54" i="8" s="1"/>
  <c r="Y70" i="9"/>
  <c r="U55" i="8" s="1"/>
  <c r="Y71" i="9"/>
  <c r="Y72" i="9"/>
  <c r="Y73" i="9"/>
  <c r="U58" i="8" s="1"/>
  <c r="Y74" i="9"/>
  <c r="U59" i="8" s="1"/>
  <c r="Y75" i="9"/>
  <c r="U60" i="8" s="1"/>
  <c r="Y76" i="9"/>
  <c r="U61" i="8" s="1"/>
  <c r="Y77" i="9"/>
  <c r="U62" i="8" s="1"/>
  <c r="Y78" i="9"/>
  <c r="U63" i="8" s="1"/>
  <c r="Y50" i="9"/>
  <c r="Y51" i="9"/>
  <c r="Y52" i="9"/>
  <c r="U37" i="8" s="1"/>
  <c r="Y53" i="9"/>
  <c r="U38" i="8" s="1"/>
  <c r="Y54" i="9"/>
  <c r="U39" i="8" s="1"/>
  <c r="Y55" i="9"/>
  <c r="U40" i="8" s="1"/>
  <c r="Y56" i="9"/>
  <c r="U41" i="8" s="1"/>
  <c r="Y57" i="9"/>
  <c r="Y58" i="9"/>
  <c r="Y59" i="9"/>
  <c r="Y60" i="9"/>
  <c r="Y61" i="9"/>
  <c r="Y62" i="9"/>
  <c r="U47" i="8" s="1"/>
  <c r="Y63" i="9"/>
  <c r="U48" i="8" s="1"/>
  <c r="Y64" i="9"/>
  <c r="Y66" i="9"/>
  <c r="U51" i="8" s="1"/>
  <c r="Y68" i="9"/>
  <c r="G41" i="9"/>
  <c r="AC78" i="9"/>
  <c r="Y63" i="8" s="1"/>
  <c r="AC70" i="9"/>
  <c r="Y55" i="8" s="1"/>
  <c r="AC62" i="9"/>
  <c r="Y47" i="8" s="1"/>
  <c r="AC54" i="9"/>
  <c r="Y39" i="8" s="1"/>
  <c r="U50" i="9"/>
  <c r="Q35" i="8" s="1"/>
  <c r="U51" i="9"/>
  <c r="Q36" i="8" s="1"/>
  <c r="U52" i="9"/>
  <c r="U53" i="9"/>
  <c r="U54" i="9"/>
  <c r="Q39" i="8" s="1"/>
  <c r="U55" i="9"/>
  <c r="Q40" i="8" s="1"/>
  <c r="U56" i="9"/>
  <c r="Q41" i="8" s="1"/>
  <c r="U57" i="9"/>
  <c r="U58" i="9"/>
  <c r="Q43" i="8" s="1"/>
  <c r="U59" i="9"/>
  <c r="Q44" i="8" s="1"/>
  <c r="U60" i="9"/>
  <c r="U61" i="9"/>
  <c r="U62" i="9"/>
  <c r="Q47" i="8" s="1"/>
  <c r="U63" i="9"/>
  <c r="Q48" i="8" s="1"/>
  <c r="U64" i="9"/>
  <c r="Q49" i="8" s="1"/>
  <c r="U65" i="9"/>
  <c r="Q50" i="8" s="1"/>
  <c r="U66" i="9"/>
  <c r="Q51" i="8" s="1"/>
  <c r="U67" i="9"/>
  <c r="U68" i="9"/>
  <c r="U69" i="9"/>
  <c r="U70" i="9"/>
  <c r="Q55" i="8" s="1"/>
  <c r="U71" i="9"/>
  <c r="Q56" i="8" s="1"/>
  <c r="U72" i="9"/>
  <c r="Q57" i="8" s="1"/>
  <c r="U73" i="9"/>
  <c r="Q58" i="8" s="1"/>
  <c r="U74" i="9"/>
  <c r="Q59" i="8" s="1"/>
  <c r="U75" i="9"/>
  <c r="U76" i="9"/>
  <c r="U77" i="9"/>
  <c r="U78" i="9"/>
  <c r="Q63" i="8" s="1"/>
  <c r="J41" i="9"/>
  <c r="AL50" i="9"/>
  <c r="AH35" i="8" s="1"/>
  <c r="AL51" i="9"/>
  <c r="AH36" i="8" s="1"/>
  <c r="AL52" i="9"/>
  <c r="AH37" i="8" s="1"/>
  <c r="AL53" i="9"/>
  <c r="AH38" i="8" s="1"/>
  <c r="AL54" i="9"/>
  <c r="AL55" i="9"/>
  <c r="AL56" i="9"/>
  <c r="AH41" i="8" s="1"/>
  <c r="AL57" i="9"/>
  <c r="AL58" i="9"/>
  <c r="AH43" i="8" s="1"/>
  <c r="AL59" i="9"/>
  <c r="AH44" i="8" s="1"/>
  <c r="AL60" i="9"/>
  <c r="AL61" i="9"/>
  <c r="AL62" i="9"/>
  <c r="AL63" i="9"/>
  <c r="AL76" i="9"/>
  <c r="AH61" i="8" s="1"/>
  <c r="AL73" i="9"/>
  <c r="AH58" i="8" s="1"/>
  <c r="AL64" i="9"/>
  <c r="AH49" i="8" s="1"/>
  <c r="AL66" i="9"/>
  <c r="AH51" i="8" s="1"/>
  <c r="AL68" i="9"/>
  <c r="AH53" i="8" s="1"/>
  <c r="AL69" i="9"/>
  <c r="AH54" i="8" s="1"/>
  <c r="AL74" i="9"/>
  <c r="AL70" i="9"/>
  <c r="AL72" i="9"/>
  <c r="AH57" i="8" s="1"/>
  <c r="AL65" i="9"/>
  <c r="AH50" i="8" s="1"/>
  <c r="AL67" i="9"/>
  <c r="AH52" i="8" s="1"/>
  <c r="AL71" i="9"/>
  <c r="AH56" i="8" s="1"/>
  <c r="AL75" i="9"/>
  <c r="AH60" i="8" s="1"/>
  <c r="AL77" i="9"/>
  <c r="AH62" i="8" s="1"/>
  <c r="AL78" i="9"/>
  <c r="I50" i="9"/>
  <c r="I51" i="9"/>
  <c r="E36" i="8" s="1"/>
  <c r="I52" i="9"/>
  <c r="E37" i="8" s="1"/>
  <c r="I53" i="9"/>
  <c r="E38" i="8" s="1"/>
  <c r="I54" i="9"/>
  <c r="E39" i="8" s="1"/>
  <c r="I55" i="9"/>
  <c r="E40" i="8" s="1"/>
  <c r="I56" i="9"/>
  <c r="E41" i="8" s="1"/>
  <c r="I57" i="9"/>
  <c r="I58" i="9"/>
  <c r="I59" i="9"/>
  <c r="E44" i="8" s="1"/>
  <c r="I60" i="9"/>
  <c r="I61" i="9"/>
  <c r="I62" i="9"/>
  <c r="E47" i="8" s="1"/>
  <c r="I63" i="9"/>
  <c r="E48" i="8" s="1"/>
  <c r="I64" i="9"/>
  <c r="E49" i="8" s="1"/>
  <c r="I71" i="9"/>
  <c r="I72" i="9"/>
  <c r="I73" i="9"/>
  <c r="E58" i="8" s="1"/>
  <c r="I74" i="9"/>
  <c r="E59" i="8" s="1"/>
  <c r="I75" i="9"/>
  <c r="E60" i="8" s="1"/>
  <c r="I76" i="9"/>
  <c r="E61" i="8" s="1"/>
  <c r="I77" i="9"/>
  <c r="E62" i="8" s="1"/>
  <c r="I78" i="9"/>
  <c r="E63" i="8" s="1"/>
  <c r="I65" i="9"/>
  <c r="I67" i="9"/>
  <c r="I69" i="9"/>
  <c r="E54" i="8" s="1"/>
  <c r="I70" i="9"/>
  <c r="E55" i="8" s="1"/>
  <c r="I66" i="9"/>
  <c r="E51" i="8" s="1"/>
  <c r="I68" i="9"/>
  <c r="E53" i="8" s="1"/>
  <c r="AC77" i="9"/>
  <c r="Y62" i="8" s="1"/>
  <c r="AC69" i="9"/>
  <c r="AC61" i="9"/>
  <c r="AC53" i="9"/>
  <c r="H50" i="9"/>
  <c r="D35" i="8" s="1"/>
  <c r="H51" i="9"/>
  <c r="D36" i="8" s="1"/>
  <c r="H52" i="9"/>
  <c r="D37" i="8" s="1"/>
  <c r="H53" i="9"/>
  <c r="D38" i="8" s="1"/>
  <c r="H54" i="9"/>
  <c r="D39" i="8" s="1"/>
  <c r="H55" i="9"/>
  <c r="D40" i="8" s="1"/>
  <c r="H56" i="9"/>
  <c r="H57" i="9"/>
  <c r="H58" i="9"/>
  <c r="D43" i="8" s="1"/>
  <c r="H59" i="9"/>
  <c r="H60" i="9"/>
  <c r="H61" i="9"/>
  <c r="H62" i="9"/>
  <c r="D47" i="8" s="1"/>
  <c r="H63" i="9"/>
  <c r="D48" i="8" s="1"/>
  <c r="H64" i="9"/>
  <c r="H65" i="9"/>
  <c r="H66" i="9"/>
  <c r="D51" i="8" s="1"/>
  <c r="H67" i="9"/>
  <c r="D52" i="8" s="1"/>
  <c r="H68" i="9"/>
  <c r="D53" i="8" s="1"/>
  <c r="H69" i="9"/>
  <c r="D54" i="8" s="1"/>
  <c r="H70" i="9"/>
  <c r="D55" i="8" s="1"/>
  <c r="H71" i="9"/>
  <c r="D56" i="8" s="1"/>
  <c r="H72" i="9"/>
  <c r="H73" i="9"/>
  <c r="H74" i="9"/>
  <c r="D59" i="8" s="1"/>
  <c r="H75" i="9"/>
  <c r="D60" i="8" s="1"/>
  <c r="H76" i="9"/>
  <c r="D61" i="8" s="1"/>
  <c r="H77" i="9"/>
  <c r="D62" i="8" s="1"/>
  <c r="H78" i="9"/>
  <c r="D63" i="8" s="1"/>
  <c r="AA41" i="9"/>
  <c r="P50" i="9"/>
  <c r="P51" i="9"/>
  <c r="P52" i="9"/>
  <c r="P53" i="9"/>
  <c r="L38" i="8" s="1"/>
  <c r="P54" i="9"/>
  <c r="L39" i="8" s="1"/>
  <c r="P55" i="9"/>
  <c r="L40" i="8" s="1"/>
  <c r="P56" i="9"/>
  <c r="P57" i="9"/>
  <c r="P58" i="9"/>
  <c r="P59" i="9"/>
  <c r="P60" i="9"/>
  <c r="P61" i="9"/>
  <c r="P62" i="9"/>
  <c r="L47" i="8" s="1"/>
  <c r="P63" i="9"/>
  <c r="L48" i="8" s="1"/>
  <c r="P64" i="9"/>
  <c r="L49" i="8" s="1"/>
  <c r="P65" i="9"/>
  <c r="L50" i="8" s="1"/>
  <c r="P66" i="9"/>
  <c r="P67" i="9"/>
  <c r="P68" i="9"/>
  <c r="L53" i="8" s="1"/>
  <c r="P69" i="9"/>
  <c r="L54" i="8" s="1"/>
  <c r="P70" i="9"/>
  <c r="L55" i="8" s="1"/>
  <c r="P71" i="9"/>
  <c r="L56" i="8" s="1"/>
  <c r="P72" i="9"/>
  <c r="L57" i="8" s="1"/>
  <c r="P73" i="9"/>
  <c r="L58" i="8" s="1"/>
  <c r="P74" i="9"/>
  <c r="P75" i="9"/>
  <c r="P76" i="9"/>
  <c r="L61" i="8" s="1"/>
  <c r="P77" i="9"/>
  <c r="L62" i="8" s="1"/>
  <c r="P78" i="9"/>
  <c r="L63" i="8" s="1"/>
  <c r="S50" i="9"/>
  <c r="O35" i="8" s="1"/>
  <c r="S51" i="9"/>
  <c r="S52" i="9"/>
  <c r="O37" i="8" s="1"/>
  <c r="S53" i="9"/>
  <c r="S54" i="9"/>
  <c r="S55" i="9"/>
  <c r="O40" i="8" s="1"/>
  <c r="S56" i="9"/>
  <c r="O41" i="8" s="1"/>
  <c r="S57" i="9"/>
  <c r="S58" i="9"/>
  <c r="O43" i="8" s="1"/>
  <c r="S59" i="9"/>
  <c r="O44" i="8" s="1"/>
  <c r="S60" i="9"/>
  <c r="S61" i="9"/>
  <c r="S62" i="9"/>
  <c r="S63" i="9"/>
  <c r="O48" i="8" s="1"/>
  <c r="S64" i="9"/>
  <c r="O49" i="8" s="1"/>
  <c r="S65" i="9"/>
  <c r="O50" i="8" s="1"/>
  <c r="S66" i="9"/>
  <c r="O51" i="8" s="1"/>
  <c r="S67" i="9"/>
  <c r="O52" i="8" s="1"/>
  <c r="S68" i="9"/>
  <c r="O53" i="8" s="1"/>
  <c r="S69" i="9"/>
  <c r="S70" i="9"/>
  <c r="S71" i="9"/>
  <c r="O56" i="8" s="1"/>
  <c r="S72" i="9"/>
  <c r="O57" i="8" s="1"/>
  <c r="S73" i="9"/>
  <c r="O58" i="8" s="1"/>
  <c r="S74" i="9"/>
  <c r="O59" i="8" s="1"/>
  <c r="S75" i="9"/>
  <c r="O60" i="8" s="1"/>
  <c r="S76" i="9"/>
  <c r="O61" i="8" s="1"/>
  <c r="S77" i="9"/>
  <c r="S78" i="9"/>
  <c r="U41" i="9"/>
  <c r="AK41" i="9"/>
  <c r="W41" i="9"/>
  <c r="AC76" i="9"/>
  <c r="Y61" i="8" s="1"/>
  <c r="AC68" i="9"/>
  <c r="Y53" i="8" s="1"/>
  <c r="AC60" i="9"/>
  <c r="AC52" i="9"/>
  <c r="Q50" i="9"/>
  <c r="Q51" i="9"/>
  <c r="M36" i="8" s="1"/>
  <c r="Q52" i="9"/>
  <c r="M37" i="8" s="1"/>
  <c r="Q53" i="9"/>
  <c r="M38" i="8" s="1"/>
  <c r="Q54" i="9"/>
  <c r="M39" i="8" s="1"/>
  <c r="Q55" i="9"/>
  <c r="M40" i="8" s="1"/>
  <c r="Q56" i="9"/>
  <c r="Q57" i="9"/>
  <c r="Q58" i="9"/>
  <c r="Q59" i="9"/>
  <c r="M44" i="8" s="1"/>
  <c r="Q60" i="9"/>
  <c r="Q61" i="9"/>
  <c r="Q62" i="9"/>
  <c r="M47" i="8" s="1"/>
  <c r="Q63" i="9"/>
  <c r="M48" i="8" s="1"/>
  <c r="Q64" i="9"/>
  <c r="M49" i="8" s="1"/>
  <c r="Q66" i="9"/>
  <c r="Q68" i="9"/>
  <c r="Q70" i="9"/>
  <c r="M55" i="8" s="1"/>
  <c r="Q71" i="9"/>
  <c r="Q72" i="9"/>
  <c r="M57" i="8" s="1"/>
  <c r="Q73" i="9"/>
  <c r="M58" i="8" s="1"/>
  <c r="Q74" i="9"/>
  <c r="M59" i="8" s="1"/>
  <c r="Q75" i="9"/>
  <c r="M60" i="8" s="1"/>
  <c r="Q76" i="9"/>
  <c r="Q77" i="9"/>
  <c r="Q78" i="9"/>
  <c r="M63" i="8" s="1"/>
  <c r="Q65" i="9"/>
  <c r="M50" i="8" s="1"/>
  <c r="Q67" i="9"/>
  <c r="M52" i="8" s="1"/>
  <c r="Q69" i="9"/>
  <c r="M54" i="8" s="1"/>
  <c r="H41" i="9"/>
  <c r="K50" i="9"/>
  <c r="G35" i="8" s="1"/>
  <c r="K51" i="9"/>
  <c r="K52" i="9"/>
  <c r="K53" i="9"/>
  <c r="G38" i="8" s="1"/>
  <c r="K54" i="9"/>
  <c r="G39" i="8" s="1"/>
  <c r="K55" i="9"/>
  <c r="G40" i="8" s="1"/>
  <c r="K56" i="9"/>
  <c r="G41" i="8" s="1"/>
  <c r="K57" i="9"/>
  <c r="K58" i="9"/>
  <c r="G43" i="8" s="1"/>
  <c r="K59" i="9"/>
  <c r="K60" i="9"/>
  <c r="K61" i="9"/>
  <c r="K62" i="9"/>
  <c r="G47" i="8" s="1"/>
  <c r="K63" i="9"/>
  <c r="G48" i="8" s="1"/>
  <c r="K64" i="9"/>
  <c r="G49" i="8" s="1"/>
  <c r="K65" i="9"/>
  <c r="G50" i="8" s="1"/>
  <c r="K66" i="9"/>
  <c r="G51" i="8" s="1"/>
  <c r="K67" i="9"/>
  <c r="K68" i="9"/>
  <c r="K69" i="9"/>
  <c r="G54" i="8" s="1"/>
  <c r="K71" i="9"/>
  <c r="G56" i="8" s="1"/>
  <c r="K72" i="9"/>
  <c r="G57" i="8" s="1"/>
  <c r="K73" i="9"/>
  <c r="G58" i="8" s="1"/>
  <c r="K74" i="9"/>
  <c r="G59" i="8" s="1"/>
  <c r="K75" i="9"/>
  <c r="K76" i="9"/>
  <c r="K77" i="9"/>
  <c r="K78" i="9"/>
  <c r="G63" i="8" s="1"/>
  <c r="K70" i="9"/>
  <c r="G55" i="8" s="1"/>
  <c r="X50" i="9"/>
  <c r="T35" i="8" s="1"/>
  <c r="X51" i="9"/>
  <c r="T36" i="8" s="1"/>
  <c r="X52" i="9"/>
  <c r="T37" i="8" s="1"/>
  <c r="X53" i="9"/>
  <c r="T38" i="8" s="1"/>
  <c r="X54" i="9"/>
  <c r="X55" i="9"/>
  <c r="X56" i="9"/>
  <c r="T41" i="8" s="1"/>
  <c r="X57" i="9"/>
  <c r="X58" i="9"/>
  <c r="T43" i="8" s="1"/>
  <c r="X59" i="9"/>
  <c r="T44" i="8" s="1"/>
  <c r="X60" i="9"/>
  <c r="X61" i="9"/>
  <c r="X62" i="9"/>
  <c r="X63" i="9"/>
  <c r="X64" i="9"/>
  <c r="T49" i="8" s="1"/>
  <c r="X65" i="9"/>
  <c r="T50" i="8" s="1"/>
  <c r="X66" i="9"/>
  <c r="T51" i="8" s="1"/>
  <c r="X67" i="9"/>
  <c r="T52" i="8" s="1"/>
  <c r="X68" i="9"/>
  <c r="X69" i="9"/>
  <c r="T54" i="8" s="1"/>
  <c r="X70" i="9"/>
  <c r="X71" i="9"/>
  <c r="X72" i="9"/>
  <c r="T57" i="8" s="1"/>
  <c r="X73" i="9"/>
  <c r="T58" i="8" s="1"/>
  <c r="X74" i="9"/>
  <c r="T59" i="8" s="1"/>
  <c r="X75" i="9"/>
  <c r="T60" i="8" s="1"/>
  <c r="X76" i="9"/>
  <c r="T61" i="8" s="1"/>
  <c r="X77" i="9"/>
  <c r="T62" i="8" s="1"/>
  <c r="X78" i="9"/>
  <c r="AA50" i="9"/>
  <c r="AA51" i="9"/>
  <c r="W36" i="8" s="1"/>
  <c r="AA52" i="9"/>
  <c r="W37" i="8" s="1"/>
  <c r="AA53" i="9"/>
  <c r="W38" i="8" s="1"/>
  <c r="AA54" i="9"/>
  <c r="W39" i="8" s="1"/>
  <c r="AA55" i="9"/>
  <c r="AA56" i="9"/>
  <c r="W41" i="8" s="1"/>
  <c r="AA57" i="9"/>
  <c r="AA58" i="9"/>
  <c r="AA59" i="9"/>
  <c r="W44" i="8" s="1"/>
  <c r="AA60" i="9"/>
  <c r="AA61" i="9"/>
  <c r="AA62" i="9"/>
  <c r="W47" i="8" s="1"/>
  <c r="AA63" i="9"/>
  <c r="AA64" i="9"/>
  <c r="W49" i="8" s="1"/>
  <c r="AA65" i="9"/>
  <c r="AA66" i="9"/>
  <c r="AA67" i="9"/>
  <c r="W52" i="8" s="1"/>
  <c r="AA68" i="9"/>
  <c r="W53" i="8" s="1"/>
  <c r="AA69" i="9"/>
  <c r="W54" i="8" s="1"/>
  <c r="AA70" i="9"/>
  <c r="W55" i="8" s="1"/>
  <c r="AA71" i="9"/>
  <c r="W56" i="8" s="1"/>
  <c r="AA72" i="9"/>
  <c r="AA73" i="9"/>
  <c r="AA74" i="9"/>
  <c r="AA75" i="9"/>
  <c r="W60" i="8" s="1"/>
  <c r="AA76" i="9"/>
  <c r="W61" i="8" s="1"/>
  <c r="AA77" i="9"/>
  <c r="W62" i="8" s="1"/>
  <c r="AA78" i="9"/>
  <c r="W63" i="8" s="1"/>
  <c r="AB65" i="9"/>
  <c r="X50" i="8" s="1"/>
  <c r="AB67" i="9"/>
  <c r="AB69" i="9"/>
  <c r="AB50" i="9"/>
  <c r="AB51" i="9"/>
  <c r="X36" i="8" s="1"/>
  <c r="AB52" i="9"/>
  <c r="X37" i="8" s="1"/>
  <c r="AB53" i="9"/>
  <c r="X38" i="8" s="1"/>
  <c r="AB54" i="9"/>
  <c r="X39" i="8" s="1"/>
  <c r="AB55" i="9"/>
  <c r="X40" i="8" s="1"/>
  <c r="AB56" i="9"/>
  <c r="X41" i="8" s="1"/>
  <c r="AB57" i="9"/>
  <c r="AB58" i="9"/>
  <c r="AB59" i="9"/>
  <c r="AB60" i="9"/>
  <c r="AB61" i="9"/>
  <c r="AB62" i="9"/>
  <c r="X47" i="8" s="1"/>
  <c r="AB63" i="9"/>
  <c r="X48" i="8" s="1"/>
  <c r="AB70" i="9"/>
  <c r="X55" i="8" s="1"/>
  <c r="AB71" i="9"/>
  <c r="AB72" i="9"/>
  <c r="AB73" i="9"/>
  <c r="X58" i="8" s="1"/>
  <c r="AB74" i="9"/>
  <c r="X59" i="8" s="1"/>
  <c r="AB75" i="9"/>
  <c r="X60" i="8" s="1"/>
  <c r="AB76" i="9"/>
  <c r="X61" i="8" s="1"/>
  <c r="AB77" i="9"/>
  <c r="X62" i="8" s="1"/>
  <c r="AB78" i="9"/>
  <c r="X63" i="8" s="1"/>
  <c r="AB64" i="9"/>
  <c r="AB66" i="9"/>
  <c r="AB68" i="9"/>
  <c r="X53" i="8" s="1"/>
  <c r="O41" i="9"/>
  <c r="I41" i="9"/>
  <c r="AC75" i="9"/>
  <c r="Y60" i="8" s="1"/>
  <c r="AC67" i="9"/>
  <c r="Y52" i="8" s="1"/>
  <c r="AC59" i="9"/>
  <c r="Y44" i="8" s="1"/>
  <c r="K41" i="9"/>
  <c r="AE50" i="9"/>
  <c r="AE51" i="9"/>
  <c r="AA36" i="8" s="1"/>
  <c r="AE52" i="9"/>
  <c r="AA37" i="8" s="1"/>
  <c r="AE53" i="9"/>
  <c r="AA38" i="8" s="1"/>
  <c r="AE54" i="9"/>
  <c r="AA39" i="8" s="1"/>
  <c r="AE55" i="9"/>
  <c r="AA40" i="8" s="1"/>
  <c r="AE56" i="9"/>
  <c r="AE57" i="9"/>
  <c r="AE58" i="9"/>
  <c r="AE59" i="9"/>
  <c r="AA44" i="8" s="1"/>
  <c r="AE60" i="9"/>
  <c r="AE61" i="9"/>
  <c r="AE62" i="9"/>
  <c r="AA47" i="8" s="1"/>
  <c r="AE63" i="9"/>
  <c r="AA48" i="8" s="1"/>
  <c r="AE64" i="9"/>
  <c r="AA49" i="8" s="1"/>
  <c r="AE65" i="9"/>
  <c r="AE66" i="9"/>
  <c r="AE67" i="9"/>
  <c r="AA52" i="8" s="1"/>
  <c r="AE68" i="9"/>
  <c r="AA53" i="8" s="1"/>
  <c r="AE70" i="9"/>
  <c r="AA55" i="8" s="1"/>
  <c r="AE71" i="9"/>
  <c r="AA56" i="8" s="1"/>
  <c r="AE72" i="9"/>
  <c r="AA57" i="8" s="1"/>
  <c r="AE73" i="9"/>
  <c r="AA58" i="8" s="1"/>
  <c r="AE74" i="9"/>
  <c r="AA59" i="8" s="1"/>
  <c r="AE75" i="9"/>
  <c r="AE76" i="9"/>
  <c r="AA61" i="8" s="1"/>
  <c r="AE77" i="9"/>
  <c r="AA62" i="8" s="1"/>
  <c r="AE78" i="9"/>
  <c r="AA63" i="8" s="1"/>
  <c r="AE69" i="9"/>
  <c r="AA54" i="8" s="1"/>
  <c r="AF50" i="9"/>
  <c r="AB35" i="8" s="1"/>
  <c r="AF51" i="9"/>
  <c r="AB36" i="8" s="1"/>
  <c r="AF52" i="9"/>
  <c r="AF53" i="9"/>
  <c r="AF54" i="9"/>
  <c r="AB39" i="8" s="1"/>
  <c r="AF55" i="9"/>
  <c r="AB40" i="8" s="1"/>
  <c r="AF56" i="9"/>
  <c r="AB41" i="8" s="1"/>
  <c r="AF57" i="9"/>
  <c r="AF58" i="9"/>
  <c r="AB43" i="8" s="1"/>
  <c r="AF59" i="9"/>
  <c r="AF60" i="9"/>
  <c r="AF61" i="9"/>
  <c r="AF62" i="9"/>
  <c r="AB47" i="8" s="1"/>
  <c r="AF63" i="9"/>
  <c r="AB48" i="8" s="1"/>
  <c r="AF64" i="9"/>
  <c r="AB49" i="8" s="1"/>
  <c r="AF65" i="9"/>
  <c r="AB50" i="8" s="1"/>
  <c r="AF66" i="9"/>
  <c r="AF67" i="9"/>
  <c r="AB52" i="8" s="1"/>
  <c r="AF68" i="9"/>
  <c r="AF69" i="9"/>
  <c r="AF70" i="9"/>
  <c r="AB55" i="8" s="1"/>
  <c r="AF71" i="9"/>
  <c r="AB56" i="8" s="1"/>
  <c r="AF72" i="9"/>
  <c r="AB57" i="8" s="1"/>
  <c r="AF73" i="9"/>
  <c r="AB58" i="8" s="1"/>
  <c r="AF74" i="9"/>
  <c r="AB59" i="8" s="1"/>
  <c r="AF75" i="9"/>
  <c r="AF76" i="9"/>
  <c r="AF77" i="9"/>
  <c r="AF78" i="9"/>
  <c r="AB63" i="8" s="1"/>
  <c r="AI50" i="9"/>
  <c r="AE35" i="8" s="1"/>
  <c r="AI51" i="9"/>
  <c r="AE36" i="8" s="1"/>
  <c r="AI52" i="9"/>
  <c r="AE37" i="8" s="1"/>
  <c r="AI53" i="9"/>
  <c r="AE38" i="8" s="1"/>
  <c r="AI54" i="9"/>
  <c r="AE39" i="8" s="1"/>
  <c r="AI55" i="9"/>
  <c r="AI56" i="9"/>
  <c r="AI57" i="9"/>
  <c r="AI58" i="9"/>
  <c r="AE43" i="8" s="1"/>
  <c r="AI59" i="9"/>
  <c r="AE44" i="8" s="1"/>
  <c r="AI60" i="9"/>
  <c r="AI61" i="9"/>
  <c r="AI62" i="9"/>
  <c r="AE47" i="8" s="1"/>
  <c r="AI63" i="9"/>
  <c r="AI64" i="9"/>
  <c r="AI65" i="9"/>
  <c r="AE50" i="8" s="1"/>
  <c r="AI66" i="9"/>
  <c r="AE51" i="8" s="1"/>
  <c r="AI67" i="9"/>
  <c r="AE52" i="8" s="1"/>
  <c r="AI68" i="9"/>
  <c r="AE53" i="8" s="1"/>
  <c r="AI69" i="9"/>
  <c r="AE54" i="8" s="1"/>
  <c r="AI70" i="9"/>
  <c r="AE55" i="8" s="1"/>
  <c r="AI71" i="9"/>
  <c r="AI72" i="9"/>
  <c r="AI73" i="9"/>
  <c r="AE58" i="8" s="1"/>
  <c r="AI74" i="9"/>
  <c r="AE59" i="8" s="1"/>
  <c r="AI75" i="9"/>
  <c r="AE60" i="8" s="1"/>
  <c r="AI76" i="9"/>
  <c r="AE61" i="8" s="1"/>
  <c r="AI77" i="9"/>
  <c r="AE62" i="8" s="1"/>
  <c r="AI78" i="9"/>
  <c r="AE63" i="8" s="1"/>
  <c r="L66" i="9"/>
  <c r="L68" i="9"/>
  <c r="L50" i="9"/>
  <c r="H35" i="8" s="1"/>
  <c r="L51" i="9"/>
  <c r="H36" i="8" s="1"/>
  <c r="L52" i="9"/>
  <c r="H37" i="8" s="1"/>
  <c r="L53" i="9"/>
  <c r="H38" i="8" s="1"/>
  <c r="L54" i="9"/>
  <c r="H39" i="8" s="1"/>
  <c r="L55" i="9"/>
  <c r="H40" i="8" s="1"/>
  <c r="L56" i="9"/>
  <c r="L57" i="9"/>
  <c r="L58" i="9"/>
  <c r="H43" i="8" s="1"/>
  <c r="L59" i="9"/>
  <c r="H44" i="8" s="1"/>
  <c r="L60" i="9"/>
  <c r="L61" i="9"/>
  <c r="L62" i="9"/>
  <c r="H47" i="8" s="1"/>
  <c r="L63" i="9"/>
  <c r="H48" i="8" s="1"/>
  <c r="L64" i="9"/>
  <c r="L65" i="9"/>
  <c r="L67" i="9"/>
  <c r="H52" i="8" s="1"/>
  <c r="L69" i="9"/>
  <c r="H54" i="8" s="1"/>
  <c r="L71" i="9"/>
  <c r="H56" i="8" s="1"/>
  <c r="L72" i="9"/>
  <c r="H57" i="8" s="1"/>
  <c r="L73" i="9"/>
  <c r="H58" i="8" s="1"/>
  <c r="L74" i="9"/>
  <c r="H59" i="8" s="1"/>
  <c r="L75" i="9"/>
  <c r="H60" i="8" s="1"/>
  <c r="L76" i="9"/>
  <c r="L77" i="9"/>
  <c r="H62" i="8" s="1"/>
  <c r="L78" i="9"/>
  <c r="H63" i="8" s="1"/>
  <c r="L70" i="9"/>
  <c r="H55" i="8" s="1"/>
  <c r="AC74" i="9"/>
  <c r="Y59" i="8" s="1"/>
  <c r="AC66" i="9"/>
  <c r="Y51" i="8" s="1"/>
  <c r="AC58" i="9"/>
  <c r="Y43" i="8" s="1"/>
  <c r="AC50" i="9"/>
  <c r="AG64" i="9"/>
  <c r="AG66" i="9"/>
  <c r="AC51" i="8" s="1"/>
  <c r="AG68" i="9"/>
  <c r="AC53" i="8" s="1"/>
  <c r="AG70" i="9"/>
  <c r="AC55" i="8" s="1"/>
  <c r="AG71" i="9"/>
  <c r="AC56" i="8" s="1"/>
  <c r="AG72" i="9"/>
  <c r="AC57" i="8" s="1"/>
  <c r="AG73" i="9"/>
  <c r="AC58" i="8" s="1"/>
  <c r="AG74" i="9"/>
  <c r="AG75" i="9"/>
  <c r="AG76" i="9"/>
  <c r="AC61" i="8" s="1"/>
  <c r="AG77" i="9"/>
  <c r="AC62" i="8" s="1"/>
  <c r="AG78" i="9"/>
  <c r="AC63" i="8" s="1"/>
  <c r="AG69" i="9"/>
  <c r="AC54" i="8" s="1"/>
  <c r="AG65" i="9"/>
  <c r="AC50" i="8" s="1"/>
  <c r="AG67" i="9"/>
  <c r="AC52" i="8" s="1"/>
  <c r="AG50" i="9"/>
  <c r="AG51" i="9"/>
  <c r="AG52" i="9"/>
  <c r="AC37" i="8" s="1"/>
  <c r="AG53" i="9"/>
  <c r="AC38" i="8" s="1"/>
  <c r="AG54" i="9"/>
  <c r="AC39" i="8" s="1"/>
  <c r="AG55" i="9"/>
  <c r="AC40" i="8" s="1"/>
  <c r="AG56" i="9"/>
  <c r="AC41" i="8" s="1"/>
  <c r="AG57" i="9"/>
  <c r="AG58" i="9"/>
  <c r="AG59" i="9"/>
  <c r="AG60" i="9"/>
  <c r="AG61" i="9"/>
  <c r="AG62" i="9"/>
  <c r="AC47" i="8" s="1"/>
  <c r="AG63" i="9"/>
  <c r="AC48" i="8" s="1"/>
  <c r="O50" i="9"/>
  <c r="K35" i="8" s="1"/>
  <c r="O51" i="9"/>
  <c r="K36" i="8" s="1"/>
  <c r="O52" i="9"/>
  <c r="O53" i="9"/>
  <c r="O54" i="9"/>
  <c r="K39" i="8" s="1"/>
  <c r="O55" i="9"/>
  <c r="K40" i="8" s="1"/>
  <c r="O56" i="9"/>
  <c r="K41" i="8" s="1"/>
  <c r="O57" i="9"/>
  <c r="O58" i="9"/>
  <c r="K43" i="8" s="1"/>
  <c r="O59" i="9"/>
  <c r="K44" i="8" s="1"/>
  <c r="O60" i="9"/>
  <c r="O61" i="9"/>
  <c r="O62" i="9"/>
  <c r="K47" i="8" s="1"/>
  <c r="O63" i="9"/>
  <c r="K48" i="8" s="1"/>
  <c r="O64" i="9"/>
  <c r="K49" i="8" s="1"/>
  <c r="O65" i="9"/>
  <c r="K50" i="8" s="1"/>
  <c r="O66" i="9"/>
  <c r="K51" i="8" s="1"/>
  <c r="O67" i="9"/>
  <c r="O68" i="9"/>
  <c r="K53" i="8" s="1"/>
  <c r="O69" i="9"/>
  <c r="O70" i="9"/>
  <c r="K55" i="8" s="1"/>
  <c r="O71" i="9"/>
  <c r="K56" i="8" s="1"/>
  <c r="O72" i="9"/>
  <c r="K57" i="8" s="1"/>
  <c r="O73" i="9"/>
  <c r="K58" i="8" s="1"/>
  <c r="O74" i="9"/>
  <c r="K59" i="8" s="1"/>
  <c r="O75" i="9"/>
  <c r="O76" i="9"/>
  <c r="K61" i="8" s="1"/>
  <c r="O77" i="9"/>
  <c r="K62" i="8" s="1"/>
  <c r="O78" i="9"/>
  <c r="K63" i="8" s="1"/>
  <c r="J50" i="9"/>
  <c r="F35" i="8" s="1"/>
  <c r="J51" i="9"/>
  <c r="F36" i="8" s="1"/>
  <c r="J52" i="9"/>
  <c r="F37" i="8" s="1"/>
  <c r="J53" i="9"/>
  <c r="F38" i="8" s="1"/>
  <c r="J54" i="9"/>
  <c r="F39" i="8" s="1"/>
  <c r="J55" i="9"/>
  <c r="J56" i="9"/>
  <c r="J57" i="9"/>
  <c r="J58" i="9"/>
  <c r="F43" i="8" s="1"/>
  <c r="J59" i="9"/>
  <c r="F44" i="8" s="1"/>
  <c r="J60" i="9"/>
  <c r="J61" i="9"/>
  <c r="J62" i="9"/>
  <c r="F47" i="8" s="1"/>
  <c r="J63" i="9"/>
  <c r="J64" i="9"/>
  <c r="J65" i="9"/>
  <c r="F50" i="8" s="1"/>
  <c r="J66" i="9"/>
  <c r="J67" i="9"/>
  <c r="F52" i="8" s="1"/>
  <c r="J68" i="9"/>
  <c r="F53" i="8" s="1"/>
  <c r="J69" i="9"/>
  <c r="F54" i="8" s="1"/>
  <c r="J70" i="9"/>
  <c r="F55" i="8" s="1"/>
  <c r="J71" i="9"/>
  <c r="J72" i="9"/>
  <c r="J73" i="9"/>
  <c r="F58" i="8" s="1"/>
  <c r="J74" i="9"/>
  <c r="F59" i="8" s="1"/>
  <c r="J75" i="9"/>
  <c r="F60" i="8" s="1"/>
  <c r="J76" i="9"/>
  <c r="F61" i="8" s="1"/>
  <c r="J77" i="9"/>
  <c r="F62" i="8" s="1"/>
  <c r="J78" i="9"/>
  <c r="F63" i="8" s="1"/>
  <c r="M50" i="9"/>
  <c r="M51" i="9"/>
  <c r="M52" i="9"/>
  <c r="I37" i="8" s="1"/>
  <c r="M53" i="9"/>
  <c r="I38" i="8" s="1"/>
  <c r="M54" i="9"/>
  <c r="I39" i="8" s="1"/>
  <c r="M55" i="9"/>
  <c r="I40" i="8" s="1"/>
  <c r="M56" i="9"/>
  <c r="I41" i="8" s="1"/>
  <c r="M57" i="9"/>
  <c r="M58" i="9"/>
  <c r="M59" i="9"/>
  <c r="M60" i="9"/>
  <c r="M61" i="9"/>
  <c r="M62" i="9"/>
  <c r="I47" i="8" s="1"/>
  <c r="M63" i="9"/>
  <c r="I48" i="8" s="1"/>
  <c r="M64" i="9"/>
  <c r="I49" i="8" s="1"/>
  <c r="M65" i="9"/>
  <c r="I50" i="8" s="1"/>
  <c r="M66" i="9"/>
  <c r="I51" i="8" s="1"/>
  <c r="M67" i="9"/>
  <c r="M68" i="9"/>
  <c r="I53" i="8" s="1"/>
  <c r="M69" i="9"/>
  <c r="I54" i="8" s="1"/>
  <c r="M70" i="9"/>
  <c r="I55" i="8" s="1"/>
  <c r="M71" i="9"/>
  <c r="I56" i="8" s="1"/>
  <c r="M72" i="9"/>
  <c r="I57" i="8" s="1"/>
  <c r="M73" i="9"/>
  <c r="I58" i="8" s="1"/>
  <c r="M74" i="9"/>
  <c r="I59" i="8" s="1"/>
  <c r="M75" i="9"/>
  <c r="M76" i="9"/>
  <c r="I61" i="8" s="1"/>
  <c r="M77" i="9"/>
  <c r="I62" i="8" s="1"/>
  <c r="M78" i="9"/>
  <c r="I63" i="8" s="1"/>
  <c r="AK50" i="9"/>
  <c r="AG35" i="8" s="1"/>
  <c r="AK51" i="9"/>
  <c r="AG36" i="8" s="1"/>
  <c r="AK52" i="9"/>
  <c r="AK53" i="9"/>
  <c r="AK54" i="9"/>
  <c r="AK55" i="9"/>
  <c r="AG40" i="8" s="1"/>
  <c r="AK56" i="9"/>
  <c r="AG41" i="8" s="1"/>
  <c r="AK57" i="9"/>
  <c r="AK58" i="9"/>
  <c r="AG43" i="8" s="1"/>
  <c r="AK59" i="9"/>
  <c r="AG44" i="8" s="1"/>
  <c r="AK60" i="9"/>
  <c r="AK61" i="9"/>
  <c r="AK62" i="9"/>
  <c r="AK63" i="9"/>
  <c r="AG48" i="8" s="1"/>
  <c r="AK64" i="9"/>
  <c r="AG49" i="8" s="1"/>
  <c r="AK65" i="9"/>
  <c r="AG50" i="8" s="1"/>
  <c r="AK66" i="9"/>
  <c r="AG51" i="8" s="1"/>
  <c r="AK67" i="9"/>
  <c r="AG52" i="8" s="1"/>
  <c r="AK68" i="9"/>
  <c r="AG53" i="8" s="1"/>
  <c r="AK69" i="9"/>
  <c r="AG54" i="8" s="1"/>
  <c r="AK70" i="9"/>
  <c r="AK71" i="9"/>
  <c r="AG56" i="8" s="1"/>
  <c r="AK72" i="9"/>
  <c r="AG57" i="8" s="1"/>
  <c r="AK73" i="9"/>
  <c r="AG58" i="8" s="1"/>
  <c r="AK74" i="9"/>
  <c r="AG59" i="8" s="1"/>
  <c r="AK75" i="9"/>
  <c r="AG60" i="8" s="1"/>
  <c r="AK76" i="9"/>
  <c r="AG61" i="8" s="1"/>
  <c r="AK77" i="9"/>
  <c r="AK78" i="9"/>
  <c r="AG63" i="8" s="1"/>
  <c r="AC73" i="9"/>
  <c r="Y58" i="8" s="1"/>
  <c r="AC65" i="9"/>
  <c r="Y50" i="8" s="1"/>
  <c r="AC57" i="9"/>
  <c r="A41" i="9"/>
  <c r="C41" i="10"/>
  <c r="AD12" i="8"/>
  <c r="F6" i="8"/>
  <c r="N18" i="8"/>
  <c r="V29" i="8"/>
  <c r="Y6" i="8"/>
  <c r="AA6" i="8"/>
  <c r="AD28" i="8"/>
  <c r="L6" i="8"/>
  <c r="AC30" i="8"/>
  <c r="AH6" i="8"/>
  <c r="N22" i="8"/>
  <c r="Q26" i="8"/>
  <c r="AB22" i="8"/>
  <c r="AD10" i="8"/>
  <c r="F76" i="9"/>
  <c r="B61" i="8" s="1"/>
  <c r="N26" i="8"/>
  <c r="N30" i="8"/>
  <c r="T6" i="8"/>
  <c r="G62" i="8"/>
  <c r="AA10" i="8"/>
  <c r="M26" i="8"/>
  <c r="F53" i="10"/>
  <c r="B6" i="8" s="1"/>
  <c r="Q22" i="8"/>
  <c r="O63" i="8"/>
  <c r="I23" i="8"/>
  <c r="AF3" i="8"/>
  <c r="U29" i="8"/>
  <c r="AA30" i="8"/>
  <c r="X6" i="8"/>
  <c r="M61" i="8"/>
  <c r="K12" i="8"/>
  <c r="AH22" i="8"/>
  <c r="N28" i="8"/>
  <c r="AD22" i="8"/>
  <c r="P62" i="8"/>
  <c r="Z28" i="8"/>
  <c r="AF28" i="8"/>
  <c r="Q30" i="8"/>
  <c r="AA60" i="8"/>
  <c r="Q10" i="8"/>
  <c r="S26" i="8"/>
  <c r="R18" i="8"/>
  <c r="I10" i="8"/>
  <c r="AF26" i="8"/>
  <c r="P26" i="8"/>
  <c r="C5" i="8"/>
  <c r="W26" i="8"/>
  <c r="W22" i="8"/>
  <c r="R48" i="8"/>
  <c r="Z20" i="8"/>
  <c r="R6" i="8"/>
  <c r="AE25" i="8"/>
  <c r="F65" i="10"/>
  <c r="B18" i="8" s="1"/>
  <c r="J31" i="8"/>
  <c r="AD30" i="8"/>
  <c r="X28" i="8"/>
  <c r="R26" i="8"/>
  <c r="AC22" i="8"/>
  <c r="X10" i="8"/>
  <c r="AD16" i="8"/>
  <c r="O28" i="8"/>
  <c r="I30" i="8"/>
  <c r="AF30" i="8"/>
  <c r="I28" i="8"/>
  <c r="X20" i="8"/>
  <c r="M62" i="8"/>
  <c r="AH47" i="8"/>
  <c r="F51" i="10"/>
  <c r="M5" i="8"/>
  <c r="AB3" i="8"/>
  <c r="X12" i="8"/>
  <c r="G28" i="8"/>
  <c r="R28" i="8"/>
  <c r="V26" i="8"/>
  <c r="Y24" i="8"/>
  <c r="AG12" i="8"/>
  <c r="M18" i="8"/>
  <c r="P29" i="8"/>
  <c r="W30" i="8"/>
  <c r="E18" i="8"/>
  <c r="T27" i="8"/>
  <c r="AH3" i="8"/>
  <c r="V28" i="8"/>
  <c r="Y3" i="8"/>
  <c r="H20" i="8"/>
  <c r="AD18" i="8"/>
  <c r="AD5" i="8"/>
  <c r="R10" i="8"/>
  <c r="X57" i="8"/>
  <c r="AH63" i="8"/>
  <c r="AB6" i="8"/>
  <c r="L31" i="8"/>
  <c r="H22" i="8"/>
  <c r="AB30" i="8"/>
  <c r="O31" i="8"/>
  <c r="AG6" i="8"/>
  <c r="D18" i="8"/>
  <c r="C29" i="8"/>
  <c r="F28" i="8"/>
  <c r="AF22" i="8"/>
  <c r="AB12" i="8"/>
  <c r="G3" i="8"/>
  <c r="N3" i="8"/>
  <c r="F75" i="9"/>
  <c r="B60" i="8" s="1"/>
  <c r="AB60" i="8"/>
  <c r="AE57" i="8"/>
  <c r="AH59" i="8"/>
  <c r="O10" i="8"/>
  <c r="M10" i="8"/>
  <c r="AA17" i="8"/>
  <c r="AA21" i="8"/>
  <c r="AA29" i="8"/>
  <c r="AA12" i="8"/>
  <c r="AA19" i="8"/>
  <c r="AA11" i="8"/>
  <c r="AA7" i="8"/>
  <c r="AA25" i="8"/>
  <c r="AA5" i="8"/>
  <c r="AA24" i="8"/>
  <c r="AA9" i="8"/>
  <c r="AA23" i="8"/>
  <c r="AA31" i="8"/>
  <c r="AA3" i="8"/>
  <c r="AA8" i="8"/>
  <c r="AA15" i="8"/>
  <c r="Q6" i="8"/>
  <c r="Z18" i="8"/>
  <c r="Z7" i="8"/>
  <c r="Z9" i="8"/>
  <c r="Z17" i="8"/>
  <c r="Z25" i="8"/>
  <c r="Z11" i="8"/>
  <c r="Z19" i="8"/>
  <c r="Z8" i="8"/>
  <c r="Z24" i="8"/>
  <c r="Z21" i="8"/>
  <c r="Z15" i="8"/>
  <c r="Z23" i="8"/>
  <c r="Z27" i="8"/>
  <c r="Z31" i="8"/>
  <c r="Y30" i="8"/>
  <c r="L30" i="8"/>
  <c r="P30" i="8"/>
  <c r="E28" i="8"/>
  <c r="W28" i="8"/>
  <c r="Y28" i="8"/>
  <c r="AA28" i="8"/>
  <c r="AG26" i="8"/>
  <c r="I26" i="8"/>
  <c r="D26" i="8"/>
  <c r="F26" i="8"/>
  <c r="E22" i="8"/>
  <c r="AG22" i="8"/>
  <c r="C22" i="8"/>
  <c r="H6" i="8"/>
  <c r="Q9" i="8"/>
  <c r="Q20" i="8"/>
  <c r="Q8" i="8"/>
  <c r="Q19" i="8"/>
  <c r="Q15" i="8"/>
  <c r="Q23" i="8"/>
  <c r="Q21" i="8"/>
  <c r="Q11" i="8"/>
  <c r="Q7" i="8"/>
  <c r="Q17" i="8"/>
  <c r="Q25" i="8"/>
  <c r="Q16" i="8"/>
  <c r="G6" i="8"/>
  <c r="AD6" i="8"/>
  <c r="L10" i="8"/>
  <c r="AD20" i="8"/>
  <c r="Y20" i="8"/>
  <c r="AA20" i="8"/>
  <c r="Q18" i="8"/>
  <c r="F18" i="8"/>
  <c r="Y12" i="8"/>
  <c r="L24" i="8"/>
  <c r="G24" i="8"/>
  <c r="AH24" i="8"/>
  <c r="N16" i="8"/>
  <c r="D16" i="8"/>
  <c r="AB5" i="8"/>
  <c r="AF5" i="8"/>
  <c r="D3" i="8"/>
  <c r="N31" i="8"/>
  <c r="AG29" i="8"/>
  <c r="AG27" i="8"/>
  <c r="G27" i="8"/>
  <c r="X25" i="8"/>
  <c r="I60" i="8"/>
  <c r="AA43" i="8"/>
  <c r="AG10" i="8"/>
  <c r="C10" i="8"/>
  <c r="F57" i="10"/>
  <c r="S8" i="8"/>
  <c r="S15" i="8"/>
  <c r="S17" i="8"/>
  <c r="S31" i="8"/>
  <c r="S12" i="8"/>
  <c r="S21" i="8"/>
  <c r="S11" i="8"/>
  <c r="S19" i="8"/>
  <c r="S27" i="8"/>
  <c r="S24" i="8"/>
  <c r="S18" i="8"/>
  <c r="S10" i="8"/>
  <c r="S7" i="8"/>
  <c r="S23" i="8"/>
  <c r="S25" i="8"/>
  <c r="S16" i="8"/>
  <c r="S9" i="8"/>
  <c r="S3" i="8"/>
  <c r="I6" i="8"/>
  <c r="R15" i="8"/>
  <c r="R31" i="8"/>
  <c r="R7" i="8"/>
  <c r="R9" i="8"/>
  <c r="R17" i="8"/>
  <c r="R11" i="8"/>
  <c r="R19" i="8"/>
  <c r="R3" i="8"/>
  <c r="R5" i="8"/>
  <c r="R8" i="8"/>
  <c r="R21" i="8"/>
  <c r="R29" i="8"/>
  <c r="R16" i="8"/>
  <c r="R23" i="8"/>
  <c r="R27" i="8"/>
  <c r="Z30" i="8"/>
  <c r="T30" i="8"/>
  <c r="V30" i="8"/>
  <c r="X30" i="8"/>
  <c r="AE28" i="8"/>
  <c r="AG28" i="8"/>
  <c r="L28" i="8"/>
  <c r="F73" i="10"/>
  <c r="B26" i="8" s="1"/>
  <c r="Y26" i="8"/>
  <c r="L26" i="8"/>
  <c r="P22" i="8"/>
  <c r="I22" i="8"/>
  <c r="K22" i="8"/>
  <c r="V22" i="8"/>
  <c r="AD17" i="8"/>
  <c r="AD3" i="8"/>
  <c r="AD8" i="8"/>
  <c r="AD9" i="8"/>
  <c r="AD11" i="8"/>
  <c r="AD21" i="8"/>
  <c r="AD29" i="8"/>
  <c r="AD25" i="8"/>
  <c r="AD7" i="8"/>
  <c r="AD23" i="8"/>
  <c r="AD24" i="8"/>
  <c r="AD15" i="8"/>
  <c r="AD19" i="8"/>
  <c r="AD31" i="8"/>
  <c r="I7" i="8"/>
  <c r="V6" i="8"/>
  <c r="AE19" i="8"/>
  <c r="T10" i="8"/>
  <c r="E6" i="8"/>
  <c r="G20" i="8"/>
  <c r="AG20" i="8"/>
  <c r="L20" i="8"/>
  <c r="I18" i="8"/>
  <c r="AH18" i="8"/>
  <c r="H12" i="8"/>
  <c r="AB24" i="8"/>
  <c r="O24" i="8"/>
  <c r="V16" i="8"/>
  <c r="L16" i="8"/>
  <c r="I5" i="8"/>
  <c r="I3" i="8"/>
  <c r="T3" i="8"/>
  <c r="AB31" i="8"/>
  <c r="Z29" i="8"/>
  <c r="C27" i="8"/>
  <c r="H27" i="8"/>
  <c r="AB61" i="8"/>
  <c r="U6" i="8"/>
  <c r="U8" i="8"/>
  <c r="U24" i="8"/>
  <c r="U20" i="8"/>
  <c r="U9" i="8"/>
  <c r="U11" i="8"/>
  <c r="U21" i="8"/>
  <c r="U7" i="8"/>
  <c r="U23" i="8"/>
  <c r="U19" i="8"/>
  <c r="U31" i="8"/>
  <c r="U10" i="8"/>
  <c r="U15" i="8"/>
  <c r="U3" i="8"/>
  <c r="U12" i="8"/>
  <c r="U17" i="8"/>
  <c r="U25" i="8"/>
  <c r="U27" i="8"/>
  <c r="K15" i="8"/>
  <c r="K3" i="8"/>
  <c r="K8" i="8"/>
  <c r="K9" i="8"/>
  <c r="K21" i="8"/>
  <c r="K11" i="8"/>
  <c r="K17" i="8"/>
  <c r="K19" i="8"/>
  <c r="K7" i="8"/>
  <c r="K23" i="8"/>
  <c r="K25" i="8"/>
  <c r="K27" i="8"/>
  <c r="K5" i="8"/>
  <c r="AE21" i="8"/>
  <c r="AE23" i="8"/>
  <c r="J23" i="8"/>
  <c r="J27" i="8"/>
  <c r="J15" i="8"/>
  <c r="J7" i="8"/>
  <c r="J9" i="8"/>
  <c r="J17" i="8"/>
  <c r="J25" i="8"/>
  <c r="J12" i="8"/>
  <c r="J20" i="8"/>
  <c r="J11" i="8"/>
  <c r="J19" i="8"/>
  <c r="J8" i="8"/>
  <c r="J24" i="8"/>
  <c r="J21" i="8"/>
  <c r="J29" i="8"/>
  <c r="J16" i="8"/>
  <c r="AG30" i="8"/>
  <c r="H28" i="8"/>
  <c r="F75" i="10"/>
  <c r="B28" i="8" s="1"/>
  <c r="T28" i="8"/>
  <c r="J26" i="8"/>
  <c r="T26" i="8"/>
  <c r="AE22" i="8"/>
  <c r="T22" i="8"/>
  <c r="S22" i="8"/>
  <c r="V15" i="8"/>
  <c r="V19" i="8"/>
  <c r="V31" i="8"/>
  <c r="V17" i="8"/>
  <c r="V8" i="8"/>
  <c r="V9" i="8"/>
  <c r="V11" i="8"/>
  <c r="V18" i="8"/>
  <c r="V21" i="8"/>
  <c r="V5" i="8"/>
  <c r="V24" i="8"/>
  <c r="V7" i="8"/>
  <c r="V23" i="8"/>
  <c r="AC9" i="8"/>
  <c r="AC21" i="8"/>
  <c r="AC29" i="8"/>
  <c r="AC24" i="8"/>
  <c r="AC11" i="8"/>
  <c r="AC7" i="8"/>
  <c r="AC23" i="8"/>
  <c r="AC15" i="8"/>
  <c r="AC19" i="8"/>
  <c r="AC18" i="8"/>
  <c r="AC6" i="8"/>
  <c r="AC17" i="8"/>
  <c r="AC27" i="8"/>
  <c r="AC12" i="8"/>
  <c r="AC8" i="8"/>
  <c r="AC25" i="8"/>
  <c r="AF6" i="8"/>
  <c r="AF8" i="8"/>
  <c r="AF7" i="8"/>
  <c r="AF17" i="8"/>
  <c r="AF25" i="8"/>
  <c r="AF9" i="8"/>
  <c r="AF15" i="8"/>
  <c r="AF19" i="8"/>
  <c r="AF24" i="8"/>
  <c r="AF21" i="8"/>
  <c r="AF23" i="8"/>
  <c r="AF29" i="8"/>
  <c r="AF12" i="8"/>
  <c r="AF11" i="8"/>
  <c r="AF31" i="8"/>
  <c r="AF18" i="8"/>
  <c r="W18" i="8"/>
  <c r="W10" i="8"/>
  <c r="W19" i="8"/>
  <c r="W21" i="8"/>
  <c r="W15" i="8"/>
  <c r="W23" i="8"/>
  <c r="W31" i="8"/>
  <c r="W3" i="8"/>
  <c r="W12" i="8"/>
  <c r="W17" i="8"/>
  <c r="W7" i="8"/>
  <c r="W16" i="8"/>
  <c r="W8" i="8"/>
  <c r="W9" i="8"/>
  <c r="W11" i="8"/>
  <c r="W27" i="8"/>
  <c r="AB10" i="8"/>
  <c r="AH30" i="8"/>
  <c r="W20" i="8"/>
  <c r="F67" i="10"/>
  <c r="B20" i="8" s="1"/>
  <c r="T20" i="8"/>
  <c r="U18" i="8"/>
  <c r="C18" i="8"/>
  <c r="O12" i="8"/>
  <c r="F59" i="10"/>
  <c r="B12" i="8" s="1"/>
  <c r="M24" i="8"/>
  <c r="W24" i="8"/>
  <c r="AE26" i="8"/>
  <c r="T16" i="8"/>
  <c r="U5" i="8"/>
  <c r="Q5" i="8"/>
  <c r="Q3" i="8"/>
  <c r="D31" i="8"/>
  <c r="AE31" i="8"/>
  <c r="O29" i="8"/>
  <c r="D27" i="8"/>
  <c r="X27" i="8"/>
  <c r="P25" i="8"/>
  <c r="V62" i="8"/>
  <c r="K60" i="8"/>
  <c r="P35" i="8"/>
  <c r="AH55" i="8"/>
  <c r="AH40" i="8"/>
  <c r="G60" i="8"/>
  <c r="D10" i="8"/>
  <c r="M25" i="8"/>
  <c r="M27" i="8"/>
  <c r="M16" i="8"/>
  <c r="M8" i="8"/>
  <c r="M9" i="8"/>
  <c r="M11" i="8"/>
  <c r="M17" i="8"/>
  <c r="M21" i="8"/>
  <c r="M7" i="8"/>
  <c r="M23" i="8"/>
  <c r="M19" i="8"/>
  <c r="M15" i="8"/>
  <c r="M3" i="8"/>
  <c r="M12" i="8"/>
  <c r="S6" i="8"/>
  <c r="AB25" i="8"/>
  <c r="AB16" i="8"/>
  <c r="AB8" i="8"/>
  <c r="AB23" i="8"/>
  <c r="AB9" i="8"/>
  <c r="AB15" i="8"/>
  <c r="AB17" i="8"/>
  <c r="AB21" i="8"/>
  <c r="AB29" i="8"/>
  <c r="AB7" i="8"/>
  <c r="AB11" i="8"/>
  <c r="AB19" i="8"/>
  <c r="Z6" i="8"/>
  <c r="C9" i="8"/>
  <c r="C16" i="8"/>
  <c r="C20" i="8"/>
  <c r="C15" i="8"/>
  <c r="C8" i="8"/>
  <c r="C21" i="8"/>
  <c r="C11" i="8"/>
  <c r="C31" i="8"/>
  <c r="C17" i="8"/>
  <c r="C23" i="8"/>
  <c r="C7" i="8"/>
  <c r="C19" i="8"/>
  <c r="C25" i="8"/>
  <c r="F60" i="10"/>
  <c r="F68" i="10"/>
  <c r="B21" i="8" s="1"/>
  <c r="F70" i="10"/>
  <c r="B23" i="8" s="1"/>
  <c r="F74" i="10"/>
  <c r="B27" i="8" s="1"/>
  <c r="F76" i="10"/>
  <c r="B29" i="8" s="1"/>
  <c r="F63" i="10"/>
  <c r="B16" i="8" s="1"/>
  <c r="F62" i="10"/>
  <c r="B15" i="8" s="1"/>
  <c r="F61" i="10"/>
  <c r="F54" i="10"/>
  <c r="B7" i="8" s="1"/>
  <c r="F56" i="10"/>
  <c r="B9" i="8" s="1"/>
  <c r="F64" i="10"/>
  <c r="B17" i="8" s="1"/>
  <c r="F72" i="10"/>
  <c r="B25" i="8" s="1"/>
  <c r="F58" i="10"/>
  <c r="B11" i="8" s="1"/>
  <c r="F66" i="10"/>
  <c r="B19" i="8" s="1"/>
  <c r="F50" i="10"/>
  <c r="B3" i="8" s="1"/>
  <c r="F52" i="10"/>
  <c r="B5" i="8" s="1"/>
  <c r="F55" i="10"/>
  <c r="B8" i="8" s="1"/>
  <c r="F71" i="10"/>
  <c r="B24" i="8" s="1"/>
  <c r="C30" i="8"/>
  <c r="E30" i="8"/>
  <c r="G30" i="8"/>
  <c r="K28" i="8"/>
  <c r="P28" i="8"/>
  <c r="J28" i="8"/>
  <c r="AB28" i="8"/>
  <c r="AH26" i="8"/>
  <c r="Z26" i="8"/>
  <c r="AB26" i="8"/>
  <c r="AD26" i="8"/>
  <c r="G22" i="8"/>
  <c r="AA22" i="8"/>
  <c r="N7" i="8"/>
  <c r="N23" i="8"/>
  <c r="N6" i="8"/>
  <c r="N15" i="8"/>
  <c r="N19" i="8"/>
  <c r="N17" i="8"/>
  <c r="N8" i="8"/>
  <c r="N27" i="8"/>
  <c r="N12" i="8"/>
  <c r="N20" i="8"/>
  <c r="N10" i="8"/>
  <c r="N9" i="8"/>
  <c r="N11" i="8"/>
  <c r="N21" i="8"/>
  <c r="N25" i="8"/>
  <c r="N29" i="8"/>
  <c r="N5" i="8"/>
  <c r="N24" i="8"/>
  <c r="F77" i="10"/>
  <c r="B30" i="8" s="1"/>
  <c r="X11" i="8"/>
  <c r="B41" i="10"/>
  <c r="A41" i="10"/>
  <c r="O26" i="8"/>
  <c r="O8" i="8"/>
  <c r="O9" i="8"/>
  <c r="O11" i="8"/>
  <c r="O27" i="8"/>
  <c r="O20" i="8"/>
  <c r="O17" i="8"/>
  <c r="O19" i="8"/>
  <c r="O21" i="8"/>
  <c r="O15" i="8"/>
  <c r="O23" i="8"/>
  <c r="O25" i="8"/>
  <c r="O3" i="8"/>
  <c r="O18" i="8"/>
  <c r="O6" i="8"/>
  <c r="O7" i="8"/>
  <c r="O16" i="8"/>
  <c r="V10" i="8"/>
  <c r="AC20" i="8"/>
  <c r="AE20" i="8"/>
  <c r="R20" i="8"/>
  <c r="AB20" i="8"/>
  <c r="K18" i="8"/>
  <c r="H18" i="8"/>
  <c r="Q12" i="8"/>
  <c r="R12" i="8"/>
  <c r="C24" i="8"/>
  <c r="X24" i="8"/>
  <c r="AA16" i="8"/>
  <c r="AE16" i="8"/>
  <c r="AC5" i="8"/>
  <c r="Y5" i="8"/>
  <c r="K31" i="8"/>
  <c r="H31" i="8"/>
  <c r="K29" i="8"/>
  <c r="I27" i="8"/>
  <c r="AF27" i="8"/>
  <c r="R25" i="8"/>
  <c r="AB53" i="8"/>
  <c r="M41" i="8"/>
  <c r="E10" i="8"/>
  <c r="E25" i="8"/>
  <c r="E3" i="8"/>
  <c r="E8" i="8"/>
  <c r="E11" i="8"/>
  <c r="E9" i="8"/>
  <c r="E21" i="8"/>
  <c r="E5" i="8"/>
  <c r="E7" i="8"/>
  <c r="E15" i="8"/>
  <c r="E17" i="8"/>
  <c r="E23" i="8"/>
  <c r="E19" i="8"/>
  <c r="E31" i="8"/>
  <c r="E16" i="8"/>
  <c r="E12" i="8"/>
  <c r="K6" i="8"/>
  <c r="T7" i="8"/>
  <c r="T11" i="8"/>
  <c r="T19" i="8"/>
  <c r="T18" i="8"/>
  <c r="T25" i="8"/>
  <c r="T23" i="8"/>
  <c r="T8" i="8"/>
  <c r="T9" i="8"/>
  <c r="T15" i="8"/>
  <c r="T17" i="8"/>
  <c r="T21" i="8"/>
  <c r="T5" i="8"/>
  <c r="T12" i="8"/>
  <c r="T31" i="8"/>
  <c r="K30" i="8"/>
  <c r="M30" i="8"/>
  <c r="O30" i="8"/>
  <c r="C28" i="8"/>
  <c r="M28" i="8"/>
  <c r="G26" i="8"/>
  <c r="C26" i="8"/>
  <c r="E26" i="8"/>
  <c r="J22" i="8"/>
  <c r="Y10" i="8"/>
  <c r="F5" i="8"/>
  <c r="F7" i="8"/>
  <c r="F23" i="8"/>
  <c r="F15" i="8"/>
  <c r="F19" i="8"/>
  <c r="F17" i="8"/>
  <c r="F16" i="8"/>
  <c r="F8" i="8"/>
  <c r="F9" i="8"/>
  <c r="F11" i="8"/>
  <c r="F25" i="8"/>
  <c r="F21" i="8"/>
  <c r="F29" i="8"/>
  <c r="F24" i="8"/>
  <c r="M22" i="8"/>
  <c r="P23" i="8"/>
  <c r="P12" i="8"/>
  <c r="P10" i="8"/>
  <c r="P11" i="8"/>
  <c r="P8" i="8"/>
  <c r="P7" i="8"/>
  <c r="P17" i="8"/>
  <c r="P9" i="8"/>
  <c r="P27" i="8"/>
  <c r="P20" i="8"/>
  <c r="P15" i="8"/>
  <c r="P19" i="8"/>
  <c r="P24" i="8"/>
  <c r="P21" i="8"/>
  <c r="P3" i="8"/>
  <c r="P5" i="8"/>
  <c r="G11" i="8"/>
  <c r="G16" i="8"/>
  <c r="G8" i="8"/>
  <c r="G9" i="8"/>
  <c r="G7" i="8"/>
  <c r="G15" i="8"/>
  <c r="G21" i="8"/>
  <c r="G25" i="8"/>
  <c r="G5" i="8"/>
  <c r="G23" i="8"/>
  <c r="G19" i="8"/>
  <c r="G31" i="8"/>
  <c r="G17" i="8"/>
  <c r="E20" i="8"/>
  <c r="Y18" i="8"/>
  <c r="AA18" i="8"/>
  <c r="P18" i="8"/>
  <c r="Z12" i="8"/>
  <c r="D24" i="8"/>
  <c r="I24" i="8"/>
  <c r="AC16" i="8"/>
  <c r="P16" i="8"/>
  <c r="J5" i="8"/>
  <c r="J3" i="8"/>
  <c r="AC3" i="8"/>
  <c r="P31" i="8"/>
  <c r="W29" i="8"/>
  <c r="S29" i="8"/>
  <c r="Y27" i="8"/>
  <c r="E27" i="8"/>
  <c r="AA51" i="8"/>
  <c r="AA41" i="8"/>
  <c r="M6" i="8"/>
  <c r="C6" i="8"/>
  <c r="L7" i="8"/>
  <c r="L11" i="8"/>
  <c r="L19" i="8"/>
  <c r="L25" i="8"/>
  <c r="L23" i="8"/>
  <c r="L27" i="8"/>
  <c r="L3" i="8"/>
  <c r="L8" i="8"/>
  <c r="L9" i="8"/>
  <c r="L15" i="8"/>
  <c r="L17" i="8"/>
  <c r="L21" i="8"/>
  <c r="L29" i="8"/>
  <c r="L5" i="8"/>
  <c r="L12" i="8"/>
  <c r="J6" i="8"/>
  <c r="K10" i="8"/>
  <c r="J30" i="8"/>
  <c r="S30" i="8"/>
  <c r="U30" i="8"/>
  <c r="K26" i="8"/>
  <c r="D22" i="8"/>
  <c r="U22" i="8"/>
  <c r="G10" i="8"/>
  <c r="H21" i="8"/>
  <c r="H3" i="8"/>
  <c r="H5" i="8"/>
  <c r="H23" i="8"/>
  <c r="H11" i="8"/>
  <c r="H8" i="8"/>
  <c r="H7" i="8"/>
  <c r="H17" i="8"/>
  <c r="H29" i="8"/>
  <c r="H16" i="8"/>
  <c r="H9" i="8"/>
  <c r="H15" i="8"/>
  <c r="H19" i="8"/>
  <c r="H24" i="8"/>
  <c r="J10" i="8"/>
  <c r="H10" i="8"/>
  <c r="M20" i="8"/>
  <c r="AH20" i="8"/>
  <c r="AE18" i="8"/>
  <c r="G18" i="8"/>
  <c r="C12" i="8"/>
  <c r="AH12" i="8"/>
  <c r="T24" i="8"/>
  <c r="Q24" i="8"/>
  <c r="K16" i="8"/>
  <c r="X16" i="8"/>
  <c r="O5" i="8"/>
  <c r="Z5" i="8"/>
  <c r="Z3" i="8"/>
  <c r="F3" i="8"/>
  <c r="M31" i="8"/>
  <c r="Q31" i="8"/>
  <c r="G29" i="8"/>
  <c r="T29" i="8"/>
  <c r="AA27" i="8"/>
  <c r="F27" i="8"/>
  <c r="V25" i="8"/>
  <c r="U28" i="8"/>
  <c r="D5" i="8"/>
  <c r="D12" i="8"/>
  <c r="D7" i="8"/>
  <c r="D11" i="8"/>
  <c r="D19" i="8"/>
  <c r="D25" i="8"/>
  <c r="D23" i="8"/>
  <c r="D20" i="8"/>
  <c r="D8" i="8"/>
  <c r="D9" i="8"/>
  <c r="D15" i="8"/>
  <c r="D17" i="8"/>
  <c r="D21" i="8"/>
  <c r="D29" i="8"/>
  <c r="AE30" i="8"/>
  <c r="D28" i="8"/>
  <c r="AH28" i="8"/>
  <c r="H26" i="8"/>
  <c r="U26" i="8"/>
  <c r="O22" i="8"/>
  <c r="L22" i="8"/>
  <c r="AG8" i="8"/>
  <c r="AG3" i="8"/>
  <c r="AG5" i="8"/>
  <c r="AG24" i="8"/>
  <c r="AG21" i="8"/>
  <c r="AG23" i="8"/>
  <c r="AG15" i="8"/>
  <c r="AG7" i="8"/>
  <c r="AG11" i="8"/>
  <c r="AG17" i="8"/>
  <c r="AG25" i="8"/>
  <c r="AG9" i="8"/>
  <c r="AG19" i="8"/>
  <c r="AE6" i="8"/>
  <c r="F69" i="10"/>
  <c r="B22" i="8" s="1"/>
  <c r="F20" i="8"/>
  <c r="AF20" i="8"/>
  <c r="K20" i="8"/>
  <c r="L18" i="8"/>
  <c r="G12" i="8"/>
  <c r="F12" i="8"/>
  <c r="E24" i="8"/>
  <c r="AG16" i="8"/>
  <c r="AF16" i="8"/>
  <c r="W5" i="8"/>
  <c r="AH5" i="8"/>
  <c r="AC31" i="8"/>
  <c r="AG31" i="8"/>
  <c r="Q29" i="8"/>
  <c r="E29" i="8"/>
  <c r="AB27" i="8"/>
  <c r="V27" i="8"/>
  <c r="W25" i="8"/>
  <c r="J59" i="8"/>
  <c r="D6" i="8"/>
  <c r="AE10" i="8"/>
  <c r="AC10" i="8"/>
  <c r="AH7" i="8"/>
  <c r="AH9" i="8"/>
  <c r="AH17" i="8"/>
  <c r="AH25" i="8"/>
  <c r="AH10" i="8"/>
  <c r="AH11" i="8"/>
  <c r="AH19" i="8"/>
  <c r="AH8" i="8"/>
  <c r="AH21" i="8"/>
  <c r="AH29" i="8"/>
  <c r="AH16" i="8"/>
  <c r="AH15" i="8"/>
  <c r="AH23" i="8"/>
  <c r="AH27" i="8"/>
  <c r="AH31" i="8"/>
  <c r="R30" i="8"/>
  <c r="D30" i="8"/>
  <c r="F30" i="8"/>
  <c r="H30" i="8"/>
  <c r="AC28" i="8"/>
  <c r="Q28" i="8"/>
  <c r="S28" i="8"/>
  <c r="X26" i="8"/>
  <c r="AA26" i="8"/>
  <c r="AC26" i="8"/>
  <c r="Z22" i="8"/>
  <c r="R22" i="8"/>
  <c r="X22" i="8"/>
  <c r="F22" i="8"/>
  <c r="P6" i="8"/>
  <c r="Y19" i="8"/>
  <c r="Y15" i="8"/>
  <c r="Y23" i="8"/>
  <c r="Y21" i="8"/>
  <c r="Y22" i="8"/>
  <c r="Y31" i="8"/>
  <c r="Y11" i="8"/>
  <c r="Y8" i="8"/>
  <c r="Y7" i="8"/>
  <c r="Y17" i="8"/>
  <c r="Y25" i="8"/>
  <c r="Y9" i="8"/>
  <c r="Y16" i="8"/>
  <c r="W6" i="8"/>
  <c r="F10" i="8"/>
  <c r="Z10" i="8"/>
  <c r="AF10" i="8"/>
  <c r="V20" i="8"/>
  <c r="I20" i="8"/>
  <c r="S20" i="8"/>
  <c r="AG18" i="8"/>
  <c r="J18" i="8"/>
  <c r="AB18" i="8"/>
  <c r="I12" i="8"/>
  <c r="V12" i="8"/>
  <c r="K24" i="8"/>
  <c r="R24" i="8"/>
  <c r="U16" i="8"/>
  <c r="Z16" i="8"/>
  <c r="S5" i="8"/>
  <c r="AE5" i="8"/>
  <c r="C3" i="8"/>
  <c r="V3" i="8"/>
  <c r="F31" i="8"/>
  <c r="F78" i="10"/>
  <c r="B31" i="8" s="1"/>
  <c r="Y29" i="8"/>
  <c r="M29" i="8"/>
  <c r="Q27" i="8"/>
  <c r="AD27" i="8"/>
  <c r="H25" i="8"/>
  <c r="AE3" i="8"/>
  <c r="AE29" i="8"/>
  <c r="X23" i="8"/>
  <c r="AE11" i="8"/>
  <c r="X5" i="8"/>
  <c r="X3" i="8"/>
  <c r="I31" i="8"/>
  <c r="AE27" i="8"/>
  <c r="X21" i="8"/>
  <c r="I11" i="8"/>
  <c r="AE9" i="8"/>
  <c r="AE8" i="8"/>
  <c r="AE15" i="8"/>
  <c r="AE7" i="8"/>
  <c r="I8" i="8"/>
  <c r="AE12" i="8"/>
  <c r="I16" i="8"/>
  <c r="I29" i="8"/>
  <c r="I21" i="8"/>
  <c r="X19" i="8"/>
  <c r="X15" i="8"/>
  <c r="AE17" i="8"/>
  <c r="X9" i="8"/>
  <c r="I19" i="8"/>
  <c r="X17" i="8"/>
  <c r="I15" i="8"/>
  <c r="X7" i="8"/>
  <c r="X8" i="8"/>
  <c r="I9" i="8"/>
  <c r="X18" i="8"/>
  <c r="AE24" i="8"/>
  <c r="X31" i="8"/>
  <c r="X29" i="8"/>
  <c r="I25" i="8"/>
  <c r="I17" i="8"/>
  <c r="AG62" i="8"/>
  <c r="Q62" i="8"/>
  <c r="F78" i="9"/>
  <c r="B63" i="8" s="1"/>
  <c r="F74" i="9"/>
  <c r="B59" i="8" s="1"/>
  <c r="E57" i="8"/>
  <c r="S43" i="8"/>
  <c r="AG39" i="8"/>
  <c r="Q60" i="8"/>
  <c r="G61" i="8"/>
  <c r="E43" i="8"/>
  <c r="N59" i="8"/>
  <c r="W57" i="8"/>
  <c r="M51" i="8"/>
  <c r="C39" i="8"/>
  <c r="C58" i="8"/>
  <c r="S53" i="8"/>
  <c r="T47" i="8"/>
  <c r="E35" i="8"/>
  <c r="AH39" i="8"/>
  <c r="T63" i="8"/>
  <c r="AG55" i="8"/>
  <c r="C56" i="8"/>
  <c r="S59" i="8"/>
  <c r="AD57" i="8"/>
  <c r="Q53" i="8"/>
  <c r="AG47" i="8"/>
  <c r="Q37" i="8"/>
  <c r="E56" i="8"/>
  <c r="Q38" i="8"/>
  <c r="C63" i="8"/>
  <c r="C57" i="8"/>
  <c r="C55" i="8"/>
  <c r="C47" i="8"/>
  <c r="S60" i="8"/>
  <c r="Q61" i="8"/>
  <c r="S51" i="8"/>
  <c r="G37" i="8"/>
  <c r="AB37" i="8"/>
  <c r="AB51" i="8"/>
  <c r="X43" i="8"/>
  <c r="X35" i="8"/>
  <c r="AD59" i="8"/>
  <c r="W59" i="8"/>
  <c r="F72" i="9"/>
  <c r="B57" i="8" s="1"/>
  <c r="J55" i="8"/>
  <c r="P51" i="8"/>
  <c r="P50" i="8"/>
  <c r="P53" i="8"/>
  <c r="P54" i="8"/>
  <c r="P43" i="8"/>
  <c r="I44" i="8"/>
  <c r="I52" i="8"/>
  <c r="I36" i="8"/>
  <c r="I35" i="8"/>
  <c r="I43" i="8"/>
  <c r="Z50" i="8"/>
  <c r="O62" i="8"/>
  <c r="T53" i="8"/>
  <c r="T55" i="8"/>
  <c r="N57" i="8"/>
  <c r="R55" i="8"/>
  <c r="O55" i="8"/>
  <c r="G53" i="8"/>
  <c r="N51" i="8"/>
  <c r="F64" i="9"/>
  <c r="B49" i="8" s="1"/>
  <c r="V54" i="8"/>
  <c r="V43" i="8"/>
  <c r="V53" i="8"/>
  <c r="V38" i="8"/>
  <c r="V37" i="8"/>
  <c r="R39" i="8"/>
  <c r="R40" i="8"/>
  <c r="R50" i="8"/>
  <c r="R52" i="8"/>
  <c r="R49" i="8"/>
  <c r="R56" i="8"/>
  <c r="R41" i="8"/>
  <c r="L51" i="8"/>
  <c r="D57" i="8"/>
  <c r="D49" i="8"/>
  <c r="D41" i="8"/>
  <c r="AC35" i="8"/>
  <c r="AC49" i="8"/>
  <c r="AC36" i="8"/>
  <c r="AC43" i="8"/>
  <c r="AC44" i="8"/>
  <c r="U57" i="8"/>
  <c r="F57" i="8"/>
  <c r="AD52" i="8"/>
  <c r="F77" i="9"/>
  <c r="B62" i="8" s="1"/>
  <c r="AC60" i="8"/>
  <c r="B41" i="9"/>
  <c r="F41" i="9" s="1"/>
  <c r="C41" i="9"/>
  <c r="D41" i="9"/>
  <c r="AD49" i="8"/>
  <c r="M43" i="8"/>
  <c r="M56" i="8"/>
  <c r="M35" i="8"/>
  <c r="AC59" i="8"/>
  <c r="Z57" i="8"/>
  <c r="AF55" i="8"/>
  <c r="M53" i="8"/>
  <c r="H53" i="8"/>
  <c r="X51" i="8"/>
  <c r="H49" i="8"/>
  <c r="H51" i="8"/>
  <c r="J51" i="8"/>
  <c r="J53" i="8"/>
  <c r="J43" i="8"/>
  <c r="J35" i="8"/>
  <c r="AB62" i="8"/>
  <c r="J62" i="8"/>
  <c r="AE41" i="8"/>
  <c r="AE49" i="8"/>
  <c r="V61" i="8"/>
  <c r="H61" i="8"/>
  <c r="AF37" i="8"/>
  <c r="R53" i="8"/>
  <c r="Z37" i="8"/>
  <c r="T48" i="8"/>
  <c r="X44" i="8"/>
  <c r="F58" i="9"/>
  <c r="B43" i="8" s="1"/>
  <c r="F60" i="9"/>
  <c r="F52" i="9"/>
  <c r="B37" i="8" s="1"/>
  <c r="F66" i="9"/>
  <c r="B51" i="8" s="1"/>
  <c r="F57" i="9"/>
  <c r="F56" i="9"/>
  <c r="B41" i="8" s="1"/>
  <c r="AF39" i="8"/>
  <c r="AF47" i="8"/>
  <c r="W35" i="8"/>
  <c r="W51" i="8"/>
  <c r="N49" i="8"/>
  <c r="AF63" i="8"/>
  <c r="P61" i="8"/>
  <c r="L36" i="8"/>
  <c r="L59" i="8"/>
  <c r="N55" i="8"/>
  <c r="X49" i="8"/>
  <c r="AE40" i="8"/>
  <c r="W50" i="8"/>
  <c r="F51" i="9"/>
  <c r="B36" i="8" s="1"/>
  <c r="O47" i="8"/>
  <c r="O39" i="8"/>
  <c r="F49" i="8"/>
  <c r="F51" i="8"/>
  <c r="U35" i="8"/>
  <c r="U43" i="8"/>
  <c r="U49" i="8"/>
  <c r="F70" i="9"/>
  <c r="B55" i="8" s="1"/>
  <c r="F62" i="9"/>
  <c r="B47" i="8" s="1"/>
  <c r="F55" i="9"/>
  <c r="B40" i="8" s="1"/>
  <c r="AF50" i="8"/>
  <c r="Y35" i="8"/>
  <c r="Y37" i="8"/>
  <c r="Y54" i="8"/>
  <c r="Y38" i="8"/>
  <c r="K37" i="8"/>
  <c r="S35" i="8"/>
  <c r="AF44" i="8"/>
  <c r="AD41" i="8"/>
  <c r="Z35" i="8"/>
  <c r="H41" i="8"/>
  <c r="Z58" i="8"/>
  <c r="F71" i="9"/>
  <c r="B56" i="8" s="1"/>
  <c r="O54" i="8"/>
  <c r="Q54" i="8"/>
  <c r="C54" i="8"/>
  <c r="K52" i="8"/>
  <c r="E52" i="8"/>
  <c r="G52" i="8"/>
  <c r="E50" i="8"/>
  <c r="AD50" i="8"/>
  <c r="G44" i="8"/>
  <c r="AB44" i="8"/>
  <c r="J36" i="8"/>
  <c r="T39" i="8"/>
  <c r="AA35" i="8"/>
  <c r="T40" i="8"/>
  <c r="U56" i="8"/>
  <c r="X56" i="8"/>
  <c r="Z56" i="8"/>
  <c r="K54" i="8"/>
  <c r="X52" i="8"/>
  <c r="AH48" i="8"/>
  <c r="F59" i="9"/>
  <c r="B44" i="8" s="1"/>
  <c r="AB38" i="8"/>
  <c r="AG38" i="8"/>
  <c r="L43" i="8"/>
  <c r="AE56" i="8"/>
  <c r="T56" i="8"/>
  <c r="AB54" i="8"/>
  <c r="J44" i="8"/>
  <c r="W40" i="8"/>
  <c r="C38" i="8"/>
  <c r="AF36" i="8"/>
  <c r="Z36" i="8"/>
  <c r="U36" i="8"/>
  <c r="U53" i="8"/>
  <c r="L41" i="8"/>
  <c r="AG37" i="8"/>
  <c r="W43" i="8"/>
  <c r="D44" i="8"/>
  <c r="L35" i="8"/>
  <c r="N41" i="8"/>
  <c r="F68" i="9"/>
  <c r="B53" i="8" s="1"/>
  <c r="AD58" i="8"/>
  <c r="W58" i="8"/>
  <c r="F69" i="9"/>
  <c r="B54" i="8" s="1"/>
  <c r="Q52" i="8"/>
  <c r="S50" i="8"/>
  <c r="W48" i="8"/>
  <c r="K38" i="8"/>
  <c r="O38" i="8"/>
  <c r="G36" i="8"/>
  <c r="L60" i="8"/>
  <c r="F56" i="8"/>
  <c r="F67" i="9"/>
  <c r="B52" i="8" s="1"/>
  <c r="H50" i="8"/>
  <c r="F65" i="9"/>
  <c r="B50" i="8" s="1"/>
  <c r="AA50" i="8"/>
  <c r="AE48" i="8"/>
  <c r="Z44" i="8"/>
  <c r="O36" i="8"/>
  <c r="F40" i="8"/>
  <c r="F41" i="8"/>
  <c r="F53" i="9"/>
  <c r="B38" i="8" s="1"/>
  <c r="F50" i="9"/>
  <c r="B35" i="8" s="1"/>
  <c r="D58" i="8"/>
  <c r="F73" i="9"/>
  <c r="B58" i="8" s="1"/>
  <c r="J56" i="8"/>
  <c r="N56" i="8"/>
  <c r="X54" i="8"/>
  <c r="L52" i="8"/>
  <c r="F48" i="8"/>
  <c r="F63" i="9"/>
  <c r="B48" i="8" s="1"/>
  <c r="L44" i="8"/>
  <c r="L37" i="8"/>
  <c r="N40" i="8"/>
  <c r="F54" i="9"/>
  <c r="B39" i="8" s="1"/>
  <c r="AF56" i="8"/>
  <c r="AF54" i="8"/>
  <c r="D50" i="8"/>
  <c r="N50" i="8"/>
  <c r="N48" i="8"/>
  <c r="F61" i="9"/>
  <c r="U44" i="8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I67" i="8"/>
  <c r="AI68" i="8"/>
  <c r="AI69" i="8"/>
  <c r="AI70" i="8"/>
  <c r="AI71" i="8"/>
  <c r="AI72" i="8"/>
  <c r="AI73" i="8"/>
  <c r="AI74" i="8"/>
  <c r="AI75" i="8"/>
  <c r="AI76" i="8"/>
  <c r="AI77" i="8"/>
  <c r="AI78" i="8"/>
  <c r="AI79" i="8"/>
  <c r="AI80" i="8"/>
  <c r="AI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B96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I66" i="8"/>
  <c r="M118" i="9" l="1"/>
  <c r="J119" i="9"/>
  <c r="AG118" i="9"/>
  <c r="AI119" i="9"/>
  <c r="P118" i="9"/>
  <c r="AK119" i="9"/>
  <c r="L118" i="9"/>
  <c r="S119" i="9"/>
  <c r="H118" i="9"/>
  <c r="AH118" i="9"/>
  <c r="G119" i="9"/>
  <c r="AC119" i="9"/>
  <c r="Y118" i="9"/>
  <c r="V119" i="9"/>
  <c r="N118" i="9"/>
  <c r="R119" i="9"/>
  <c r="AC118" i="9"/>
  <c r="G118" i="9"/>
  <c r="J118" i="9"/>
  <c r="O119" i="9"/>
  <c r="AI118" i="9"/>
  <c r="AF119" i="9"/>
  <c r="U119" i="9"/>
  <c r="V118" i="9"/>
  <c r="Z119" i="9"/>
  <c r="R118" i="9"/>
  <c r="AE118" i="9"/>
  <c r="O118" i="9"/>
  <c r="AF118" i="9"/>
  <c r="AE119" i="9"/>
  <c r="AB119" i="9"/>
  <c r="AA119" i="9"/>
  <c r="Q119" i="9"/>
  <c r="I119" i="9"/>
  <c r="U118" i="9"/>
  <c r="T119" i="9"/>
  <c r="Z118" i="9"/>
  <c r="W119" i="9"/>
  <c r="L119" i="9"/>
  <c r="K118" i="9"/>
  <c r="H119" i="9"/>
  <c r="H120" i="9" s="1"/>
  <c r="AD118" i="9"/>
  <c r="AH119" i="9"/>
  <c r="AK118" i="9"/>
  <c r="M119" i="9"/>
  <c r="AG119" i="9"/>
  <c r="S118" i="9"/>
  <c r="P119" i="9"/>
  <c r="Y119" i="9"/>
  <c r="N119" i="9"/>
  <c r="X118" i="9"/>
  <c r="K119" i="9"/>
  <c r="AL118" i="9"/>
  <c r="AD119" i="9"/>
  <c r="AJ118" i="9"/>
  <c r="AB118" i="9"/>
  <c r="AA118" i="9"/>
  <c r="X119" i="9"/>
  <c r="Q118" i="9"/>
  <c r="I118" i="9"/>
  <c r="AL119" i="9"/>
  <c r="AJ119" i="9"/>
  <c r="T118" i="9"/>
  <c r="W118" i="9"/>
  <c r="R4" i="8"/>
  <c r="AB4" i="8"/>
  <c r="AE14" i="8"/>
  <c r="N4" i="8"/>
  <c r="AG14" i="8"/>
  <c r="G14" i="8"/>
  <c r="C14" i="8"/>
  <c r="W14" i="8"/>
  <c r="AF4" i="8"/>
  <c r="K4" i="8"/>
  <c r="Z14" i="8"/>
  <c r="P4" i="8"/>
  <c r="AH4" i="8"/>
  <c r="AH14" i="8"/>
  <c r="D4" i="8"/>
  <c r="AC14" i="8"/>
  <c r="V14" i="8"/>
  <c r="K14" i="8"/>
  <c r="U14" i="8"/>
  <c r="Q14" i="8"/>
  <c r="AD4" i="8"/>
  <c r="X14" i="8"/>
  <c r="AB14" i="8"/>
  <c r="M4" i="8"/>
  <c r="J14" i="8"/>
  <c r="W4" i="8"/>
  <c r="AF14" i="8"/>
  <c r="Q4" i="8"/>
  <c r="I14" i="8"/>
  <c r="T14" i="8"/>
  <c r="E14" i="8"/>
  <c r="O4" i="8"/>
  <c r="M14" i="8"/>
  <c r="AE4" i="8"/>
  <c r="AD14" i="8"/>
  <c r="S4" i="8"/>
  <c r="G4" i="8"/>
  <c r="AC4" i="8"/>
  <c r="L4" i="8"/>
  <c r="X4" i="8"/>
  <c r="Y4" i="8"/>
  <c r="Y14" i="8"/>
  <c r="L14" i="8"/>
  <c r="P14" i="8"/>
  <c r="T4" i="8"/>
  <c r="R14" i="8"/>
  <c r="AA4" i="8"/>
  <c r="H14" i="8"/>
  <c r="F4" i="8"/>
  <c r="U4" i="8"/>
  <c r="N14" i="8"/>
  <c r="V4" i="8"/>
  <c r="J4" i="8"/>
  <c r="S14" i="8"/>
  <c r="AA14" i="8"/>
  <c r="Z4" i="8"/>
  <c r="AG4" i="8"/>
  <c r="D14" i="8"/>
  <c r="I4" i="8"/>
  <c r="F14" i="8"/>
  <c r="E4" i="8"/>
  <c r="H4" i="8"/>
  <c r="O14" i="8"/>
  <c r="C4" i="8"/>
  <c r="B4" i="8"/>
  <c r="B14" i="8"/>
  <c r="K45" i="8"/>
  <c r="AF45" i="8"/>
  <c r="H45" i="8"/>
  <c r="AC45" i="8"/>
  <c r="G45" i="8"/>
  <c r="Y45" i="8"/>
  <c r="F45" i="8"/>
  <c r="AB45" i="8"/>
  <c r="AH45" i="8"/>
  <c r="U45" i="8"/>
  <c r="N45" i="8"/>
  <c r="D45" i="8"/>
  <c r="E45" i="8"/>
  <c r="L45" i="8"/>
  <c r="P45" i="8"/>
  <c r="J45" i="8"/>
  <c r="M45" i="8"/>
  <c r="V45" i="8"/>
  <c r="O45" i="8"/>
  <c r="AG45" i="8"/>
  <c r="C45" i="8"/>
  <c r="AA45" i="8"/>
  <c r="AE45" i="8"/>
  <c r="W45" i="8"/>
  <c r="AD45" i="8"/>
  <c r="Q45" i="8"/>
  <c r="R45" i="8"/>
  <c r="I45" i="8"/>
  <c r="S45" i="8"/>
  <c r="Z45" i="8"/>
  <c r="T45" i="8"/>
  <c r="X45" i="8"/>
  <c r="B45" i="8"/>
  <c r="B10" i="8"/>
  <c r="S13" i="8"/>
  <c r="E13" i="8"/>
  <c r="AB13" i="8"/>
  <c r="J13" i="8"/>
  <c r="Z13" i="8"/>
  <c r="M13" i="8"/>
  <c r="AC13" i="8"/>
  <c r="AH13" i="8"/>
  <c r="P13" i="8"/>
  <c r="C13" i="8"/>
  <c r="AG13" i="8"/>
  <c r="L13" i="8"/>
  <c r="N13" i="8"/>
  <c r="W13" i="8"/>
  <c r="AD13" i="8"/>
  <c r="Q13" i="8"/>
  <c r="I13" i="8"/>
  <c r="G13" i="8"/>
  <c r="AF13" i="8"/>
  <c r="K13" i="8"/>
  <c r="U13" i="8"/>
  <c r="R13" i="8"/>
  <c r="T13" i="8"/>
  <c r="O13" i="8"/>
  <c r="AA13" i="8"/>
  <c r="X13" i="8"/>
  <c r="D13" i="8"/>
  <c r="H13" i="8"/>
  <c r="V13" i="8"/>
  <c r="AE13" i="8"/>
  <c r="Y13" i="8"/>
  <c r="F13" i="8"/>
  <c r="B13" i="8"/>
  <c r="AG42" i="8"/>
  <c r="AE42" i="8"/>
  <c r="O42" i="8"/>
  <c r="AC42" i="8"/>
  <c r="X42" i="8"/>
  <c r="Y42" i="8"/>
  <c r="AD42" i="8"/>
  <c r="F42" i="8"/>
  <c r="AA42" i="8"/>
  <c r="K42" i="8"/>
  <c r="AB42" i="8"/>
  <c r="V42" i="8"/>
  <c r="I42" i="8"/>
  <c r="W42" i="8"/>
  <c r="R42" i="8"/>
  <c r="E42" i="8"/>
  <c r="U42" i="8"/>
  <c r="AH42" i="8"/>
  <c r="G42" i="8"/>
  <c r="P42" i="8"/>
  <c r="Q42" i="8"/>
  <c r="S42" i="8"/>
  <c r="J42" i="8"/>
  <c r="T42" i="8"/>
  <c r="N42" i="8"/>
  <c r="Z42" i="8"/>
  <c r="H42" i="8"/>
  <c r="C42" i="8"/>
  <c r="D42" i="8"/>
  <c r="M42" i="8"/>
  <c r="L42" i="8"/>
  <c r="AF42" i="8"/>
  <c r="B42" i="8"/>
  <c r="M46" i="8"/>
  <c r="AE46" i="8"/>
  <c r="K46" i="8"/>
  <c r="D46" i="8"/>
  <c r="R46" i="8"/>
  <c r="AH46" i="8"/>
  <c r="X46" i="8"/>
  <c r="Z46" i="8"/>
  <c r="W46" i="8"/>
  <c r="V46" i="8"/>
  <c r="H46" i="8"/>
  <c r="C46" i="8"/>
  <c r="Y46" i="8"/>
  <c r="AF46" i="8"/>
  <c r="N46" i="8"/>
  <c r="P46" i="8"/>
  <c r="U46" i="8"/>
  <c r="AG46" i="8"/>
  <c r="S46" i="8"/>
  <c r="AB46" i="8"/>
  <c r="O46" i="8"/>
  <c r="AA46" i="8"/>
  <c r="Q46" i="8"/>
  <c r="J46" i="8"/>
  <c r="F46" i="8"/>
  <c r="AC46" i="8"/>
  <c r="G46" i="8"/>
  <c r="T46" i="8"/>
  <c r="L46" i="8"/>
  <c r="I46" i="8"/>
  <c r="E46" i="8"/>
  <c r="AD46" i="8"/>
  <c r="B46" i="8"/>
  <c r="E41" i="9"/>
  <c r="C82" i="9" s="1"/>
  <c r="E41" i="10"/>
  <c r="C82" i="10" s="1"/>
  <c r="F41" i="10"/>
  <c r="F111" i="9"/>
  <c r="F107" i="9"/>
  <c r="F103" i="9"/>
  <c r="F109" i="9"/>
  <c r="F105" i="9"/>
  <c r="F101" i="9"/>
  <c r="F96" i="9"/>
  <c r="F92" i="9"/>
  <c r="F112" i="9"/>
  <c r="F108" i="9"/>
  <c r="F97" i="9"/>
  <c r="F93" i="9"/>
  <c r="F89" i="9"/>
  <c r="F100" i="9"/>
  <c r="F98" i="9"/>
  <c r="F95" i="9"/>
  <c r="F91" i="9"/>
  <c r="F119" i="9" s="1"/>
  <c r="F94" i="9"/>
  <c r="F118" i="9" s="1"/>
  <c r="F90" i="9"/>
  <c r="F102" i="9"/>
  <c r="F86" i="9"/>
  <c r="F104" i="9"/>
  <c r="F99" i="9"/>
  <c r="F87" i="9"/>
  <c r="F106" i="9"/>
  <c r="F85" i="9"/>
  <c r="F88" i="9"/>
  <c r="F84" i="9"/>
  <c r="A45" i="4" a="1"/>
  <c r="A45" i="4" s="1"/>
  <c r="A2" i="4"/>
  <c r="A35" i="4" s="1"/>
  <c r="F146" i="4"/>
  <c r="F147" i="4" s="1"/>
  <c r="E146" i="4"/>
  <c r="E147" i="4" s="1"/>
  <c r="D146" i="4"/>
  <c r="D147" i="4" s="1"/>
  <c r="C146" i="4"/>
  <c r="C147" i="4" s="1"/>
  <c r="C118" i="4"/>
  <c r="F117" i="4"/>
  <c r="F83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F49" i="4"/>
  <c r="B66" i="8" s="1"/>
  <c r="E49" i="4"/>
  <c r="F40" i="4"/>
  <c r="D33" i="4"/>
  <c r="D79" i="4" s="1"/>
  <c r="D113" i="4" s="1"/>
  <c r="C33" i="4"/>
  <c r="C79" i="4" s="1"/>
  <c r="C113" i="4" s="1"/>
  <c r="B33" i="4"/>
  <c r="B79" i="4" s="1"/>
  <c r="B113" i="4" s="1"/>
  <c r="A33" i="4"/>
  <c r="A79" i="4" s="1"/>
  <c r="A113" i="4" s="1"/>
  <c r="D78" i="4"/>
  <c r="D112" i="4" s="1"/>
  <c r="C78" i="4"/>
  <c r="C112" i="4" s="1"/>
  <c r="B78" i="4"/>
  <c r="B112" i="4" s="1"/>
  <c r="A78" i="4"/>
  <c r="D77" i="4"/>
  <c r="D111" i="4" s="1"/>
  <c r="C77" i="4"/>
  <c r="C111" i="4" s="1"/>
  <c r="B77" i="4"/>
  <c r="B111" i="4" s="1"/>
  <c r="A77" i="4"/>
  <c r="D76" i="4"/>
  <c r="D110" i="4" s="1"/>
  <c r="C76" i="4"/>
  <c r="C110" i="4" s="1"/>
  <c r="B76" i="4"/>
  <c r="B110" i="4" s="1"/>
  <c r="A76" i="4"/>
  <c r="D75" i="4"/>
  <c r="D109" i="4" s="1"/>
  <c r="C75" i="4"/>
  <c r="C109" i="4" s="1"/>
  <c r="B75" i="4"/>
  <c r="B109" i="4" s="1"/>
  <c r="A75" i="4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16" i="4"/>
  <c r="D62" i="4" s="1"/>
  <c r="D96" i="4" s="1"/>
  <c r="C16" i="4"/>
  <c r="C62" i="4" s="1"/>
  <c r="C96" i="4" s="1"/>
  <c r="B16" i="4"/>
  <c r="B62" i="4" s="1"/>
  <c r="B96" i="4" s="1"/>
  <c r="A16" i="4"/>
  <c r="A62" i="4" s="1"/>
  <c r="D15" i="4"/>
  <c r="D61" i="4" s="1"/>
  <c r="D95" i="4" s="1"/>
  <c r="C15" i="4"/>
  <c r="C61" i="4" s="1"/>
  <c r="C95" i="4" s="1"/>
  <c r="B15" i="4"/>
  <c r="B61" i="4" s="1"/>
  <c r="B95" i="4" s="1"/>
  <c r="A15" i="4"/>
  <c r="A61" i="4" s="1"/>
  <c r="D14" i="4"/>
  <c r="D60" i="4" s="1"/>
  <c r="D94" i="4" s="1"/>
  <c r="C14" i="4"/>
  <c r="C60" i="4" s="1"/>
  <c r="C94" i="4" s="1"/>
  <c r="B14" i="4"/>
  <c r="B60" i="4" s="1"/>
  <c r="B94" i="4" s="1"/>
  <c r="A14" i="4"/>
  <c r="A60" i="4" s="1"/>
  <c r="D13" i="4"/>
  <c r="D59" i="4" s="1"/>
  <c r="D93" i="4" s="1"/>
  <c r="C13" i="4"/>
  <c r="C59" i="4" s="1"/>
  <c r="C93" i="4" s="1"/>
  <c r="B13" i="4"/>
  <c r="B59" i="4" s="1"/>
  <c r="B93" i="4" s="1"/>
  <c r="A13" i="4"/>
  <c r="A59" i="4" s="1"/>
  <c r="D12" i="4"/>
  <c r="D58" i="4" s="1"/>
  <c r="D92" i="4" s="1"/>
  <c r="C12" i="4"/>
  <c r="C58" i="4" s="1"/>
  <c r="C92" i="4" s="1"/>
  <c r="B12" i="4"/>
  <c r="B58" i="4" s="1"/>
  <c r="B92" i="4" s="1"/>
  <c r="A12" i="4"/>
  <c r="A58" i="4" s="1"/>
  <c r="D11" i="4"/>
  <c r="D57" i="4" s="1"/>
  <c r="D91" i="4" s="1"/>
  <c r="C11" i="4"/>
  <c r="C57" i="4" s="1"/>
  <c r="C91" i="4" s="1"/>
  <c r="B11" i="4"/>
  <c r="B57" i="4" s="1"/>
  <c r="B91" i="4" s="1"/>
  <c r="A11" i="4"/>
  <c r="A57" i="4" s="1"/>
  <c r="D10" i="4"/>
  <c r="D56" i="4" s="1"/>
  <c r="D90" i="4" s="1"/>
  <c r="C10" i="4"/>
  <c r="C56" i="4" s="1"/>
  <c r="C90" i="4" s="1"/>
  <c r="B10" i="4"/>
  <c r="B56" i="4" s="1"/>
  <c r="B90" i="4" s="1"/>
  <c r="A10" i="4"/>
  <c r="A56" i="4" s="1"/>
  <c r="D9" i="4"/>
  <c r="D55" i="4" s="1"/>
  <c r="D89" i="4" s="1"/>
  <c r="C9" i="4"/>
  <c r="C55" i="4" s="1"/>
  <c r="C89" i="4" s="1"/>
  <c r="B9" i="4"/>
  <c r="B55" i="4" s="1"/>
  <c r="B89" i="4" s="1"/>
  <c r="A9" i="4"/>
  <c r="A55" i="4" s="1"/>
  <c r="D8" i="4"/>
  <c r="D54" i="4" s="1"/>
  <c r="D88" i="4" s="1"/>
  <c r="C8" i="4"/>
  <c r="C54" i="4" s="1"/>
  <c r="C88" i="4" s="1"/>
  <c r="B8" i="4"/>
  <c r="B54" i="4" s="1"/>
  <c r="B88" i="4" s="1"/>
  <c r="A8" i="4"/>
  <c r="A54" i="4" s="1"/>
  <c r="D7" i="4"/>
  <c r="D53" i="4" s="1"/>
  <c r="D87" i="4" s="1"/>
  <c r="C7" i="4"/>
  <c r="C53" i="4" s="1"/>
  <c r="C87" i="4" s="1"/>
  <c r="B7" i="4"/>
  <c r="B53" i="4" s="1"/>
  <c r="B87" i="4" s="1"/>
  <c r="A7" i="4"/>
  <c r="A53" i="4" s="1"/>
  <c r="D6" i="4"/>
  <c r="D52" i="4" s="1"/>
  <c r="D86" i="4" s="1"/>
  <c r="C6" i="4"/>
  <c r="C52" i="4" s="1"/>
  <c r="C86" i="4" s="1"/>
  <c r="B6" i="4"/>
  <c r="B52" i="4" s="1"/>
  <c r="B86" i="4" s="1"/>
  <c r="A6" i="4"/>
  <c r="A52" i="4" s="1"/>
  <c r="D5" i="4"/>
  <c r="D51" i="4" s="1"/>
  <c r="D85" i="4" s="1"/>
  <c r="C5" i="4"/>
  <c r="C51" i="4" s="1"/>
  <c r="C85" i="4" s="1"/>
  <c r="B5" i="4"/>
  <c r="B51" i="4" s="1"/>
  <c r="B85" i="4" s="1"/>
  <c r="A5" i="4"/>
  <c r="A51" i="4" s="1"/>
  <c r="D4" i="4"/>
  <c r="D50" i="4" s="1"/>
  <c r="D84" i="4" s="1"/>
  <c r="C4" i="4"/>
  <c r="C50" i="4" s="1"/>
  <c r="C84" i="4" s="1"/>
  <c r="B4" i="4"/>
  <c r="B50" i="4" s="1"/>
  <c r="B84" i="4" s="1"/>
  <c r="A4" i="4"/>
  <c r="A50" i="4" s="1"/>
  <c r="AG120" i="9" l="1"/>
  <c r="M120" i="9"/>
  <c r="Z120" i="9"/>
  <c r="L120" i="9"/>
  <c r="J120" i="9"/>
  <c r="P120" i="9"/>
  <c r="S120" i="9"/>
  <c r="V120" i="9"/>
  <c r="AI120" i="9"/>
  <c r="N120" i="9"/>
  <c r="AF120" i="9"/>
  <c r="AH120" i="9"/>
  <c r="O120" i="9"/>
  <c r="W120" i="9"/>
  <c r="T120" i="9"/>
  <c r="AK120" i="9"/>
  <c r="AB120" i="9"/>
  <c r="AE120" i="9"/>
  <c r="U120" i="9"/>
  <c r="G120" i="9"/>
  <c r="I120" i="9"/>
  <c r="R120" i="9"/>
  <c r="Q120" i="9"/>
  <c r="AD120" i="9"/>
  <c r="AC120" i="9"/>
  <c r="AA120" i="9"/>
  <c r="Y120" i="9"/>
  <c r="X120" i="9"/>
  <c r="AJ120" i="9"/>
  <c r="K120" i="9"/>
  <c r="AL120" i="9"/>
  <c r="AC51" i="4"/>
  <c r="Y68" i="8" s="1"/>
  <c r="AD51" i="4"/>
  <c r="AB51" i="4"/>
  <c r="X68" i="8" s="1"/>
  <c r="P51" i="4"/>
  <c r="L68" i="8" s="1"/>
  <c r="L51" i="4"/>
  <c r="H68" i="8" s="1"/>
  <c r="AL51" i="4"/>
  <c r="AH68" i="8" s="1"/>
  <c r="U51" i="4"/>
  <c r="Q68" i="8" s="1"/>
  <c r="AK51" i="4"/>
  <c r="AG68" i="8" s="1"/>
  <c r="AH51" i="4"/>
  <c r="AD68" i="8" s="1"/>
  <c r="I51" i="4"/>
  <c r="S51" i="4"/>
  <c r="O68" i="8" s="1"/>
  <c r="AF51" i="4"/>
  <c r="AB68" i="8" s="1"/>
  <c r="G51" i="4"/>
  <c r="K51" i="4"/>
  <c r="G68" i="8" s="1"/>
  <c r="M51" i="4"/>
  <c r="I68" i="8" s="1"/>
  <c r="Q51" i="4"/>
  <c r="M68" i="8" s="1"/>
  <c r="X51" i="4"/>
  <c r="T68" i="8" s="1"/>
  <c r="N51" i="4"/>
  <c r="AG51" i="4"/>
  <c r="AC68" i="8" s="1"/>
  <c r="AJ51" i="4"/>
  <c r="AF68" i="8" s="1"/>
  <c r="AA51" i="4"/>
  <c r="W68" i="8" s="1"/>
  <c r="AE51" i="4"/>
  <c r="AA68" i="8" s="1"/>
  <c r="R51" i="4"/>
  <c r="N68" i="8" s="1"/>
  <c r="V51" i="4"/>
  <c r="R68" i="8" s="1"/>
  <c r="O51" i="4"/>
  <c r="K68" i="8" s="1"/>
  <c r="AI51" i="4"/>
  <c r="T51" i="4"/>
  <c r="P68" i="8" s="1"/>
  <c r="Z51" i="4"/>
  <c r="V68" i="8" s="1"/>
  <c r="Y51" i="4"/>
  <c r="U68" i="8" s="1"/>
  <c r="H51" i="4"/>
  <c r="D68" i="8" s="1"/>
  <c r="W51" i="4"/>
  <c r="S68" i="8" s="1"/>
  <c r="J51" i="4"/>
  <c r="F68" i="8" s="1"/>
  <c r="AA53" i="4"/>
  <c r="W70" i="8" s="1"/>
  <c r="Y53" i="4"/>
  <c r="Z53" i="4"/>
  <c r="V70" i="8" s="1"/>
  <c r="N53" i="4"/>
  <c r="J70" i="8" s="1"/>
  <c r="R53" i="4"/>
  <c r="N70" i="8" s="1"/>
  <c r="V53" i="4"/>
  <c r="R70" i="8" s="1"/>
  <c r="Q53" i="4"/>
  <c r="M70" i="8" s="1"/>
  <c r="AC53" i="4"/>
  <c r="Y70" i="8" s="1"/>
  <c r="AD53" i="4"/>
  <c r="Z70" i="8" s="1"/>
  <c r="AF53" i="4"/>
  <c r="AB53" i="4"/>
  <c r="X70" i="8" s="1"/>
  <c r="K53" i="4"/>
  <c r="G70" i="8" s="1"/>
  <c r="X53" i="4"/>
  <c r="T70" i="8" s="1"/>
  <c r="L53" i="4"/>
  <c r="H70" i="8" s="1"/>
  <c r="AL53" i="4"/>
  <c r="AH70" i="8" s="1"/>
  <c r="U53" i="4"/>
  <c r="Q70" i="8" s="1"/>
  <c r="AK53" i="4"/>
  <c r="AG70" i="8" s="1"/>
  <c r="AH53" i="4"/>
  <c r="G53" i="4"/>
  <c r="C70" i="8" s="1"/>
  <c r="I53" i="4"/>
  <c r="E70" i="8" s="1"/>
  <c r="S53" i="4"/>
  <c r="P53" i="4"/>
  <c r="L70" i="8" s="1"/>
  <c r="M53" i="4"/>
  <c r="I70" i="8" s="1"/>
  <c r="W53" i="4"/>
  <c r="S70" i="8" s="1"/>
  <c r="H53" i="4"/>
  <c r="D70" i="8" s="1"/>
  <c r="J53" i="4"/>
  <c r="AG53" i="4"/>
  <c r="AC70" i="8" s="1"/>
  <c r="AJ53" i="4"/>
  <c r="AF70" i="8" s="1"/>
  <c r="AE53" i="4"/>
  <c r="AA70" i="8" s="1"/>
  <c r="O53" i="4"/>
  <c r="K70" i="8" s="1"/>
  <c r="AI53" i="4"/>
  <c r="AE70" i="8" s="1"/>
  <c r="T53" i="4"/>
  <c r="P70" i="8" s="1"/>
  <c r="P55" i="4"/>
  <c r="M55" i="4"/>
  <c r="AA55" i="4"/>
  <c r="Y55" i="4"/>
  <c r="Z55" i="4"/>
  <c r="N55" i="4"/>
  <c r="R55" i="4"/>
  <c r="V55" i="4"/>
  <c r="Q55" i="4"/>
  <c r="AC55" i="4"/>
  <c r="G55" i="4"/>
  <c r="AD55" i="4"/>
  <c r="K55" i="4"/>
  <c r="AF55" i="4"/>
  <c r="AB55" i="4"/>
  <c r="U55" i="4"/>
  <c r="AK55" i="4"/>
  <c r="AH55" i="4"/>
  <c r="I55" i="4"/>
  <c r="S55" i="4"/>
  <c r="AL55" i="4"/>
  <c r="W55" i="4"/>
  <c r="H55" i="4"/>
  <c r="J55" i="4"/>
  <c r="L55" i="4"/>
  <c r="AG55" i="4"/>
  <c r="AJ55" i="4"/>
  <c r="X55" i="4"/>
  <c r="AE55" i="4"/>
  <c r="O55" i="4"/>
  <c r="AI55" i="4"/>
  <c r="T55" i="4"/>
  <c r="Z57" i="4"/>
  <c r="V74" i="8" s="1"/>
  <c r="X57" i="4"/>
  <c r="L57" i="4"/>
  <c r="H74" i="8" s="1"/>
  <c r="AL57" i="4"/>
  <c r="AH74" i="8" s="1"/>
  <c r="U57" i="4"/>
  <c r="Q74" i="8" s="1"/>
  <c r="AK57" i="4"/>
  <c r="AG74" i="8" s="1"/>
  <c r="AH57" i="4"/>
  <c r="AD74" i="8" s="1"/>
  <c r="I57" i="4"/>
  <c r="E74" i="8" s="1"/>
  <c r="P57" i="4"/>
  <c r="L74" i="8" s="1"/>
  <c r="S57" i="4"/>
  <c r="M57" i="4"/>
  <c r="I74" i="8" s="1"/>
  <c r="AA57" i="4"/>
  <c r="W74" i="8" s="1"/>
  <c r="Y57" i="4"/>
  <c r="U74" i="8" s="1"/>
  <c r="N57" i="4"/>
  <c r="J74" i="8" s="1"/>
  <c r="V57" i="4"/>
  <c r="R74" i="8" s="1"/>
  <c r="Q57" i="4"/>
  <c r="M74" i="8" s="1"/>
  <c r="AF57" i="4"/>
  <c r="AB74" i="8" s="1"/>
  <c r="AB57" i="4"/>
  <c r="AE57" i="4"/>
  <c r="AA74" i="8" s="1"/>
  <c r="O57" i="4"/>
  <c r="K74" i="8" s="1"/>
  <c r="T57" i="4"/>
  <c r="P74" i="8" s="1"/>
  <c r="AC57" i="4"/>
  <c r="Y74" i="8" s="1"/>
  <c r="G57" i="4"/>
  <c r="C74" i="8" s="1"/>
  <c r="AD57" i="4"/>
  <c r="Z74" i="8" s="1"/>
  <c r="AI57" i="4"/>
  <c r="AE74" i="8" s="1"/>
  <c r="R57" i="4"/>
  <c r="H57" i="4"/>
  <c r="D74" i="8" s="1"/>
  <c r="W57" i="4"/>
  <c r="S74" i="8" s="1"/>
  <c r="J57" i="4"/>
  <c r="F74" i="8" s="1"/>
  <c r="K57" i="4"/>
  <c r="AG57" i="4"/>
  <c r="AC74" i="8" s="1"/>
  <c r="AJ57" i="4"/>
  <c r="AF74" i="8" s="1"/>
  <c r="AC59" i="4"/>
  <c r="Y76" i="8" s="1"/>
  <c r="R59" i="4"/>
  <c r="AD59" i="4"/>
  <c r="Z76" i="8" s="1"/>
  <c r="AF59" i="4"/>
  <c r="AB76" i="8" s="1"/>
  <c r="AB59" i="4"/>
  <c r="X76" i="8" s="1"/>
  <c r="Z59" i="4"/>
  <c r="V76" i="8" s="1"/>
  <c r="L59" i="4"/>
  <c r="H76" i="8" s="1"/>
  <c r="AL59" i="4"/>
  <c r="AH76" i="8" s="1"/>
  <c r="U59" i="4"/>
  <c r="Q76" i="8" s="1"/>
  <c r="AK59" i="4"/>
  <c r="AH59" i="4"/>
  <c r="AD76" i="8" s="1"/>
  <c r="I59" i="4"/>
  <c r="E76" i="8" s="1"/>
  <c r="K59" i="4"/>
  <c r="G76" i="8" s="1"/>
  <c r="X59" i="4"/>
  <c r="T76" i="8" s="1"/>
  <c r="G59" i="4"/>
  <c r="C76" i="8" s="1"/>
  <c r="P59" i="4"/>
  <c r="L76" i="8" s="1"/>
  <c r="S59" i="4"/>
  <c r="O76" i="8" s="1"/>
  <c r="M59" i="4"/>
  <c r="Q59" i="4"/>
  <c r="M76" i="8" s="1"/>
  <c r="AG59" i="4"/>
  <c r="AC76" i="8" s="1"/>
  <c r="N59" i="4"/>
  <c r="J76" i="8" s="1"/>
  <c r="AJ59" i="4"/>
  <c r="AF76" i="8" s="1"/>
  <c r="AE59" i="4"/>
  <c r="AA76" i="8" s="1"/>
  <c r="O59" i="4"/>
  <c r="K76" i="8" s="1"/>
  <c r="H59" i="4"/>
  <c r="D76" i="8" s="1"/>
  <c r="AA59" i="4"/>
  <c r="T59" i="4"/>
  <c r="P76" i="8" s="1"/>
  <c r="V59" i="4"/>
  <c r="R76" i="8" s="1"/>
  <c r="J59" i="4"/>
  <c r="F76" i="8" s="1"/>
  <c r="AI59" i="4"/>
  <c r="AE76" i="8" s="1"/>
  <c r="Y59" i="4"/>
  <c r="U76" i="8" s="1"/>
  <c r="W59" i="4"/>
  <c r="S76" i="8" s="1"/>
  <c r="AA61" i="4"/>
  <c r="W78" i="8" s="1"/>
  <c r="Y61" i="4"/>
  <c r="N61" i="4"/>
  <c r="J78" i="8" s="1"/>
  <c r="V61" i="4"/>
  <c r="R78" i="8" s="1"/>
  <c r="Q61" i="4"/>
  <c r="M78" i="8" s="1"/>
  <c r="X61" i="4"/>
  <c r="T78" i="8" s="1"/>
  <c r="AC61" i="4"/>
  <c r="Y78" i="8" s="1"/>
  <c r="R61" i="4"/>
  <c r="N78" i="8" s="1"/>
  <c r="AD61" i="4"/>
  <c r="Z78" i="8" s="1"/>
  <c r="AF61" i="4"/>
  <c r="AB61" i="4"/>
  <c r="X78" i="8" s="1"/>
  <c r="K61" i="4"/>
  <c r="G78" i="8" s="1"/>
  <c r="Z61" i="4"/>
  <c r="V78" i="8" s="1"/>
  <c r="L61" i="4"/>
  <c r="H78" i="8" s="1"/>
  <c r="AL61" i="4"/>
  <c r="AH78" i="8" s="1"/>
  <c r="U61" i="4"/>
  <c r="Q78" i="8" s="1"/>
  <c r="AK61" i="4"/>
  <c r="AG78" i="8" s="1"/>
  <c r="AH61" i="4"/>
  <c r="I61" i="4"/>
  <c r="E78" i="8" s="1"/>
  <c r="P61" i="4"/>
  <c r="L78" i="8" s="1"/>
  <c r="S61" i="4"/>
  <c r="O78" i="8" s="1"/>
  <c r="M61" i="4"/>
  <c r="I78" i="8" s="1"/>
  <c r="W61" i="4"/>
  <c r="S78" i="8" s="1"/>
  <c r="G61" i="4"/>
  <c r="C78" i="8" s="1"/>
  <c r="AG61" i="4"/>
  <c r="AC78" i="8" s="1"/>
  <c r="AJ61" i="4"/>
  <c r="AE61" i="4"/>
  <c r="AA78" i="8" s="1"/>
  <c r="O61" i="4"/>
  <c r="K78" i="8" s="1"/>
  <c r="T61" i="4"/>
  <c r="P78" i="8" s="1"/>
  <c r="J61" i="4"/>
  <c r="F78" i="8" s="1"/>
  <c r="H61" i="4"/>
  <c r="D78" i="8" s="1"/>
  <c r="AI61" i="4"/>
  <c r="AE78" i="8" s="1"/>
  <c r="G63" i="4"/>
  <c r="C80" i="8" s="1"/>
  <c r="P63" i="4"/>
  <c r="L80" i="8" s="1"/>
  <c r="S63" i="4"/>
  <c r="O80" i="8" s="1"/>
  <c r="M63" i="4"/>
  <c r="I80" i="8" s="1"/>
  <c r="AA63" i="4"/>
  <c r="W80" i="8" s="1"/>
  <c r="Y63" i="4"/>
  <c r="U80" i="8" s="1"/>
  <c r="N63" i="4"/>
  <c r="J80" i="8" s="1"/>
  <c r="V63" i="4"/>
  <c r="R80" i="8" s="1"/>
  <c r="Q63" i="4"/>
  <c r="M80" i="8" s="1"/>
  <c r="AC63" i="4"/>
  <c r="Y80" i="8" s="1"/>
  <c r="R63" i="4"/>
  <c r="N80" i="8" s="1"/>
  <c r="AD63" i="4"/>
  <c r="Z80" i="8" s="1"/>
  <c r="AF63" i="4"/>
  <c r="AB80" i="8" s="1"/>
  <c r="X63" i="4"/>
  <c r="T80" i="8" s="1"/>
  <c r="AB63" i="4"/>
  <c r="X80" i="8" s="1"/>
  <c r="U63" i="4"/>
  <c r="Q80" i="8" s="1"/>
  <c r="AK63" i="4"/>
  <c r="AG80" i="8" s="1"/>
  <c r="AH63" i="4"/>
  <c r="AD80" i="8" s="1"/>
  <c r="I63" i="4"/>
  <c r="E80" i="8" s="1"/>
  <c r="J63" i="4"/>
  <c r="F80" i="8" s="1"/>
  <c r="AI63" i="4"/>
  <c r="AE80" i="8" s="1"/>
  <c r="AL63" i="4"/>
  <c r="AH80" i="8" s="1"/>
  <c r="W63" i="4"/>
  <c r="S80" i="8" s="1"/>
  <c r="H63" i="4"/>
  <c r="D80" i="8" s="1"/>
  <c r="AG63" i="4"/>
  <c r="AC80" i="8" s="1"/>
  <c r="L63" i="4"/>
  <c r="H80" i="8" s="1"/>
  <c r="AJ63" i="4"/>
  <c r="AF80" i="8" s="1"/>
  <c r="K63" i="4"/>
  <c r="G80" i="8" s="1"/>
  <c r="AE63" i="4"/>
  <c r="AA80" i="8" s="1"/>
  <c r="O63" i="4"/>
  <c r="K80" i="8" s="1"/>
  <c r="Z63" i="4"/>
  <c r="V80" i="8" s="1"/>
  <c r="T63" i="4"/>
  <c r="P80" i="8" s="1"/>
  <c r="Z65" i="4"/>
  <c r="V82" i="8" s="1"/>
  <c r="L65" i="4"/>
  <c r="H82" i="8" s="1"/>
  <c r="AL65" i="4"/>
  <c r="AH82" i="8" s="1"/>
  <c r="U65" i="4"/>
  <c r="Q82" i="8" s="1"/>
  <c r="AK65" i="4"/>
  <c r="AH65" i="4"/>
  <c r="AD82" i="8" s="1"/>
  <c r="I65" i="4"/>
  <c r="E82" i="8" s="1"/>
  <c r="X65" i="4"/>
  <c r="T82" i="8" s="1"/>
  <c r="G65" i="4"/>
  <c r="C82" i="8" s="1"/>
  <c r="P65" i="4"/>
  <c r="L82" i="8" s="1"/>
  <c r="S65" i="4"/>
  <c r="O82" i="8" s="1"/>
  <c r="M65" i="4"/>
  <c r="I82" i="8" s="1"/>
  <c r="AA65" i="4"/>
  <c r="W82" i="8" s="1"/>
  <c r="Y65" i="4"/>
  <c r="U82" i="8" s="1"/>
  <c r="N65" i="4"/>
  <c r="J82" i="8" s="1"/>
  <c r="V65" i="4"/>
  <c r="R82" i="8" s="1"/>
  <c r="Q65" i="4"/>
  <c r="M82" i="8" s="1"/>
  <c r="AF65" i="4"/>
  <c r="AB82" i="8" s="1"/>
  <c r="AB65" i="4"/>
  <c r="X82" i="8" s="1"/>
  <c r="AE65" i="4"/>
  <c r="AA82" i="8" s="1"/>
  <c r="O65" i="4"/>
  <c r="K82" i="8" s="1"/>
  <c r="T65" i="4"/>
  <c r="P82" i="8" s="1"/>
  <c r="J65" i="4"/>
  <c r="F82" i="8" s="1"/>
  <c r="AJ65" i="4"/>
  <c r="AF82" i="8" s="1"/>
  <c r="AC65" i="4"/>
  <c r="Y82" i="8" s="1"/>
  <c r="AI65" i="4"/>
  <c r="AE82" i="8" s="1"/>
  <c r="AD65" i="4"/>
  <c r="Z82" i="8" s="1"/>
  <c r="K65" i="4"/>
  <c r="G82" i="8" s="1"/>
  <c r="R65" i="4"/>
  <c r="N82" i="8" s="1"/>
  <c r="W65" i="4"/>
  <c r="S82" i="8" s="1"/>
  <c r="AG65" i="4"/>
  <c r="AC82" i="8" s="1"/>
  <c r="H65" i="4"/>
  <c r="D82" i="8" s="1"/>
  <c r="AC67" i="4"/>
  <c r="Y84" i="8" s="1"/>
  <c r="AF67" i="4"/>
  <c r="AB84" i="8" s="1"/>
  <c r="K67" i="4"/>
  <c r="G84" i="8" s="1"/>
  <c r="X67" i="4"/>
  <c r="T84" i="8" s="1"/>
  <c r="AB67" i="4"/>
  <c r="X84" i="8" s="1"/>
  <c r="AD67" i="4"/>
  <c r="Z84" i="8" s="1"/>
  <c r="AA67" i="4"/>
  <c r="W84" i="8" s="1"/>
  <c r="Z67" i="4"/>
  <c r="V84" i="8" s="1"/>
  <c r="S67" i="4"/>
  <c r="O84" i="8" s="1"/>
  <c r="AH67" i="4"/>
  <c r="AD84" i="8" s="1"/>
  <c r="AL67" i="4"/>
  <c r="AH84" i="8" s="1"/>
  <c r="U67" i="4"/>
  <c r="Q84" i="8" s="1"/>
  <c r="AK67" i="4"/>
  <c r="AG84" i="8" s="1"/>
  <c r="L67" i="4"/>
  <c r="H84" i="8" s="1"/>
  <c r="I67" i="4"/>
  <c r="E84" i="8" s="1"/>
  <c r="P67" i="4"/>
  <c r="L84" i="8" s="1"/>
  <c r="R67" i="4"/>
  <c r="N84" i="8" s="1"/>
  <c r="M67" i="4"/>
  <c r="I84" i="8" s="1"/>
  <c r="Q67" i="4"/>
  <c r="M84" i="8" s="1"/>
  <c r="J67" i="4"/>
  <c r="F84" i="8" s="1"/>
  <c r="AG67" i="4"/>
  <c r="AC84" i="8" s="1"/>
  <c r="G67" i="4"/>
  <c r="C84" i="8" s="1"/>
  <c r="AE67" i="4"/>
  <c r="AA84" i="8" s="1"/>
  <c r="N67" i="4"/>
  <c r="J84" i="8" s="1"/>
  <c r="T67" i="4"/>
  <c r="P84" i="8" s="1"/>
  <c r="AJ67" i="4"/>
  <c r="AF84" i="8" s="1"/>
  <c r="W67" i="4"/>
  <c r="S84" i="8" s="1"/>
  <c r="AI67" i="4"/>
  <c r="AE84" i="8" s="1"/>
  <c r="V67" i="4"/>
  <c r="R84" i="8" s="1"/>
  <c r="O67" i="4"/>
  <c r="K84" i="8" s="1"/>
  <c r="H67" i="4"/>
  <c r="D84" i="8" s="1"/>
  <c r="Y67" i="4"/>
  <c r="U84" i="8" s="1"/>
  <c r="Y69" i="4"/>
  <c r="N69" i="4"/>
  <c r="V69" i="4"/>
  <c r="Q69" i="4"/>
  <c r="AF69" i="4"/>
  <c r="X69" i="4"/>
  <c r="AB69" i="4"/>
  <c r="AC69" i="4"/>
  <c r="S69" i="4"/>
  <c r="AD69" i="4"/>
  <c r="Z69" i="4"/>
  <c r="AL69" i="4"/>
  <c r="AA69" i="4"/>
  <c r="U69" i="4"/>
  <c r="AK69" i="4"/>
  <c r="P69" i="4"/>
  <c r="L69" i="4"/>
  <c r="R69" i="4"/>
  <c r="I69" i="4"/>
  <c r="G69" i="4"/>
  <c r="M69" i="4"/>
  <c r="O69" i="4"/>
  <c r="J69" i="4"/>
  <c r="AG69" i="4"/>
  <c r="AH69" i="4"/>
  <c r="AE69" i="4"/>
  <c r="T69" i="4"/>
  <c r="K69" i="4"/>
  <c r="H69" i="4"/>
  <c r="AI69" i="4"/>
  <c r="W69" i="4"/>
  <c r="AJ69" i="4"/>
  <c r="Z71" i="4"/>
  <c r="V88" i="8" s="1"/>
  <c r="R71" i="4"/>
  <c r="N88" i="8" s="1"/>
  <c r="AA71" i="4"/>
  <c r="W88" i="8" s="1"/>
  <c r="K71" i="4"/>
  <c r="G88" i="8" s="1"/>
  <c r="Y71" i="4"/>
  <c r="U88" i="8" s="1"/>
  <c r="N71" i="4"/>
  <c r="J88" i="8" s="1"/>
  <c r="V71" i="4"/>
  <c r="R88" i="8" s="1"/>
  <c r="U71" i="4"/>
  <c r="Q88" i="8" s="1"/>
  <c r="AC71" i="4"/>
  <c r="Y88" i="8" s="1"/>
  <c r="Q71" i="4"/>
  <c r="M88" i="8" s="1"/>
  <c r="L71" i="4"/>
  <c r="H88" i="8" s="1"/>
  <c r="AH71" i="4"/>
  <c r="AD88" i="8" s="1"/>
  <c r="X71" i="4"/>
  <c r="T88" i="8" s="1"/>
  <c r="AD71" i="4"/>
  <c r="Z88" i="8" s="1"/>
  <c r="AB71" i="4"/>
  <c r="X88" i="8" s="1"/>
  <c r="S71" i="4"/>
  <c r="O88" i="8" s="1"/>
  <c r="M71" i="4"/>
  <c r="I88" i="8" s="1"/>
  <c r="P71" i="4"/>
  <c r="L88" i="8" s="1"/>
  <c r="AF71" i="4"/>
  <c r="AB88" i="8" s="1"/>
  <c r="I71" i="4"/>
  <c r="E88" i="8" s="1"/>
  <c r="G71" i="4"/>
  <c r="AE71" i="4"/>
  <c r="AA88" i="8" s="1"/>
  <c r="J71" i="4"/>
  <c r="F88" i="8" s="1"/>
  <c r="AK71" i="4"/>
  <c r="AG88" i="8" s="1"/>
  <c r="O71" i="4"/>
  <c r="K88" i="8" s="1"/>
  <c r="AL71" i="4"/>
  <c r="AH88" i="8" s="1"/>
  <c r="AG71" i="4"/>
  <c r="AC88" i="8" s="1"/>
  <c r="AJ71" i="4"/>
  <c r="AF88" i="8" s="1"/>
  <c r="H71" i="4"/>
  <c r="D88" i="8" s="1"/>
  <c r="T71" i="4"/>
  <c r="P88" i="8" s="1"/>
  <c r="AI71" i="4"/>
  <c r="AE88" i="8" s="1"/>
  <c r="W71" i="4"/>
  <c r="S88" i="8" s="1"/>
  <c r="K73" i="4"/>
  <c r="G90" i="8" s="1"/>
  <c r="G73" i="4"/>
  <c r="C90" i="8" s="1"/>
  <c r="P73" i="4"/>
  <c r="L90" i="8" s="1"/>
  <c r="AF73" i="4"/>
  <c r="AB90" i="8" s="1"/>
  <c r="I73" i="4"/>
  <c r="E90" i="8" s="1"/>
  <c r="Z73" i="4"/>
  <c r="V90" i="8" s="1"/>
  <c r="R73" i="4"/>
  <c r="N90" i="8" s="1"/>
  <c r="AA73" i="4"/>
  <c r="W90" i="8" s="1"/>
  <c r="U73" i="4"/>
  <c r="Q90" i="8" s="1"/>
  <c r="AC73" i="4"/>
  <c r="Y90" i="8" s="1"/>
  <c r="Y73" i="4"/>
  <c r="U90" i="8" s="1"/>
  <c r="N73" i="4"/>
  <c r="J90" i="8" s="1"/>
  <c r="V73" i="4"/>
  <c r="R90" i="8" s="1"/>
  <c r="Q73" i="4"/>
  <c r="M90" i="8" s="1"/>
  <c r="L73" i="4"/>
  <c r="H90" i="8" s="1"/>
  <c r="AK73" i="4"/>
  <c r="AG90" i="8" s="1"/>
  <c r="AB73" i="4"/>
  <c r="X90" i="8" s="1"/>
  <c r="S73" i="4"/>
  <c r="O90" i="8" s="1"/>
  <c r="AI73" i="4"/>
  <c r="AE90" i="8" s="1"/>
  <c r="M73" i="4"/>
  <c r="I90" i="8" s="1"/>
  <c r="W73" i="4"/>
  <c r="S90" i="8" s="1"/>
  <c r="AH73" i="4"/>
  <c r="AD90" i="8" s="1"/>
  <c r="AE73" i="4"/>
  <c r="AA90" i="8" s="1"/>
  <c r="J73" i="4"/>
  <c r="F90" i="8" s="1"/>
  <c r="X73" i="4"/>
  <c r="T90" i="8" s="1"/>
  <c r="AD73" i="4"/>
  <c r="Z90" i="8" s="1"/>
  <c r="O73" i="4"/>
  <c r="K90" i="8" s="1"/>
  <c r="AL73" i="4"/>
  <c r="AH90" i="8" s="1"/>
  <c r="AG73" i="4"/>
  <c r="AC90" i="8" s="1"/>
  <c r="AJ73" i="4"/>
  <c r="AF90" i="8" s="1"/>
  <c r="H73" i="4"/>
  <c r="D90" i="8" s="1"/>
  <c r="T73" i="4"/>
  <c r="P90" i="8" s="1"/>
  <c r="AK75" i="4"/>
  <c r="AG92" i="8" s="1"/>
  <c r="AH75" i="4"/>
  <c r="AD92" i="8" s="1"/>
  <c r="X75" i="4"/>
  <c r="T92" i="8" s="1"/>
  <c r="AD75" i="4"/>
  <c r="Z92" i="8" s="1"/>
  <c r="AB75" i="4"/>
  <c r="X92" i="8" s="1"/>
  <c r="S75" i="4"/>
  <c r="O92" i="8" s="1"/>
  <c r="G75" i="4"/>
  <c r="C92" i="8" s="1"/>
  <c r="P75" i="4"/>
  <c r="L92" i="8" s="1"/>
  <c r="AF75" i="4"/>
  <c r="AB92" i="8" s="1"/>
  <c r="I75" i="4"/>
  <c r="E92" i="8" s="1"/>
  <c r="Z75" i="4"/>
  <c r="V92" i="8" s="1"/>
  <c r="R75" i="4"/>
  <c r="N92" i="8" s="1"/>
  <c r="AA75" i="4"/>
  <c r="W92" i="8" s="1"/>
  <c r="U75" i="4"/>
  <c r="Q92" i="8" s="1"/>
  <c r="AC75" i="4"/>
  <c r="Y92" i="8" s="1"/>
  <c r="Q75" i="4"/>
  <c r="M92" i="8" s="1"/>
  <c r="L75" i="4"/>
  <c r="H92" i="8" s="1"/>
  <c r="M75" i="4"/>
  <c r="I92" i="8" s="1"/>
  <c r="Y75" i="4"/>
  <c r="U92" i="8" s="1"/>
  <c r="AL75" i="4"/>
  <c r="AH92" i="8" s="1"/>
  <c r="AG75" i="4"/>
  <c r="AC92" i="8" s="1"/>
  <c r="AJ75" i="4"/>
  <c r="AF92" i="8" s="1"/>
  <c r="H75" i="4"/>
  <c r="D92" i="8" s="1"/>
  <c r="T75" i="4"/>
  <c r="P92" i="8" s="1"/>
  <c r="AI75" i="4"/>
  <c r="AE92" i="8" s="1"/>
  <c r="N75" i="4"/>
  <c r="J92" i="8" s="1"/>
  <c r="W75" i="4"/>
  <c r="S92" i="8" s="1"/>
  <c r="AE75" i="4"/>
  <c r="AA92" i="8" s="1"/>
  <c r="J75" i="4"/>
  <c r="F92" i="8" s="1"/>
  <c r="V75" i="4"/>
  <c r="R92" i="8" s="1"/>
  <c r="O75" i="4"/>
  <c r="K92" i="8" s="1"/>
  <c r="K75" i="4"/>
  <c r="G92" i="8" s="1"/>
  <c r="Y77" i="4"/>
  <c r="U94" i="8" s="1"/>
  <c r="N77" i="4"/>
  <c r="J94" i="8" s="1"/>
  <c r="V77" i="4"/>
  <c r="R94" i="8" s="1"/>
  <c r="M77" i="4"/>
  <c r="I94" i="8" s="1"/>
  <c r="AK77" i="4"/>
  <c r="AG94" i="8" s="1"/>
  <c r="Q77" i="4"/>
  <c r="M94" i="8" s="1"/>
  <c r="L77" i="4"/>
  <c r="H94" i="8" s="1"/>
  <c r="AH77" i="4"/>
  <c r="AD94" i="8" s="1"/>
  <c r="X77" i="4"/>
  <c r="T94" i="8" s="1"/>
  <c r="AD77" i="4"/>
  <c r="Z94" i="8" s="1"/>
  <c r="AB77" i="4"/>
  <c r="X94" i="8" s="1"/>
  <c r="S77" i="4"/>
  <c r="O94" i="8" s="1"/>
  <c r="G77" i="4"/>
  <c r="C94" i="8" s="1"/>
  <c r="P77" i="4"/>
  <c r="L94" i="8" s="1"/>
  <c r="AF77" i="4"/>
  <c r="AB94" i="8" s="1"/>
  <c r="I77" i="4"/>
  <c r="E94" i="8" s="1"/>
  <c r="AA77" i="4"/>
  <c r="W94" i="8" s="1"/>
  <c r="K77" i="4"/>
  <c r="G94" i="8" s="1"/>
  <c r="U77" i="4"/>
  <c r="Q94" i="8" s="1"/>
  <c r="O77" i="4"/>
  <c r="K94" i="8" s="1"/>
  <c r="AL77" i="4"/>
  <c r="AH94" i="8" s="1"/>
  <c r="AG77" i="4"/>
  <c r="AC94" i="8" s="1"/>
  <c r="AJ77" i="4"/>
  <c r="AF94" i="8" s="1"/>
  <c r="H77" i="4"/>
  <c r="D94" i="8" s="1"/>
  <c r="T77" i="4"/>
  <c r="P94" i="8" s="1"/>
  <c r="AC77" i="4"/>
  <c r="Y94" i="8" s="1"/>
  <c r="AI77" i="4"/>
  <c r="AE94" i="8" s="1"/>
  <c r="W77" i="4"/>
  <c r="S94" i="8" s="1"/>
  <c r="Z77" i="4"/>
  <c r="V94" i="8" s="1"/>
  <c r="R77" i="4"/>
  <c r="N94" i="8" s="1"/>
  <c r="AE77" i="4"/>
  <c r="AA94" i="8" s="1"/>
  <c r="J77" i="4"/>
  <c r="F94" i="8" s="1"/>
  <c r="AB50" i="4"/>
  <c r="P50" i="4"/>
  <c r="G50" i="4"/>
  <c r="L50" i="4"/>
  <c r="AL50" i="4"/>
  <c r="U50" i="4"/>
  <c r="AK50" i="4"/>
  <c r="AH50" i="4"/>
  <c r="I50" i="4"/>
  <c r="K50" i="4"/>
  <c r="S50" i="4"/>
  <c r="AF50" i="4"/>
  <c r="M50" i="4"/>
  <c r="AA50" i="4"/>
  <c r="Y50" i="4"/>
  <c r="Z50" i="4"/>
  <c r="N50" i="4"/>
  <c r="R50" i="4"/>
  <c r="V50" i="4"/>
  <c r="AC50" i="4"/>
  <c r="AD50" i="4"/>
  <c r="Q50" i="4"/>
  <c r="AJ50" i="4"/>
  <c r="AE50" i="4"/>
  <c r="AI50" i="4"/>
  <c r="T50" i="4"/>
  <c r="O50" i="4"/>
  <c r="X50" i="4"/>
  <c r="H50" i="4"/>
  <c r="W50" i="4"/>
  <c r="J50" i="4"/>
  <c r="AG50" i="4"/>
  <c r="Q52" i="4"/>
  <c r="X52" i="4"/>
  <c r="AC52" i="4"/>
  <c r="AD52" i="4"/>
  <c r="G52" i="4"/>
  <c r="AB52" i="4"/>
  <c r="P52" i="4"/>
  <c r="K52" i="4"/>
  <c r="L52" i="4"/>
  <c r="AL52" i="4"/>
  <c r="U52" i="4"/>
  <c r="AK52" i="4"/>
  <c r="AH52" i="4"/>
  <c r="I52" i="4"/>
  <c r="S52" i="4"/>
  <c r="AF52" i="4"/>
  <c r="AA52" i="4"/>
  <c r="Y52" i="4"/>
  <c r="Z52" i="4"/>
  <c r="N52" i="4"/>
  <c r="R52" i="4"/>
  <c r="V52" i="4"/>
  <c r="W52" i="4"/>
  <c r="J52" i="4"/>
  <c r="AG52" i="4"/>
  <c r="AJ52" i="4"/>
  <c r="AE52" i="4"/>
  <c r="O52" i="4"/>
  <c r="AI52" i="4"/>
  <c r="T52" i="4"/>
  <c r="M52" i="4"/>
  <c r="H52" i="4"/>
  <c r="P54" i="4"/>
  <c r="M54" i="4"/>
  <c r="AA54" i="4"/>
  <c r="Y54" i="4"/>
  <c r="Z54" i="4"/>
  <c r="N54" i="4"/>
  <c r="R54" i="4"/>
  <c r="V54" i="4"/>
  <c r="Q54" i="4"/>
  <c r="K54" i="4"/>
  <c r="AC54" i="4"/>
  <c r="G54" i="4"/>
  <c r="AD54" i="4"/>
  <c r="AF54" i="4"/>
  <c r="AB54" i="4"/>
  <c r="X54" i="4"/>
  <c r="L54" i="4"/>
  <c r="AL54" i="4"/>
  <c r="AH54" i="4"/>
  <c r="AK54" i="4"/>
  <c r="W54" i="4"/>
  <c r="H54" i="4"/>
  <c r="J54" i="4"/>
  <c r="AG54" i="4"/>
  <c r="AJ54" i="4"/>
  <c r="AE54" i="4"/>
  <c r="O54" i="4"/>
  <c r="U54" i="4"/>
  <c r="AI54" i="4"/>
  <c r="T54" i="4"/>
  <c r="I54" i="4"/>
  <c r="S54" i="4"/>
  <c r="U56" i="4"/>
  <c r="Q73" i="8" s="1"/>
  <c r="AK56" i="4"/>
  <c r="AG73" i="8" s="1"/>
  <c r="AH56" i="4"/>
  <c r="AD73" i="8" s="1"/>
  <c r="I56" i="4"/>
  <c r="E73" i="8" s="1"/>
  <c r="S56" i="4"/>
  <c r="O73" i="8" s="1"/>
  <c r="P56" i="4"/>
  <c r="L73" i="8" s="1"/>
  <c r="M56" i="4"/>
  <c r="I73" i="8" s="1"/>
  <c r="AA56" i="4"/>
  <c r="W73" i="8" s="1"/>
  <c r="Y56" i="4"/>
  <c r="U73" i="8" s="1"/>
  <c r="Z56" i="4"/>
  <c r="V73" i="8" s="1"/>
  <c r="N56" i="4"/>
  <c r="J73" i="8" s="1"/>
  <c r="R56" i="4"/>
  <c r="N73" i="8" s="1"/>
  <c r="V56" i="4"/>
  <c r="R73" i="8" s="1"/>
  <c r="Q56" i="4"/>
  <c r="M73" i="8" s="1"/>
  <c r="AC56" i="4"/>
  <c r="Y73" i="8" s="1"/>
  <c r="G56" i="4"/>
  <c r="C73" i="8" s="1"/>
  <c r="AD56" i="4"/>
  <c r="Z73" i="8" s="1"/>
  <c r="X56" i="4"/>
  <c r="T73" i="8" s="1"/>
  <c r="L56" i="4"/>
  <c r="H73" i="8" s="1"/>
  <c r="AL56" i="4"/>
  <c r="AH73" i="8" s="1"/>
  <c r="AB56" i="4"/>
  <c r="X73" i="8" s="1"/>
  <c r="AI56" i="4"/>
  <c r="AE73" i="8" s="1"/>
  <c r="T56" i="4"/>
  <c r="P73" i="8" s="1"/>
  <c r="K56" i="4"/>
  <c r="G73" i="8" s="1"/>
  <c r="W56" i="4"/>
  <c r="S73" i="8" s="1"/>
  <c r="H56" i="4"/>
  <c r="D73" i="8" s="1"/>
  <c r="J56" i="4"/>
  <c r="F73" i="8" s="1"/>
  <c r="AG56" i="4"/>
  <c r="AC73" i="8" s="1"/>
  <c r="AJ56" i="4"/>
  <c r="AF73" i="8" s="1"/>
  <c r="AF56" i="4"/>
  <c r="AB73" i="8" s="1"/>
  <c r="AE56" i="4"/>
  <c r="AA73" i="8" s="1"/>
  <c r="O56" i="4"/>
  <c r="K73" i="8" s="1"/>
  <c r="AF58" i="4"/>
  <c r="AB58" i="4"/>
  <c r="Z58" i="4"/>
  <c r="L58" i="4"/>
  <c r="K58" i="4"/>
  <c r="AL58" i="4"/>
  <c r="U58" i="4"/>
  <c r="AK58" i="4"/>
  <c r="AH58" i="4"/>
  <c r="X58" i="4"/>
  <c r="I58" i="4"/>
  <c r="G58" i="4"/>
  <c r="P58" i="4"/>
  <c r="S58" i="4"/>
  <c r="M58" i="4"/>
  <c r="AA58" i="4"/>
  <c r="Y58" i="4"/>
  <c r="N58" i="4"/>
  <c r="V58" i="4"/>
  <c r="AC58" i="4"/>
  <c r="R58" i="4"/>
  <c r="AD58" i="4"/>
  <c r="AJ58" i="4"/>
  <c r="H58" i="4"/>
  <c r="Q58" i="4"/>
  <c r="AE58" i="4"/>
  <c r="O58" i="4"/>
  <c r="T58" i="4"/>
  <c r="J58" i="4"/>
  <c r="AI58" i="4"/>
  <c r="W58" i="4"/>
  <c r="AG58" i="4"/>
  <c r="Q60" i="4"/>
  <c r="M77" i="8" s="1"/>
  <c r="AC60" i="4"/>
  <c r="Y77" i="8" s="1"/>
  <c r="R60" i="4"/>
  <c r="N77" i="8" s="1"/>
  <c r="AD60" i="4"/>
  <c r="Z77" i="8" s="1"/>
  <c r="AF60" i="4"/>
  <c r="AB77" i="8" s="1"/>
  <c r="K60" i="4"/>
  <c r="G77" i="8" s="1"/>
  <c r="AB60" i="4"/>
  <c r="X77" i="8" s="1"/>
  <c r="Z60" i="4"/>
  <c r="V77" i="8" s="1"/>
  <c r="L60" i="4"/>
  <c r="H77" i="8" s="1"/>
  <c r="AL60" i="4"/>
  <c r="AH77" i="8" s="1"/>
  <c r="U60" i="4"/>
  <c r="Q77" i="8" s="1"/>
  <c r="AK60" i="4"/>
  <c r="AG77" i="8" s="1"/>
  <c r="AH60" i="4"/>
  <c r="AD77" i="8" s="1"/>
  <c r="I60" i="4"/>
  <c r="E77" i="8" s="1"/>
  <c r="G60" i="4"/>
  <c r="C77" i="8" s="1"/>
  <c r="AA60" i="4"/>
  <c r="W77" i="8" s="1"/>
  <c r="Y60" i="4"/>
  <c r="U77" i="8" s="1"/>
  <c r="N60" i="4"/>
  <c r="J77" i="8" s="1"/>
  <c r="V60" i="4"/>
  <c r="R77" i="8" s="1"/>
  <c r="S60" i="4"/>
  <c r="O77" i="8" s="1"/>
  <c r="W60" i="4"/>
  <c r="S77" i="8" s="1"/>
  <c r="AG60" i="4"/>
  <c r="AC77" i="8" s="1"/>
  <c r="AJ60" i="4"/>
  <c r="AF77" i="8" s="1"/>
  <c r="AE60" i="4"/>
  <c r="AA77" i="8" s="1"/>
  <c r="O60" i="4"/>
  <c r="K77" i="8" s="1"/>
  <c r="H60" i="4"/>
  <c r="D77" i="8" s="1"/>
  <c r="T60" i="4"/>
  <c r="P77" i="8" s="1"/>
  <c r="J60" i="4"/>
  <c r="F77" i="8" s="1"/>
  <c r="AI60" i="4"/>
  <c r="AE77" i="8" s="1"/>
  <c r="P60" i="4"/>
  <c r="L77" i="8" s="1"/>
  <c r="X60" i="4"/>
  <c r="T77" i="8" s="1"/>
  <c r="M60" i="4"/>
  <c r="I77" i="8" s="1"/>
  <c r="P62" i="4"/>
  <c r="L79" i="8" s="1"/>
  <c r="S62" i="4"/>
  <c r="O79" i="8" s="1"/>
  <c r="M62" i="4"/>
  <c r="I79" i="8" s="1"/>
  <c r="AA62" i="4"/>
  <c r="W79" i="8" s="1"/>
  <c r="Y62" i="4"/>
  <c r="U79" i="8" s="1"/>
  <c r="K62" i="4"/>
  <c r="G79" i="8" s="1"/>
  <c r="N62" i="4"/>
  <c r="J79" i="8" s="1"/>
  <c r="V62" i="4"/>
  <c r="R79" i="8" s="1"/>
  <c r="Q62" i="4"/>
  <c r="M79" i="8" s="1"/>
  <c r="AC62" i="4"/>
  <c r="Y79" i="8" s="1"/>
  <c r="X62" i="4"/>
  <c r="T79" i="8" s="1"/>
  <c r="R62" i="4"/>
  <c r="N79" i="8" s="1"/>
  <c r="AD62" i="4"/>
  <c r="Z79" i="8" s="1"/>
  <c r="AF62" i="4"/>
  <c r="AB79" i="8" s="1"/>
  <c r="AB62" i="4"/>
  <c r="X79" i="8" s="1"/>
  <c r="Z62" i="4"/>
  <c r="V79" i="8" s="1"/>
  <c r="L62" i="4"/>
  <c r="H79" i="8" s="1"/>
  <c r="AL62" i="4"/>
  <c r="AH79" i="8" s="1"/>
  <c r="G62" i="4"/>
  <c r="C79" i="8" s="1"/>
  <c r="I62" i="4"/>
  <c r="E79" i="8" s="1"/>
  <c r="AI62" i="4"/>
  <c r="AE79" i="8" s="1"/>
  <c r="AH62" i="4"/>
  <c r="AD79" i="8" s="1"/>
  <c r="H62" i="4"/>
  <c r="D79" i="8" s="1"/>
  <c r="AK62" i="4"/>
  <c r="AG79" i="8" s="1"/>
  <c r="W62" i="4"/>
  <c r="S79" i="8" s="1"/>
  <c r="AG62" i="4"/>
  <c r="AC79" i="8" s="1"/>
  <c r="AJ62" i="4"/>
  <c r="AF79" i="8" s="1"/>
  <c r="AE62" i="4"/>
  <c r="AA79" i="8" s="1"/>
  <c r="O62" i="4"/>
  <c r="K79" i="8" s="1"/>
  <c r="T62" i="4"/>
  <c r="P79" i="8" s="1"/>
  <c r="U62" i="4"/>
  <c r="Q79" i="8" s="1"/>
  <c r="J62" i="4"/>
  <c r="F79" i="8" s="1"/>
  <c r="U64" i="4"/>
  <c r="Q81" i="8" s="1"/>
  <c r="AK64" i="4"/>
  <c r="AG81" i="8" s="1"/>
  <c r="AH64" i="4"/>
  <c r="AD81" i="8" s="1"/>
  <c r="I64" i="4"/>
  <c r="E81" i="8" s="1"/>
  <c r="G64" i="4"/>
  <c r="C81" i="8" s="1"/>
  <c r="P64" i="4"/>
  <c r="L81" i="8" s="1"/>
  <c r="S64" i="4"/>
  <c r="O81" i="8" s="1"/>
  <c r="M64" i="4"/>
  <c r="I81" i="8" s="1"/>
  <c r="AA64" i="4"/>
  <c r="W81" i="8" s="1"/>
  <c r="Y64" i="4"/>
  <c r="U81" i="8" s="1"/>
  <c r="N64" i="4"/>
  <c r="J81" i="8" s="1"/>
  <c r="V64" i="4"/>
  <c r="R81" i="8" s="1"/>
  <c r="Q64" i="4"/>
  <c r="M81" i="8" s="1"/>
  <c r="AC64" i="4"/>
  <c r="Y81" i="8" s="1"/>
  <c r="R64" i="4"/>
  <c r="N81" i="8" s="1"/>
  <c r="AD64" i="4"/>
  <c r="Z81" i="8" s="1"/>
  <c r="Z64" i="4"/>
  <c r="V81" i="8" s="1"/>
  <c r="X64" i="4"/>
  <c r="T81" i="8" s="1"/>
  <c r="L64" i="4"/>
  <c r="H81" i="8" s="1"/>
  <c r="AL64" i="4"/>
  <c r="AH81" i="8" s="1"/>
  <c r="K64" i="4"/>
  <c r="G81" i="8" s="1"/>
  <c r="T64" i="4"/>
  <c r="P81" i="8" s="1"/>
  <c r="AB64" i="4"/>
  <c r="X81" i="8" s="1"/>
  <c r="J64" i="4"/>
  <c r="F81" i="8" s="1"/>
  <c r="AI64" i="4"/>
  <c r="AE81" i="8" s="1"/>
  <c r="W64" i="4"/>
  <c r="S81" i="8" s="1"/>
  <c r="H64" i="4"/>
  <c r="D81" i="8" s="1"/>
  <c r="AG64" i="4"/>
  <c r="AC81" i="8" s="1"/>
  <c r="AF64" i="4"/>
  <c r="AB81" i="8" s="1"/>
  <c r="AJ64" i="4"/>
  <c r="AF81" i="8" s="1"/>
  <c r="AE64" i="4"/>
  <c r="AA81" i="8" s="1"/>
  <c r="O64" i="4"/>
  <c r="K81" i="8" s="1"/>
  <c r="G66" i="4"/>
  <c r="C83" i="8" s="1"/>
  <c r="R66" i="4"/>
  <c r="N83" i="8" s="1"/>
  <c r="K66" i="4"/>
  <c r="G83" i="8" s="1"/>
  <c r="X66" i="4"/>
  <c r="T83" i="8" s="1"/>
  <c r="L66" i="4"/>
  <c r="H83" i="8" s="1"/>
  <c r="AL66" i="4"/>
  <c r="AH83" i="8" s="1"/>
  <c r="U66" i="4"/>
  <c r="Q83" i="8" s="1"/>
  <c r="AK66" i="4"/>
  <c r="AG83" i="8" s="1"/>
  <c r="AF66" i="4"/>
  <c r="AB83" i="8" s="1"/>
  <c r="AB66" i="4"/>
  <c r="X83" i="8" s="1"/>
  <c r="I66" i="4"/>
  <c r="E83" i="8" s="1"/>
  <c r="P66" i="4"/>
  <c r="L83" i="8" s="1"/>
  <c r="AH66" i="4"/>
  <c r="AD83" i="8" s="1"/>
  <c r="M66" i="4"/>
  <c r="I83" i="8" s="1"/>
  <c r="Y66" i="4"/>
  <c r="U83" i="8" s="1"/>
  <c r="Z66" i="4"/>
  <c r="V83" i="8" s="1"/>
  <c r="N66" i="4"/>
  <c r="J83" i="8" s="1"/>
  <c r="V66" i="4"/>
  <c r="R83" i="8" s="1"/>
  <c r="S66" i="4"/>
  <c r="O83" i="8" s="1"/>
  <c r="AC66" i="4"/>
  <c r="Y83" i="8" s="1"/>
  <c r="AD66" i="4"/>
  <c r="Z83" i="8" s="1"/>
  <c r="AE66" i="4"/>
  <c r="AA83" i="8" s="1"/>
  <c r="AJ66" i="4"/>
  <c r="AF83" i="8" s="1"/>
  <c r="H66" i="4"/>
  <c r="D83" i="8" s="1"/>
  <c r="O66" i="4"/>
  <c r="K83" i="8" s="1"/>
  <c r="AI66" i="4"/>
  <c r="AE83" i="8" s="1"/>
  <c r="Q66" i="4"/>
  <c r="M83" i="8" s="1"/>
  <c r="AA66" i="4"/>
  <c r="W83" i="8" s="1"/>
  <c r="W66" i="4"/>
  <c r="S83" i="8" s="1"/>
  <c r="T66" i="4"/>
  <c r="P83" i="8" s="1"/>
  <c r="J66" i="4"/>
  <c r="F83" i="8" s="1"/>
  <c r="AG66" i="4"/>
  <c r="AC83" i="8" s="1"/>
  <c r="Q68" i="4"/>
  <c r="M85" i="8" s="1"/>
  <c r="AC68" i="4"/>
  <c r="Y85" i="8" s="1"/>
  <c r="R68" i="4"/>
  <c r="N85" i="8" s="1"/>
  <c r="AD68" i="4"/>
  <c r="Z85" i="8" s="1"/>
  <c r="X68" i="4"/>
  <c r="T85" i="8" s="1"/>
  <c r="L68" i="4"/>
  <c r="H85" i="8" s="1"/>
  <c r="K68" i="4"/>
  <c r="G85" i="8" s="1"/>
  <c r="AB68" i="4"/>
  <c r="X85" i="8" s="1"/>
  <c r="AL68" i="4"/>
  <c r="AH85" i="8" s="1"/>
  <c r="U68" i="4"/>
  <c r="Q85" i="8" s="1"/>
  <c r="AK68" i="4"/>
  <c r="AG85" i="8" s="1"/>
  <c r="I68" i="4"/>
  <c r="E85" i="8" s="1"/>
  <c r="P68" i="4"/>
  <c r="L85" i="8" s="1"/>
  <c r="AH68" i="4"/>
  <c r="AD85" i="8" s="1"/>
  <c r="AA68" i="4"/>
  <c r="W85" i="8" s="1"/>
  <c r="Y68" i="4"/>
  <c r="U85" i="8" s="1"/>
  <c r="AF68" i="4"/>
  <c r="AB85" i="8" s="1"/>
  <c r="N68" i="4"/>
  <c r="J85" i="8" s="1"/>
  <c r="G68" i="4"/>
  <c r="C85" i="8" s="1"/>
  <c r="V68" i="4"/>
  <c r="R85" i="8" s="1"/>
  <c r="M68" i="4"/>
  <c r="I85" i="8" s="1"/>
  <c r="AE68" i="4"/>
  <c r="AA85" i="8" s="1"/>
  <c r="AJ68" i="4"/>
  <c r="AF85" i="8" s="1"/>
  <c r="H68" i="4"/>
  <c r="D85" i="8" s="1"/>
  <c r="AG68" i="4"/>
  <c r="AC85" i="8" s="1"/>
  <c r="S68" i="4"/>
  <c r="O85" i="8" s="1"/>
  <c r="O68" i="4"/>
  <c r="K85" i="8" s="1"/>
  <c r="AI68" i="4"/>
  <c r="AE85" i="8" s="1"/>
  <c r="Z68" i="4"/>
  <c r="V85" i="8" s="1"/>
  <c r="W68" i="4"/>
  <c r="S85" i="8" s="1"/>
  <c r="T68" i="4"/>
  <c r="P85" i="8" s="1"/>
  <c r="J68" i="4"/>
  <c r="F85" i="8" s="1"/>
  <c r="AA70" i="4"/>
  <c r="W87" i="8" s="1"/>
  <c r="G70" i="4"/>
  <c r="C87" i="8" s="1"/>
  <c r="M70" i="4"/>
  <c r="I87" i="8" s="1"/>
  <c r="Y70" i="4"/>
  <c r="U87" i="8" s="1"/>
  <c r="N70" i="4"/>
  <c r="J87" i="8" s="1"/>
  <c r="V70" i="4"/>
  <c r="R87" i="8" s="1"/>
  <c r="AK70" i="4"/>
  <c r="AG87" i="8" s="1"/>
  <c r="Q70" i="4"/>
  <c r="M87" i="8" s="1"/>
  <c r="AH70" i="4"/>
  <c r="AD87" i="8" s="1"/>
  <c r="X70" i="4"/>
  <c r="T87" i="8" s="1"/>
  <c r="AD70" i="4"/>
  <c r="Z87" i="8" s="1"/>
  <c r="L70" i="4"/>
  <c r="H87" i="8" s="1"/>
  <c r="AB70" i="4"/>
  <c r="X87" i="8" s="1"/>
  <c r="S70" i="4"/>
  <c r="O87" i="8" s="1"/>
  <c r="AL70" i="4"/>
  <c r="AH87" i="8" s="1"/>
  <c r="AC70" i="4"/>
  <c r="Y87" i="8" s="1"/>
  <c r="Z70" i="4"/>
  <c r="V87" i="8" s="1"/>
  <c r="K70" i="4"/>
  <c r="G87" i="8" s="1"/>
  <c r="R70" i="4"/>
  <c r="N87" i="8" s="1"/>
  <c r="U70" i="4"/>
  <c r="Q87" i="8" s="1"/>
  <c r="I70" i="4"/>
  <c r="E87" i="8" s="1"/>
  <c r="O70" i="4"/>
  <c r="K87" i="8" s="1"/>
  <c r="J70" i="4"/>
  <c r="F87" i="8" s="1"/>
  <c r="AG70" i="4"/>
  <c r="AC87" i="8" s="1"/>
  <c r="AF70" i="4"/>
  <c r="AB87" i="8" s="1"/>
  <c r="AJ70" i="4"/>
  <c r="AF87" i="8" s="1"/>
  <c r="T70" i="4"/>
  <c r="P87" i="8" s="1"/>
  <c r="P70" i="4"/>
  <c r="L87" i="8" s="1"/>
  <c r="AI70" i="4"/>
  <c r="AE87" i="8" s="1"/>
  <c r="W70" i="4"/>
  <c r="S87" i="8" s="1"/>
  <c r="AE70" i="4"/>
  <c r="AA87" i="8" s="1"/>
  <c r="H70" i="4"/>
  <c r="D87" i="8" s="1"/>
  <c r="AC72" i="4"/>
  <c r="Y89" i="8" s="1"/>
  <c r="P72" i="4"/>
  <c r="L89" i="8" s="1"/>
  <c r="AF72" i="4"/>
  <c r="AB89" i="8" s="1"/>
  <c r="I72" i="4"/>
  <c r="E89" i="8" s="1"/>
  <c r="Z72" i="4"/>
  <c r="V89" i="8" s="1"/>
  <c r="R72" i="4"/>
  <c r="N89" i="8" s="1"/>
  <c r="M72" i="4"/>
  <c r="I89" i="8" s="1"/>
  <c r="AA72" i="4"/>
  <c r="W89" i="8" s="1"/>
  <c r="Y72" i="4"/>
  <c r="U89" i="8" s="1"/>
  <c r="AK72" i="4"/>
  <c r="AG89" i="8" s="1"/>
  <c r="N72" i="4"/>
  <c r="J89" i="8" s="1"/>
  <c r="K72" i="4"/>
  <c r="G89" i="8" s="1"/>
  <c r="V72" i="4"/>
  <c r="R89" i="8" s="1"/>
  <c r="Q72" i="4"/>
  <c r="M89" i="8" s="1"/>
  <c r="L72" i="4"/>
  <c r="H89" i="8" s="1"/>
  <c r="AH72" i="4"/>
  <c r="AD89" i="8" s="1"/>
  <c r="X72" i="4"/>
  <c r="T89" i="8" s="1"/>
  <c r="AD72" i="4"/>
  <c r="Z89" i="8" s="1"/>
  <c r="U72" i="4"/>
  <c r="Q89" i="8" s="1"/>
  <c r="G72" i="4"/>
  <c r="C89" i="8" s="1"/>
  <c r="W72" i="4"/>
  <c r="S89" i="8" s="1"/>
  <c r="S72" i="4"/>
  <c r="O89" i="8" s="1"/>
  <c r="AE72" i="4"/>
  <c r="AA89" i="8" s="1"/>
  <c r="J72" i="4"/>
  <c r="F89" i="8" s="1"/>
  <c r="AB72" i="4"/>
  <c r="X89" i="8" s="1"/>
  <c r="O72" i="4"/>
  <c r="K89" i="8" s="1"/>
  <c r="AL72" i="4"/>
  <c r="AH89" i="8" s="1"/>
  <c r="AG72" i="4"/>
  <c r="AC89" i="8" s="1"/>
  <c r="AJ72" i="4"/>
  <c r="AF89" i="8" s="1"/>
  <c r="H72" i="4"/>
  <c r="D89" i="8" s="1"/>
  <c r="T72" i="4"/>
  <c r="P89" i="8" s="1"/>
  <c r="AI72" i="4"/>
  <c r="AE89" i="8" s="1"/>
  <c r="U74" i="4"/>
  <c r="Q91" i="8" s="1"/>
  <c r="AB74" i="4"/>
  <c r="X91" i="8" s="1"/>
  <c r="S74" i="4"/>
  <c r="O91" i="8" s="1"/>
  <c r="AC74" i="4"/>
  <c r="Y91" i="8" s="1"/>
  <c r="G74" i="4"/>
  <c r="C91" i="8" s="1"/>
  <c r="P74" i="4"/>
  <c r="L91" i="8" s="1"/>
  <c r="AF74" i="4"/>
  <c r="AB91" i="8" s="1"/>
  <c r="I74" i="4"/>
  <c r="E91" i="8" s="1"/>
  <c r="M74" i="4"/>
  <c r="I91" i="8" s="1"/>
  <c r="Z74" i="4"/>
  <c r="V91" i="8" s="1"/>
  <c r="R74" i="4"/>
  <c r="N91" i="8" s="1"/>
  <c r="AA74" i="4"/>
  <c r="W91" i="8" s="1"/>
  <c r="AK74" i="4"/>
  <c r="AG91" i="8" s="1"/>
  <c r="Y74" i="4"/>
  <c r="U91" i="8" s="1"/>
  <c r="N74" i="4"/>
  <c r="J91" i="8" s="1"/>
  <c r="V74" i="4"/>
  <c r="R91" i="8" s="1"/>
  <c r="AH74" i="4"/>
  <c r="AD91" i="8" s="1"/>
  <c r="X74" i="4"/>
  <c r="T91" i="8" s="1"/>
  <c r="AD74" i="4"/>
  <c r="Z91" i="8" s="1"/>
  <c r="AJ74" i="4"/>
  <c r="AF91" i="8" s="1"/>
  <c r="H74" i="4"/>
  <c r="D91" i="8" s="1"/>
  <c r="T74" i="4"/>
  <c r="P91" i="8" s="1"/>
  <c r="AI74" i="4"/>
  <c r="AE91" i="8" s="1"/>
  <c r="W74" i="4"/>
  <c r="S91" i="8" s="1"/>
  <c r="Q74" i="4"/>
  <c r="M91" i="8" s="1"/>
  <c r="AE74" i="4"/>
  <c r="AA91" i="8" s="1"/>
  <c r="J74" i="4"/>
  <c r="F91" i="8" s="1"/>
  <c r="K74" i="4"/>
  <c r="G91" i="8" s="1"/>
  <c r="L74" i="4"/>
  <c r="H91" i="8" s="1"/>
  <c r="O74" i="4"/>
  <c r="K91" i="8" s="1"/>
  <c r="AL74" i="4"/>
  <c r="AH91" i="8" s="1"/>
  <c r="AG74" i="4"/>
  <c r="AC91" i="8" s="1"/>
  <c r="Q76" i="4"/>
  <c r="M93" i="8" s="1"/>
  <c r="L76" i="4"/>
  <c r="H93" i="8" s="1"/>
  <c r="U76" i="4"/>
  <c r="Q93" i="8" s="1"/>
  <c r="AH76" i="4"/>
  <c r="AD93" i="8" s="1"/>
  <c r="X76" i="4"/>
  <c r="T93" i="8" s="1"/>
  <c r="AD76" i="4"/>
  <c r="Z93" i="8" s="1"/>
  <c r="AC76" i="4"/>
  <c r="Y93" i="8" s="1"/>
  <c r="AB76" i="4"/>
  <c r="X93" i="8" s="1"/>
  <c r="S76" i="4"/>
  <c r="O93" i="8" s="1"/>
  <c r="G76" i="4"/>
  <c r="C93" i="8" s="1"/>
  <c r="M76" i="4"/>
  <c r="I93" i="8" s="1"/>
  <c r="P76" i="4"/>
  <c r="L93" i="8" s="1"/>
  <c r="AF76" i="4"/>
  <c r="AB93" i="8" s="1"/>
  <c r="I76" i="4"/>
  <c r="E93" i="8" s="1"/>
  <c r="AK76" i="4"/>
  <c r="AG93" i="8" s="1"/>
  <c r="Z76" i="4"/>
  <c r="V93" i="8" s="1"/>
  <c r="R76" i="4"/>
  <c r="N93" i="8" s="1"/>
  <c r="Y76" i="4"/>
  <c r="U93" i="8" s="1"/>
  <c r="N76" i="4"/>
  <c r="J93" i="8" s="1"/>
  <c r="V76" i="4"/>
  <c r="R93" i="8" s="1"/>
  <c r="O76" i="4"/>
  <c r="K93" i="8" s="1"/>
  <c r="AL76" i="4"/>
  <c r="AH93" i="8" s="1"/>
  <c r="AG76" i="4"/>
  <c r="AC93" i="8" s="1"/>
  <c r="AJ76" i="4"/>
  <c r="AF93" i="8" s="1"/>
  <c r="H76" i="4"/>
  <c r="D93" i="8" s="1"/>
  <c r="T76" i="4"/>
  <c r="P93" i="8" s="1"/>
  <c r="K76" i="4"/>
  <c r="G93" i="8" s="1"/>
  <c r="AI76" i="4"/>
  <c r="AE93" i="8" s="1"/>
  <c r="W76" i="4"/>
  <c r="S93" i="8" s="1"/>
  <c r="AA76" i="4"/>
  <c r="W93" i="8" s="1"/>
  <c r="AE76" i="4"/>
  <c r="AA93" i="8" s="1"/>
  <c r="J76" i="4"/>
  <c r="F93" i="8" s="1"/>
  <c r="AA78" i="4"/>
  <c r="W95" i="8" s="1"/>
  <c r="Y78" i="4"/>
  <c r="U95" i="8" s="1"/>
  <c r="N78" i="4"/>
  <c r="J95" i="8" s="1"/>
  <c r="V78" i="4"/>
  <c r="R95" i="8" s="1"/>
  <c r="U78" i="4"/>
  <c r="Q95" i="8" s="1"/>
  <c r="Q78" i="4"/>
  <c r="M95" i="8" s="1"/>
  <c r="K78" i="4"/>
  <c r="G95" i="8" s="1"/>
  <c r="L78" i="4"/>
  <c r="H95" i="8" s="1"/>
  <c r="AC78" i="4"/>
  <c r="Y95" i="8" s="1"/>
  <c r="AH78" i="4"/>
  <c r="AD95" i="8" s="1"/>
  <c r="X78" i="4"/>
  <c r="T95" i="8" s="1"/>
  <c r="AD78" i="4"/>
  <c r="Z95" i="8" s="1"/>
  <c r="AB78" i="4"/>
  <c r="X95" i="8" s="1"/>
  <c r="S78" i="4"/>
  <c r="O95" i="8" s="1"/>
  <c r="M78" i="4"/>
  <c r="I95" i="8" s="1"/>
  <c r="G78" i="4"/>
  <c r="C95" i="8" s="1"/>
  <c r="Z78" i="4"/>
  <c r="V95" i="8" s="1"/>
  <c r="R78" i="4"/>
  <c r="N95" i="8" s="1"/>
  <c r="I78" i="4"/>
  <c r="E95" i="8" s="1"/>
  <c r="O78" i="4"/>
  <c r="K95" i="8" s="1"/>
  <c r="AL78" i="4"/>
  <c r="AH95" i="8" s="1"/>
  <c r="AG78" i="4"/>
  <c r="AC95" i="8" s="1"/>
  <c r="AK78" i="4"/>
  <c r="AG95" i="8" s="1"/>
  <c r="AJ78" i="4"/>
  <c r="AF95" i="8" s="1"/>
  <c r="H78" i="4"/>
  <c r="D95" i="8" s="1"/>
  <c r="T78" i="4"/>
  <c r="P95" i="8" s="1"/>
  <c r="AF78" i="4"/>
  <c r="AB95" i="8" s="1"/>
  <c r="AI78" i="4"/>
  <c r="AE95" i="8" s="1"/>
  <c r="P78" i="4"/>
  <c r="L95" i="8" s="1"/>
  <c r="W78" i="4"/>
  <c r="S95" i="8" s="1"/>
  <c r="AE78" i="4"/>
  <c r="AA95" i="8" s="1"/>
  <c r="J78" i="4"/>
  <c r="F95" i="8" s="1"/>
  <c r="A34" i="4"/>
  <c r="F120" i="9"/>
  <c r="F110" i="9"/>
  <c r="F112" i="10"/>
  <c r="F108" i="10"/>
  <c r="F109" i="10"/>
  <c r="F110" i="10"/>
  <c r="F106" i="10"/>
  <c r="F102" i="10"/>
  <c r="F99" i="10"/>
  <c r="F95" i="10"/>
  <c r="F91" i="10"/>
  <c r="AC118" i="10"/>
  <c r="F101" i="10"/>
  <c r="F100" i="10"/>
  <c r="F96" i="10"/>
  <c r="AB118" i="10"/>
  <c r="F92" i="10"/>
  <c r="F105" i="10"/>
  <c r="AA118" i="10"/>
  <c r="F111" i="10"/>
  <c r="F97" i="10"/>
  <c r="AH118" i="10"/>
  <c r="F93" i="10"/>
  <c r="F89" i="10"/>
  <c r="F104" i="10"/>
  <c r="AG118" i="10"/>
  <c r="F98" i="10"/>
  <c r="X118" i="10"/>
  <c r="F94" i="10"/>
  <c r="F90" i="10"/>
  <c r="F87" i="10"/>
  <c r="AE118" i="10"/>
  <c r="Q119" i="10"/>
  <c r="F103" i="10"/>
  <c r="F88" i="10"/>
  <c r="H119" i="10"/>
  <c r="F84" i="10"/>
  <c r="F107" i="10"/>
  <c r="O118" i="10"/>
  <c r="G119" i="10"/>
  <c r="AD119" i="10"/>
  <c r="V119" i="10"/>
  <c r="F85" i="10"/>
  <c r="F119" i="10" s="1"/>
  <c r="AB119" i="10"/>
  <c r="AA119" i="10"/>
  <c r="S119" i="10"/>
  <c r="F86" i="10"/>
  <c r="E112" i="4"/>
  <c r="A95" i="8"/>
  <c r="E89" i="4"/>
  <c r="A72" i="8"/>
  <c r="E97" i="4"/>
  <c r="A80" i="8"/>
  <c r="E105" i="4"/>
  <c r="A88" i="8"/>
  <c r="E113" i="4"/>
  <c r="A96" i="8"/>
  <c r="E96" i="4"/>
  <c r="A79" i="8"/>
  <c r="E83" i="4"/>
  <c r="E90" i="4"/>
  <c r="A73" i="8"/>
  <c r="E98" i="4"/>
  <c r="A81" i="8"/>
  <c r="E106" i="4"/>
  <c r="A89" i="8"/>
  <c r="E91" i="4"/>
  <c r="A74" i="8"/>
  <c r="E99" i="4"/>
  <c r="A82" i="8"/>
  <c r="E107" i="4"/>
  <c r="A90" i="8"/>
  <c r="E84" i="4"/>
  <c r="A67" i="8"/>
  <c r="E92" i="4"/>
  <c r="A75" i="8"/>
  <c r="E100" i="4"/>
  <c r="A83" i="8"/>
  <c r="E108" i="4"/>
  <c r="A91" i="8"/>
  <c r="E88" i="4"/>
  <c r="A71" i="8"/>
  <c r="E85" i="4"/>
  <c r="A68" i="8"/>
  <c r="E93" i="4"/>
  <c r="A76" i="8"/>
  <c r="E101" i="4"/>
  <c r="A84" i="8"/>
  <c r="E109" i="4"/>
  <c r="A92" i="8"/>
  <c r="E104" i="4"/>
  <c r="A87" i="8"/>
  <c r="E86" i="4"/>
  <c r="A69" i="8"/>
  <c r="E94" i="4"/>
  <c r="A77" i="8"/>
  <c r="E102" i="4"/>
  <c r="A85" i="8"/>
  <c r="E110" i="4"/>
  <c r="A93" i="8"/>
  <c r="E87" i="4"/>
  <c r="A70" i="8"/>
  <c r="E95" i="4"/>
  <c r="A78" i="8"/>
  <c r="E103" i="4"/>
  <c r="A86" i="8"/>
  <c r="E111" i="4"/>
  <c r="A94" i="8"/>
  <c r="D45" i="4"/>
  <c r="C45" i="4"/>
  <c r="B45" i="4"/>
  <c r="B41" i="4" s="1"/>
  <c r="A118" i="4"/>
  <c r="A119" i="4" s="1"/>
  <c r="A87" i="4"/>
  <c r="AB70" i="8"/>
  <c r="F70" i="8"/>
  <c r="O70" i="8"/>
  <c r="F53" i="4"/>
  <c r="B70" i="8" s="1"/>
  <c r="U70" i="8"/>
  <c r="AD70" i="8"/>
  <c r="A91" i="4"/>
  <c r="X74" i="8"/>
  <c r="N74" i="8"/>
  <c r="F57" i="4"/>
  <c r="B74" i="8" s="1"/>
  <c r="T74" i="8"/>
  <c r="G74" i="8"/>
  <c r="O74" i="8"/>
  <c r="A84" i="4"/>
  <c r="F50" i="4"/>
  <c r="A88" i="4"/>
  <c r="F54" i="4"/>
  <c r="A92" i="4"/>
  <c r="F58" i="4"/>
  <c r="A94" i="4"/>
  <c r="F60" i="4"/>
  <c r="A98" i="4"/>
  <c r="F64" i="4"/>
  <c r="B81" i="8" s="1"/>
  <c r="A86" i="4"/>
  <c r="F52" i="4"/>
  <c r="A90" i="4"/>
  <c r="F56" i="4"/>
  <c r="B73" i="8" s="1"/>
  <c r="A96" i="4"/>
  <c r="F62" i="4"/>
  <c r="B79" i="8" s="1"/>
  <c r="A95" i="4"/>
  <c r="AF78" i="8"/>
  <c r="U78" i="8"/>
  <c r="AD78" i="8"/>
  <c r="AB78" i="8"/>
  <c r="F61" i="4"/>
  <c r="B78" i="8" s="1"/>
  <c r="A41" i="4"/>
  <c r="F51" i="4"/>
  <c r="B68" i="8" s="1"/>
  <c r="A100" i="4"/>
  <c r="F66" i="4"/>
  <c r="B83" i="8" s="1"/>
  <c r="A102" i="4"/>
  <c r="F68" i="4"/>
  <c r="B85" i="8" s="1"/>
  <c r="A104" i="4"/>
  <c r="F70" i="4"/>
  <c r="B87" i="8" s="1"/>
  <c r="A106" i="4"/>
  <c r="F72" i="4"/>
  <c r="B89" i="8" s="1"/>
  <c r="A108" i="4"/>
  <c r="F74" i="4"/>
  <c r="B91" i="8" s="1"/>
  <c r="A110" i="4"/>
  <c r="F76" i="4"/>
  <c r="B93" i="8" s="1"/>
  <c r="A112" i="4"/>
  <c r="F78" i="4"/>
  <c r="B95" i="8" s="1"/>
  <c r="C68" i="8"/>
  <c r="F63" i="4"/>
  <c r="B80" i="8" s="1"/>
  <c r="Z68" i="8"/>
  <c r="F55" i="4"/>
  <c r="I76" i="8"/>
  <c r="A85" i="4"/>
  <c r="E68" i="8"/>
  <c r="A89" i="4"/>
  <c r="A93" i="4"/>
  <c r="A97" i="4"/>
  <c r="A99" i="4"/>
  <c r="F65" i="4"/>
  <c r="B82" i="8" s="1"/>
  <c r="AG82" i="8"/>
  <c r="A101" i="4"/>
  <c r="F67" i="4"/>
  <c r="B84" i="8" s="1"/>
  <c r="A103" i="4"/>
  <c r="F69" i="4"/>
  <c r="A105" i="4"/>
  <c r="C88" i="8"/>
  <c r="F71" i="4"/>
  <c r="B88" i="8" s="1"/>
  <c r="A107" i="4"/>
  <c r="F73" i="4"/>
  <c r="B90" i="8" s="1"/>
  <c r="A109" i="4"/>
  <c r="F75" i="4"/>
  <c r="B92" i="8" s="1"/>
  <c r="A111" i="4"/>
  <c r="F77" i="4"/>
  <c r="B94" i="8" s="1"/>
  <c r="AE68" i="8"/>
  <c r="W76" i="8"/>
  <c r="AG76" i="8"/>
  <c r="J68" i="8"/>
  <c r="F59" i="4"/>
  <c r="B76" i="8" s="1"/>
  <c r="N76" i="8"/>
  <c r="C119" i="4"/>
  <c r="AA120" i="10" l="1"/>
  <c r="AA121" i="10"/>
  <c r="AB120" i="10"/>
  <c r="AB121" i="10"/>
  <c r="AD118" i="10"/>
  <c r="AD121" i="10" s="1"/>
  <c r="T119" i="10"/>
  <c r="AK119" i="10"/>
  <c r="O119" i="10"/>
  <c r="P119" i="10"/>
  <c r="I119" i="10"/>
  <c r="J119" i="10"/>
  <c r="AI118" i="10"/>
  <c r="AJ118" i="10"/>
  <c r="AK118" i="10"/>
  <c r="AL118" i="10"/>
  <c r="AL119" i="10"/>
  <c r="AJ119" i="10"/>
  <c r="W119" i="10"/>
  <c r="AI119" i="10"/>
  <c r="K119" i="10"/>
  <c r="AE119" i="10"/>
  <c r="AF119" i="10"/>
  <c r="Y119" i="10"/>
  <c r="Z119" i="10"/>
  <c r="AG119" i="10"/>
  <c r="AH119" i="10"/>
  <c r="H118" i="10"/>
  <c r="H121" i="10" s="1"/>
  <c r="R119" i="10"/>
  <c r="P118" i="10"/>
  <c r="I118" i="10"/>
  <c r="J118" i="10"/>
  <c r="F118" i="10"/>
  <c r="F121" i="10" s="1"/>
  <c r="AC119" i="10"/>
  <c r="M119" i="10"/>
  <c r="G118" i="10"/>
  <c r="G121" i="10" s="1"/>
  <c r="Q118" i="10"/>
  <c r="Q121" i="10" s="1"/>
  <c r="R118" i="10"/>
  <c r="K118" i="10"/>
  <c r="L118" i="10"/>
  <c r="M118" i="10"/>
  <c r="N118" i="10"/>
  <c r="L119" i="10"/>
  <c r="X119" i="10"/>
  <c r="U119" i="10"/>
  <c r="N119" i="10"/>
  <c r="W118" i="10"/>
  <c r="AF118" i="10"/>
  <c r="Y118" i="10"/>
  <c r="Z118" i="10"/>
  <c r="S118" i="10"/>
  <c r="S121" i="10" s="1"/>
  <c r="T118" i="10"/>
  <c r="U118" i="10"/>
  <c r="V118" i="10"/>
  <c r="V121" i="10" s="1"/>
  <c r="H86" i="8"/>
  <c r="AF86" i="8"/>
  <c r="C86" i="8"/>
  <c r="V86" i="8"/>
  <c r="I75" i="8"/>
  <c r="AG75" i="8"/>
  <c r="P75" i="8"/>
  <c r="AA75" i="8"/>
  <c r="F71" i="8"/>
  <c r="AD71" i="8"/>
  <c r="W71" i="8"/>
  <c r="K71" i="8"/>
  <c r="R86" i="8"/>
  <c r="K86" i="8"/>
  <c r="M86" i="8"/>
  <c r="AD86" i="8"/>
  <c r="U75" i="8"/>
  <c r="D75" i="8"/>
  <c r="AB75" i="8"/>
  <c r="J75" i="8"/>
  <c r="P71" i="8"/>
  <c r="I71" i="8"/>
  <c r="AG71" i="8"/>
  <c r="S71" i="8"/>
  <c r="AB86" i="8"/>
  <c r="U86" i="8"/>
  <c r="Y86" i="8"/>
  <c r="G86" i="8"/>
  <c r="AE75" i="8"/>
  <c r="N75" i="8"/>
  <c r="G75" i="8"/>
  <c r="R75" i="8"/>
  <c r="D71" i="8"/>
  <c r="AB71" i="8"/>
  <c r="U71" i="8"/>
  <c r="AA71" i="8"/>
  <c r="I86" i="8"/>
  <c r="AG86" i="8"/>
  <c r="D86" i="8"/>
  <c r="O86" i="8"/>
  <c r="L75" i="8"/>
  <c r="X75" i="8"/>
  <c r="Q75" i="8"/>
  <c r="Z75" i="8"/>
  <c r="N71" i="8"/>
  <c r="G71" i="8"/>
  <c r="AE71" i="8"/>
  <c r="J71" i="8"/>
  <c r="S86" i="8"/>
  <c r="P86" i="8"/>
  <c r="W86" i="8"/>
  <c r="V75" i="8"/>
  <c r="E75" i="8"/>
  <c r="AC75" i="8"/>
  <c r="AH75" i="8"/>
  <c r="X71" i="8"/>
  <c r="Q71" i="8"/>
  <c r="L71" i="8"/>
  <c r="R71" i="8"/>
  <c r="E86" i="8"/>
  <c r="AC86" i="8"/>
  <c r="L86" i="8"/>
  <c r="Z86" i="8"/>
  <c r="AE86" i="8"/>
  <c r="AF75" i="8"/>
  <c r="O75" i="8"/>
  <c r="H75" i="8"/>
  <c r="C75" i="8"/>
  <c r="E71" i="8"/>
  <c r="AC71" i="8"/>
  <c r="V71" i="8"/>
  <c r="Z71" i="8"/>
  <c r="Q86" i="8"/>
  <c r="J86" i="8"/>
  <c r="X86" i="8"/>
  <c r="F86" i="8"/>
  <c r="M75" i="8"/>
  <c r="Y75" i="8"/>
  <c r="T75" i="8"/>
  <c r="K75" i="8"/>
  <c r="O71" i="8"/>
  <c r="H71" i="8"/>
  <c r="AF71" i="8"/>
  <c r="AH71" i="8"/>
  <c r="AA86" i="8"/>
  <c r="T86" i="8"/>
  <c r="AH86" i="8"/>
  <c r="N86" i="8"/>
  <c r="W75" i="8"/>
  <c r="F75" i="8"/>
  <c r="AD75" i="8"/>
  <c r="S75" i="8"/>
  <c r="Y71" i="8"/>
  <c r="T71" i="8"/>
  <c r="M71" i="8"/>
  <c r="C71" i="8"/>
  <c r="B71" i="8"/>
  <c r="B86" i="8"/>
  <c r="B75" i="8"/>
  <c r="Q69" i="8"/>
  <c r="J69" i="8"/>
  <c r="X69" i="8"/>
  <c r="F69" i="8"/>
  <c r="U67" i="8"/>
  <c r="D67" i="8"/>
  <c r="AB67" i="8"/>
  <c r="S67" i="8"/>
  <c r="AA69" i="8"/>
  <c r="T69" i="8"/>
  <c r="AH69" i="8"/>
  <c r="N69" i="8"/>
  <c r="G67" i="8"/>
  <c r="AE67" i="8"/>
  <c r="N67" i="8"/>
  <c r="AA67" i="8"/>
  <c r="H69" i="8"/>
  <c r="AF69" i="8"/>
  <c r="C69" i="8"/>
  <c r="V69" i="8"/>
  <c r="Q67" i="8"/>
  <c r="L67" i="8"/>
  <c r="X67" i="8"/>
  <c r="J67" i="8"/>
  <c r="R69" i="8"/>
  <c r="K69" i="8"/>
  <c r="M69" i="8"/>
  <c r="AD69" i="8"/>
  <c r="AC67" i="8"/>
  <c r="V67" i="8"/>
  <c r="E67" i="8"/>
  <c r="R67" i="8"/>
  <c r="AB69" i="8"/>
  <c r="U69" i="8"/>
  <c r="Y69" i="8"/>
  <c r="G69" i="8"/>
  <c r="H67" i="8"/>
  <c r="AF67" i="8"/>
  <c r="O67" i="8"/>
  <c r="Z67" i="8"/>
  <c r="I69" i="8"/>
  <c r="AG69" i="8"/>
  <c r="D69" i="8"/>
  <c r="O69" i="8"/>
  <c r="T67" i="8"/>
  <c r="M67" i="8"/>
  <c r="Y67" i="8"/>
  <c r="AH67" i="8"/>
  <c r="S69" i="8"/>
  <c r="P69" i="8"/>
  <c r="W69" i="8"/>
  <c r="AD67" i="8"/>
  <c r="W67" i="8"/>
  <c r="F67" i="8"/>
  <c r="C67" i="8"/>
  <c r="E69" i="8"/>
  <c r="AC69" i="8"/>
  <c r="L69" i="8"/>
  <c r="Z69" i="8"/>
  <c r="AE69" i="8"/>
  <c r="I67" i="8"/>
  <c r="AG67" i="8"/>
  <c r="P67" i="8"/>
  <c r="K67" i="8"/>
  <c r="B69" i="8"/>
  <c r="AA72" i="8"/>
  <c r="T72" i="8"/>
  <c r="I72" i="8"/>
  <c r="Q72" i="8"/>
  <c r="AB72" i="8"/>
  <c r="AG72" i="8"/>
  <c r="G72" i="8"/>
  <c r="W72" i="8"/>
  <c r="E72" i="8"/>
  <c r="O72" i="8"/>
  <c r="K72" i="8"/>
  <c r="AD72" i="8"/>
  <c r="Y72" i="8"/>
  <c r="Z72" i="8"/>
  <c r="M72" i="8"/>
  <c r="C72" i="8"/>
  <c r="R72" i="8"/>
  <c r="P72" i="8"/>
  <c r="U72" i="8"/>
  <c r="AH72" i="8"/>
  <c r="AF72" i="8"/>
  <c r="H72" i="8"/>
  <c r="F72" i="8"/>
  <c r="D72" i="8"/>
  <c r="AC72" i="8"/>
  <c r="X72" i="8"/>
  <c r="V72" i="8"/>
  <c r="AE72" i="8"/>
  <c r="L72" i="8"/>
  <c r="N72" i="8"/>
  <c r="J72" i="8"/>
  <c r="S72" i="8"/>
  <c r="B72" i="8"/>
  <c r="B67" i="8"/>
  <c r="B77" i="8"/>
  <c r="B119" i="9"/>
  <c r="B118" i="9"/>
  <c r="C41" i="4"/>
  <c r="Z41" i="4" s="1"/>
  <c r="D41" i="4"/>
  <c r="AI121" i="10" l="1"/>
  <c r="AF121" i="10"/>
  <c r="Z121" i="10"/>
  <c r="R121" i="10"/>
  <c r="J121" i="10"/>
  <c r="L121" i="10"/>
  <c r="M121" i="10"/>
  <c r="W121" i="10"/>
  <c r="I121" i="10"/>
  <c r="AC120" i="10"/>
  <c r="AC121" i="10"/>
  <c r="AG120" i="10"/>
  <c r="AG121" i="10"/>
  <c r="AJ120" i="10"/>
  <c r="AJ121" i="10"/>
  <c r="P121" i="10"/>
  <c r="AL120" i="10"/>
  <c r="AL121" i="10"/>
  <c r="O120" i="10"/>
  <c r="O121" i="10"/>
  <c r="Y121" i="10"/>
  <c r="AK120" i="10"/>
  <c r="AK121" i="10"/>
  <c r="AH120" i="10"/>
  <c r="AH121" i="10"/>
  <c r="T121" i="10"/>
  <c r="N120" i="10"/>
  <c r="N121" i="10"/>
  <c r="AE120" i="10"/>
  <c r="AE121" i="10"/>
  <c r="U121" i="10"/>
  <c r="K121" i="10"/>
  <c r="X120" i="10"/>
  <c r="X121" i="10"/>
  <c r="AI120" i="10"/>
  <c r="AF120" i="10"/>
  <c r="T120" i="10"/>
  <c r="U120" i="10"/>
  <c r="R120" i="10"/>
  <c r="K120" i="10"/>
  <c r="H120" i="10"/>
  <c r="J120" i="10"/>
  <c r="G120" i="10"/>
  <c r="L120" i="10"/>
  <c r="M120" i="10"/>
  <c r="W120" i="10"/>
  <c r="I120" i="10"/>
  <c r="V120" i="10"/>
  <c r="P120" i="10"/>
  <c r="S120" i="10"/>
  <c r="Z120" i="10"/>
  <c r="Q120" i="10"/>
  <c r="Y120" i="10"/>
  <c r="AD120" i="10"/>
  <c r="S41" i="4"/>
  <c r="N41" i="4"/>
  <c r="AB41" i="4"/>
  <c r="V41" i="4"/>
  <c r="AD41" i="4"/>
  <c r="AC41" i="4"/>
  <c r="W41" i="4"/>
  <c r="AF41" i="4"/>
  <c r="X41" i="4"/>
  <c r="AH41" i="4"/>
  <c r="R41" i="4"/>
  <c r="T41" i="4"/>
  <c r="AI41" i="4"/>
  <c r="AE41" i="4"/>
  <c r="G41" i="4"/>
  <c r="L41" i="4"/>
  <c r="Q41" i="4"/>
  <c r="J41" i="4"/>
  <c r="AG41" i="4"/>
  <c r="H41" i="4"/>
  <c r="P41" i="4"/>
  <c r="I41" i="4"/>
  <c r="AJ41" i="4"/>
  <c r="U41" i="4"/>
  <c r="M41" i="4"/>
  <c r="O41" i="4"/>
  <c r="AK41" i="4"/>
  <c r="AL41" i="4"/>
  <c r="AA41" i="4"/>
  <c r="Y41" i="4"/>
  <c r="K41" i="4"/>
  <c r="F120" i="10"/>
  <c r="E126" i="9" a="1"/>
  <c r="AD139" i="9" s="1"/>
  <c r="F41" i="4"/>
  <c r="E41" i="4"/>
  <c r="C82" i="4" s="1"/>
  <c r="G84" i="4" l="1"/>
  <c r="O84" i="4"/>
  <c r="W84" i="4"/>
  <c r="AE84" i="4"/>
  <c r="G85" i="4"/>
  <c r="O85" i="4"/>
  <c r="W85" i="4"/>
  <c r="AE85" i="4"/>
  <c r="G86" i="4"/>
  <c r="O86" i="4"/>
  <c r="W86" i="4"/>
  <c r="AE86" i="4"/>
  <c r="G87" i="4"/>
  <c r="O87" i="4"/>
  <c r="W87" i="4"/>
  <c r="AE87" i="4"/>
  <c r="G88" i="4"/>
  <c r="O88" i="4"/>
  <c r="W88" i="4"/>
  <c r="AE88" i="4"/>
  <c r="G89" i="4"/>
  <c r="O89" i="4"/>
  <c r="W89" i="4"/>
  <c r="AE89" i="4"/>
  <c r="G90" i="4"/>
  <c r="O90" i="4"/>
  <c r="W90" i="4"/>
  <c r="AE90" i="4"/>
  <c r="G91" i="4"/>
  <c r="O91" i="4"/>
  <c r="W91" i="4"/>
  <c r="AE91" i="4"/>
  <c r="G92" i="4"/>
  <c r="O92" i="4"/>
  <c r="W92" i="4"/>
  <c r="AE92" i="4"/>
  <c r="G93" i="4"/>
  <c r="O93" i="4"/>
  <c r="W93" i="4"/>
  <c r="AE93" i="4"/>
  <c r="G94" i="4"/>
  <c r="O94" i="4"/>
  <c r="W94" i="4"/>
  <c r="AE94" i="4"/>
  <c r="G95" i="4"/>
  <c r="O95" i="4"/>
  <c r="W95" i="4"/>
  <c r="AE95" i="4"/>
  <c r="G96" i="4"/>
  <c r="O96" i="4"/>
  <c r="W96" i="4"/>
  <c r="AE96" i="4"/>
  <c r="G97" i="4"/>
  <c r="O97" i="4"/>
  <c r="W97" i="4"/>
  <c r="AE97" i="4"/>
  <c r="G98" i="4"/>
  <c r="O98" i="4"/>
  <c r="W98" i="4"/>
  <c r="AE98" i="4"/>
  <c r="G99" i="4"/>
  <c r="O99" i="4"/>
  <c r="W99" i="4"/>
  <c r="AE99" i="4"/>
  <c r="G100" i="4"/>
  <c r="O100" i="4"/>
  <c r="W100" i="4"/>
  <c r="AE100" i="4"/>
  <c r="G101" i="4"/>
  <c r="O101" i="4"/>
  <c r="W101" i="4"/>
  <c r="AE101" i="4"/>
  <c r="G102" i="4"/>
  <c r="O102" i="4"/>
  <c r="W102" i="4"/>
  <c r="AE102" i="4"/>
  <c r="G103" i="4"/>
  <c r="G119" i="4" s="1"/>
  <c r="O103" i="4"/>
  <c r="W103" i="4"/>
  <c r="AE103" i="4"/>
  <c r="G104" i="4"/>
  <c r="O104" i="4"/>
  <c r="W104" i="4"/>
  <c r="AE104" i="4"/>
  <c r="G105" i="4"/>
  <c r="H84" i="4"/>
  <c r="P84" i="4"/>
  <c r="X84" i="4"/>
  <c r="AF84" i="4"/>
  <c r="H85" i="4"/>
  <c r="P85" i="4"/>
  <c r="X85" i="4"/>
  <c r="AF85" i="4"/>
  <c r="H86" i="4"/>
  <c r="P86" i="4"/>
  <c r="X86" i="4"/>
  <c r="AF86" i="4"/>
  <c r="H87" i="4"/>
  <c r="P87" i="4"/>
  <c r="X87" i="4"/>
  <c r="AF87" i="4"/>
  <c r="H88" i="4"/>
  <c r="P88" i="4"/>
  <c r="X88" i="4"/>
  <c r="AF88" i="4"/>
  <c r="H89" i="4"/>
  <c r="P89" i="4"/>
  <c r="X89" i="4"/>
  <c r="AF89" i="4"/>
  <c r="H90" i="4"/>
  <c r="P90" i="4"/>
  <c r="X90" i="4"/>
  <c r="AF90" i="4"/>
  <c r="H91" i="4"/>
  <c r="P91" i="4"/>
  <c r="X91" i="4"/>
  <c r="AF91" i="4"/>
  <c r="H92" i="4"/>
  <c r="P92" i="4"/>
  <c r="X92" i="4"/>
  <c r="AF92" i="4"/>
  <c r="H93" i="4"/>
  <c r="P93" i="4"/>
  <c r="X93" i="4"/>
  <c r="AF93" i="4"/>
  <c r="H94" i="4"/>
  <c r="P94" i="4"/>
  <c r="X94" i="4"/>
  <c r="AF94" i="4"/>
  <c r="H95" i="4"/>
  <c r="P95" i="4"/>
  <c r="X95" i="4"/>
  <c r="AF95" i="4"/>
  <c r="H96" i="4"/>
  <c r="P96" i="4"/>
  <c r="X96" i="4"/>
  <c r="AF96" i="4"/>
  <c r="H97" i="4"/>
  <c r="P97" i="4"/>
  <c r="X97" i="4"/>
  <c r="AF97" i="4"/>
  <c r="H98" i="4"/>
  <c r="P98" i="4"/>
  <c r="X98" i="4"/>
  <c r="AF98" i="4"/>
  <c r="H99" i="4"/>
  <c r="P99" i="4"/>
  <c r="X99" i="4"/>
  <c r="AF99" i="4"/>
  <c r="H100" i="4"/>
  <c r="P100" i="4"/>
  <c r="X100" i="4"/>
  <c r="AF100" i="4"/>
  <c r="H101" i="4"/>
  <c r="P101" i="4"/>
  <c r="X101" i="4"/>
  <c r="AF101" i="4"/>
  <c r="H102" i="4"/>
  <c r="P102" i="4"/>
  <c r="X102" i="4"/>
  <c r="AF102" i="4"/>
  <c r="H103" i="4"/>
  <c r="H119" i="4" s="1"/>
  <c r="P103" i="4"/>
  <c r="X103" i="4"/>
  <c r="AF103" i="4"/>
  <c r="AF119" i="4" s="1"/>
  <c r="H104" i="4"/>
  <c r="P104" i="4"/>
  <c r="X104" i="4"/>
  <c r="AF104" i="4"/>
  <c r="I84" i="4"/>
  <c r="Q84" i="4"/>
  <c r="Y84" i="4"/>
  <c r="AG84" i="4"/>
  <c r="I85" i="4"/>
  <c r="Q85" i="4"/>
  <c r="Y85" i="4"/>
  <c r="AG85" i="4"/>
  <c r="I86" i="4"/>
  <c r="Q86" i="4"/>
  <c r="Y86" i="4"/>
  <c r="AG86" i="4"/>
  <c r="I87" i="4"/>
  <c r="Q87" i="4"/>
  <c r="Y87" i="4"/>
  <c r="AG87" i="4"/>
  <c r="I88" i="4"/>
  <c r="Q88" i="4"/>
  <c r="Y88" i="4"/>
  <c r="AG88" i="4"/>
  <c r="I89" i="4"/>
  <c r="Q89" i="4"/>
  <c r="Y89" i="4"/>
  <c r="AG89" i="4"/>
  <c r="I90" i="4"/>
  <c r="Q90" i="4"/>
  <c r="Y90" i="4"/>
  <c r="AG90" i="4"/>
  <c r="I91" i="4"/>
  <c r="Q91" i="4"/>
  <c r="Y91" i="4"/>
  <c r="AG91" i="4"/>
  <c r="I92" i="4"/>
  <c r="Q92" i="4"/>
  <c r="Y92" i="4"/>
  <c r="AG92" i="4"/>
  <c r="I93" i="4"/>
  <c r="Q93" i="4"/>
  <c r="Y93" i="4"/>
  <c r="AG93" i="4"/>
  <c r="I94" i="4"/>
  <c r="Q94" i="4"/>
  <c r="Y94" i="4"/>
  <c r="AG94" i="4"/>
  <c r="I95" i="4"/>
  <c r="Q95" i="4"/>
  <c r="Y95" i="4"/>
  <c r="AG95" i="4"/>
  <c r="I96" i="4"/>
  <c r="Q96" i="4"/>
  <c r="Y96" i="4"/>
  <c r="AG96" i="4"/>
  <c r="I97" i="4"/>
  <c r="Q97" i="4"/>
  <c r="Y97" i="4"/>
  <c r="AG97" i="4"/>
  <c r="I98" i="4"/>
  <c r="Q98" i="4"/>
  <c r="Y98" i="4"/>
  <c r="AG98" i="4"/>
  <c r="I99" i="4"/>
  <c r="Q99" i="4"/>
  <c r="Y99" i="4"/>
  <c r="AG99" i="4"/>
  <c r="I100" i="4"/>
  <c r="Q100" i="4"/>
  <c r="Y100" i="4"/>
  <c r="AG100" i="4"/>
  <c r="I101" i="4"/>
  <c r="Q101" i="4"/>
  <c r="Y101" i="4"/>
  <c r="AG101" i="4"/>
  <c r="I102" i="4"/>
  <c r="Q102" i="4"/>
  <c r="Y102" i="4"/>
  <c r="AG102" i="4"/>
  <c r="I103" i="4"/>
  <c r="Q103" i="4"/>
  <c r="Q119" i="4" s="1"/>
  <c r="Y103" i="4"/>
  <c r="AG103" i="4"/>
  <c r="I104" i="4"/>
  <c r="Q104" i="4"/>
  <c r="Y104" i="4"/>
  <c r="AG104" i="4"/>
  <c r="I105" i="4"/>
  <c r="J84" i="4"/>
  <c r="R84" i="4"/>
  <c r="Z84" i="4"/>
  <c r="AH84" i="4"/>
  <c r="J85" i="4"/>
  <c r="R85" i="4"/>
  <c r="Z85" i="4"/>
  <c r="AH85" i="4"/>
  <c r="J86" i="4"/>
  <c r="R86" i="4"/>
  <c r="Z86" i="4"/>
  <c r="AH86" i="4"/>
  <c r="J87" i="4"/>
  <c r="R87" i="4"/>
  <c r="Z87" i="4"/>
  <c r="AH87" i="4"/>
  <c r="J88" i="4"/>
  <c r="R88" i="4"/>
  <c r="Z88" i="4"/>
  <c r="AH88" i="4"/>
  <c r="J89" i="4"/>
  <c r="R89" i="4"/>
  <c r="Z89" i="4"/>
  <c r="AH89" i="4"/>
  <c r="J90" i="4"/>
  <c r="R90" i="4"/>
  <c r="Z90" i="4"/>
  <c r="AH90" i="4"/>
  <c r="J91" i="4"/>
  <c r="R91" i="4"/>
  <c r="Z91" i="4"/>
  <c r="AH91" i="4"/>
  <c r="J92" i="4"/>
  <c r="R92" i="4"/>
  <c r="Z92" i="4"/>
  <c r="AH92" i="4"/>
  <c r="J93" i="4"/>
  <c r="R93" i="4"/>
  <c r="Z93" i="4"/>
  <c r="AH93" i="4"/>
  <c r="J94" i="4"/>
  <c r="R94" i="4"/>
  <c r="Z94" i="4"/>
  <c r="AH94" i="4"/>
  <c r="J95" i="4"/>
  <c r="R95" i="4"/>
  <c r="Z95" i="4"/>
  <c r="AH95" i="4"/>
  <c r="J96" i="4"/>
  <c r="R96" i="4"/>
  <c r="Z96" i="4"/>
  <c r="AH96" i="4"/>
  <c r="J97" i="4"/>
  <c r="R97" i="4"/>
  <c r="Z97" i="4"/>
  <c r="AH97" i="4"/>
  <c r="J98" i="4"/>
  <c r="R98" i="4"/>
  <c r="Z98" i="4"/>
  <c r="AH98" i="4"/>
  <c r="J99" i="4"/>
  <c r="R99" i="4"/>
  <c r="Z99" i="4"/>
  <c r="AH99" i="4"/>
  <c r="J100" i="4"/>
  <c r="R100" i="4"/>
  <c r="Z100" i="4"/>
  <c r="AH100" i="4"/>
  <c r="J101" i="4"/>
  <c r="R101" i="4"/>
  <c r="Z101" i="4"/>
  <c r="AH101" i="4"/>
  <c r="J102" i="4"/>
  <c r="R102" i="4"/>
  <c r="Z102" i="4"/>
  <c r="AH102" i="4"/>
  <c r="J103" i="4"/>
  <c r="R103" i="4"/>
  <c r="Z103" i="4"/>
  <c r="Z119" i="4" s="1"/>
  <c r="AH103" i="4"/>
  <c r="J104" i="4"/>
  <c r="R104" i="4"/>
  <c r="Z104" i="4"/>
  <c r="AH104" i="4"/>
  <c r="J105" i="4"/>
  <c r="L84" i="4"/>
  <c r="T84" i="4"/>
  <c r="AB84" i="4"/>
  <c r="AJ84" i="4"/>
  <c r="L85" i="4"/>
  <c r="T85" i="4"/>
  <c r="AB85" i="4"/>
  <c r="AJ85" i="4"/>
  <c r="L86" i="4"/>
  <c r="T86" i="4"/>
  <c r="AB86" i="4"/>
  <c r="AJ86" i="4"/>
  <c r="L87" i="4"/>
  <c r="T87" i="4"/>
  <c r="AB87" i="4"/>
  <c r="AJ87" i="4"/>
  <c r="L88" i="4"/>
  <c r="T88" i="4"/>
  <c r="AB88" i="4"/>
  <c r="AJ88" i="4"/>
  <c r="L89" i="4"/>
  <c r="T89" i="4"/>
  <c r="AB89" i="4"/>
  <c r="AJ89" i="4"/>
  <c r="L90" i="4"/>
  <c r="T90" i="4"/>
  <c r="AB90" i="4"/>
  <c r="AJ90" i="4"/>
  <c r="L91" i="4"/>
  <c r="T91" i="4"/>
  <c r="AB91" i="4"/>
  <c r="AJ91" i="4"/>
  <c r="L92" i="4"/>
  <c r="T92" i="4"/>
  <c r="AB92" i="4"/>
  <c r="AJ92" i="4"/>
  <c r="L93" i="4"/>
  <c r="T93" i="4"/>
  <c r="AB93" i="4"/>
  <c r="AJ93" i="4"/>
  <c r="L94" i="4"/>
  <c r="T94" i="4"/>
  <c r="AB94" i="4"/>
  <c r="AJ94" i="4"/>
  <c r="L95" i="4"/>
  <c r="T95" i="4"/>
  <c r="AB95" i="4"/>
  <c r="AJ95" i="4"/>
  <c r="L96" i="4"/>
  <c r="T96" i="4"/>
  <c r="AB96" i="4"/>
  <c r="AJ96" i="4"/>
  <c r="L97" i="4"/>
  <c r="T97" i="4"/>
  <c r="AB97" i="4"/>
  <c r="AJ97" i="4"/>
  <c r="L98" i="4"/>
  <c r="T98" i="4"/>
  <c r="AB98" i="4"/>
  <c r="AJ98" i="4"/>
  <c r="L99" i="4"/>
  <c r="T99" i="4"/>
  <c r="AB99" i="4"/>
  <c r="AJ99" i="4"/>
  <c r="L100" i="4"/>
  <c r="T100" i="4"/>
  <c r="AB100" i="4"/>
  <c r="AJ100" i="4"/>
  <c r="L101" i="4"/>
  <c r="T101" i="4"/>
  <c r="AB101" i="4"/>
  <c r="AJ101" i="4"/>
  <c r="L102" i="4"/>
  <c r="T102" i="4"/>
  <c r="AB102" i="4"/>
  <c r="AJ102" i="4"/>
  <c r="L103" i="4"/>
  <c r="T103" i="4"/>
  <c r="AB103" i="4"/>
  <c r="AB119" i="4" s="1"/>
  <c r="AJ103" i="4"/>
  <c r="L104" i="4"/>
  <c r="T104" i="4"/>
  <c r="AB104" i="4"/>
  <c r="AJ104" i="4"/>
  <c r="L105" i="4"/>
  <c r="M84" i="4"/>
  <c r="U84" i="4"/>
  <c r="AC84" i="4"/>
  <c r="AK84" i="4"/>
  <c r="M85" i="4"/>
  <c r="U85" i="4"/>
  <c r="AC85" i="4"/>
  <c r="AK85" i="4"/>
  <c r="M86" i="4"/>
  <c r="U86" i="4"/>
  <c r="AC86" i="4"/>
  <c r="AK86" i="4"/>
  <c r="M87" i="4"/>
  <c r="U87" i="4"/>
  <c r="AC87" i="4"/>
  <c r="AK87" i="4"/>
  <c r="M88" i="4"/>
  <c r="U88" i="4"/>
  <c r="AC88" i="4"/>
  <c r="AK88" i="4"/>
  <c r="M89" i="4"/>
  <c r="U89" i="4"/>
  <c r="AC89" i="4"/>
  <c r="AK89" i="4"/>
  <c r="M90" i="4"/>
  <c r="U90" i="4"/>
  <c r="AC90" i="4"/>
  <c r="AK90" i="4"/>
  <c r="M91" i="4"/>
  <c r="U91" i="4"/>
  <c r="AC91" i="4"/>
  <c r="AK91" i="4"/>
  <c r="M92" i="4"/>
  <c r="U92" i="4"/>
  <c r="AC92" i="4"/>
  <c r="AK92" i="4"/>
  <c r="M93" i="4"/>
  <c r="U93" i="4"/>
  <c r="AC93" i="4"/>
  <c r="AK93" i="4"/>
  <c r="M94" i="4"/>
  <c r="U94" i="4"/>
  <c r="AC94" i="4"/>
  <c r="AK94" i="4"/>
  <c r="M95" i="4"/>
  <c r="U95" i="4"/>
  <c r="AC95" i="4"/>
  <c r="AK95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AD96" i="4"/>
  <c r="U97" i="4"/>
  <c r="K98" i="4"/>
  <c r="AD98" i="4"/>
  <c r="U99" i="4"/>
  <c r="K100" i="4"/>
  <c r="AD100" i="4"/>
  <c r="U101" i="4"/>
  <c r="K102" i="4"/>
  <c r="AD102" i="4"/>
  <c r="U103" i="4"/>
  <c r="K104" i="4"/>
  <c r="AD104" i="4"/>
  <c r="O105" i="4"/>
  <c r="W105" i="4"/>
  <c r="AE105" i="4"/>
  <c r="G106" i="4"/>
  <c r="O106" i="4"/>
  <c r="W106" i="4"/>
  <c r="AE106" i="4"/>
  <c r="G107" i="4"/>
  <c r="O107" i="4"/>
  <c r="W107" i="4"/>
  <c r="AE107" i="4"/>
  <c r="G108" i="4"/>
  <c r="O108" i="4"/>
  <c r="W108" i="4"/>
  <c r="AE108" i="4"/>
  <c r="G109" i="4"/>
  <c r="O109" i="4"/>
  <c r="W109" i="4"/>
  <c r="AE109" i="4"/>
  <c r="G110" i="4"/>
  <c r="O110" i="4"/>
  <c r="W110" i="4"/>
  <c r="AE110" i="4"/>
  <c r="G111" i="4"/>
  <c r="O111" i="4"/>
  <c r="W111" i="4"/>
  <c r="AE111" i="4"/>
  <c r="G112" i="4"/>
  <c r="O112" i="4"/>
  <c r="W112" i="4"/>
  <c r="AE112" i="4"/>
  <c r="AA100" i="4"/>
  <c r="M107" i="4"/>
  <c r="M109" i="4"/>
  <c r="M111" i="4"/>
  <c r="AL86" i="4"/>
  <c r="AL93" i="4"/>
  <c r="AC98" i="4"/>
  <c r="AC102" i="4"/>
  <c r="AD105" i="4"/>
  <c r="V106" i="4"/>
  <c r="N84" i="4"/>
  <c r="N85" i="4"/>
  <c r="N86" i="4"/>
  <c r="N87" i="4"/>
  <c r="N88" i="4"/>
  <c r="N89" i="4"/>
  <c r="N90" i="4"/>
  <c r="N91" i="4"/>
  <c r="N92" i="4"/>
  <c r="N93" i="4"/>
  <c r="N94" i="4"/>
  <c r="N95" i="4"/>
  <c r="M96" i="4"/>
  <c r="AI96" i="4"/>
  <c r="V97" i="4"/>
  <c r="M98" i="4"/>
  <c r="AI98" i="4"/>
  <c r="V99" i="4"/>
  <c r="M100" i="4"/>
  <c r="AI100" i="4"/>
  <c r="V101" i="4"/>
  <c r="M102" i="4"/>
  <c r="AI102" i="4"/>
  <c r="V103" i="4"/>
  <c r="M104" i="4"/>
  <c r="AI104" i="4"/>
  <c r="P105" i="4"/>
  <c r="X105" i="4"/>
  <c r="AF105" i="4"/>
  <c r="H106" i="4"/>
  <c r="P106" i="4"/>
  <c r="X106" i="4"/>
  <c r="AF106" i="4"/>
  <c r="H107" i="4"/>
  <c r="P107" i="4"/>
  <c r="X107" i="4"/>
  <c r="AF107" i="4"/>
  <c r="H108" i="4"/>
  <c r="P108" i="4"/>
  <c r="X108" i="4"/>
  <c r="AF108" i="4"/>
  <c r="H109" i="4"/>
  <c r="P109" i="4"/>
  <c r="X109" i="4"/>
  <c r="AF109" i="4"/>
  <c r="H110" i="4"/>
  <c r="P110" i="4"/>
  <c r="X110" i="4"/>
  <c r="AF110" i="4"/>
  <c r="H111" i="4"/>
  <c r="P111" i="4"/>
  <c r="X111" i="4"/>
  <c r="AF111" i="4"/>
  <c r="H112" i="4"/>
  <c r="P112" i="4"/>
  <c r="X112" i="4"/>
  <c r="AF112" i="4"/>
  <c r="AK99" i="4"/>
  <c r="AK107" i="4"/>
  <c r="AK109" i="4"/>
  <c r="AC111" i="4"/>
  <c r="AL88" i="4"/>
  <c r="AL95" i="4"/>
  <c r="S99" i="4"/>
  <c r="AL101" i="4"/>
  <c r="V105" i="4"/>
  <c r="AD106" i="4"/>
  <c r="S84" i="4"/>
  <c r="S85" i="4"/>
  <c r="S86" i="4"/>
  <c r="S87" i="4"/>
  <c r="S88" i="4"/>
  <c r="S89" i="4"/>
  <c r="S90" i="4"/>
  <c r="S91" i="4"/>
  <c r="S92" i="4"/>
  <c r="S93" i="4"/>
  <c r="S94" i="4"/>
  <c r="S95" i="4"/>
  <c r="N96" i="4"/>
  <c r="AK96" i="4"/>
  <c r="AA97" i="4"/>
  <c r="N98" i="4"/>
  <c r="AK98" i="4"/>
  <c r="AA99" i="4"/>
  <c r="N100" i="4"/>
  <c r="AK100" i="4"/>
  <c r="AA101" i="4"/>
  <c r="N102" i="4"/>
  <c r="AK102" i="4"/>
  <c r="AA103" i="4"/>
  <c r="N104" i="4"/>
  <c r="AK104" i="4"/>
  <c r="Q105" i="4"/>
  <c r="Y105" i="4"/>
  <c r="AG105" i="4"/>
  <c r="I106" i="4"/>
  <c r="Q106" i="4"/>
  <c r="Y106" i="4"/>
  <c r="AG106" i="4"/>
  <c r="I107" i="4"/>
  <c r="Q107" i="4"/>
  <c r="Y107" i="4"/>
  <c r="AG107" i="4"/>
  <c r="I108" i="4"/>
  <c r="Q108" i="4"/>
  <c r="Y108" i="4"/>
  <c r="AG108" i="4"/>
  <c r="I109" i="4"/>
  <c r="Q109" i="4"/>
  <c r="Y109" i="4"/>
  <c r="AG109" i="4"/>
  <c r="I110" i="4"/>
  <c r="Q110" i="4"/>
  <c r="Y110" i="4"/>
  <c r="AG110" i="4"/>
  <c r="I111" i="4"/>
  <c r="Q111" i="4"/>
  <c r="Y111" i="4"/>
  <c r="AG111" i="4"/>
  <c r="I112" i="4"/>
  <c r="Q112" i="4"/>
  <c r="Y112" i="4"/>
  <c r="AG112" i="4"/>
  <c r="AI86" i="4"/>
  <c r="AK97" i="4"/>
  <c r="N101" i="4"/>
  <c r="N103" i="4"/>
  <c r="M105" i="4"/>
  <c r="AC105" i="4"/>
  <c r="U106" i="4"/>
  <c r="U107" i="4"/>
  <c r="AK108" i="4"/>
  <c r="M110" i="4"/>
  <c r="AK110" i="4"/>
  <c r="M112" i="4"/>
  <c r="AC112" i="4"/>
  <c r="AL84" i="4"/>
  <c r="AL87" i="4"/>
  <c r="AL90" i="4"/>
  <c r="AC96" i="4"/>
  <c r="AL97" i="4"/>
  <c r="S101" i="4"/>
  <c r="AL103" i="4"/>
  <c r="AL105" i="4"/>
  <c r="AL106" i="4"/>
  <c r="V84" i="4"/>
  <c r="V85" i="4"/>
  <c r="V86" i="4"/>
  <c r="V87" i="4"/>
  <c r="V88" i="4"/>
  <c r="V89" i="4"/>
  <c r="V90" i="4"/>
  <c r="V91" i="4"/>
  <c r="V92" i="4"/>
  <c r="V93" i="4"/>
  <c r="V94" i="4"/>
  <c r="V95" i="4"/>
  <c r="S96" i="4"/>
  <c r="AL96" i="4"/>
  <c r="AC97" i="4"/>
  <c r="S98" i="4"/>
  <c r="AL98" i="4"/>
  <c r="AC99" i="4"/>
  <c r="S100" i="4"/>
  <c r="AL100" i="4"/>
  <c r="AC101" i="4"/>
  <c r="S102" i="4"/>
  <c r="AL102" i="4"/>
  <c r="AC103" i="4"/>
  <c r="S104" i="4"/>
  <c r="AL104" i="4"/>
  <c r="R105" i="4"/>
  <c r="Z105" i="4"/>
  <c r="AH105" i="4"/>
  <c r="J106" i="4"/>
  <c r="R106" i="4"/>
  <c r="Z106" i="4"/>
  <c r="AH106" i="4"/>
  <c r="J107" i="4"/>
  <c r="R107" i="4"/>
  <c r="Z107" i="4"/>
  <c r="AH107" i="4"/>
  <c r="J108" i="4"/>
  <c r="R108" i="4"/>
  <c r="Z108" i="4"/>
  <c r="AH108" i="4"/>
  <c r="J109" i="4"/>
  <c r="R109" i="4"/>
  <c r="Z109" i="4"/>
  <c r="AH109" i="4"/>
  <c r="J110" i="4"/>
  <c r="R110" i="4"/>
  <c r="Z110" i="4"/>
  <c r="AH110" i="4"/>
  <c r="J111" i="4"/>
  <c r="R111" i="4"/>
  <c r="Z111" i="4"/>
  <c r="AH111" i="4"/>
  <c r="J112" i="4"/>
  <c r="R112" i="4"/>
  <c r="Z112" i="4"/>
  <c r="AH112" i="4"/>
  <c r="AI88" i="4"/>
  <c r="U105" i="4"/>
  <c r="M108" i="4"/>
  <c r="AC109" i="4"/>
  <c r="U111" i="4"/>
  <c r="AL91" i="4"/>
  <c r="AL99" i="4"/>
  <c r="N105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U96" i="4"/>
  <c r="K97" i="4"/>
  <c r="AD97" i="4"/>
  <c r="U98" i="4"/>
  <c r="K99" i="4"/>
  <c r="AD99" i="4"/>
  <c r="U100" i="4"/>
  <c r="K101" i="4"/>
  <c r="AD101" i="4"/>
  <c r="U102" i="4"/>
  <c r="K103" i="4"/>
  <c r="K119" i="4" s="1"/>
  <c r="AD103" i="4"/>
  <c r="AD119" i="4" s="1"/>
  <c r="U104" i="4"/>
  <c r="H105" i="4"/>
  <c r="S105" i="4"/>
  <c r="AA105" i="4"/>
  <c r="AI105" i="4"/>
  <c r="K106" i="4"/>
  <c r="S106" i="4"/>
  <c r="AA106" i="4"/>
  <c r="AI106" i="4"/>
  <c r="K107" i="4"/>
  <c r="S107" i="4"/>
  <c r="AA107" i="4"/>
  <c r="AI107" i="4"/>
  <c r="K108" i="4"/>
  <c r="S108" i="4"/>
  <c r="AA108" i="4"/>
  <c r="AI108" i="4"/>
  <c r="K109" i="4"/>
  <c r="S109" i="4"/>
  <c r="AA109" i="4"/>
  <c r="AI109" i="4"/>
  <c r="K110" i="4"/>
  <c r="S110" i="4"/>
  <c r="AA110" i="4"/>
  <c r="AI110" i="4"/>
  <c r="K111" i="4"/>
  <c r="S111" i="4"/>
  <c r="AA111" i="4"/>
  <c r="AI111" i="4"/>
  <c r="K112" i="4"/>
  <c r="S112" i="4"/>
  <c r="AA112" i="4"/>
  <c r="AI112" i="4"/>
  <c r="AI92" i="4"/>
  <c r="AA96" i="4"/>
  <c r="AA98" i="4"/>
  <c r="AK101" i="4"/>
  <c r="AK103" i="4"/>
  <c r="AK105" i="4"/>
  <c r="AK106" i="4"/>
  <c r="U108" i="4"/>
  <c r="U110" i="4"/>
  <c r="U112" i="4"/>
  <c r="AL94" i="4"/>
  <c r="S10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V96" i="4"/>
  <c r="M97" i="4"/>
  <c r="AI97" i="4"/>
  <c r="V98" i="4"/>
  <c r="M99" i="4"/>
  <c r="AI99" i="4"/>
  <c r="V100" i="4"/>
  <c r="M101" i="4"/>
  <c r="AI101" i="4"/>
  <c r="V102" i="4"/>
  <c r="M103" i="4"/>
  <c r="M119" i="4" s="1"/>
  <c r="AI103" i="4"/>
  <c r="V104" i="4"/>
  <c r="K105" i="4"/>
  <c r="T105" i="4"/>
  <c r="AB105" i="4"/>
  <c r="AJ105" i="4"/>
  <c r="L106" i="4"/>
  <c r="T106" i="4"/>
  <c r="AB106" i="4"/>
  <c r="AJ106" i="4"/>
  <c r="L107" i="4"/>
  <c r="T107" i="4"/>
  <c r="AB107" i="4"/>
  <c r="AJ107" i="4"/>
  <c r="L108" i="4"/>
  <c r="T108" i="4"/>
  <c r="AB108" i="4"/>
  <c r="AJ108" i="4"/>
  <c r="L109" i="4"/>
  <c r="T109" i="4"/>
  <c r="AB109" i="4"/>
  <c r="AJ109" i="4"/>
  <c r="L110" i="4"/>
  <c r="T110" i="4"/>
  <c r="AB110" i="4"/>
  <c r="AJ110" i="4"/>
  <c r="L111" i="4"/>
  <c r="T111" i="4"/>
  <c r="AB111" i="4"/>
  <c r="AJ111" i="4"/>
  <c r="L112" i="4"/>
  <c r="T112" i="4"/>
  <c r="AB112" i="4"/>
  <c r="AJ112" i="4"/>
  <c r="AI84" i="4"/>
  <c r="AI85" i="4"/>
  <c r="AI87" i="4"/>
  <c r="AI89" i="4"/>
  <c r="AI90" i="4"/>
  <c r="AI91" i="4"/>
  <c r="AI93" i="4"/>
  <c r="AI94" i="4"/>
  <c r="AI95" i="4"/>
  <c r="N97" i="4"/>
  <c r="N99" i="4"/>
  <c r="AA102" i="4"/>
  <c r="AA104" i="4"/>
  <c r="M106" i="4"/>
  <c r="AC106" i="4"/>
  <c r="AC107" i="4"/>
  <c r="AC108" i="4"/>
  <c r="U109" i="4"/>
  <c r="AC110" i="4"/>
  <c r="AK111" i="4"/>
  <c r="AK112" i="4"/>
  <c r="AL85" i="4"/>
  <c r="AL89" i="4"/>
  <c r="AL92" i="4"/>
  <c r="S97" i="4"/>
  <c r="AC100" i="4"/>
  <c r="AC104" i="4"/>
  <c r="N106" i="4"/>
  <c r="V107" i="4"/>
  <c r="V109" i="4"/>
  <c r="V111" i="4"/>
  <c r="AD107" i="4"/>
  <c r="AD109" i="4"/>
  <c r="AD111" i="4"/>
  <c r="AD112" i="4"/>
  <c r="AL110" i="4"/>
  <c r="N107" i="4"/>
  <c r="AL107" i="4"/>
  <c r="AL109" i="4"/>
  <c r="AL111" i="4"/>
  <c r="N110" i="4"/>
  <c r="N112" i="4"/>
  <c r="AD108" i="4"/>
  <c r="N108" i="4"/>
  <c r="AL112" i="4"/>
  <c r="N111" i="4"/>
  <c r="V108" i="4"/>
  <c r="V110" i="4"/>
  <c r="V112" i="4"/>
  <c r="AD110" i="4"/>
  <c r="AL108" i="4"/>
  <c r="N109" i="4"/>
  <c r="B119" i="10"/>
  <c r="B118" i="10"/>
  <c r="E126" i="10" a="1"/>
  <c r="F139" i="10" s="1"/>
  <c r="O137" i="9"/>
  <c r="AI133" i="9"/>
  <c r="J130" i="9"/>
  <c r="Q131" i="9"/>
  <c r="X132" i="9"/>
  <c r="W133" i="9"/>
  <c r="V134" i="9"/>
  <c r="U135" i="9"/>
  <c r="T136" i="9"/>
  <c r="Q134" i="9"/>
  <c r="AJ133" i="9"/>
  <c r="I135" i="9"/>
  <c r="I134" i="9"/>
  <c r="F132" i="9"/>
  <c r="M133" i="9"/>
  <c r="T134" i="9"/>
  <c r="S135" i="9"/>
  <c r="R136" i="9"/>
  <c r="Q137" i="9"/>
  <c r="P138" i="9"/>
  <c r="M139" i="9"/>
  <c r="U136" i="9"/>
  <c r="AF135" i="9"/>
  <c r="E137" i="9"/>
  <c r="L138" i="9"/>
  <c r="K139" i="9"/>
  <c r="G126" i="9"/>
  <c r="F127" i="9"/>
  <c r="N138" i="9"/>
  <c r="Y138" i="9"/>
  <c r="AB137" i="9"/>
  <c r="AI138" i="9"/>
  <c r="E126" i="9"/>
  <c r="AL126" i="9"/>
  <c r="AK127" i="9"/>
  <c r="AJ128" i="9"/>
  <c r="AE127" i="9"/>
  <c r="X139" i="9"/>
  <c r="AJ126" i="9"/>
  <c r="AI127" i="9"/>
  <c r="AH128" i="9"/>
  <c r="AG129" i="9"/>
  <c r="AF130" i="9"/>
  <c r="R126" i="9"/>
  <c r="Y127" i="9"/>
  <c r="AF128" i="9"/>
  <c r="AE129" i="9"/>
  <c r="AD130" i="9"/>
  <c r="AC131" i="9"/>
  <c r="AB132" i="9"/>
  <c r="P136" i="9"/>
  <c r="E128" i="9"/>
  <c r="N128" i="9"/>
  <c r="U129" i="9"/>
  <c r="AB130" i="9"/>
  <c r="AA131" i="9"/>
  <c r="Z132" i="9"/>
  <c r="Y133" i="9"/>
  <c r="X134" i="9"/>
  <c r="I126" i="9"/>
  <c r="E132" i="9"/>
  <c r="M132" i="9"/>
  <c r="U132" i="9"/>
  <c r="Y134" i="9"/>
  <c r="AC136" i="9"/>
  <c r="AG138" i="9"/>
  <c r="J126" i="9"/>
  <c r="F128" i="9"/>
  <c r="AJ129" i="9"/>
  <c r="AF131" i="9"/>
  <c r="AB133" i="9"/>
  <c r="X135" i="9"/>
  <c r="T137" i="9"/>
  <c r="P139" i="9"/>
  <c r="Q127" i="9"/>
  <c r="M129" i="9"/>
  <c r="I131" i="9"/>
  <c r="E133" i="9"/>
  <c r="AI134" i="9"/>
  <c r="AE136" i="9"/>
  <c r="AA138" i="9"/>
  <c r="AB126" i="9"/>
  <c r="X128" i="9"/>
  <c r="T130" i="9"/>
  <c r="P132" i="9"/>
  <c r="L134" i="9"/>
  <c r="H136" i="9"/>
  <c r="AL137" i="9"/>
  <c r="AH139" i="9"/>
  <c r="AA127" i="9"/>
  <c r="W129" i="9"/>
  <c r="S131" i="9"/>
  <c r="O133" i="9"/>
  <c r="K135" i="9"/>
  <c r="G137" i="9"/>
  <c r="AK138" i="9"/>
  <c r="AD126" i="9"/>
  <c r="Z128" i="9"/>
  <c r="V130" i="9"/>
  <c r="R132" i="9"/>
  <c r="N134" i="9"/>
  <c r="J136" i="9"/>
  <c r="F138" i="9"/>
  <c r="AJ139" i="9"/>
  <c r="AC127" i="9"/>
  <c r="Y129" i="9"/>
  <c r="U131" i="9"/>
  <c r="Q133" i="9"/>
  <c r="M135" i="9"/>
  <c r="I137" i="9"/>
  <c r="E139" i="9"/>
  <c r="AF126" i="9"/>
  <c r="AB128" i="9"/>
  <c r="X130" i="9"/>
  <c r="T132" i="9"/>
  <c r="P134" i="9"/>
  <c r="L136" i="9"/>
  <c r="H138" i="9"/>
  <c r="AL139" i="9"/>
  <c r="AI129" i="9"/>
  <c r="AE135" i="9"/>
  <c r="E136" i="9"/>
  <c r="M136" i="9"/>
  <c r="Q138" i="9"/>
  <c r="W127" i="9"/>
  <c r="AA129" i="9"/>
  <c r="Z126" i="9"/>
  <c r="V128" i="9"/>
  <c r="R130" i="9"/>
  <c r="N132" i="9"/>
  <c r="J134" i="9"/>
  <c r="F136" i="9"/>
  <c r="AJ137" i="9"/>
  <c r="AF139" i="9"/>
  <c r="AG127" i="9"/>
  <c r="AC129" i="9"/>
  <c r="Y131" i="9"/>
  <c r="U133" i="9"/>
  <c r="Q135" i="9"/>
  <c r="M137" i="9"/>
  <c r="I139" i="9"/>
  <c r="J127" i="9"/>
  <c r="F129" i="9"/>
  <c r="AJ130" i="9"/>
  <c r="AF132" i="9"/>
  <c r="AB134" i="9"/>
  <c r="X136" i="9"/>
  <c r="T138" i="9"/>
  <c r="M126" i="9"/>
  <c r="I128" i="9"/>
  <c r="E130" i="9"/>
  <c r="AI131" i="9"/>
  <c r="AE133" i="9"/>
  <c r="AA135" i="9"/>
  <c r="W137" i="9"/>
  <c r="S139" i="9"/>
  <c r="L127" i="9"/>
  <c r="H129" i="9"/>
  <c r="AL130" i="9"/>
  <c r="AH132" i="9"/>
  <c r="AD134" i="9"/>
  <c r="Z136" i="9"/>
  <c r="V138" i="9"/>
  <c r="O126" i="9"/>
  <c r="K128" i="9"/>
  <c r="G130" i="9"/>
  <c r="AK131" i="9"/>
  <c r="AG133" i="9"/>
  <c r="AC135" i="9"/>
  <c r="Y137" i="9"/>
  <c r="U139" i="9"/>
  <c r="N127" i="9"/>
  <c r="J129" i="9"/>
  <c r="F131" i="9"/>
  <c r="AJ132" i="9"/>
  <c r="AF134" i="9"/>
  <c r="AB136" i="9"/>
  <c r="X138" i="9"/>
  <c r="AE131" i="9"/>
  <c r="AA137" i="9"/>
  <c r="AI137" i="9"/>
  <c r="I138" i="9"/>
  <c r="O127" i="9"/>
  <c r="S129" i="9"/>
  <c r="W131" i="9"/>
  <c r="AH126" i="9"/>
  <c r="AD128" i="9"/>
  <c r="Z130" i="9"/>
  <c r="V132" i="9"/>
  <c r="R134" i="9"/>
  <c r="N136" i="9"/>
  <c r="J138" i="9"/>
  <c r="K126" i="9"/>
  <c r="G128" i="9"/>
  <c r="AK129" i="9"/>
  <c r="AG131" i="9"/>
  <c r="AC133" i="9"/>
  <c r="Y135" i="9"/>
  <c r="U137" i="9"/>
  <c r="Q139" i="9"/>
  <c r="R127" i="9"/>
  <c r="N129" i="9"/>
  <c r="J131" i="9"/>
  <c r="F133" i="9"/>
  <c r="AJ134" i="9"/>
  <c r="AF136" i="9"/>
  <c r="AB138" i="9"/>
  <c r="U126" i="9"/>
  <c r="Q128" i="9"/>
  <c r="M130" i="9"/>
  <c r="I132" i="9"/>
  <c r="E134" i="9"/>
  <c r="AI135" i="9"/>
  <c r="AE137" i="9"/>
  <c r="AA139" i="9"/>
  <c r="T127" i="9"/>
  <c r="P129" i="9"/>
  <c r="L131" i="9"/>
  <c r="H133" i="9"/>
  <c r="AL134" i="9"/>
  <c r="AH136" i="9"/>
  <c r="AD138" i="9"/>
  <c r="W126" i="9"/>
  <c r="S128" i="9"/>
  <c r="O130" i="9"/>
  <c r="K132" i="9"/>
  <c r="G134" i="9"/>
  <c r="AK135" i="9"/>
  <c r="AG137" i="9"/>
  <c r="AC139" i="9"/>
  <c r="V127" i="9"/>
  <c r="R129" i="9"/>
  <c r="N131" i="9"/>
  <c r="J133" i="9"/>
  <c r="F135" i="9"/>
  <c r="AJ136" i="9"/>
  <c r="AF138" i="9"/>
  <c r="AA133" i="9"/>
  <c r="W139" i="9"/>
  <c r="AE139" i="9"/>
  <c r="G127" i="9"/>
  <c r="K129" i="9"/>
  <c r="O131" i="9"/>
  <c r="S133" i="9"/>
  <c r="H127" i="9"/>
  <c r="AL128" i="9"/>
  <c r="AH130" i="9"/>
  <c r="AD132" i="9"/>
  <c r="Z134" i="9"/>
  <c r="V136" i="9"/>
  <c r="R138" i="9"/>
  <c r="S126" i="9"/>
  <c r="O128" i="9"/>
  <c r="K130" i="9"/>
  <c r="G132" i="9"/>
  <c r="AK133" i="9"/>
  <c r="AG135" i="9"/>
  <c r="AC137" i="9"/>
  <c r="Y139" i="9"/>
  <c r="Z127" i="9"/>
  <c r="V129" i="9"/>
  <c r="R131" i="9"/>
  <c r="N133" i="9"/>
  <c r="J135" i="9"/>
  <c r="F137" i="9"/>
  <c r="AJ138" i="9"/>
  <c r="AC126" i="9"/>
  <c r="Y128" i="9"/>
  <c r="U130" i="9"/>
  <c r="Q132" i="9"/>
  <c r="M134" i="9"/>
  <c r="I136" i="9"/>
  <c r="E138" i="9"/>
  <c r="AI139" i="9"/>
  <c r="AB127" i="9"/>
  <c r="X129" i="9"/>
  <c r="T131" i="9"/>
  <c r="P133" i="9"/>
  <c r="L135" i="9"/>
  <c r="H137" i="9"/>
  <c r="AL138" i="9"/>
  <c r="AE126" i="9"/>
  <c r="AA128" i="9"/>
  <c r="W130" i="9"/>
  <c r="S132" i="9"/>
  <c r="O134" i="9"/>
  <c r="K136" i="9"/>
  <c r="G138" i="9"/>
  <c r="AK139" i="9"/>
  <c r="AD127" i="9"/>
  <c r="Z129" i="9"/>
  <c r="V131" i="9"/>
  <c r="R133" i="9"/>
  <c r="N135" i="9"/>
  <c r="J137" i="9"/>
  <c r="F139" i="9"/>
  <c r="W135" i="9"/>
  <c r="Q126" i="9"/>
  <c r="Y126" i="9"/>
  <c r="AG126" i="9"/>
  <c r="AK128" i="9"/>
  <c r="G131" i="9"/>
  <c r="K133" i="9"/>
  <c r="O135" i="9"/>
  <c r="P127" i="9"/>
  <c r="L129" i="9"/>
  <c r="H131" i="9"/>
  <c r="AL132" i="9"/>
  <c r="AH134" i="9"/>
  <c r="AD136" i="9"/>
  <c r="Z138" i="9"/>
  <c r="AA126" i="9"/>
  <c r="W128" i="9"/>
  <c r="S130" i="9"/>
  <c r="O132" i="9"/>
  <c r="K134" i="9"/>
  <c r="G136" i="9"/>
  <c r="AK137" i="9"/>
  <c r="AG139" i="9"/>
  <c r="AH127" i="9"/>
  <c r="AD129" i="9"/>
  <c r="Z131" i="9"/>
  <c r="V133" i="9"/>
  <c r="R135" i="9"/>
  <c r="N137" i="9"/>
  <c r="J139" i="9"/>
  <c r="AK126" i="9"/>
  <c r="AG128" i="9"/>
  <c r="AC130" i="9"/>
  <c r="Y132" i="9"/>
  <c r="U134" i="9"/>
  <c r="Q136" i="9"/>
  <c r="M138" i="9"/>
  <c r="F126" i="9"/>
  <c r="AJ127" i="9"/>
  <c r="AF129" i="9"/>
  <c r="AB131" i="9"/>
  <c r="X133" i="9"/>
  <c r="T135" i="9"/>
  <c r="P137" i="9"/>
  <c r="L139" i="9"/>
  <c r="E127" i="9"/>
  <c r="AI128" i="9"/>
  <c r="AE130" i="9"/>
  <c r="AA132" i="9"/>
  <c r="W134" i="9"/>
  <c r="S136" i="9"/>
  <c r="O138" i="9"/>
  <c r="H126" i="9"/>
  <c r="AL127" i="9"/>
  <c r="AH129" i="9"/>
  <c r="AD131" i="9"/>
  <c r="Z133" i="9"/>
  <c r="V135" i="9"/>
  <c r="R137" i="9"/>
  <c r="N139" i="9"/>
  <c r="S137" i="9"/>
  <c r="M128" i="9"/>
  <c r="U128" i="9"/>
  <c r="AC128" i="9"/>
  <c r="AG130" i="9"/>
  <c r="AK132" i="9"/>
  <c r="G135" i="9"/>
  <c r="K137" i="9"/>
  <c r="X127" i="9"/>
  <c r="T129" i="9"/>
  <c r="P131" i="9"/>
  <c r="L133" i="9"/>
  <c r="H135" i="9"/>
  <c r="AL136" i="9"/>
  <c r="AH138" i="9"/>
  <c r="AI126" i="9"/>
  <c r="AE128" i="9"/>
  <c r="AA130" i="9"/>
  <c r="W132" i="9"/>
  <c r="S134" i="9"/>
  <c r="O136" i="9"/>
  <c r="K138" i="9"/>
  <c r="L126" i="9"/>
  <c r="H128" i="9"/>
  <c r="AL129" i="9"/>
  <c r="AH131" i="9"/>
  <c r="AD133" i="9"/>
  <c r="Z135" i="9"/>
  <c r="V137" i="9"/>
  <c r="R139" i="9"/>
  <c r="K127" i="9"/>
  <c r="G129" i="9"/>
  <c r="AK130" i="9"/>
  <c r="AG132" i="9"/>
  <c r="AC134" i="9"/>
  <c r="Y136" i="9"/>
  <c r="U138" i="9"/>
  <c r="N126" i="9"/>
  <c r="J128" i="9"/>
  <c r="F130" i="9"/>
  <c r="AJ131" i="9"/>
  <c r="AF133" i="9"/>
  <c r="AB135" i="9"/>
  <c r="X137" i="9"/>
  <c r="T139" i="9"/>
  <c r="M127" i="9"/>
  <c r="I129" i="9"/>
  <c r="E131" i="9"/>
  <c r="AI132" i="9"/>
  <c r="AE134" i="9"/>
  <c r="AA136" i="9"/>
  <c r="W138" i="9"/>
  <c r="P126" i="9"/>
  <c r="L128" i="9"/>
  <c r="H130" i="9"/>
  <c r="AL131" i="9"/>
  <c r="AH133" i="9"/>
  <c r="AD135" i="9"/>
  <c r="Z137" i="9"/>
  <c r="V139" i="9"/>
  <c r="O139" i="9"/>
  <c r="I130" i="9"/>
  <c r="Q130" i="9"/>
  <c r="Y130" i="9"/>
  <c r="AC132" i="9"/>
  <c r="AG134" i="9"/>
  <c r="AK136" i="9"/>
  <c r="G139" i="9"/>
  <c r="AF127" i="9"/>
  <c r="AB129" i="9"/>
  <c r="X131" i="9"/>
  <c r="T133" i="9"/>
  <c r="P135" i="9"/>
  <c r="L137" i="9"/>
  <c r="H139" i="9"/>
  <c r="I127" i="9"/>
  <c r="E129" i="9"/>
  <c r="AI130" i="9"/>
  <c r="AE132" i="9"/>
  <c r="AA134" i="9"/>
  <c r="W136" i="9"/>
  <c r="S138" i="9"/>
  <c r="T126" i="9"/>
  <c r="P128" i="9"/>
  <c r="L130" i="9"/>
  <c r="H132" i="9"/>
  <c r="AL133" i="9"/>
  <c r="AH135" i="9"/>
  <c r="AD137" i="9"/>
  <c r="Z139" i="9"/>
  <c r="S127" i="9"/>
  <c r="O129" i="9"/>
  <c r="K131" i="9"/>
  <c r="G133" i="9"/>
  <c r="AK134" i="9"/>
  <c r="AG136" i="9"/>
  <c r="AC138" i="9"/>
  <c r="V126" i="9"/>
  <c r="R128" i="9"/>
  <c r="N130" i="9"/>
  <c r="J132" i="9"/>
  <c r="F134" i="9"/>
  <c r="AJ135" i="9"/>
  <c r="AF137" i="9"/>
  <c r="AB139" i="9"/>
  <c r="U127" i="9"/>
  <c r="Q129" i="9"/>
  <c r="M131" i="9"/>
  <c r="I133" i="9"/>
  <c r="E135" i="9"/>
  <c r="AI136" i="9"/>
  <c r="AE138" i="9"/>
  <c r="X126" i="9"/>
  <c r="T128" i="9"/>
  <c r="P130" i="9"/>
  <c r="L132" i="9"/>
  <c r="H134" i="9"/>
  <c r="AL135" i="9"/>
  <c r="AH137" i="9"/>
  <c r="F110" i="4"/>
  <c r="F96" i="4"/>
  <c r="F106" i="4"/>
  <c r="F112" i="4"/>
  <c r="F92" i="4"/>
  <c r="F102" i="4"/>
  <c r="F108" i="4"/>
  <c r="F95" i="4"/>
  <c r="F88" i="4"/>
  <c r="F97" i="4"/>
  <c r="F111" i="4"/>
  <c r="F104" i="4"/>
  <c r="F84" i="4"/>
  <c r="F93" i="4"/>
  <c r="F107" i="4"/>
  <c r="F100" i="4"/>
  <c r="F99" i="4"/>
  <c r="F103" i="4"/>
  <c r="F105" i="4"/>
  <c r="F89" i="4"/>
  <c r="F98" i="4"/>
  <c r="F94" i="4"/>
  <c r="F101" i="4"/>
  <c r="F91" i="4"/>
  <c r="F87" i="4"/>
  <c r="F90" i="4"/>
  <c r="F86" i="4"/>
  <c r="F109" i="4"/>
  <c r="F85" i="4"/>
  <c r="AK119" i="4" l="1"/>
  <c r="R119" i="4"/>
  <c r="X119" i="4"/>
  <c r="F119" i="4"/>
  <c r="AD120" i="4"/>
  <c r="AI118" i="4"/>
  <c r="N120" i="4"/>
  <c r="U119" i="4"/>
  <c r="L119" i="4"/>
  <c r="R118" i="4"/>
  <c r="R120" i="4"/>
  <c r="Y119" i="4"/>
  <c r="X118" i="4"/>
  <c r="X120" i="4"/>
  <c r="AE119" i="4"/>
  <c r="AA118" i="4"/>
  <c r="AI120" i="4"/>
  <c r="S118" i="4"/>
  <c r="AJ118" i="4"/>
  <c r="AJ120" i="4"/>
  <c r="J118" i="4"/>
  <c r="J120" i="4"/>
  <c r="P118" i="4"/>
  <c r="P120" i="4"/>
  <c r="W119" i="4"/>
  <c r="V118" i="4"/>
  <c r="AA119" i="4"/>
  <c r="AB118" i="4"/>
  <c r="AB120" i="4"/>
  <c r="AH119" i="4"/>
  <c r="I119" i="4"/>
  <c r="H118" i="4"/>
  <c r="H120" i="4"/>
  <c r="O119" i="4"/>
  <c r="AC119" i="4"/>
  <c r="K120" i="4"/>
  <c r="T118" i="4"/>
  <c r="T120" i="4"/>
  <c r="AG118" i="4"/>
  <c r="AG120" i="4"/>
  <c r="AL118" i="4"/>
  <c r="AD118" i="4"/>
  <c r="N118" i="4"/>
  <c r="AK118" i="4"/>
  <c r="AK120" i="4"/>
  <c r="L118" i="4"/>
  <c r="L120" i="4"/>
  <c r="Y118" i="4"/>
  <c r="Y120" i="4"/>
  <c r="AE118" i="4"/>
  <c r="AE120" i="4"/>
  <c r="AI119" i="4"/>
  <c r="S119" i="4"/>
  <c r="AA120" i="4"/>
  <c r="AL119" i="4"/>
  <c r="N119" i="4"/>
  <c r="S120" i="4"/>
  <c r="V119" i="4"/>
  <c r="AC118" i="4"/>
  <c r="AC120" i="4"/>
  <c r="AJ119" i="4"/>
  <c r="J119" i="4"/>
  <c r="Q118" i="4"/>
  <c r="Q120" i="4"/>
  <c r="P119" i="4"/>
  <c r="W118" i="4"/>
  <c r="W120" i="4"/>
  <c r="V120" i="4"/>
  <c r="U118" i="4"/>
  <c r="U120" i="4"/>
  <c r="AH118" i="4"/>
  <c r="AH120" i="4"/>
  <c r="I118" i="4"/>
  <c r="I120" i="4"/>
  <c r="O118" i="4"/>
  <c r="O120" i="4"/>
  <c r="AL120" i="4"/>
  <c r="K118" i="4"/>
  <c r="M118" i="4"/>
  <c r="M120" i="4"/>
  <c r="T119" i="4"/>
  <c r="Z118" i="4"/>
  <c r="Z120" i="4"/>
  <c r="AG119" i="4"/>
  <c r="AF118" i="4"/>
  <c r="AF120" i="4"/>
  <c r="G118" i="4"/>
  <c r="G120" i="4"/>
  <c r="F120" i="4"/>
  <c r="F118" i="4"/>
  <c r="AC136" i="10"/>
  <c r="AH134" i="10"/>
  <c r="AG138" i="10"/>
  <c r="W131" i="10"/>
  <c r="I126" i="10"/>
  <c r="AJ129" i="10"/>
  <c r="AE128" i="10"/>
  <c r="K134" i="10"/>
  <c r="AA138" i="10"/>
  <c r="AL129" i="10"/>
  <c r="R135" i="10"/>
  <c r="AH139" i="10"/>
  <c r="AK130" i="10"/>
  <c r="Q136" i="10"/>
  <c r="AD126" i="10"/>
  <c r="AJ131" i="10"/>
  <c r="P137" i="10"/>
  <c r="AC127" i="10"/>
  <c r="AI132" i="10"/>
  <c r="O138" i="10"/>
  <c r="AB128" i="10"/>
  <c r="AH133" i="10"/>
  <c r="N139" i="10"/>
  <c r="AA137" i="10"/>
  <c r="AF135" i="10"/>
  <c r="T129" i="10"/>
  <c r="S133" i="10"/>
  <c r="G127" i="10"/>
  <c r="Z134" i="10"/>
  <c r="M129" i="10"/>
  <c r="S134" i="10"/>
  <c r="AG139" i="10"/>
  <c r="T130" i="10"/>
  <c r="Z135" i="10"/>
  <c r="AK126" i="10"/>
  <c r="S131" i="10"/>
  <c r="Y136" i="10"/>
  <c r="AJ127" i="10"/>
  <c r="R132" i="10"/>
  <c r="X137" i="10"/>
  <c r="AI128" i="10"/>
  <c r="Q133" i="10"/>
  <c r="W138" i="10"/>
  <c r="AH129" i="10"/>
  <c r="P134" i="10"/>
  <c r="V139" i="10"/>
  <c r="AK132" i="10"/>
  <c r="AB137" i="10"/>
  <c r="R130" i="10"/>
  <c r="I138" i="10"/>
  <c r="AK128" i="10"/>
  <c r="X135" i="10"/>
  <c r="S130" i="10"/>
  <c r="AI134" i="10"/>
  <c r="L126" i="10"/>
  <c r="Z131" i="10"/>
  <c r="H136" i="10"/>
  <c r="K127" i="10"/>
  <c r="Y132" i="10"/>
  <c r="G137" i="10"/>
  <c r="J128" i="10"/>
  <c r="X133" i="10"/>
  <c r="F138" i="10"/>
  <c r="I129" i="10"/>
  <c r="W134" i="10"/>
  <c r="E139" i="10"/>
  <c r="H130" i="10"/>
  <c r="V135" i="10"/>
  <c r="AL139" i="10"/>
  <c r="K129" i="10"/>
  <c r="J130" i="10"/>
  <c r="AK136" i="10"/>
  <c r="Y130" i="10"/>
  <c r="P135" i="10"/>
  <c r="F128" i="10"/>
  <c r="W128" i="10"/>
  <c r="E133" i="10"/>
  <c r="K138" i="10"/>
  <c r="AD129" i="10"/>
  <c r="L134" i="10"/>
  <c r="R139" i="10"/>
  <c r="AC130" i="10"/>
  <c r="K135" i="10"/>
  <c r="N126" i="10"/>
  <c r="AB131" i="10"/>
  <c r="J136" i="10"/>
  <c r="M127" i="10"/>
  <c r="AA132" i="10"/>
  <c r="I137" i="10"/>
  <c r="L128" i="10"/>
  <c r="Z133" i="10"/>
  <c r="H138" i="10"/>
  <c r="Q126" i="10"/>
  <c r="U128" i="10"/>
  <c r="N132" i="10"/>
  <c r="G139" i="10"/>
  <c r="AA133" i="10"/>
  <c r="T137" i="10"/>
  <c r="AA130" i="10"/>
  <c r="G136" i="10"/>
  <c r="AB126" i="10"/>
  <c r="AH131" i="10"/>
  <c r="N137" i="10"/>
  <c r="AA127" i="10"/>
  <c r="AG132" i="10"/>
  <c r="M138" i="10"/>
  <c r="Z128" i="10"/>
  <c r="AF133" i="10"/>
  <c r="L139" i="10"/>
  <c r="Y129" i="10"/>
  <c r="AE134" i="10"/>
  <c r="H126" i="10"/>
  <c r="X130" i="10"/>
  <c r="AD135" i="10"/>
  <c r="O127" i="10"/>
  <c r="S129" i="10"/>
  <c r="AL136" i="10"/>
  <c r="AF127" i="10"/>
  <c r="Y134" i="10"/>
  <c r="AA126" i="10"/>
  <c r="I131" i="10"/>
  <c r="O136" i="10"/>
  <c r="AH127" i="10"/>
  <c r="P132" i="10"/>
  <c r="V137" i="10"/>
  <c r="AG128" i="10"/>
  <c r="O133" i="10"/>
  <c r="U138" i="10"/>
  <c r="AF129" i="10"/>
  <c r="N134" i="10"/>
  <c r="T139" i="10"/>
  <c r="AE130" i="10"/>
  <c r="M135" i="10"/>
  <c r="P126" i="10"/>
  <c r="AD131" i="10"/>
  <c r="L136" i="10"/>
  <c r="P127" i="10"/>
  <c r="O131" i="10"/>
  <c r="AJ137" i="10"/>
  <c r="V132" i="10"/>
  <c r="U136" i="10"/>
  <c r="AI126" i="10"/>
  <c r="O132" i="10"/>
  <c r="AE136" i="10"/>
  <c r="H128" i="10"/>
  <c r="V133" i="10"/>
  <c r="AL137" i="10"/>
  <c r="G129" i="10"/>
  <c r="U134" i="10"/>
  <c r="AK138" i="10"/>
  <c r="F130" i="10"/>
  <c r="T135" i="10"/>
  <c r="AJ139" i="10"/>
  <c r="E131" i="10"/>
  <c r="S136" i="10"/>
  <c r="AF126" i="10"/>
  <c r="AL131" i="10"/>
  <c r="R137" i="10"/>
  <c r="N128" i="10"/>
  <c r="E136" i="10"/>
  <c r="AF139" i="10"/>
  <c r="T133" i="10"/>
  <c r="H127" i="10"/>
  <c r="Q127" i="10"/>
  <c r="W132" i="10"/>
  <c r="AK137" i="10"/>
  <c r="X128" i="10"/>
  <c r="AD133" i="10"/>
  <c r="J139" i="10"/>
  <c r="W129" i="10"/>
  <c r="AC134" i="10"/>
  <c r="F126" i="10"/>
  <c r="V130" i="10"/>
  <c r="AB135" i="10"/>
  <c r="E127" i="10"/>
  <c r="U131" i="10"/>
  <c r="AA136" i="10"/>
  <c r="AL127" i="10"/>
  <c r="T132" i="10"/>
  <c r="Z137" i="10"/>
  <c r="I130" i="10"/>
  <c r="AI133" i="10"/>
  <c r="L129" i="10"/>
  <c r="AD136" i="10"/>
  <c r="Q130" i="10"/>
  <c r="AI137" i="10"/>
  <c r="P131" i="10"/>
  <c r="AH138" i="10"/>
  <c r="U132" i="10"/>
  <c r="AH126" i="10"/>
  <c r="R134" i="10"/>
  <c r="E128" i="10"/>
  <c r="W135" i="10"/>
  <c r="AL128" i="10"/>
  <c r="V136" i="10"/>
  <c r="I127" i="10"/>
  <c r="E129" i="10"/>
  <c r="AI130" i="10"/>
  <c r="AE132" i="10"/>
  <c r="AA134" i="10"/>
  <c r="W136" i="10"/>
  <c r="S138" i="10"/>
  <c r="T126" i="10"/>
  <c r="P128" i="10"/>
  <c r="L130" i="10"/>
  <c r="H132" i="10"/>
  <c r="AL133" i="10"/>
  <c r="AH135" i="10"/>
  <c r="AD137" i="10"/>
  <c r="Z139" i="10"/>
  <c r="S127" i="10"/>
  <c r="O129" i="10"/>
  <c r="K131" i="10"/>
  <c r="G133" i="10"/>
  <c r="AK134" i="10"/>
  <c r="AG136" i="10"/>
  <c r="AC138" i="10"/>
  <c r="V126" i="10"/>
  <c r="R128" i="10"/>
  <c r="N130" i="10"/>
  <c r="J132" i="10"/>
  <c r="F134" i="10"/>
  <c r="AJ135" i="10"/>
  <c r="AF137" i="10"/>
  <c r="AB139" i="10"/>
  <c r="U127" i="10"/>
  <c r="Q129" i="10"/>
  <c r="M131" i="10"/>
  <c r="I133" i="10"/>
  <c r="E135" i="10"/>
  <c r="AI136" i="10"/>
  <c r="AE138" i="10"/>
  <c r="X126" i="10"/>
  <c r="T128" i="10"/>
  <c r="P130" i="10"/>
  <c r="L132" i="10"/>
  <c r="H134" i="10"/>
  <c r="AL135" i="10"/>
  <c r="AH137" i="10"/>
  <c r="AD139" i="10"/>
  <c r="G131" i="10"/>
  <c r="AG134" i="10"/>
  <c r="H131" i="10"/>
  <c r="Z138" i="10"/>
  <c r="M132" i="10"/>
  <c r="AE139" i="10"/>
  <c r="L133" i="10"/>
  <c r="AG126" i="10"/>
  <c r="Q134" i="10"/>
  <c r="AD128" i="10"/>
  <c r="N136" i="10"/>
  <c r="AI129" i="10"/>
  <c r="S137" i="10"/>
  <c r="AH130" i="10"/>
  <c r="R138" i="10"/>
  <c r="Y127" i="10"/>
  <c r="U129" i="10"/>
  <c r="Q131" i="10"/>
  <c r="M133" i="10"/>
  <c r="I135" i="10"/>
  <c r="E137" i="10"/>
  <c r="AI138" i="10"/>
  <c r="AJ126" i="10"/>
  <c r="AF128" i="10"/>
  <c r="AB130" i="10"/>
  <c r="X132" i="10"/>
  <c r="T134" i="10"/>
  <c r="P136" i="10"/>
  <c r="L138" i="10"/>
  <c r="E126" i="10"/>
  <c r="AI127" i="10"/>
  <c r="AE129" i="10"/>
  <c r="AA131" i="10"/>
  <c r="W133" i="10"/>
  <c r="S135" i="10"/>
  <c r="O137" i="10"/>
  <c r="K139" i="10"/>
  <c r="AL126" i="10"/>
  <c r="AH128" i="10"/>
  <c r="AD130" i="10"/>
  <c r="Z132" i="10"/>
  <c r="V134" i="10"/>
  <c r="R136" i="10"/>
  <c r="N138" i="10"/>
  <c r="G126" i="10"/>
  <c r="AK127" i="10"/>
  <c r="AG129" i="10"/>
  <c r="AC131" i="10"/>
  <c r="Y133" i="10"/>
  <c r="U135" i="10"/>
  <c r="Q137" i="10"/>
  <c r="M139" i="10"/>
  <c r="F127" i="10"/>
  <c r="AJ128" i="10"/>
  <c r="AF130" i="10"/>
  <c r="AB132" i="10"/>
  <c r="X134" i="10"/>
  <c r="T136" i="10"/>
  <c r="P138" i="10"/>
  <c r="Y138" i="10"/>
  <c r="M128" i="10"/>
  <c r="F132" i="10"/>
  <c r="X139" i="10"/>
  <c r="K133" i="10"/>
  <c r="Z126" i="10"/>
  <c r="J134" i="10"/>
  <c r="AE127" i="10"/>
  <c r="O135" i="10"/>
  <c r="AB129" i="10"/>
  <c r="L137" i="10"/>
  <c r="AG130" i="10"/>
  <c r="Q138" i="10"/>
  <c r="AF131" i="10"/>
  <c r="P139" i="10"/>
  <c r="AG127" i="10"/>
  <c r="AC129" i="10"/>
  <c r="Y131" i="10"/>
  <c r="U133" i="10"/>
  <c r="Q135" i="10"/>
  <c r="M137" i="10"/>
  <c r="I139" i="10"/>
  <c r="J127" i="10"/>
  <c r="F129" i="10"/>
  <c r="AJ130" i="10"/>
  <c r="AF132" i="10"/>
  <c r="AB134" i="10"/>
  <c r="X136" i="10"/>
  <c r="T138" i="10"/>
  <c r="M126" i="10"/>
  <c r="I128" i="10"/>
  <c r="E130" i="10"/>
  <c r="AI131" i="10"/>
  <c r="AE133" i="10"/>
  <c r="AA135" i="10"/>
  <c r="W137" i="10"/>
  <c r="S139" i="10"/>
  <c r="L127" i="10"/>
  <c r="H129" i="10"/>
  <c r="AL130" i="10"/>
  <c r="AH132" i="10"/>
  <c r="AD134" i="10"/>
  <c r="Z136" i="10"/>
  <c r="V138" i="10"/>
  <c r="O126" i="10"/>
  <c r="K128" i="10"/>
  <c r="G130" i="10"/>
  <c r="AK131" i="10"/>
  <c r="AG133" i="10"/>
  <c r="AC135" i="10"/>
  <c r="Y137" i="10"/>
  <c r="U139" i="10"/>
  <c r="N127" i="10"/>
  <c r="J129" i="10"/>
  <c r="F131" i="10"/>
  <c r="AJ132" i="10"/>
  <c r="AF134" i="10"/>
  <c r="AB136" i="10"/>
  <c r="X138" i="10"/>
  <c r="E132" i="10"/>
  <c r="AE135" i="10"/>
  <c r="AL132" i="10"/>
  <c r="Y126" i="10"/>
  <c r="I134" i="10"/>
  <c r="X127" i="10"/>
  <c r="H135" i="10"/>
  <c r="AC128" i="10"/>
  <c r="M136" i="10"/>
  <c r="Z130" i="10"/>
  <c r="J138" i="10"/>
  <c r="AE131" i="10"/>
  <c r="O139" i="10"/>
  <c r="AD132" i="10"/>
  <c r="K126" i="10"/>
  <c r="G128" i="10"/>
  <c r="AK129" i="10"/>
  <c r="AG131" i="10"/>
  <c r="AC133" i="10"/>
  <c r="Y135" i="10"/>
  <c r="U137" i="10"/>
  <c r="Q139" i="10"/>
  <c r="R127" i="10"/>
  <c r="N129" i="10"/>
  <c r="J131" i="10"/>
  <c r="F133" i="10"/>
  <c r="AJ134" i="10"/>
  <c r="AF136" i="10"/>
  <c r="AB138" i="10"/>
  <c r="U126" i="10"/>
  <c r="Q128" i="10"/>
  <c r="M130" i="10"/>
  <c r="I132" i="10"/>
  <c r="E134" i="10"/>
  <c r="AI135" i="10"/>
  <c r="AE137" i="10"/>
  <c r="AA139" i="10"/>
  <c r="T127" i="10"/>
  <c r="P129" i="10"/>
  <c r="L131" i="10"/>
  <c r="H133" i="10"/>
  <c r="AL134" i="10"/>
  <c r="AH136" i="10"/>
  <c r="AD138" i="10"/>
  <c r="W126" i="10"/>
  <c r="S128" i="10"/>
  <c r="O130" i="10"/>
  <c r="K132" i="10"/>
  <c r="G134" i="10"/>
  <c r="AK135" i="10"/>
  <c r="AG137" i="10"/>
  <c r="AC139" i="10"/>
  <c r="V127" i="10"/>
  <c r="R129" i="10"/>
  <c r="N131" i="10"/>
  <c r="J133" i="10"/>
  <c r="F135" i="10"/>
  <c r="AJ136" i="10"/>
  <c r="AF138" i="10"/>
  <c r="W139" i="10"/>
  <c r="R126" i="10"/>
  <c r="AJ133" i="10"/>
  <c r="W127" i="10"/>
  <c r="G135" i="10"/>
  <c r="V128" i="10"/>
  <c r="F136" i="10"/>
  <c r="AA129" i="10"/>
  <c r="K137" i="10"/>
  <c r="X131" i="10"/>
  <c r="H139" i="10"/>
  <c r="AC132" i="10"/>
  <c r="J126" i="10"/>
  <c r="AB133" i="10"/>
  <c r="S126" i="10"/>
  <c r="O128" i="10"/>
  <c r="K130" i="10"/>
  <c r="G132" i="10"/>
  <c r="AK133" i="10"/>
  <c r="AG135" i="10"/>
  <c r="AC137" i="10"/>
  <c r="Y139" i="10"/>
  <c r="Z127" i="10"/>
  <c r="V129" i="10"/>
  <c r="R131" i="10"/>
  <c r="N133" i="10"/>
  <c r="J135" i="10"/>
  <c r="F137" i="10"/>
  <c r="AJ138" i="10"/>
  <c r="AC126" i="10"/>
  <c r="Y128" i="10"/>
  <c r="U130" i="10"/>
  <c r="Q132" i="10"/>
  <c r="M134" i="10"/>
  <c r="I136" i="10"/>
  <c r="E138" i="10"/>
  <c r="AI139" i="10"/>
  <c r="AB127" i="10"/>
  <c r="X129" i="10"/>
  <c r="T131" i="10"/>
  <c r="P133" i="10"/>
  <c r="L135" i="10"/>
  <c r="H137" i="10"/>
  <c r="AL138" i="10"/>
  <c r="AE126" i="10"/>
  <c r="AA128" i="10"/>
  <c r="W130" i="10"/>
  <c r="S132" i="10"/>
  <c r="O134" i="10"/>
  <c r="K136" i="10"/>
  <c r="G138" i="10"/>
  <c r="AK139" i="10"/>
  <c r="AD127" i="10"/>
  <c r="Z129" i="10"/>
  <c r="V131" i="10"/>
  <c r="R133" i="10"/>
  <c r="N135" i="10"/>
  <c r="J137" i="10"/>
  <c r="Z122" i="4" l="1"/>
  <c r="Z121" i="4"/>
  <c r="W121" i="4"/>
  <c r="W122" i="4"/>
  <c r="AE121" i="4"/>
  <c r="AE122" i="4"/>
  <c r="R121" i="4"/>
  <c r="R122" i="4"/>
  <c r="I121" i="4"/>
  <c r="I122" i="4"/>
  <c r="F121" i="4"/>
  <c r="F122" i="4"/>
  <c r="S121" i="4"/>
  <c r="S122" i="4"/>
  <c r="Y121" i="4"/>
  <c r="Y122" i="4"/>
  <c r="H121" i="4"/>
  <c r="H122" i="4"/>
  <c r="AI121" i="4"/>
  <c r="AI122" i="4"/>
  <c r="M122" i="4"/>
  <c r="M121" i="4"/>
  <c r="AH121" i="4"/>
  <c r="AH122" i="4"/>
  <c r="Q121" i="4"/>
  <c r="Q122" i="4"/>
  <c r="AG121" i="4"/>
  <c r="AG122" i="4"/>
  <c r="P121" i="4"/>
  <c r="P122" i="4"/>
  <c r="L122" i="4"/>
  <c r="L121" i="4"/>
  <c r="N121" i="4"/>
  <c r="N122" i="4"/>
  <c r="G121" i="4"/>
  <c r="G122" i="4"/>
  <c r="AF121" i="4"/>
  <c r="AF122" i="4"/>
  <c r="U122" i="4"/>
  <c r="U121" i="4"/>
  <c r="AA122" i="4"/>
  <c r="AA121" i="4"/>
  <c r="T121" i="4"/>
  <c r="T122" i="4"/>
  <c r="J122" i="4"/>
  <c r="J121" i="4"/>
  <c r="X121" i="4"/>
  <c r="X122" i="4"/>
  <c r="AL121" i="4"/>
  <c r="AL122" i="4"/>
  <c r="AK122" i="4"/>
  <c r="AK121" i="4"/>
  <c r="AB121" i="4"/>
  <c r="AB122" i="4"/>
  <c r="AD121" i="4"/>
  <c r="AD122" i="4"/>
  <c r="O121" i="4"/>
  <c r="O122" i="4"/>
  <c r="V121" i="4"/>
  <c r="V122" i="4"/>
  <c r="AC122" i="4"/>
  <c r="AC121" i="4"/>
  <c r="K121" i="4"/>
  <c r="K122" i="4"/>
  <c r="AJ121" i="4"/>
  <c r="AJ122" i="4"/>
  <c r="B119" i="4"/>
  <c r="B118" i="4"/>
  <c r="AB123" i="4" l="1"/>
  <c r="V123" i="4"/>
  <c r="M123" i="4"/>
  <c r="X123" i="4"/>
  <c r="AH123" i="4"/>
  <c r="AF123" i="4"/>
  <c r="AI123" i="4"/>
  <c r="F123" i="4"/>
  <c r="R123" i="4"/>
  <c r="T123" i="4"/>
  <c r="AJ123" i="4"/>
  <c r="O123" i="4"/>
  <c r="N123" i="4"/>
  <c r="Q123" i="4"/>
  <c r="L123" i="4"/>
  <c r="P123" i="4"/>
  <c r="J123" i="4"/>
  <c r="AE123" i="4"/>
  <c r="AG123" i="4"/>
  <c r="AD123" i="4"/>
  <c r="I123" i="4"/>
  <c r="K123" i="4"/>
  <c r="AL123" i="4"/>
  <c r="G123" i="4"/>
  <c r="S123" i="4"/>
  <c r="AA123" i="4"/>
  <c r="AC123" i="4"/>
  <c r="U123" i="4"/>
  <c r="H123" i="4"/>
  <c r="W123" i="4"/>
  <c r="Y123" i="4"/>
  <c r="AK123" i="4"/>
  <c r="Z123" i="4"/>
  <c r="E127" i="4" a="1"/>
  <c r="V140" i="4" s="1"/>
  <c r="E134" i="4" l="1"/>
  <c r="T131" i="4"/>
  <c r="AE134" i="4"/>
  <c r="S129" i="4"/>
  <c r="Y138" i="4"/>
  <c r="I127" i="4"/>
  <c r="P140" i="4"/>
  <c r="I136" i="4"/>
  <c r="AC128" i="4"/>
  <c r="F132" i="4"/>
  <c r="Z131" i="4"/>
  <c r="O131" i="4"/>
  <c r="AG136" i="4"/>
  <c r="AE127" i="4"/>
  <c r="Q127" i="4"/>
  <c r="AD132" i="4"/>
  <c r="AJ132" i="4"/>
  <c r="X131" i="4"/>
  <c r="AL140" i="4"/>
  <c r="AK139" i="4"/>
  <c r="G138" i="4"/>
  <c r="AF129" i="4"/>
  <c r="U133" i="4"/>
  <c r="U137" i="4"/>
  <c r="E137" i="4"/>
  <c r="AL138" i="4"/>
  <c r="E136" i="4"/>
  <c r="I135" i="4"/>
  <c r="Z129" i="4"/>
  <c r="AF131" i="4"/>
  <c r="S140" i="4"/>
  <c r="AJ133" i="4"/>
  <c r="Z127" i="4"/>
  <c r="AL131" i="4"/>
  <c r="V133" i="4"/>
  <c r="R128" i="4"/>
  <c r="AE138" i="4"/>
  <c r="AK136" i="4"/>
  <c r="G132" i="4"/>
  <c r="AC138" i="4"/>
  <c r="Q133" i="4"/>
  <c r="AA129" i="4"/>
  <c r="AA132" i="4"/>
  <c r="K134" i="4"/>
  <c r="AA127" i="4"/>
  <c r="M139" i="4"/>
  <c r="N140" i="4"/>
  <c r="O136" i="4"/>
  <c r="K139" i="4"/>
  <c r="T140" i="4"/>
  <c r="AB140" i="4"/>
  <c r="P129" i="4"/>
  <c r="T139" i="4"/>
  <c r="E135" i="4"/>
  <c r="R134" i="4"/>
  <c r="N127" i="4"/>
  <c r="P133" i="4"/>
  <c r="Q132" i="4"/>
  <c r="M140" i="4"/>
  <c r="W138" i="4"/>
  <c r="Q140" i="4"/>
  <c r="AC130" i="4"/>
  <c r="N136" i="4"/>
  <c r="AH135" i="4"/>
  <c r="Q137" i="4"/>
  <c r="O137" i="4"/>
  <c r="AA134" i="4"/>
  <c r="E133" i="4"/>
  <c r="R133" i="4"/>
  <c r="I128" i="4"/>
  <c r="Z140" i="4"/>
  <c r="P136" i="4"/>
  <c r="F133" i="4"/>
  <c r="AJ134" i="4"/>
  <c r="AF128" i="4"/>
  <c r="AL136" i="4"/>
  <c r="AC137" i="4"/>
  <c r="J137" i="4"/>
  <c r="P139" i="4"/>
  <c r="AD135" i="4"/>
  <c r="X139" i="4"/>
  <c r="J135" i="4"/>
  <c r="V139" i="4"/>
  <c r="R135" i="4"/>
  <c r="F134" i="4"/>
  <c r="T128" i="4"/>
  <c r="AG138" i="4"/>
  <c r="AL129" i="4"/>
  <c r="Y140" i="4"/>
  <c r="E139" i="4"/>
  <c r="S133" i="4"/>
  <c r="K140" i="4"/>
  <c r="S134" i="4"/>
  <c r="K135" i="4"/>
  <c r="AF130" i="4"/>
  <c r="E127" i="4"/>
  <c r="Y131" i="4"/>
  <c r="AL130" i="4"/>
  <c r="M128" i="4"/>
  <c r="AB130" i="4"/>
  <c r="H137" i="4"/>
  <c r="Y136" i="4"/>
  <c r="AL139" i="4"/>
  <c r="AG129" i="4"/>
  <c r="S139" i="4"/>
  <c r="AH136" i="4"/>
  <c r="T137" i="4"/>
  <c r="AI136" i="4"/>
  <c r="U131" i="4"/>
  <c r="Y127" i="4"/>
  <c r="X140" i="4"/>
  <c r="X132" i="4"/>
  <c r="I134" i="4"/>
  <c r="K132" i="4"/>
  <c r="G134" i="4"/>
  <c r="W137" i="4"/>
  <c r="M133" i="4"/>
  <c r="P137" i="4"/>
  <c r="T138" i="4"/>
  <c r="G140" i="4"/>
  <c r="N129" i="4"/>
  <c r="P131" i="4"/>
  <c r="S130" i="4"/>
  <c r="Z137" i="4"/>
  <c r="AE130" i="4"/>
  <c r="AJ138" i="4"/>
  <c r="O140" i="4"/>
  <c r="J139" i="4"/>
  <c r="AJ135" i="4"/>
  <c r="P130" i="4"/>
  <c r="AC140" i="4"/>
  <c r="Z135" i="4"/>
  <c r="V130" i="4"/>
  <c r="AI140" i="4"/>
  <c r="O135" i="4"/>
  <c r="N139" i="4"/>
  <c r="U129" i="4"/>
  <c r="G137" i="4"/>
  <c r="P138" i="4"/>
  <c r="R137" i="4"/>
  <c r="AC133" i="4"/>
  <c r="V138" i="4"/>
  <c r="AI133" i="4"/>
  <c r="Y139" i="4"/>
  <c r="Q130" i="4"/>
  <c r="J130" i="4"/>
  <c r="AF139" i="4"/>
  <c r="H127" i="4"/>
  <c r="S132" i="4"/>
  <c r="AA128" i="4"/>
  <c r="X127" i="4"/>
  <c r="U128" i="4"/>
  <c r="AI139" i="4"/>
  <c r="M134" i="4"/>
  <c r="T134" i="4"/>
  <c r="AH138" i="4"/>
  <c r="N133" i="4"/>
  <c r="O127" i="4"/>
  <c r="V135" i="4"/>
  <c r="Q136" i="4"/>
  <c r="W140" i="4"/>
  <c r="K127" i="4"/>
  <c r="AF137" i="4"/>
  <c r="AL135" i="4"/>
  <c r="R130" i="4"/>
  <c r="V137" i="4"/>
  <c r="R132" i="4"/>
  <c r="AB128" i="4"/>
  <c r="AK140" i="4"/>
  <c r="I139" i="4"/>
  <c r="AC129" i="4"/>
  <c r="AH128" i="4"/>
  <c r="L140" i="4"/>
  <c r="S138" i="4"/>
  <c r="X128" i="4"/>
  <c r="R140" i="4"/>
  <c r="P127" i="4"/>
  <c r="X129" i="4"/>
  <c r="N135" i="4"/>
  <c r="AJ129" i="4"/>
  <c r="K131" i="4"/>
  <c r="AE129" i="4"/>
  <c r="J133" i="4"/>
  <c r="AA136" i="4"/>
  <c r="F139" i="4"/>
  <c r="AF136" i="4"/>
  <c r="AI134" i="4"/>
  <c r="V131" i="4"/>
  <c r="N131" i="4"/>
  <c r="H140" i="4"/>
  <c r="J131" i="4"/>
  <c r="Q128" i="4"/>
  <c r="AI131" i="4"/>
  <c r="R127" i="4"/>
  <c r="Q134" i="4"/>
  <c r="AE139" i="4"/>
  <c r="S128" i="4"/>
  <c r="W128" i="4"/>
  <c r="T135" i="4"/>
  <c r="AB138" i="4"/>
  <c r="U130" i="4"/>
  <c r="AI128" i="4"/>
  <c r="AJ131" i="4"/>
  <c r="AK132" i="4"/>
  <c r="G127" i="4"/>
  <c r="J128" i="4"/>
  <c r="AE140" i="4"/>
  <c r="AG132" i="4"/>
  <c r="U127" i="4"/>
  <c r="AH137" i="4"/>
  <c r="N132" i="4"/>
  <c r="R139" i="4"/>
  <c r="F138" i="4"/>
  <c r="T132" i="4"/>
  <c r="AD128" i="4"/>
  <c r="R131" i="4"/>
  <c r="AG131" i="4"/>
  <c r="R136" i="4"/>
  <c r="AE131" i="4"/>
  <c r="O128" i="4"/>
  <c r="H136" i="4"/>
  <c r="AK131" i="4"/>
  <c r="L129" i="4"/>
  <c r="AJ130" i="4"/>
  <c r="W136" i="4"/>
  <c r="Z133" i="4"/>
  <c r="O132" i="4"/>
  <c r="AC127" i="4"/>
  <c r="AL133" i="4"/>
  <c r="E140" i="4"/>
  <c r="L137" i="4"/>
  <c r="AC139" i="4"/>
  <c r="E138" i="4"/>
  <c r="AG137" i="4"/>
  <c r="AF132" i="4"/>
  <c r="AF127" i="4"/>
  <c r="X136" i="4"/>
  <c r="AJ136" i="4"/>
  <c r="AJ127" i="4"/>
  <c r="AH140" i="4"/>
  <c r="M130" i="4"/>
  <c r="AB131" i="4"/>
  <c r="AH129" i="4"/>
  <c r="AB135" i="4"/>
  <c r="AC136" i="4"/>
  <c r="Y134" i="4"/>
  <c r="M127" i="4"/>
  <c r="K130" i="4"/>
  <c r="AC134" i="4"/>
  <c r="Q129" i="4"/>
  <c r="AD139" i="4"/>
  <c r="AJ137" i="4"/>
  <c r="O129" i="4"/>
  <c r="AJ139" i="4"/>
  <c r="P134" i="4"/>
  <c r="Z130" i="4"/>
  <c r="I129" i="4"/>
  <c r="G136" i="4"/>
  <c r="N138" i="4"/>
  <c r="O139" i="4"/>
  <c r="U134" i="4"/>
  <c r="AL137" i="4"/>
  <c r="U139" i="4"/>
  <c r="AH134" i="4"/>
  <c r="J140" i="4"/>
  <c r="AH139" i="4"/>
  <c r="L127" i="4"/>
  <c r="K128" i="4"/>
  <c r="J129" i="4"/>
  <c r="I130" i="4"/>
  <c r="H131" i="4"/>
  <c r="AD137" i="4"/>
  <c r="AK138" i="4"/>
  <c r="F127" i="4"/>
  <c r="E128" i="4"/>
  <c r="AL128" i="4"/>
  <c r="O138" i="4"/>
  <c r="V129" i="4"/>
  <c r="AK129" i="4"/>
  <c r="AG135" i="4"/>
  <c r="AD138" i="4"/>
  <c r="T133" i="4"/>
  <c r="AE133" i="4"/>
  <c r="AJ140" i="4"/>
  <c r="I132" i="4"/>
  <c r="Y135" i="4"/>
  <c r="L135" i="4"/>
  <c r="P135" i="4"/>
  <c r="W130" i="4"/>
  <c r="K138" i="4"/>
  <c r="R129" i="4"/>
  <c r="AB127" i="4"/>
  <c r="AG139" i="4"/>
  <c r="AA139" i="4"/>
  <c r="T129" i="4"/>
  <c r="AA135" i="4"/>
  <c r="AB134" i="4"/>
  <c r="K136" i="4"/>
  <c r="S136" i="4"/>
  <c r="AA138" i="4"/>
  <c r="AI132" i="4"/>
  <c r="G131" i="4"/>
  <c r="AB137" i="4"/>
  <c r="F128" i="4"/>
  <c r="Y132" i="4"/>
  <c r="L128" i="4"/>
  <c r="G128" i="4"/>
  <c r="N137" i="4"/>
  <c r="U138" i="4"/>
  <c r="AB139" i="4"/>
  <c r="AA140" i="4"/>
  <c r="W127" i="4"/>
  <c r="V128" i="4"/>
  <c r="K129" i="4"/>
  <c r="S127" i="4"/>
  <c r="Z128" i="4"/>
  <c r="Y129" i="4"/>
  <c r="X130" i="4"/>
  <c r="W131" i="4"/>
  <c r="V132" i="4"/>
  <c r="AB133" i="4"/>
  <c r="AG127" i="4"/>
  <c r="AK133" i="4"/>
  <c r="Z139" i="4"/>
  <c r="AG140" i="4"/>
  <c r="AK127" i="4"/>
  <c r="AJ128" i="4"/>
  <c r="AI129" i="4"/>
  <c r="AH130" i="4"/>
  <c r="AD131" i="4"/>
  <c r="F137" i="4"/>
  <c r="H128" i="4"/>
  <c r="AK137" i="4"/>
  <c r="AI127" i="4"/>
  <c r="H129" i="4"/>
  <c r="G130" i="4"/>
  <c r="F131" i="4"/>
  <c r="E132" i="4"/>
  <c r="AL132" i="4"/>
  <c r="AF134" i="4"/>
  <c r="M137" i="4"/>
  <c r="V127" i="4"/>
  <c r="E130" i="4"/>
  <c r="I138" i="4"/>
  <c r="U132" i="4"/>
  <c r="O134" i="4"/>
  <c r="Q139" i="4"/>
  <c r="AK135" i="4"/>
  <c r="AI135" i="4"/>
  <c r="Y130" i="4"/>
  <c r="AK128" i="4"/>
  <c r="AG128" i="4"/>
  <c r="H130" i="4"/>
  <c r="U140" i="4"/>
  <c r="W134" i="4"/>
  <c r="AA130" i="4"/>
  <c r="AF133" i="4"/>
  <c r="AF135" i="4"/>
  <c r="AH127" i="4"/>
  <c r="G129" i="4"/>
  <c r="N130" i="4"/>
  <c r="M131" i="4"/>
  <c r="L132" i="4"/>
  <c r="K133" i="4"/>
  <c r="J134" i="4"/>
  <c r="AH131" i="4"/>
  <c r="G133" i="4"/>
  <c r="N134" i="4"/>
  <c r="M135" i="4"/>
  <c r="L136" i="4"/>
  <c r="K137" i="4"/>
  <c r="J138" i="4"/>
  <c r="AF140" i="4"/>
  <c r="E129" i="4"/>
  <c r="L130" i="4"/>
  <c r="S131" i="4"/>
  <c r="Z132" i="4"/>
  <c r="Y133" i="4"/>
  <c r="X134" i="4"/>
  <c r="W135" i="4"/>
  <c r="V136" i="4"/>
  <c r="Q138" i="4"/>
  <c r="E131" i="4"/>
  <c r="I131" i="4"/>
  <c r="P132" i="4"/>
  <c r="W133" i="4"/>
  <c r="AD134" i="4"/>
  <c r="AC135" i="4"/>
  <c r="AB136" i="4"/>
  <c r="AA137" i="4"/>
  <c r="Z138" i="4"/>
  <c r="P128" i="4"/>
  <c r="W129" i="4"/>
  <c r="AD130" i="4"/>
  <c r="AC131" i="4"/>
  <c r="AB132" i="4"/>
  <c r="AA133" i="4"/>
  <c r="Z134" i="4"/>
  <c r="AC132" i="4"/>
  <c r="F130" i="4"/>
  <c r="AI130" i="4"/>
  <c r="T130" i="4"/>
  <c r="AA131" i="4"/>
  <c r="AH132" i="4"/>
  <c r="AG133" i="4"/>
  <c r="AE135" i="4"/>
  <c r="AD136" i="4"/>
  <c r="H133" i="4"/>
  <c r="AE137" i="4"/>
  <c r="AL134" i="4"/>
  <c r="H135" i="4"/>
  <c r="M132" i="4"/>
  <c r="L138" i="4"/>
  <c r="O130" i="4"/>
  <c r="AD140" i="4"/>
  <c r="M136" i="4"/>
  <c r="AF138" i="4"/>
  <c r="X133" i="4"/>
  <c r="J127" i="4"/>
  <c r="L139" i="4"/>
  <c r="AE132" i="4"/>
  <c r="L133" i="4"/>
  <c r="Y128" i="4"/>
  <c r="F135" i="4"/>
  <c r="AG130" i="4"/>
  <c r="Q135" i="4"/>
  <c r="L131" i="4"/>
  <c r="AB129" i="4"/>
  <c r="H139" i="4"/>
  <c r="AE136" i="4"/>
  <c r="AD127" i="4"/>
  <c r="F129" i="4"/>
  <c r="AE128" i="4"/>
  <c r="T127" i="4"/>
  <c r="AI137" i="4"/>
  <c r="U136" i="4"/>
  <c r="M138" i="4"/>
  <c r="AH133" i="4"/>
  <c r="N128" i="4"/>
  <c r="AL127" i="4"/>
  <c r="AI138" i="4"/>
  <c r="X137" i="4"/>
  <c r="W132" i="4"/>
  <c r="AD129" i="4"/>
  <c r="AK130" i="4"/>
  <c r="J132" i="4"/>
  <c r="I133" i="4"/>
  <c r="H134" i="4"/>
  <c r="G135" i="4"/>
  <c r="F136" i="4"/>
  <c r="AD133" i="4"/>
  <c r="AK134" i="4"/>
  <c r="J136" i="4"/>
  <c r="I137" i="4"/>
  <c r="H138" i="4"/>
  <c r="G139" i="4"/>
  <c r="F140" i="4"/>
  <c r="I140" i="4"/>
  <c r="M129" i="4"/>
  <c r="H132" i="4"/>
  <c r="O133" i="4"/>
  <c r="V134" i="4"/>
  <c r="U135" i="4"/>
  <c r="T136" i="4"/>
  <c r="S137" i="4"/>
  <c r="R138" i="4"/>
  <c r="X135" i="4"/>
  <c r="AG134" i="4"/>
  <c r="Q131" i="4"/>
  <c r="L134" i="4"/>
  <c r="S135" i="4"/>
  <c r="Z136" i="4"/>
  <c r="Y137" i="4"/>
  <c r="X138" i="4"/>
  <c r="W13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<sst xmlns="http://schemas.openxmlformats.org/spreadsheetml/2006/main" count="676" uniqueCount="378">
  <si>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</si>
  <si>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</si>
  <si>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</si>
  <si>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</si>
  <si>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</si>
  <si>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</si>
  <si>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</si>
  <si>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</si>
  <si>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</si>
  <si>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</si>
  <si>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Состав смеси в атомных долях</t>
  </si>
  <si>
    <t>Температура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</si>
  <si>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</si>
  <si>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</si>
  <si>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</si>
  <si>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</si>
  <si>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Раствор + газовая без Ar: </t>
  </si>
  <si>
    <t xml:space="preserve">Раствор + газовая: </t>
  </si>
  <si>
    <t>Реальный расчет</t>
  </si>
  <si>
    <t>H(289)</t>
  </si>
  <si>
    <t>T (K)</t>
  </si>
  <si>
    <t>G(T)-H(0) (J)</t>
  </si>
  <si>
    <t>G(T)-H(298) (J)</t>
  </si>
  <si>
    <t>G(T) (J)</t>
  </si>
  <si>
    <t>Состав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</si>
  <si>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</si>
  <si>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</si>
  <si>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</si>
  <si>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</si>
  <si>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</si>
  <si>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</si>
  <si>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</si>
  <si>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</si>
  <si>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</si>
  <si>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</si>
  <si>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</si>
  <si>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</si>
  <si>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</si>
  <si>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</si>
  <si>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</si>
  <si>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</si>
  <si>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</si>
  <si>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</si>
  <si>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</si>
  <si>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>Convergency</t>
  </si>
  <si>
    <t>Solution #1</t>
  </si>
  <si>
    <t>Vapor</t>
  </si>
  <si>
    <t>p(Ge)</t>
  </si>
  <si>
    <t>p(Ar)</t>
  </si>
  <si>
    <t>(l)Ge[l]</t>
  </si>
  <si>
    <t>(l)Ga[l]</t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</si>
  <si>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</si>
  <si>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  <r>
      <rPr>
        <vertAlign val="subscript"/>
        <sz val="8"/>
        <rFont val="Arial"/>
        <family val="2"/>
        <charset val="204"/>
      </rPr>
      <t>3</t>
    </r>
  </si>
  <si>
    <r>
      <t>*GeSe</t>
    </r>
    <r>
      <rPr>
        <vertAlign val="subscript"/>
        <sz val="8"/>
        <rFont val="Arial"/>
        <family val="2"/>
        <charset val="204"/>
      </rPr>
      <t>2</t>
    </r>
  </si>
  <si>
    <t>*Se[m]</t>
  </si>
  <si>
    <t>*Ge[c]</t>
  </si>
  <si>
    <r>
      <t>*Ga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</si>
  <si>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t>*Ga[l]</t>
  </si>
  <si>
    <t>*GeSe</t>
  </si>
  <si>
    <t>*Ge</t>
  </si>
  <si>
    <t>2.7066е-01</t>
  </si>
  <si>
    <t>-7.470е+00</t>
  </si>
  <si>
    <t>-4.553е+00</t>
  </si>
  <si>
    <t>-1.0396+01</t>
  </si>
  <si>
    <t>B(Se)</t>
  </si>
  <si>
    <t>-1.9896+01</t>
  </si>
  <si>
    <t>3.90056-01</t>
  </si>
  <si>
    <t>p(Ga)</t>
  </si>
  <si>
    <t>2.00896-01</t>
  </si>
  <si>
    <t>1.60006-01</t>
  </si>
  <si>
    <t>-6.068е+00</t>
  </si>
  <si>
    <t>(l)SeCl]</t>
  </si>
  <si>
    <t>-7.953е-01</t>
  </si>
  <si>
    <t>(l)Ge[lJ</t>
  </si>
  <si>
    <t>3.5690е-02</t>
  </si>
  <si>
    <t>-7.848е+00</t>
  </si>
  <si>
    <t>2.00006-01</t>
  </si>
  <si>
    <t>-1.8936+01</t>
  </si>
  <si>
    <t>3.5680e-01</t>
  </si>
  <si>
    <t>3.02526-01</t>
  </si>
  <si>
    <t>6.2155е-02</t>
  </si>
  <si>
    <t>2.5127е-01</t>
  </si>
  <si>
    <t>2.2904е-01</t>
  </si>
  <si>
    <t>2.0795е-01</t>
  </si>
  <si>
    <t>4.7911е-01</t>
  </si>
  <si>
    <t>2.0004е-01</t>
  </si>
  <si>
    <t>-8.268e+00</t>
  </si>
  <si>
    <t>-7.823е+00</t>
  </si>
  <si>
    <t>-7.1506+00</t>
  </si>
  <si>
    <t>-6.832е+00</t>
  </si>
  <si>
    <t>-6.481е+00</t>
  </si>
  <si>
    <t>-5.6136+00</t>
  </si>
  <si>
    <t>-5.613е+00</t>
  </si>
  <si>
    <t>-4.700е+00</t>
  </si>
  <si>
    <t>-5.325e+00</t>
  </si>
  <si>
    <t>-5.0386+00</t>
  </si>
  <si>
    <t>1.1096е-09</t>
  </si>
  <si>
    <t>-3.897е+00</t>
  </si>
  <si>
    <t>-3.106е+00</t>
  </si>
  <si>
    <t>-2.113е+00</t>
  </si>
  <si>
    <t>+9.492е-01</t>
  </si>
  <si>
    <t>+6.952е+00</t>
  </si>
  <si>
    <r>
      <t>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</si>
  <si>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t>-1.157e+01</t>
  </si>
  <si>
    <t>-1.1036+01</t>
  </si>
  <si>
    <t>-9.676е+00</t>
  </si>
  <si>
    <t>-8.925е+00</t>
  </si>
  <si>
    <t>-8.312е+00</t>
  </si>
  <si>
    <t>-7.389е+00</t>
  </si>
  <si>
    <t>-6.277е+00</t>
  </si>
  <si>
    <t>-2.046e+01</t>
  </si>
  <si>
    <t>-2.0156+01</t>
  </si>
  <si>
    <t>5.2171е-03</t>
  </si>
  <si>
    <t>-1.9656+01</t>
  </si>
  <si>
    <t>-1.940е+01</t>
  </si>
  <si>
    <t>-1.913е+01</t>
  </si>
  <si>
    <t>1.58226-01</t>
  </si>
  <si>
    <t>-1.877е+01</t>
  </si>
  <si>
    <t>-1.8626+01</t>
  </si>
  <si>
    <t>2.0375e-01</t>
  </si>
  <si>
    <t>3.1596е-01</t>
  </si>
  <si>
    <t>4.2492е-01</t>
  </si>
  <si>
    <t>4.5051е-01</t>
  </si>
  <si>
    <t>4.7202е-01</t>
  </si>
  <si>
    <t>4.7996е-01</t>
  </si>
  <si>
    <t>4.80006-01</t>
  </si>
  <si>
    <r>
      <t>Se</t>
    </r>
    <r>
      <rPr>
        <vertAlign val="subscript"/>
        <sz val="12"/>
        <rFont val="Times New Roman"/>
        <family val="1"/>
        <charset val="204"/>
      </rPr>
      <t>2</t>
    </r>
  </si>
  <si>
    <t>1.6000e-01</t>
  </si>
  <si>
    <t>1.2923е-05</t>
  </si>
  <si>
    <t>1.6000е-01</t>
  </si>
  <si>
    <t>8.8888е-04</t>
  </si>
  <si>
    <t>1.1825e-02</t>
  </si>
  <si>
    <t>2.0899е-02</t>
  </si>
  <si>
    <t>6.0328е-02</t>
  </si>
  <si>
    <t>1.02206-01</t>
  </si>
  <si>
    <t>1.4412е-01</t>
  </si>
  <si>
    <t>1.5993е-01</t>
  </si>
  <si>
    <r>
      <t>Se</t>
    </r>
    <r>
      <rPr>
        <vertAlign val="subscript"/>
        <sz val="12"/>
        <rFont val="Times New Roman"/>
        <family val="1"/>
        <charset val="204"/>
      </rPr>
      <t>8</t>
    </r>
  </si>
  <si>
    <t>2.0000e-01</t>
  </si>
  <si>
    <t>2.4380е-04</t>
  </si>
  <si>
    <t>2.0000е-01</t>
  </si>
  <si>
    <t>8.9678е-19</t>
  </si>
  <si>
    <t>7.4087e-02</t>
  </si>
  <si>
    <t>6.9550е-02</t>
  </si>
  <si>
    <t>4.9836е-02</t>
  </si>
  <si>
    <t>2.8901е-02</t>
  </si>
  <si>
    <t>7.9401е-03</t>
  </si>
  <si>
    <t>4.1183е-08</t>
  </si>
  <si>
    <t>3.5306е-05</t>
  </si>
  <si>
    <t>8.0028е-11</t>
  </si>
  <si>
    <t>Se?</t>
  </si>
  <si>
    <t>2.2142e-07</t>
  </si>
  <si>
    <t>2.0413е-08</t>
  </si>
  <si>
    <t>6.5868е-04</t>
  </si>
  <si>
    <t>3.1795е-11</t>
  </si>
  <si>
    <t>3.7343е-13</t>
  </si>
  <si>
    <t>1.3319е-15</t>
  </si>
  <si>
    <t>1.7059е-09</t>
  </si>
  <si>
    <t>4.0377е-23</t>
  </si>
  <si>
    <t>0.00006+00</t>
  </si>
  <si>
    <t>6.9757e-02</t>
  </si>
  <si>
    <t>2.3754е-02</t>
  </si>
  <si>
    <t>7.4444е-04</t>
  </si>
  <si>
    <t>6.0579е-05</t>
  </si>
  <si>
    <t>2.4831е-06</t>
  </si>
  <si>
    <t>3.9207е-08</t>
  </si>
  <si>
    <t>1.4398е-10</t>
  </si>
  <si>
    <t>3.8016е-20</t>
  </si>
  <si>
    <r>
      <t>Se</t>
    </r>
    <r>
      <rPr>
        <vertAlign val="subscript"/>
        <sz val="12"/>
        <rFont val="Times New Roman"/>
        <family val="1"/>
        <charset val="204"/>
      </rPr>
      <t>6</t>
    </r>
  </si>
  <si>
    <t>1.4406e-05</t>
  </si>
  <si>
    <t>2.3217е-05</t>
  </si>
  <si>
    <t>2.2115е-03</t>
  </si>
  <si>
    <t>3.5420е-06</t>
  </si>
  <si>
    <t>5.0236е-07</t>
  </si>
  <si>
    <t>4.0159е-08</t>
  </si>
  <si>
    <t>1.4450е-07</t>
  </si>
  <si>
    <t>1.8284е-11</t>
  </si>
  <si>
    <t>4.8741е-20</t>
  </si>
  <si>
    <r>
      <t>Se</t>
    </r>
    <r>
      <rPr>
        <vertAlign val="subscript"/>
        <sz val="12"/>
        <rFont val="Times New Roman"/>
        <family val="1"/>
        <charset val="204"/>
      </rPr>
      <t>5</t>
    </r>
  </si>
  <si>
    <t>3.4402e-04</t>
  </si>
  <si>
    <t>4.6435е-04</t>
  </si>
  <si>
    <t>6.7297е-05</t>
  </si>
  <si>
    <t>1.0027е-05</t>
  </si>
  <si>
    <t>8.5699е-07</t>
  </si>
  <si>
    <t>4.8894е-08</t>
  </si>
  <si>
    <t>4.7633е-10</t>
  </si>
  <si>
    <t>2.7152е-18</t>
  </si>
  <si>
    <t>1.1430e-03</t>
  </si>
  <si>
    <t>1.3093е-03</t>
  </si>
  <si>
    <t>5.5644е-05</t>
  </si>
  <si>
    <t>1.8665е-04</t>
  </si>
  <si>
    <t>2.9918е-05</t>
  </si>
  <si>
    <t>2.8178е-06</t>
  </si>
  <si>
    <t>2.9948е-10</t>
  </si>
  <si>
    <t>2.1030е-09</t>
  </si>
  <si>
    <t>3.1685е-17</t>
  </si>
  <si>
    <r>
      <t>Se</t>
    </r>
    <r>
      <rPr>
        <vertAlign val="subscript"/>
        <sz val="12"/>
        <rFont val="Times New Roman"/>
        <family val="1"/>
        <charset val="204"/>
      </rPr>
      <t>4</t>
    </r>
  </si>
  <si>
    <t>9.2271e-03</t>
  </si>
  <si>
    <t>6.6071е-03</t>
  </si>
  <si>
    <t>4.1320е-04</t>
  </si>
  <si>
    <t>4.1170е-05</t>
  </si>
  <si>
    <t>2.1273е-06</t>
  </si>
  <si>
    <t>2.4218е-10</t>
  </si>
  <si>
    <t>8.2633е-20</t>
  </si>
  <si>
    <t>4.4404e-04</t>
  </si>
  <si>
    <t>2.2064е-04</t>
  </si>
  <si>
    <t>1.0688е-04</t>
  </si>
  <si>
    <t>7.9702е-06</t>
  </si>
  <si>
    <t>5.9468е-07</t>
  </si>
  <si>
    <t>2.1346е-08</t>
  </si>
  <si>
    <t>1.0018е-10</t>
  </si>
  <si>
    <t>7.6971е-13</t>
  </si>
  <si>
    <t>2.8659е-23</t>
  </si>
  <si>
    <r>
      <t>Se</t>
    </r>
    <r>
      <rPr>
        <vertAlign val="subscript"/>
        <sz val="12"/>
        <rFont val="Times New Roman"/>
        <family val="1"/>
        <charset val="204"/>
      </rPr>
      <t>3</t>
    </r>
  </si>
  <si>
    <t>1.7849e-03</t>
  </si>
  <si>
    <t>5.9058е-04</t>
  </si>
  <si>
    <t>1.1068е-05</t>
  </si>
  <si>
    <t>5.7567е-07</t>
  </si>
  <si>
    <t>1.3125е-08</t>
  </si>
  <si>
    <t>1.1460е-13</t>
  </si>
  <si>
    <t>2.7272е-25</t>
  </si>
  <si>
    <t>1.3049е-08</t>
  </si>
  <si>
    <t>2.9825е-08</t>
  </si>
  <si>
    <t>5.9068е-08</t>
  </si>
  <si>
    <t>4.8602е-08</t>
  </si>
  <si>
    <t>2.8153е-08</t>
  </si>
  <si>
    <t>3.1200е-08</t>
  </si>
  <si>
    <t>2.0759е-08</t>
  </si>
  <si>
    <t>3.2389е-08</t>
  </si>
  <si>
    <t>2.2147е-08</t>
  </si>
  <si>
    <t>*Se[l]</t>
  </si>
  <si>
    <t>(l)Geic]</t>
  </si>
  <si>
    <t>(l)Se[r]</t>
  </si>
  <si>
    <r>
      <rPr>
        <sz val="12"/>
        <rFont val="Times New Roman"/>
        <family val="1"/>
        <charset val="204"/>
      </rPr>
      <t>(l)Se[r]</t>
    </r>
  </si>
  <si>
    <t>(l)Se[a]</t>
  </si>
  <si>
    <r>
      <rPr>
        <sz val="12"/>
        <rFont val="Times New Roman"/>
        <family val="1"/>
        <charset val="204"/>
      </rPr>
      <t>(l)Se[a]</t>
    </r>
  </si>
  <si>
    <t>(l)Se</t>
  </si>
  <si>
    <r>
      <rPr>
        <sz val="12"/>
        <rFont val="Times New Roman"/>
        <family val="1"/>
        <charset val="204"/>
      </rPr>
      <t>(l)Se</t>
    </r>
  </si>
  <si>
    <t>(l)Ga</t>
  </si>
  <si>
    <r>
      <rPr>
        <sz val="12"/>
        <rFont val="Times New Roman"/>
        <family val="1"/>
        <charset val="204"/>
      </rPr>
      <t>(l)Ga</t>
    </r>
  </si>
  <si>
    <t>(l)Ge</t>
  </si>
  <si>
    <r>
      <rPr>
        <sz val="12"/>
        <rFont val="Times New Roman"/>
        <family val="1"/>
        <charset val="204"/>
      </rPr>
      <t>(l)Ge</t>
    </r>
  </si>
  <si>
    <r>
      <rPr>
        <sz val="12"/>
        <rFont val="Times New Roman"/>
        <family val="1"/>
        <charset val="204"/>
      </rPr>
      <t>(l)Ga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</si>
  <si>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r>
      <rPr>
        <sz val="12"/>
        <rFont val="Times New Roman"/>
        <family val="1"/>
        <charset val="204"/>
      </rPr>
      <t>(l)Ga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Se3</t>
    </r>
  </si>
  <si>
    <t>(l)GeSe</t>
  </si>
  <si>
    <r>
      <rPr>
        <sz val="12"/>
        <rFont val="Times New Roman"/>
        <family val="1"/>
        <charset val="204"/>
      </rPr>
      <t>(l)GeSe</t>
    </r>
  </si>
  <si>
    <r>
      <rPr>
        <sz val="12"/>
        <rFont val="Times New Roman"/>
        <family val="1"/>
        <charset val="204"/>
      </rPr>
      <t>(l)GeSe</t>
    </r>
    <r>
      <rPr>
        <vertAlign val="subscript"/>
        <sz val="12"/>
        <rFont val="Times New Roman"/>
        <family val="1"/>
        <charset val="204"/>
      </rPr>
      <t>2</t>
    </r>
  </si>
  <si>
    <r>
      <rPr>
        <sz val="12"/>
        <rFont val="Times New Roman"/>
        <family val="1"/>
        <charset val="204"/>
      </rPr>
      <t>Ar</t>
    </r>
  </si>
  <si>
    <t>0.0000e+00</t>
  </si>
  <si>
    <r>
      <rPr>
        <sz val="12"/>
        <rFont val="Times New Roman"/>
        <family val="1"/>
        <charset val="204"/>
      </rPr>
      <t>Ga</t>
    </r>
  </si>
  <si>
    <r>
      <rPr>
        <sz val="12"/>
        <rFont val="Times New Roman"/>
        <family val="1"/>
        <charset val="204"/>
      </rPr>
      <t>Ga</t>
    </r>
    <r>
      <rPr>
        <vertAlign val="subscript"/>
        <sz val="12"/>
        <rFont val="Times New Roman"/>
        <family val="1"/>
        <charset val="204"/>
      </rPr>
      <t>2</t>
    </r>
    <r>
      <rPr>
        <sz val="12"/>
        <rFont val="Times New Roman"/>
        <family val="1"/>
        <charset val="204"/>
      </rPr>
      <t>Se</t>
    </r>
  </si>
  <si>
    <t>Ga2Se3</t>
  </si>
  <si>
    <r>
      <rPr>
        <sz val="12"/>
        <rFont val="Times New Roman"/>
        <family val="1"/>
        <charset val="204"/>
      </rPr>
      <t>Ga2Se3</t>
    </r>
  </si>
  <si>
    <t>*GeSe2</t>
  </si>
  <si>
    <r>
      <rPr>
        <sz val="12"/>
        <rFont val="Times New Roman"/>
        <family val="1"/>
        <charset val="204"/>
      </rPr>
      <t>*GeSe2</t>
    </r>
  </si>
  <si>
    <r>
      <rPr>
        <sz val="12"/>
        <rFont val="Times New Roman"/>
        <family val="1"/>
        <charset val="204"/>
      </rPr>
      <t>*Se[m]</t>
    </r>
  </si>
  <si>
    <r>
      <rPr>
        <sz val="12"/>
        <rFont val="Times New Roman"/>
        <family val="1"/>
        <charset val="204"/>
      </rPr>
      <t>*Ga[l]</t>
    </r>
  </si>
  <si>
    <r>
      <rPr>
        <sz val="12"/>
        <rFont val="Times New Roman"/>
        <family val="1"/>
        <charset val="204"/>
      </rPr>
      <t>*GeSe</t>
    </r>
  </si>
  <si>
    <r>
      <rPr>
        <sz val="12"/>
        <rFont val="Times New Roman"/>
        <family val="1"/>
        <charset val="204"/>
      </rPr>
      <t>Temperature,</t>
    </r>
    <r>
      <rPr>
        <sz val="12"/>
        <rFont val="Times New Roman"/>
        <family val="1"/>
        <charset val="204"/>
      </rPr>
      <t>К</t>
    </r>
  </si>
  <si>
    <t>6.4739e-08</t>
  </si>
  <si>
    <t>1.0966e-07</t>
  </si>
  <si>
    <t>1.7667e-07</t>
  </si>
  <si>
    <t>Convergence</t>
  </si>
  <si>
    <t>3.0625e-07</t>
  </si>
  <si>
    <t>3.4087e-07</t>
  </si>
  <si>
    <t>9.6155e-09</t>
  </si>
  <si>
    <t>7.7706e-09</t>
  </si>
  <si>
    <t>6.4800e-09</t>
  </si>
  <si>
    <t>9.6122e-09</t>
  </si>
  <si>
    <t>8.6532e-09</t>
  </si>
  <si>
    <t>Solution #3</t>
  </si>
  <si>
    <t>7.2929e-09</t>
  </si>
  <si>
    <t>7.0969e-09</t>
  </si>
  <si>
    <t>6.4933e-09</t>
  </si>
  <si>
    <t>9.9472e-09</t>
  </si>
  <si>
    <t>6.5714e-09</t>
  </si>
  <si>
    <t>5.7474e-09</t>
  </si>
  <si>
    <t>5.7893e-09</t>
  </si>
  <si>
    <t>7.0449e-09</t>
  </si>
  <si>
    <t>9.9085e-09</t>
  </si>
  <si>
    <t>9.4412e-09</t>
  </si>
  <si>
    <t>8.2291e-09</t>
  </si>
  <si>
    <t>5.8647e-09</t>
  </si>
  <si>
    <t>7.1137e-09</t>
  </si>
  <si>
    <t>5.2742e-09</t>
  </si>
  <si>
    <t>7.8370e-09</t>
  </si>
  <si>
    <t>1.6494e-01</t>
  </si>
  <si>
    <t>1.6222e-01</t>
  </si>
  <si>
    <t>1.5880e-01</t>
  </si>
  <si>
    <t>1.5425e-01</t>
  </si>
  <si>
    <t>1.4802e-01</t>
  </si>
  <si>
    <t>7.3245e-03</t>
  </si>
  <si>
    <t>6.1826e-08</t>
  </si>
  <si>
    <t>1.7570e-14</t>
  </si>
  <si>
    <t>2.6753e-21</t>
  </si>
  <si>
    <t>6.8083e-29</t>
  </si>
  <si>
    <t>Solution #2</t>
  </si>
  <si>
    <t>4.7694e-01</t>
  </si>
  <si>
    <t>4.5884e-01</t>
  </si>
  <si>
    <t>4.5402e-01</t>
  </si>
  <si>
    <t>1.6077e-40</t>
  </si>
  <si>
    <t>6.7063e-39</t>
  </si>
  <si>
    <t>5.4391e-40</t>
  </si>
  <si>
    <t>6.3494e-01</t>
  </si>
  <si>
    <t>6.3750e-01</t>
  </si>
  <si>
    <t>6.4058e-01</t>
  </si>
  <si>
    <t>6.4432e-01</t>
  </si>
  <si>
    <t>6.4885e-01</t>
  </si>
  <si>
    <t>6.7964e-01</t>
  </si>
  <si>
    <t>6.7059e-01</t>
  </si>
  <si>
    <t>6.6152e-01</t>
  </si>
  <si>
    <t>6.5335e-01</t>
  </si>
  <si>
    <t>6.4384e-01</t>
  </si>
  <si>
    <t>2.2241e-01</t>
  </si>
  <si>
    <t>2.2561e-01</t>
  </si>
  <si>
    <t>2.2647e-01</t>
  </si>
  <si>
    <t>4.5260e-01</t>
  </si>
  <si>
    <t>4.5151e-01</t>
  </si>
  <si>
    <t>4.4955e-01</t>
  </si>
  <si>
    <t>4.4548e-01</t>
  </si>
  <si>
    <t>4.3696e-01</t>
  </si>
  <si>
    <t>4.2029e-01</t>
  </si>
  <si>
    <t>3.0092e-01</t>
  </si>
  <si>
    <t>2.8868e-01</t>
  </si>
  <si>
    <t>2.8238e-01</t>
  </si>
  <si>
    <t>2.7625e-01</t>
  </si>
  <si>
    <t>2.6455e-01</t>
  </si>
  <si>
    <t>2.4341e-01</t>
  </si>
  <si>
    <t>2.1903e-01</t>
  </si>
  <si>
    <t>2.0325e-01</t>
  </si>
  <si>
    <t>1.9734e-01</t>
  </si>
  <si>
    <t>2.0002e-01</t>
  </si>
  <si>
    <t>2.0005e-01</t>
  </si>
  <si>
    <t>2.0018e-01</t>
  </si>
  <si>
    <t>2.0063e-01</t>
  </si>
  <si>
    <t>-2.512e+01</t>
  </si>
  <si>
    <t>-2.486e+01</t>
  </si>
  <si>
    <t>-2.458e+01</t>
  </si>
  <si>
    <t>2.2667e-01</t>
  </si>
  <si>
    <t>2.2674e-01</t>
  </si>
  <si>
    <t>2.2683e-01</t>
  </si>
  <si>
    <t>2.2700e-01</t>
  </si>
  <si>
    <t>2.2738e-01</t>
  </si>
  <si>
    <t>2.2815e-01</t>
  </si>
  <si>
    <t>2.3509e-01</t>
  </si>
  <si>
    <t>2.3598e-01</t>
  </si>
  <si>
    <t>2.3646e-01</t>
  </si>
  <si>
    <t>2.3694e-01</t>
  </si>
  <si>
    <t>2.3788e-01</t>
  </si>
  <si>
    <t>2.3969e-01</t>
  </si>
  <si>
    <t>2.4199e-01</t>
  </si>
  <si>
    <t>2.4361e-01</t>
  </si>
  <si>
    <t>2.4425e-01</t>
  </si>
  <si>
    <t>(3)Ge[l]</t>
  </si>
  <si>
    <t>(3)Ga[l]</t>
  </si>
  <si>
    <t>(l)Se[m]</t>
  </si>
  <si>
    <r>
      <t>(l)Ga</t>
    </r>
    <r>
      <rPr>
        <vertAlign val="subscript"/>
        <sz val="8"/>
        <rFont val="Arial"/>
        <family val="2"/>
        <charset val="204"/>
      </rPr>
      <t>2</t>
    </r>
    <r>
      <rPr>
        <sz val="8"/>
        <rFont val="Arial"/>
        <family val="2"/>
        <charset val="204"/>
      </rPr>
      <t>Se</t>
    </r>
  </si>
  <si>
    <r>
      <t>Temperature,</t>
    </r>
    <r>
      <rPr>
        <sz val="8"/>
        <rFont val="Arial"/>
        <family val="2"/>
        <charset val="204"/>
      </rPr>
      <t>К</t>
    </r>
  </si>
  <si>
    <r>
      <t>Temperature,</t>
    </r>
    <r>
      <rPr>
        <sz val="8"/>
        <rFont val="Arial"/>
        <family val="2"/>
        <charset val="204"/>
      </rPr>
      <t xml:space="preserve">К </t>
    </r>
  </si>
  <si>
    <t xml:space="preserve">Temperature,К </t>
  </si>
  <si>
    <t>*Ga2Se</t>
  </si>
  <si>
    <t>Ga2Se</t>
  </si>
  <si>
    <t>Se3</t>
  </si>
  <si>
    <t>Se4</t>
  </si>
  <si>
    <t>Se5</t>
  </si>
  <si>
    <t>Se6</t>
  </si>
  <si>
    <t>Se8</t>
  </si>
  <si>
    <t>Se2</t>
  </si>
  <si>
    <t>Se7</t>
  </si>
  <si>
    <t>(l)Se[l]</t>
  </si>
  <si>
    <t>(l)Ge[c]</t>
  </si>
  <si>
    <t>(l)GeSe2</t>
  </si>
  <si>
    <t>(l)Ga2Se3</t>
  </si>
  <si>
    <t>(l)Ga2Se</t>
  </si>
  <si>
    <t xml:space="preserve">Раствор 3 (жид): </t>
  </si>
  <si>
    <t xml:space="preserve">Раствор 3 + газовая без Ar: </t>
  </si>
  <si>
    <t>Р1+Р3+газ без Ar</t>
  </si>
  <si>
    <t>Темперратура1 Графики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</si>
</sst>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E+00"/>
    <numFmt numFmtId="166" formatCode="0.000"/>
  </numFmts>
  <fonts count="30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4"/>
      <color theme="0" tint="-4.9989318521683403E-2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vertAlign val="subscript"/>
      <sz val="8"/>
      <name val="Arial"/>
      <family val="2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4" fillId="6" borderId="0"/>
    <xf numFmtId="1" fontId="7" fillId="9" borderId="2">
      <alignment horizontal="left" vertical="center"/>
    </xf>
    <xf numFmtId="0" fontId="8" fillId="8" borderId="3" applyNumberFormat="0">
      <alignment horizontal="left" vertical="center"/>
    </xf>
    <xf numFmtId="165" fontId="9" fillId="0" borderId="0"/>
    <xf numFmtId="11" fontId="12" fillId="13" borderId="0">
      <alignment vertical="top"/>
    </xf>
    <xf numFmtId="0" fontId="1" fillId="4" borderId="0">
      <alignment horizontal="center" vertical="center"/>
    </xf>
    <xf numFmtId="0" fontId="22" fillId="3" borderId="1">
      <alignment horizontal="center" vertical="center"/>
    </xf>
    <xf numFmtId="165" fontId="9" fillId="0" borderId="0"/>
  </cellStyleXfs>
  <cellXfs count="175">
    <xf numFmtId="0" fontId="0" fillId="0" borderId="0" xfId="0"/>
    <xf numFmtId="0" fontId="7" fillId="9" borderId="36" xfId="2" applyNumberFormat="1" applyBorder="1">
      <alignment horizontal="left" vertical="center"/>
    </xf>
    <xf numFmtId="0" fontId="5" fillId="7" borderId="33" xfId="0" applyFont="1" applyFill="1" applyBorder="1"/>
    <xf numFmtId="0" fontId="0" fillId="5" borderId="0" xfId="0" applyFill="1"/>
    <xf numFmtId="0" fontId="4" fillId="7" borderId="0" xfId="1" applyFill="1"/>
    <xf numFmtId="0" fontId="0" fillId="7" borderId="0" xfId="0" applyFill="1"/>
    <xf numFmtId="0" fontId="5" fillId="7" borderId="0" xfId="0" applyFont="1" applyFill="1"/>
    <xf numFmtId="0" fontId="6" fillId="8" borderId="1" xfId="0" applyFont="1" applyFill="1" applyBorder="1" applyAlignment="1">
      <alignment horizontal="center" vertical="center"/>
    </xf>
    <xf numFmtId="0" fontId="7" fillId="9" borderId="2" xfId="2" applyNumberFormat="1">
      <alignment horizontal="left" vertical="center"/>
    </xf>
    <xf numFmtId="1" fontId="7" fillId="9" borderId="2" xfId="2">
      <alignment horizontal="left" vertical="center"/>
    </xf>
    <xf numFmtId="0" fontId="2" fillId="10" borderId="0" xfId="0" applyFont="1" applyFill="1"/>
    <xf numFmtId="0" fontId="8" fillId="8" borderId="3" xfId="3" applyNumberFormat="1">
      <alignment horizontal="left" vertical="center"/>
    </xf>
    <xf numFmtId="165" fontId="9" fillId="0" borderId="0" xfId="4"/>
    <xf numFmtId="0" fontId="10" fillId="11" borderId="4" xfId="0" applyFont="1" applyFill="1" applyBorder="1"/>
    <xf numFmtId="0" fontId="10" fillId="11" borderId="5" xfId="0" applyFont="1" applyFill="1" applyBorder="1"/>
    <xf numFmtId="0" fontId="10" fillId="11" borderId="6" xfId="0" applyFont="1" applyFill="1" applyBorder="1"/>
    <xf numFmtId="0" fontId="11" fillId="7" borderId="5" xfId="0" applyFont="1" applyFill="1" applyBorder="1"/>
    <xf numFmtId="0" fontId="0" fillId="2" borderId="0" xfId="0" applyFill="1"/>
    <xf numFmtId="0" fontId="5" fillId="9" borderId="7" xfId="0" applyFont="1" applyFill="1" applyBorder="1" applyAlignment="1">
      <alignment horizontal="center" vertical="center"/>
    </xf>
    <xf numFmtId="0" fontId="7" fillId="9" borderId="2" xfId="0" applyFont="1" applyFill="1" applyBorder="1"/>
    <xf numFmtId="0" fontId="0" fillId="10" borderId="8" xfId="0" applyFill="1" applyBorder="1"/>
    <xf numFmtId="165" fontId="0" fillId="10" borderId="0" xfId="0" applyNumberFormat="1" applyFill="1"/>
    <xf numFmtId="0" fontId="5" fillId="9" borderId="2" xfId="0" applyFont="1" applyFill="1" applyBorder="1" applyAlignment="1">
      <alignment horizontal="center" vertical="center"/>
    </xf>
    <xf numFmtId="0" fontId="1" fillId="4" borderId="0" xfId="6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11" fontId="12" fillId="13" borderId="0" xfId="5">
      <alignment vertical="top"/>
    </xf>
    <xf numFmtId="0" fontId="7" fillId="12" borderId="0" xfId="0" applyFont="1" applyFill="1"/>
    <xf numFmtId="1" fontId="12" fillId="13" borderId="0" xfId="5" applyNumberFormat="1">
      <alignment vertical="top"/>
    </xf>
    <xf numFmtId="0" fontId="8" fillId="8" borderId="3" xfId="3" applyAlignment="1">
      <alignment horizontal="right" vertical="center"/>
    </xf>
    <xf numFmtId="0" fontId="8" fillId="8" borderId="3" xfId="3">
      <alignment horizontal="left" vertical="center"/>
    </xf>
    <xf numFmtId="0" fontId="0" fillId="7" borderId="9" xfId="0" applyFill="1" applyBorder="1"/>
    <xf numFmtId="0" fontId="0" fillId="7" borderId="12" xfId="0" applyFill="1" applyBorder="1"/>
    <xf numFmtId="0" fontId="7" fillId="9" borderId="13" xfId="0" applyFont="1" applyFill="1" applyBorder="1"/>
    <xf numFmtId="0" fontId="7" fillId="9" borderId="14" xfId="0" applyFont="1" applyFill="1" applyBorder="1"/>
    <xf numFmtId="0" fontId="7" fillId="9" borderId="15" xfId="0" applyFont="1" applyFill="1" applyBorder="1"/>
    <xf numFmtId="0" fontId="14" fillId="9" borderId="15" xfId="0" applyFont="1" applyFill="1" applyBorder="1"/>
    <xf numFmtId="0" fontId="0" fillId="10" borderId="0" xfId="0" applyFill="1"/>
    <xf numFmtId="2" fontId="12" fillId="13" borderId="0" xfId="5" applyNumberFormat="1">
      <alignment vertical="top"/>
    </xf>
    <xf numFmtId="1" fontId="15" fillId="9" borderId="4" xfId="2" applyFont="1" applyBorder="1">
      <alignment horizontal="left" vertical="center"/>
    </xf>
    <xf numFmtId="1" fontId="7" fillId="9" borderId="4" xfId="2" applyBorder="1">
      <alignment horizontal="left" vertical="center"/>
    </xf>
    <xf numFmtId="166" fontId="12" fillId="5" borderId="0" xfId="5" applyNumberFormat="1" applyFill="1">
      <alignment vertical="top"/>
    </xf>
    <xf numFmtId="0" fontId="1" fillId="4" borderId="19" xfId="6" applyBorder="1">
      <alignment horizontal="center" vertical="center"/>
    </xf>
    <xf numFmtId="0" fontId="1" fillId="4" borderId="21" xfId="6" applyBorder="1">
      <alignment horizontal="center" vertical="center"/>
    </xf>
    <xf numFmtId="0" fontId="1" fillId="4" borderId="8" xfId="6" applyBorder="1">
      <alignment horizontal="center" vertical="center"/>
    </xf>
    <xf numFmtId="0" fontId="1" fillId="4" borderId="23" xfId="6" applyBorder="1">
      <alignment horizontal="center" vertical="center"/>
    </xf>
    <xf numFmtId="0" fontId="1" fillId="4" borderId="24" xfId="6" applyBorder="1">
      <alignment horizontal="center" vertical="center"/>
    </xf>
    <xf numFmtId="0" fontId="0" fillId="0" borderId="17" xfId="0" applyBorder="1"/>
    <xf numFmtId="0" fontId="0" fillId="0" borderId="25" xfId="0" applyBorder="1"/>
    <xf numFmtId="0" fontId="0" fillId="0" borderId="18" xfId="0" applyBorder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13" xfId="0" applyBorder="1"/>
    <xf numFmtId="0" fontId="0" fillId="0" borderId="28" xfId="0" applyBorder="1"/>
    <xf numFmtId="0" fontId="0" fillId="0" borderId="29" xfId="0" applyBorder="1"/>
    <xf numFmtId="0" fontId="3" fillId="14" borderId="3" xfId="0" applyFont="1" applyFill="1" applyBorder="1" applyAlignment="1">
      <alignment horizontal="right" vertical="center"/>
    </xf>
    <xf numFmtId="1" fontId="8" fillId="8" borderId="3" xfId="3" applyNumberFormat="1">
      <alignment horizontal="left" vertical="center"/>
    </xf>
    <xf numFmtId="164" fontId="8" fillId="8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6" fillId="14" borderId="9" xfId="0" applyNumberFormat="1" applyFont="1" applyFill="1" applyBorder="1" applyAlignment="1">
      <alignment horizontal="center" vertical="center"/>
    </xf>
    <xf numFmtId="0" fontId="22" fillId="3" borderId="1" xfId="7">
      <alignment horizontal="center" vertical="center"/>
    </xf>
    <xf numFmtId="0" fontId="8" fillId="8" borderId="12" xfId="3" applyNumberFormat="1" applyBorder="1">
      <alignment horizontal="left" vertical="center"/>
    </xf>
    <xf numFmtId="0" fontId="6" fillId="8" borderId="30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/>
    </xf>
    <xf numFmtId="0" fontId="2" fillId="10" borderId="9" xfId="0" applyFont="1" applyFill="1" applyBorder="1"/>
    <xf numFmtId="0" fontId="23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10" fillId="17" borderId="6" xfId="0" applyFont="1" applyFill="1" applyBorder="1"/>
    <xf numFmtId="0" fontId="0" fillId="17" borderId="0" xfId="0" applyFill="1"/>
    <xf numFmtId="0" fontId="2" fillId="10" borderId="0" xfId="0" applyFont="1" applyFill="1" applyBorder="1"/>
    <xf numFmtId="11" fontId="8" fillId="8" borderId="3" xfId="3" applyNumberFormat="1">
      <alignment horizontal="left" vertical="center"/>
    </xf>
    <xf numFmtId="165" fontId="9" fillId="0" borderId="0" xfId="8"/>
    <xf numFmtId="164" fontId="0" fillId="0" borderId="18" xfId="0" applyNumberFormat="1" applyBorder="1"/>
    <xf numFmtId="164" fontId="0" fillId="0" borderId="29" xfId="0" applyNumberFormat="1" applyBorder="1"/>
    <xf numFmtId="1" fontId="1" fillId="4" borderId="20" xfId="6" applyNumberFormat="1" applyBorder="1">
      <alignment horizontal="center" vertical="center"/>
    </xf>
    <xf numFmtId="1" fontId="1" fillId="4" borderId="22" xfId="6" applyNumberFormat="1" applyBorder="1">
      <alignment horizontal="center" vertical="center"/>
    </xf>
    <xf numFmtId="11" fontId="12" fillId="13" borderId="0" xfId="5" applyNumberFormat="1">
      <alignment vertical="top"/>
    </xf>
    <xf numFmtId="1" fontId="24" fillId="4" borderId="20" xfId="6" applyNumberFormat="1" applyFont="1" applyBorder="1">
      <alignment horizontal="center" vertical="center"/>
    </xf>
    <xf numFmtId="1" fontId="24" fillId="4" borderId="22" xfId="6" applyNumberFormat="1" applyFont="1" applyBorder="1">
      <alignment horizontal="center" vertical="center"/>
    </xf>
    <xf numFmtId="0" fontId="0" fillId="0" borderId="0" xfId="0"/>
    <xf numFmtId="0" fontId="25" fillId="0" borderId="0" xfId="0" applyNumberFormat="1" applyFont="1" applyFill="1" applyBorder="1" applyAlignment="1" applyProtection="1">
      <alignment vertical="top"/>
    </xf>
    <xf numFmtId="0" fontId="13" fillId="0" borderId="0" xfId="0" applyNumberFormat="1" applyFont="1" applyFill="1" applyBorder="1" applyAlignment="1" applyProtection="1">
      <alignment vertical="top"/>
    </xf>
    <xf numFmtId="11" fontId="13" fillId="0" borderId="10" xfId="0" applyNumberFormat="1" applyFont="1" applyFill="1" applyBorder="1" applyAlignment="1" applyProtection="1">
      <alignment horizontal="justify" vertical="top"/>
    </xf>
    <xf numFmtId="11" fontId="13" fillId="0" borderId="10" xfId="0" applyNumberFormat="1" applyFont="1" applyFill="1" applyBorder="1" applyAlignment="1" applyProtection="1">
      <alignment horizontal="center" vertical="top"/>
    </xf>
    <xf numFmtId="0" fontId="13" fillId="0" borderId="10" xfId="0" applyNumberFormat="1" applyFont="1" applyFill="1" applyBorder="1" applyAlignment="1" applyProtection="1">
      <alignment horizontal="left" vertical="top"/>
    </xf>
    <xf numFmtId="11" fontId="13" fillId="0" borderId="32" xfId="0" applyNumberFormat="1" applyFont="1" applyFill="1" applyBorder="1" applyAlignment="1" applyProtection="1">
      <alignment horizontal="justify" vertical="top"/>
    </xf>
    <xf numFmtId="11" fontId="13" fillId="0" borderId="32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center"/>
    </xf>
    <xf numFmtId="11" fontId="13" fillId="0" borderId="32" xfId="0" applyNumberFormat="1" applyFont="1" applyFill="1" applyBorder="1" applyAlignment="1" applyProtection="1">
      <alignment horizontal="justify"/>
    </xf>
    <xf numFmtId="0" fontId="13" fillId="0" borderId="32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left" vertical="top"/>
    </xf>
    <xf numFmtId="11" fontId="13" fillId="0" borderId="30" xfId="0" applyNumberFormat="1" applyFont="1" applyFill="1" applyBorder="1" applyAlignment="1" applyProtection="1">
      <alignment horizontal="justify"/>
    </xf>
    <xf numFmtId="11" fontId="13" fillId="0" borderId="30" xfId="0" applyNumberFormat="1" applyFont="1" applyFill="1" applyBorder="1" applyAlignment="1" applyProtection="1">
      <alignment horizontal="center"/>
    </xf>
    <xf numFmtId="0" fontId="13" fillId="0" borderId="30" xfId="0" applyNumberFormat="1" applyFont="1" applyFill="1" applyBorder="1" applyAlignment="1" applyProtection="1">
      <alignment horizontal="left"/>
    </xf>
    <xf numFmtId="164" fontId="0" fillId="0" borderId="0" xfId="0" applyNumberFormat="1"/>
    <xf numFmtId="164" fontId="13" fillId="0" borderId="32" xfId="0" applyNumberFormat="1" applyFont="1" applyFill="1" applyBorder="1" applyAlignment="1" applyProtection="1">
      <alignment horizontal="right"/>
    </xf>
    <xf numFmtId="164" fontId="13" fillId="0" borderId="32" xfId="0" applyNumberFormat="1" applyFont="1" applyFill="1" applyBorder="1" applyAlignment="1" applyProtection="1">
      <alignment horizontal="justify" vertical="top"/>
    </xf>
    <xf numFmtId="164" fontId="13" fillId="0" borderId="30" xfId="0" applyNumberFormat="1" applyFont="1" applyFill="1" applyBorder="1" applyAlignment="1" applyProtection="1">
      <alignment horizontal="right"/>
    </xf>
    <xf numFmtId="164" fontId="13" fillId="0" borderId="30" xfId="0" applyNumberFormat="1" applyFont="1" applyFill="1" applyBorder="1" applyAlignment="1" applyProtection="1">
      <alignment horizontal="justify"/>
    </xf>
    <xf numFmtId="164" fontId="13" fillId="0" borderId="1" xfId="0" applyNumberFormat="1" applyFont="1" applyFill="1" applyBorder="1" applyAlignment="1" applyProtection="1">
      <alignment horizontal="right" vertical="center" wrapText="1"/>
    </xf>
    <xf numFmtId="164" fontId="13" fillId="0" borderId="1" xfId="0" applyNumberFormat="1" applyFont="1" applyFill="1" applyBorder="1" applyAlignment="1" applyProtection="1">
      <alignment horizontal="left" vertical="center" wrapText="1"/>
    </xf>
    <xf numFmtId="0" fontId="13" fillId="0" borderId="0" xfId="0" applyNumberFormat="1" applyFont="1" applyFill="1" applyBorder="1" applyAlignment="1" applyProtection="1">
      <alignment vertical="top"/>
    </xf>
    <xf numFmtId="0" fontId="25" fillId="0" borderId="0" xfId="0" applyNumberFormat="1" applyFont="1" applyFill="1" applyBorder="1" applyAlignment="1" applyProtection="1">
      <alignment vertical="top"/>
    </xf>
    <xf numFmtId="0" fontId="27" fillId="0" borderId="0" xfId="0" applyNumberFormat="1" applyFont="1" applyFill="1" applyBorder="1" applyAlignment="1" applyProtection="1">
      <alignment vertical="top"/>
    </xf>
    <xf numFmtId="0" fontId="27" fillId="0" borderId="14" xfId="0" applyFont="1" applyBorder="1" applyAlignment="1">
      <alignment horizontal="justify" vertical="top"/>
    </xf>
    <xf numFmtId="0" fontId="27" fillId="0" borderId="14" xfId="0" applyFont="1" applyBorder="1" applyAlignment="1">
      <alignment horizontal="left" vertical="top"/>
    </xf>
    <xf numFmtId="0" fontId="27" fillId="0" borderId="32" xfId="0" applyNumberFormat="1" applyFont="1" applyFill="1" applyBorder="1" applyAlignment="1" applyProtection="1">
      <alignment horizontal="justify" vertical="top"/>
    </xf>
    <xf numFmtId="0" fontId="27" fillId="0" borderId="32" xfId="0" applyNumberFormat="1" applyFont="1" applyFill="1" applyBorder="1" applyAlignment="1" applyProtection="1">
      <alignment horizontal="justify"/>
    </xf>
    <xf numFmtId="0" fontId="27" fillId="0" borderId="15" xfId="0" applyFont="1" applyBorder="1" applyAlignment="1">
      <alignment horizontal="justify" vertical="top"/>
    </xf>
    <xf numFmtId="0" fontId="27" fillId="0" borderId="15" xfId="0" applyFont="1" applyBorder="1" applyAlignment="1">
      <alignment horizontal="left" vertical="top"/>
    </xf>
    <xf numFmtId="0" fontId="27" fillId="0" borderId="15" xfId="0" applyFont="1" applyBorder="1" applyAlignment="1">
      <alignment horizontal="justify"/>
    </xf>
    <xf numFmtId="0" fontId="27" fillId="0" borderId="15" xfId="0" applyFont="1" applyBorder="1" applyAlignment="1">
      <alignment horizontal="left"/>
    </xf>
    <xf numFmtId="0" fontId="27" fillId="0" borderId="32" xfId="0" applyNumberFormat="1" applyFont="1" applyFill="1" applyBorder="1" applyAlignment="1" applyProtection="1">
      <alignment horizontal="right" vertical="top"/>
    </xf>
    <xf numFmtId="164" fontId="27" fillId="0" borderId="15" xfId="0" applyNumberFormat="1" applyFont="1" applyBorder="1" applyAlignment="1">
      <alignment horizontal="justify" vertical="top"/>
    </xf>
    <xf numFmtId="0" fontId="13" fillId="0" borderId="32" xfId="0" applyNumberFormat="1" applyFont="1" applyFill="1" applyBorder="1" applyAlignment="1" applyProtection="1">
      <alignment horizontal="center"/>
    </xf>
    <xf numFmtId="0" fontId="13" fillId="0" borderId="32" xfId="0" applyNumberFormat="1" applyFont="1" applyFill="1" applyBorder="1" applyAlignment="1" applyProtection="1">
      <alignment horizontal="justify"/>
    </xf>
    <xf numFmtId="0" fontId="13" fillId="0" borderId="32" xfId="0" applyNumberFormat="1" applyFont="1" applyFill="1" applyBorder="1" applyAlignment="1" applyProtection="1">
      <alignment horizontal="left"/>
    </xf>
    <xf numFmtId="0" fontId="13" fillId="0" borderId="32" xfId="0" applyNumberFormat="1" applyFont="1" applyFill="1" applyBorder="1" applyAlignment="1" applyProtection="1">
      <alignment horizontal="left" vertical="top"/>
    </xf>
    <xf numFmtId="0" fontId="13" fillId="0" borderId="30" xfId="0" applyNumberFormat="1" applyFont="1" applyFill="1" applyBorder="1" applyAlignment="1" applyProtection="1">
      <alignment horizontal="left" vertical="top"/>
    </xf>
    <xf numFmtId="0" fontId="13" fillId="0" borderId="32" xfId="0" applyNumberFormat="1" applyFont="1" applyFill="1" applyBorder="1" applyAlignment="1" applyProtection="1">
      <alignment horizontal="right"/>
    </xf>
    <xf numFmtId="11" fontId="13" fillId="0" borderId="0" xfId="0" applyNumberFormat="1" applyFont="1" applyFill="1" applyBorder="1" applyAlignment="1" applyProtection="1">
      <alignment vertical="top"/>
    </xf>
    <xf numFmtId="11" fontId="25" fillId="0" borderId="0" xfId="0" applyNumberFormat="1" applyFont="1" applyFill="1" applyBorder="1" applyAlignment="1" applyProtection="1">
      <alignment vertical="top"/>
    </xf>
    <xf numFmtId="11" fontId="27" fillId="0" borderId="0" xfId="0" applyNumberFormat="1" applyFont="1" applyFill="1" applyBorder="1" applyAlignment="1" applyProtection="1">
      <alignment vertical="top"/>
    </xf>
    <xf numFmtId="1" fontId="0" fillId="0" borderId="29" xfId="0" applyNumberFormat="1" applyBorder="1"/>
    <xf numFmtId="11" fontId="27" fillId="0" borderId="32" xfId="0" applyNumberFormat="1" applyFont="1" applyFill="1" applyBorder="1" applyAlignment="1" applyProtection="1">
      <alignment horizontal="justify" vertical="top"/>
    </xf>
    <xf numFmtId="11" fontId="27" fillId="0" borderId="32" xfId="0" applyNumberFormat="1" applyFont="1" applyFill="1" applyBorder="1" applyAlignment="1" applyProtection="1">
      <alignment horizontal="justify"/>
    </xf>
    <xf numFmtId="11" fontId="27" fillId="0" borderId="32" xfId="0" applyNumberFormat="1" applyFont="1" applyFill="1" applyBorder="1" applyAlignment="1" applyProtection="1">
      <alignment horizontal="center" vertical="top"/>
    </xf>
    <xf numFmtId="11" fontId="27" fillId="0" borderId="10" xfId="0" applyNumberFormat="1" applyFont="1" applyFill="1" applyBorder="1" applyAlignment="1" applyProtection="1">
      <alignment horizontal="justify" vertical="top"/>
    </xf>
    <xf numFmtId="11" fontId="27" fillId="0" borderId="15" xfId="0" applyNumberFormat="1" applyFont="1" applyBorder="1" applyAlignment="1">
      <alignment horizontal="justify" vertical="top"/>
    </xf>
    <xf numFmtId="0" fontId="13" fillId="3" borderId="32" xfId="0" applyNumberFormat="1" applyFont="1" applyFill="1" applyBorder="1" applyAlignment="1" applyProtection="1">
      <alignment horizontal="left" vertical="top"/>
    </xf>
    <xf numFmtId="0" fontId="13" fillId="3" borderId="32" xfId="0" applyNumberFormat="1" applyFont="1" applyFill="1" applyBorder="1" applyAlignment="1" applyProtection="1">
      <alignment horizontal="justify" vertical="top"/>
    </xf>
    <xf numFmtId="0" fontId="13" fillId="3" borderId="32" xfId="0" applyNumberFormat="1" applyFont="1" applyFill="1" applyBorder="1" applyAlignment="1" applyProtection="1">
      <alignment horizontal="center" vertical="top"/>
    </xf>
    <xf numFmtId="0" fontId="13" fillId="3" borderId="32" xfId="0" applyNumberFormat="1" applyFont="1" applyFill="1" applyBorder="1" applyAlignment="1" applyProtection="1">
      <alignment horizontal="justify"/>
    </xf>
    <xf numFmtId="0" fontId="13" fillId="3" borderId="32" xfId="0" applyNumberFormat="1" applyFont="1" applyFill="1" applyBorder="1" applyAlignment="1" applyProtection="1">
      <alignment horizontal="center"/>
    </xf>
    <xf numFmtId="0" fontId="0" fillId="3" borderId="0" xfId="0" applyFill="1"/>
    <xf numFmtId="0" fontId="13" fillId="3" borderId="32" xfId="0" applyNumberFormat="1" applyFont="1" applyFill="1" applyBorder="1" applyAlignment="1" applyProtection="1">
      <alignment horizontal="left"/>
    </xf>
    <xf numFmtId="0" fontId="13" fillId="3" borderId="10" xfId="0" applyNumberFormat="1" applyFont="1" applyFill="1" applyBorder="1" applyAlignment="1" applyProtection="1">
      <alignment horizontal="left" vertical="top"/>
    </xf>
    <xf numFmtId="0" fontId="13" fillId="3" borderId="10" xfId="0" applyNumberFormat="1" applyFont="1" applyFill="1" applyBorder="1" applyAlignment="1" applyProtection="1">
      <alignment horizontal="justify" vertical="top"/>
    </xf>
    <xf numFmtId="0" fontId="13" fillId="3" borderId="10" xfId="0" applyNumberFormat="1" applyFont="1" applyFill="1" applyBorder="1" applyAlignment="1" applyProtection="1">
      <alignment horizontal="center" vertical="top"/>
    </xf>
    <xf numFmtId="11" fontId="13" fillId="0" borderId="30" xfId="0" applyNumberFormat="1" applyFont="1" applyFill="1" applyBorder="1" applyAlignment="1" applyProtection="1">
      <alignment horizontal="justify" vertical="top"/>
    </xf>
    <xf numFmtId="11" fontId="13" fillId="0" borderId="30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justify" vertical="top"/>
    </xf>
    <xf numFmtId="11" fontId="13" fillId="0" borderId="32" xfId="0" applyNumberFormat="1" applyFont="1" applyFill="1" applyBorder="1" applyAlignment="1" applyProtection="1">
      <alignment horizontal="center" vertical="top"/>
    </xf>
    <xf numFmtId="11" fontId="13" fillId="0" borderId="32" xfId="0" applyNumberFormat="1" applyFont="1" applyFill="1" applyBorder="1" applyAlignment="1" applyProtection="1">
      <alignment horizontal="justify"/>
    </xf>
    <xf numFmtId="11" fontId="13" fillId="0" borderId="32" xfId="0" applyNumberFormat="1" applyFont="1" applyFill="1" applyBorder="1" applyAlignment="1" applyProtection="1">
      <alignment horizontal="center"/>
    </xf>
    <xf numFmtId="0" fontId="7" fillId="9" borderId="4" xfId="2" applyNumberFormat="1" applyBorder="1">
      <alignment horizontal="left" vertical="center"/>
    </xf>
    <xf numFmtId="0" fontId="7" fillId="9" borderId="34" xfId="2" applyNumberFormat="1" applyBorder="1">
      <alignment horizontal="left" vertical="center"/>
    </xf>
    <xf numFmtId="1" fontId="7" fillId="9" borderId="34" xfId="2" applyBorder="1">
      <alignment horizontal="left" vertical="center"/>
    </xf>
    <xf numFmtId="0" fontId="5" fillId="7" borderId="26" xfId="0" applyFont="1" applyFill="1" applyBorder="1"/>
    <xf numFmtId="0" fontId="5" fillId="7" borderId="0" xfId="0" applyFont="1" applyFill="1" applyBorder="1"/>
    <xf numFmtId="0" fontId="7" fillId="9" borderId="35" xfId="2" applyNumberFormat="1" applyBorder="1">
      <alignment horizontal="left" vertical="center"/>
    </xf>
    <xf numFmtId="0" fontId="7" fillId="9" borderId="2" xfId="2" applyNumberFormat="1" applyBorder="1">
      <alignment horizontal="left" vertical="center"/>
    </xf>
    <xf numFmtId="11" fontId="12" fillId="13" borderId="26" xfId="5" applyBorder="1">
      <alignment vertical="top"/>
    </xf>
    <xf numFmtId="11" fontId="12" fillId="13" borderId="0" xfId="5" applyBorder="1">
      <alignment vertical="top"/>
    </xf>
    <xf numFmtId="1" fontId="7" fillId="9" borderId="35" xfId="2" applyBorder="1">
      <alignment horizontal="left" vertical="center"/>
    </xf>
    <xf numFmtId="1" fontId="7" fillId="9" borderId="2" xfId="2" applyBorder="1">
      <alignment horizontal="left" vertical="center"/>
    </xf>
    <xf numFmtId="0" fontId="0" fillId="7" borderId="26" xfId="0" applyFill="1" applyBorder="1"/>
    <xf numFmtId="0" fontId="0" fillId="7" borderId="0" xfId="0" applyFill="1" applyBorder="1"/>
    <xf numFmtId="11" fontId="12" fillId="13" borderId="33" xfId="5" applyBorder="1">
      <alignment vertical="top"/>
    </xf>
    <xf numFmtId="0" fontId="0" fillId="0" borderId="33" xfId="0" applyBorder="1"/>
    <xf numFmtId="1" fontId="7" fillId="9" borderId="36" xfId="2" applyBorder="1">
      <alignment horizontal="left" vertical="center"/>
    </xf>
    <xf numFmtId="0" fontId="0" fillId="7" borderId="33" xfId="0" applyFill="1" applyBorder="1"/>
    <xf numFmtId="1" fontId="29" fillId="14" borderId="12" xfId="0" applyNumberFormat="1" applyFont="1" applyFill="1" applyBorder="1" applyAlignment="1">
      <alignment horizontal="center" vertical="center"/>
    </xf>
    <xf numFmtId="1" fontId="3" fillId="15" borderId="3" xfId="0" applyNumberFormat="1" applyFont="1" applyFill="1" applyBorder="1" applyAlignment="1">
      <alignment horizontal="right" vertical="center"/>
    </xf>
    <xf numFmtId="1" fontId="16" fillId="15" borderId="12" xfId="0" applyNumberFormat="1" applyFont="1" applyFill="1" applyBorder="1" applyAlignment="1">
      <alignment horizontal="center" vertical="center"/>
    </xf>
    <xf numFmtId="1" fontId="7" fillId="9" borderId="2" xfId="2" applyNumberFormat="1">
      <alignment horizontal="left" vertical="center"/>
    </xf>
    <xf numFmtId="1" fontId="17" fillId="9" borderId="16" xfId="2" applyFont="1" applyBorder="1" applyAlignment="1">
      <alignment horizontal="center" vertical="center"/>
    </xf>
    <xf numFmtId="1" fontId="17" fillId="9" borderId="6" xfId="2" applyFont="1" applyBorder="1" applyAlignment="1">
      <alignment horizontal="center" vertical="center"/>
    </xf>
    <xf numFmtId="0" fontId="1" fillId="4" borderId="17" xfId="6" applyBorder="1">
      <alignment horizontal="center" vertical="center"/>
    </xf>
    <xf numFmtId="0" fontId="1" fillId="4" borderId="18" xfId="6" applyBorder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8" borderId="0" xfId="0" applyFont="1" applyFill="1" applyAlignment="1">
      <alignment horizontal="center" vertical="center" wrapText="1"/>
    </xf>
  </cellXfs>
  <cellStyles count="9">
    <cellStyle name="Ввод" xfId="7" xr:uid="{A9A7DDE3-643E-4013-945F-2DCD94967680}"/>
    <cellStyle name="Ввод_Данные" xfId="4" xr:uid="{80D10C37-799D-4711-BC15-76F3B638C834}"/>
    <cellStyle name="Выделение" xfId="6" xr:uid="{37775524-F980-4450-AF6C-9C309192D59A}"/>
    <cellStyle name="Данные" xfId="8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Форм" xfId="5" xr:uid="{810E17FE-2F7B-4E62-B173-29B9F2A26C86}"/>
  </cellStyles>
  <dxfs count="1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-350.0722695915</c:v>
                </c:pt>
                <c:pt idx="1">
                  <c:v>-354.11532824850002</c:v>
                </c:pt>
                <c:pt idx="2">
                  <c:v>-358.56331137000001</c:v>
                </c:pt>
                <c:pt idx="3">
                  <c:v>-363.57685509600003</c:v>
                </c:pt>
                <c:pt idx="4">
                  <c:v>-369.16624446300006</c:v>
                </c:pt>
                <c:pt idx="5">
                  <c:v>-375.30743393700004</c:v>
                </c:pt>
                <c:pt idx="6">
                  <c:v>-381.77381431485003</c:v>
                </c:pt>
                <c:pt idx="7">
                  <c:v>-388.47028101975002</c:v>
                </c:pt>
                <c:pt idx="8">
                  <c:v>-395.60103152010004</c:v>
                </c:pt>
                <c:pt idx="9">
                  <c:v>-431.87185877400003</c:v>
                </c:pt>
                <c:pt idx="10">
                  <c:v>-442.92432029820003</c:v>
                </c:pt>
                <c:pt idx="11">
                  <c:v>-454.65667345350005</c:v>
                </c:pt>
                <c:pt idx="12">
                  <c:v>-466.45382649600003</c:v>
                </c:pt>
                <c:pt idx="13">
                  <c:v>-478.6630062489001</c:v>
                </c:pt>
                <c:pt idx="14">
                  <c:v>-491.07278828040012</c:v>
                </c:pt>
                <c:pt idx="15">
                  <c:v>-503.61938208360004</c:v>
                </c:pt>
                <c:pt idx="16">
                  <c:v>-516.4870153608</c:v>
                </c:pt>
                <c:pt idx="17">
                  <c:v>-529.82176556249999</c:v>
                </c:pt>
                <c:pt idx="18">
                  <c:v>-594.7858425198001</c:v>
                </c:pt>
                <c:pt idx="19">
                  <c:v>-612.88048765889994</c:v>
                </c:pt>
                <c:pt idx="20">
                  <c:v>-631.50277595670002</c:v>
                </c:pt>
                <c:pt idx="21">
                  <c:v>-650.26211382090003</c:v>
                </c:pt>
                <c:pt idx="22">
                  <c:v>-669.35370908250002</c:v>
                </c:pt>
                <c:pt idx="23">
                  <c:v>-756.24401718000013</c:v>
                </c:pt>
                <c:pt idx="24">
                  <c:v>-779.36141019659999</c:v>
                </c:pt>
                <c:pt idx="25">
                  <c:v>-802.75029824460012</c:v>
                </c:pt>
                <c:pt idx="26">
                  <c:v>-826.17392759940003</c:v>
                </c:pt>
                <c:pt idx="27">
                  <c:v>-850.10773799999993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4"/>
          <c:order val="4"/>
          <c:tx>
            <c:strRef>
              <c:f>ALL!$E$8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ALL!$F$8:$AL$8</c:f>
              <c:numCache>
                <c:formatCode>0.0E+00</c:formatCode>
                <c:ptCount val="33"/>
                <c:pt idx="0">
                  <c:v>4.4248999999999997E-2</c:v>
                </c:pt>
                <c:pt idx="1">
                  <c:v>4.3611999999999998E-2</c:v>
                </c:pt>
                <c:pt idx="2">
                  <c:v>4.1993000000000003E-2</c:v>
                </c:pt>
                <c:pt idx="3">
                  <c:v>3.9691999999999998E-2</c:v>
                </c:pt>
                <c:pt idx="4">
                  <c:v>3.7877000000000001E-2</c:v>
                </c:pt>
                <c:pt idx="5">
                  <c:v>3.6935999999999997E-2</c:v>
                </c:pt>
                <c:pt idx="6">
                  <c:v>3.6459999999999999E-2</c:v>
                </c:pt>
                <c:pt idx="7">
                  <c:v>3.5982E-2</c:v>
                </c:pt>
                <c:pt idx="8">
                  <c:v>3.5087E-2</c:v>
                </c:pt>
                <c:pt idx="9">
                  <c:v>2.8146999999999998E-2</c:v>
                </c:pt>
                <c:pt idx="10">
                  <c:v>2.7380999999999999E-2</c:v>
                </c:pt>
                <c:pt idx="11">
                  <c:v>2.7005000000000001E-2</c:v>
                </c:pt>
                <c:pt idx="12">
                  <c:v>2.6828000000000001E-2</c:v>
                </c:pt>
                <c:pt idx="13">
                  <c:v>2.674E-2</c:v>
                </c:pt>
                <c:pt idx="14">
                  <c:v>2.6667E-2</c:v>
                </c:pt>
                <c:pt idx="15">
                  <c:v>2.6468999999999999E-2</c:v>
                </c:pt>
                <c:pt idx="16">
                  <c:v>2.5611999999999999E-2</c:v>
                </c:pt>
                <c:pt idx="17">
                  <c:v>2.2405999999999999E-2</c:v>
                </c:pt>
                <c:pt idx="18">
                  <c:v>6.3489999999999998E-4</c:v>
                </c:pt>
                <c:pt idx="19">
                  <c:v>1.8310000000000001E-4</c:v>
                </c:pt>
                <c:pt idx="20">
                  <c:v>5.3794E-5</c:v>
                </c:pt>
                <c:pt idx="21">
                  <c:v>1.6172E-5</c:v>
                </c:pt>
                <c:pt idx="22">
                  <c:v>4.8161000000000004E-6</c:v>
                </c:pt>
                <c:pt idx="23">
                  <c:v>3.2899E-9</c:v>
                </c:pt>
                <c:pt idx="24">
                  <c:v>5.6190999999999998E-10</c:v>
                </c:pt>
                <c:pt idx="25">
                  <c:v>1.0075E-10</c:v>
                </c:pt>
                <c:pt idx="26">
                  <c:v>1.8944999999999999E-11</c:v>
                </c:pt>
                <c:pt idx="27">
                  <c:v>3.7295999999999998E-12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  <c:pt idx="0">
                  <c:v>Ga2Se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ALL!$F$9:$AL$9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6.6561E-27</c:v>
                </c:pt>
                <c:pt idx="10">
                  <c:v>8.2350999999999999E-25</c:v>
                </c:pt>
                <c:pt idx="11">
                  <c:v>7.7073000000000005E-23</c:v>
                </c:pt>
                <c:pt idx="12">
                  <c:v>5.503E-21</c:v>
                </c:pt>
                <c:pt idx="13">
                  <c:v>3.0452000000000001E-19</c:v>
                </c:pt>
                <c:pt idx="14">
                  <c:v>1.33E-17</c:v>
                </c:pt>
                <c:pt idx="15">
                  <c:v>4.6479999999999998E-16</c:v>
                </c:pt>
                <c:pt idx="16">
                  <c:v>1.2888E-14</c:v>
                </c:pt>
                <c:pt idx="17">
                  <c:v>2.6198999999999998E-13</c:v>
                </c:pt>
                <c:pt idx="18">
                  <c:v>4.2234000000000001E-10</c:v>
                </c:pt>
                <c:pt idx="19">
                  <c:v>1.4507E-9</c:v>
                </c:pt>
                <c:pt idx="20">
                  <c:v>4.5695999999999996E-9</c:v>
                </c:pt>
                <c:pt idx="21">
                  <c:v>1.3325E-8</c:v>
                </c:pt>
                <c:pt idx="22">
                  <c:v>3.4411999999999997E-8</c:v>
                </c:pt>
                <c:pt idx="23">
                  <c:v>4.3562000000000003E-8</c:v>
                </c:pt>
                <c:pt idx="24">
                  <c:v>4.3579000000000003E-8</c:v>
                </c:pt>
                <c:pt idx="25">
                  <c:v>4.3140000000000001E-8</c:v>
                </c:pt>
                <c:pt idx="26">
                  <c:v>4.2320999999999999E-8</c:v>
                </c:pt>
                <c:pt idx="27">
                  <c:v>4.1180000000000002E-8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C3-45FD-9794-5F85E67C14B3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DCC3-45FD-9794-5F85E67C14B3}"/>
              </c:ext>
            </c:extLst>
          </c:dPt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ALL!$F$10:$AL$10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2.7964E-31</c:v>
                </c:pt>
                <c:pt idx="10">
                  <c:v>2.5344999999999999E-29</c:v>
                </c:pt>
                <c:pt idx="11">
                  <c:v>1.7465999999999999E-27</c:v>
                </c:pt>
                <c:pt idx="12">
                  <c:v>9.2809999999999994E-26</c:v>
                </c:pt>
                <c:pt idx="13">
                  <c:v>3.8725000000000001E-24</c:v>
                </c:pt>
                <c:pt idx="14">
                  <c:v>1.2931E-22</c:v>
                </c:pt>
                <c:pt idx="15">
                  <c:v>3.5094999999999998E-21</c:v>
                </c:pt>
                <c:pt idx="16">
                  <c:v>7.7528000000000002E-20</c:v>
                </c:pt>
                <c:pt idx="17">
                  <c:v>1.3379999999999999E-18</c:v>
                </c:pt>
                <c:pt idx="18">
                  <c:v>5.6282000000000002E-15</c:v>
                </c:pt>
                <c:pt idx="19">
                  <c:v>2.9783000000000003E-14</c:v>
                </c:pt>
                <c:pt idx="20">
                  <c:v>1.4412E-13</c:v>
                </c:pt>
                <c:pt idx="21">
                  <c:v>6.4215999999999996E-13</c:v>
                </c:pt>
                <c:pt idx="22">
                  <c:v>2.5725000000000002E-12</c:v>
                </c:pt>
                <c:pt idx="23">
                  <c:v>7.2448999999999997E-11</c:v>
                </c:pt>
                <c:pt idx="24">
                  <c:v>1.5230999999999999E-10</c:v>
                </c:pt>
                <c:pt idx="25">
                  <c:v>3.1018999999999999E-10</c:v>
                </c:pt>
                <c:pt idx="26">
                  <c:v>6.1314000000000001E-10</c:v>
                </c:pt>
                <c:pt idx="27">
                  <c:v>1.1785E-9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C3-45FD-9794-5F85E67C14B3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ALL!$F$11:$AL$11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C3-45FD-9794-5F85E67C14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7E-4CC2-8909-AC16E9113193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7E-4CC2-8909-AC16E911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CC3-45FD-9794-5F85E67C14B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6.000000000000001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ALL!$F$128:$AL$128</c:f>
              <c:numCache>
                <c:formatCode>General</c:formatCode>
                <c:ptCount val="33"/>
                <c:pt idx="0">
                  <c:v>-222.34213192350634</c:v>
                </c:pt>
                <c:pt idx="1">
                  <c:v>-227.17182316469641</c:v>
                </c:pt>
                <c:pt idx="2">
                  <c:v>-235.25923505567633</c:v>
                </c:pt>
                <c:pt idx="3">
                  <c:v>-245.97511456855622</c:v>
                </c:pt>
                <c:pt idx="4">
                  <c:v>-255.90764807721681</c:v>
                </c:pt>
                <c:pt idx="5">
                  <c:v>-263.81665571962498</c:v>
                </c:pt>
                <c:pt idx="6">
                  <c:v>-270.66919819479097</c:v>
                </c:pt>
                <c:pt idx="7">
                  <c:v>-277.77309438722722</c:v>
                </c:pt>
                <c:pt idx="8">
                  <c:v>-286.58009224347296</c:v>
                </c:pt>
                <c:pt idx="9">
                  <c:v>-340.70424254137157</c:v>
                </c:pt>
                <c:pt idx="10">
                  <c:v>-353.32876067769098</c:v>
                </c:pt>
                <c:pt idx="11">
                  <c:v>-365.33716511905828</c:v>
                </c:pt>
                <c:pt idx="12">
                  <c:v>-376.80286425461895</c:v>
                </c:pt>
                <c:pt idx="13">
                  <c:v>-388.35186027885283</c:v>
                </c:pt>
                <c:pt idx="14">
                  <c:v>-400.0494385217217</c:v>
                </c:pt>
                <c:pt idx="15">
                  <c:v>-412.30280689847461</c:v>
                </c:pt>
                <c:pt idx="16">
                  <c:v>-427.16646439098344</c:v>
                </c:pt>
                <c:pt idx="17">
                  <c:v>-450.74403547885288</c:v>
                </c:pt>
                <c:pt idx="18">
                  <c:v>-592.35585424764952</c:v>
                </c:pt>
                <c:pt idx="19">
                  <c:v>-612.16430917024832</c:v>
                </c:pt>
                <c:pt idx="20">
                  <c:v>-631.28801403016382</c:v>
                </c:pt>
                <c:pt idx="21">
                  <c:v>-650.19295174613717</c:v>
                </c:pt>
                <c:pt idx="22">
                  <c:v>-666.91127289877818</c:v>
                </c:pt>
                <c:pt idx="23">
                  <c:v>-700.3876431104444</c:v>
                </c:pt>
                <c:pt idx="24">
                  <c:v>-719.45358556592055</c:v>
                </c:pt>
                <c:pt idx="25">
                  <c:v>-739.32568735709924</c:v>
                </c:pt>
                <c:pt idx="26">
                  <c:v>-759.54282594113533</c:v>
                </c:pt>
                <c:pt idx="27">
                  <c:v>-780.47358564859667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ALL!$F$129:$AL$129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-3.3799117967233617E-27</c:v>
                </c:pt>
                <c:pt idx="19">
                  <c:v>-2.2355626871861579E-19</c:v>
                </c:pt>
                <c:pt idx="20">
                  <c:v>-2.4049675080628164E-12</c:v>
                </c:pt>
                <c:pt idx="21">
                  <c:v>-1.3500523407592949E-5</c:v>
                </c:pt>
                <c:pt idx="22">
                  <c:v>-2.4244966806957224</c:v>
                </c:pt>
                <c:pt idx="23">
                  <c:v>-55.685918494257329</c:v>
                </c:pt>
                <c:pt idx="24">
                  <c:v>-59.789581235417884</c:v>
                </c:pt>
                <c:pt idx="25">
                  <c:v>-63.363709368894135</c:v>
                </c:pt>
                <c:pt idx="26">
                  <c:v>-66.597969075693086</c:v>
                </c:pt>
                <c:pt idx="27">
                  <c:v>-69.622759797993751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ALL!$F$133:$AL$133</c:f>
              <c:numCache>
                <c:formatCode>General</c:formatCode>
                <c:ptCount val="33"/>
                <c:pt idx="0">
                  <c:v>-350.07194131189181</c:v>
                </c:pt>
                <c:pt idx="1">
                  <c:v>-354.11207906665254</c:v>
                </c:pt>
                <c:pt idx="2">
                  <c:v>-358.56454546463971</c:v>
                </c:pt>
                <c:pt idx="3">
                  <c:v>-363.57739584230364</c:v>
                </c:pt>
                <c:pt idx="4">
                  <c:v>-369.16492684801818</c:v>
                </c:pt>
                <c:pt idx="5">
                  <c:v>-375.30803230655374</c:v>
                </c:pt>
                <c:pt idx="6">
                  <c:v>-381.77301357113049</c:v>
                </c:pt>
                <c:pt idx="7">
                  <c:v>-388.47253474253262</c:v>
                </c:pt>
                <c:pt idx="8">
                  <c:v>-395.60171115413908</c:v>
                </c:pt>
                <c:pt idx="9">
                  <c:v>-431.86894842756556</c:v>
                </c:pt>
                <c:pt idx="10">
                  <c:v>-442.92763362864508</c:v>
                </c:pt>
                <c:pt idx="11">
                  <c:v>-454.65953114261242</c:v>
                </c:pt>
                <c:pt idx="12">
                  <c:v>-466.45213557164294</c:v>
                </c:pt>
                <c:pt idx="13">
                  <c:v>-478.66186588937944</c:v>
                </c:pt>
                <c:pt idx="14">
                  <c:v>-491.07160281255329</c:v>
                </c:pt>
                <c:pt idx="15">
                  <c:v>-503.61343826575251</c:v>
                </c:pt>
                <c:pt idx="16">
                  <c:v>-516.48851618923516</c:v>
                </c:pt>
                <c:pt idx="17">
                  <c:v>-529.82221792238749</c:v>
                </c:pt>
                <c:pt idx="18">
                  <c:v>-594.78128637402608</c:v>
                </c:pt>
                <c:pt idx="19">
                  <c:v>-612.8808502390541</c:v>
                </c:pt>
                <c:pt idx="20">
                  <c:v>-631.50374596265681</c:v>
                </c:pt>
                <c:pt idx="21">
                  <c:v>-650.25942447462967</c:v>
                </c:pt>
                <c:pt idx="22">
                  <c:v>-669.356105720149</c:v>
                </c:pt>
                <c:pt idx="23">
                  <c:v>-756.07366833208232</c:v>
                </c:pt>
                <c:pt idx="24">
                  <c:v>-779.24326349435967</c:v>
                </c:pt>
                <c:pt idx="25">
                  <c:v>-802.68949308918002</c:v>
                </c:pt>
                <c:pt idx="26">
                  <c:v>-826.14089203749904</c:v>
                </c:pt>
                <c:pt idx="27">
                  <c:v>-850.09644276062397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ALL!$F$127:$AL$127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ALL!$F$135:$AL$135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74B-47E8-A19D-44B695C09DB0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ALL!$A$118:$A$119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ALL!$B$118:$B$119</c:f>
              <c:numCache>
                <c:formatCode>0</c:formatCode>
                <c:ptCount val="2"/>
                <c:pt idx="0">
                  <c:v>-850.10773799999993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EE-41A8-BB70-4DE407D00146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1000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-350.0722695915</c:v>
                </c:pt>
                <c:pt idx="1">
                  <c:v>-354.11532824850002</c:v>
                </c:pt>
                <c:pt idx="2">
                  <c:v>-358.56331137000001</c:v>
                </c:pt>
                <c:pt idx="3">
                  <c:v>-363.57685509600003</c:v>
                </c:pt>
                <c:pt idx="4">
                  <c:v>-369.16624446300006</c:v>
                </c:pt>
                <c:pt idx="5">
                  <c:v>-375.30743393700004</c:v>
                </c:pt>
                <c:pt idx="6">
                  <c:v>-381.77381431485003</c:v>
                </c:pt>
                <c:pt idx="7">
                  <c:v>-388.47028101975002</c:v>
                </c:pt>
                <c:pt idx="8">
                  <c:v>-395.60103152010004</c:v>
                </c:pt>
                <c:pt idx="9">
                  <c:v>-431.87185877400003</c:v>
                </c:pt>
                <c:pt idx="10">
                  <c:v>-442.92432029820003</c:v>
                </c:pt>
                <c:pt idx="11">
                  <c:v>-454.65667345350005</c:v>
                </c:pt>
                <c:pt idx="12">
                  <c:v>-466.45382649600003</c:v>
                </c:pt>
                <c:pt idx="13">
                  <c:v>-478.6630062489001</c:v>
                </c:pt>
                <c:pt idx="14">
                  <c:v>-491.07278828040012</c:v>
                </c:pt>
                <c:pt idx="15">
                  <c:v>-503.61938208360004</c:v>
                </c:pt>
                <c:pt idx="16">
                  <c:v>-516.4870153608</c:v>
                </c:pt>
                <c:pt idx="17">
                  <c:v>-529.82176556249999</c:v>
                </c:pt>
                <c:pt idx="18">
                  <c:v>-594.7858425198001</c:v>
                </c:pt>
                <c:pt idx="19">
                  <c:v>-612.88048765889994</c:v>
                </c:pt>
                <c:pt idx="20">
                  <c:v>-631.50277595670002</c:v>
                </c:pt>
                <c:pt idx="21">
                  <c:v>-650.26211382090003</c:v>
                </c:pt>
                <c:pt idx="22">
                  <c:v>-669.35370908250002</c:v>
                </c:pt>
                <c:pt idx="23">
                  <c:v>-756.24401718000013</c:v>
                </c:pt>
                <c:pt idx="24">
                  <c:v>-779.36141019659999</c:v>
                </c:pt>
                <c:pt idx="25">
                  <c:v>-802.75029824460012</c:v>
                </c:pt>
                <c:pt idx="26">
                  <c:v>-826.17392759940003</c:v>
                </c:pt>
                <c:pt idx="27">
                  <c:v>-850.10773799999993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EE-41A8-BB70-4DE407D00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-127.72980938838545</c:v>
                      </c:pt>
                      <c:pt idx="1">
                        <c:v>-126.94025590195612</c:v>
                      </c:pt>
                      <c:pt idx="2">
                        <c:v>-123.30531040896339</c:v>
                      </c:pt>
                      <c:pt idx="3">
                        <c:v>-117.60228127374744</c:v>
                      </c:pt>
                      <c:pt idx="4">
                        <c:v>-113.25727877080136</c:v>
                      </c:pt>
                      <c:pt idx="5">
                        <c:v>-111.49137658692878</c:v>
                      </c:pt>
                      <c:pt idx="6">
                        <c:v>-111.10381537633951</c:v>
                      </c:pt>
                      <c:pt idx="7">
                        <c:v>-110.6994403553054</c:v>
                      </c:pt>
                      <c:pt idx="8">
                        <c:v>-109.02161891066613</c:v>
                      </c:pt>
                      <c:pt idx="9">
                        <c:v>-91.164705886194014</c:v>
                      </c:pt>
                      <c:pt idx="10">
                        <c:v>-89.598872950954089</c:v>
                      </c:pt>
                      <c:pt idx="11">
                        <c:v>-89.32236602355411</c:v>
                      </c:pt>
                      <c:pt idx="12">
                        <c:v>-89.649271317024002</c:v>
                      </c:pt>
                      <c:pt idx="13">
                        <c:v>-90.310005610526645</c:v>
                      </c:pt>
                      <c:pt idx="14">
                        <c:v>-91.02216429083164</c:v>
                      </c:pt>
                      <c:pt idx="15">
                        <c:v>-91.310631367277878</c:v>
                      </c:pt>
                      <c:pt idx="16">
                        <c:v>-89.322051798251678</c:v>
                      </c:pt>
                      <c:pt idx="17">
                        <c:v>-79.078182443534573</c:v>
                      </c:pt>
                      <c:pt idx="18">
                        <c:v>-2.4254321263765961</c:v>
                      </c:pt>
                      <c:pt idx="19">
                        <c:v>-0.71654106880575974</c:v>
                      </c:pt>
                      <c:pt idx="20">
                        <c:v>-0.21573193249059172</c:v>
                      </c:pt>
                      <c:pt idx="21">
                        <c:v>-6.6459227969129994E-2</c:v>
                      </c:pt>
                      <c:pt idx="22">
                        <c:v>-2.0336140675142132E-2</c:v>
                      </c:pt>
                      <c:pt idx="23">
                        <c:v>-1.0672738059528041E-4</c:v>
                      </c:pt>
                      <c:pt idx="24">
                        <c:v>-9.6693021223534666E-5</c:v>
                      </c:pt>
                      <c:pt idx="25">
                        <c:v>-9.6363186681201177E-5</c:v>
                      </c:pt>
                      <c:pt idx="26">
                        <c:v>-9.7020670674761878E-5</c:v>
                      </c:pt>
                      <c:pt idx="27">
                        <c:v>-9.7314033531121222E-5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774B-47E8-A19D-44B695C09DB0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-350.07194131189181</c:v>
                      </c:pt>
                      <c:pt idx="1">
                        <c:v>-354.11207906665254</c:v>
                      </c:pt>
                      <c:pt idx="2">
                        <c:v>-358.56454546463971</c:v>
                      </c:pt>
                      <c:pt idx="3">
                        <c:v>-363.57739584230364</c:v>
                      </c:pt>
                      <c:pt idx="4">
                        <c:v>-369.16492684801818</c:v>
                      </c:pt>
                      <c:pt idx="5">
                        <c:v>-375.30803230655374</c:v>
                      </c:pt>
                      <c:pt idx="6">
                        <c:v>-381.77301357113049</c:v>
                      </c:pt>
                      <c:pt idx="7">
                        <c:v>-388.47253474253262</c:v>
                      </c:pt>
                      <c:pt idx="8">
                        <c:v>-395.60171115413908</c:v>
                      </c:pt>
                      <c:pt idx="9">
                        <c:v>-431.86894842756556</c:v>
                      </c:pt>
                      <c:pt idx="10">
                        <c:v>-442.92763362864508</c:v>
                      </c:pt>
                      <c:pt idx="11">
                        <c:v>-454.65953114261242</c:v>
                      </c:pt>
                      <c:pt idx="12">
                        <c:v>-466.45213557164294</c:v>
                      </c:pt>
                      <c:pt idx="13">
                        <c:v>-478.66186588937944</c:v>
                      </c:pt>
                      <c:pt idx="14">
                        <c:v>-491.07160281255335</c:v>
                      </c:pt>
                      <c:pt idx="15">
                        <c:v>-503.61343826575251</c:v>
                      </c:pt>
                      <c:pt idx="16">
                        <c:v>-516.48851618923516</c:v>
                      </c:pt>
                      <c:pt idx="17">
                        <c:v>-529.82221792238749</c:v>
                      </c:pt>
                      <c:pt idx="18">
                        <c:v>-594.78128637402608</c:v>
                      </c:pt>
                      <c:pt idx="19">
                        <c:v>-612.8808502390541</c:v>
                      </c:pt>
                      <c:pt idx="20">
                        <c:v>-631.50374596265442</c:v>
                      </c:pt>
                      <c:pt idx="21">
                        <c:v>-650.25941097410634</c:v>
                      </c:pt>
                      <c:pt idx="22">
                        <c:v>-666.93160903945329</c:v>
                      </c:pt>
                      <c:pt idx="23">
                        <c:v>-700.38774983782503</c:v>
                      </c:pt>
                      <c:pt idx="24">
                        <c:v>-719.45368225894174</c:v>
                      </c:pt>
                      <c:pt idx="25">
                        <c:v>-739.32578372028593</c:v>
                      </c:pt>
                      <c:pt idx="26">
                        <c:v>-759.54292296180597</c:v>
                      </c:pt>
                      <c:pt idx="27">
                        <c:v>-780.47368296263016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74B-47E8-A19D-44B695C09DB0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-127.72980938838545</c:v>
                      </c:pt>
                      <c:pt idx="1">
                        <c:v>-126.94025590195612</c:v>
                      </c:pt>
                      <c:pt idx="2">
                        <c:v>-123.30531040896339</c:v>
                      </c:pt>
                      <c:pt idx="3">
                        <c:v>-117.60228127374744</c:v>
                      </c:pt>
                      <c:pt idx="4">
                        <c:v>-113.25727877080136</c:v>
                      </c:pt>
                      <c:pt idx="5">
                        <c:v>-111.49137658692878</c:v>
                      </c:pt>
                      <c:pt idx="6">
                        <c:v>-111.10381537633951</c:v>
                      </c:pt>
                      <c:pt idx="7">
                        <c:v>-110.6994403553054</c:v>
                      </c:pt>
                      <c:pt idx="8">
                        <c:v>-109.02161891066613</c:v>
                      </c:pt>
                      <c:pt idx="9">
                        <c:v>-91.164705886194014</c:v>
                      </c:pt>
                      <c:pt idx="10">
                        <c:v>-89.598872950954089</c:v>
                      </c:pt>
                      <c:pt idx="11">
                        <c:v>-89.32236602355411</c:v>
                      </c:pt>
                      <c:pt idx="12">
                        <c:v>-89.649271317024002</c:v>
                      </c:pt>
                      <c:pt idx="13">
                        <c:v>-90.310005610526645</c:v>
                      </c:pt>
                      <c:pt idx="14">
                        <c:v>-91.02216429083164</c:v>
                      </c:pt>
                      <c:pt idx="15">
                        <c:v>-91.310631367277878</c:v>
                      </c:pt>
                      <c:pt idx="16">
                        <c:v>-89.322051798251678</c:v>
                      </c:pt>
                      <c:pt idx="17">
                        <c:v>-79.078182443534573</c:v>
                      </c:pt>
                      <c:pt idx="18">
                        <c:v>-2.4254321263765961</c:v>
                      </c:pt>
                      <c:pt idx="19">
                        <c:v>-0.71654106880575974</c:v>
                      </c:pt>
                      <c:pt idx="20">
                        <c:v>-0.21573193249299669</c:v>
                      </c:pt>
                      <c:pt idx="21">
                        <c:v>-6.6472728492537589E-2</c:v>
                      </c:pt>
                      <c:pt idx="22">
                        <c:v>-2.4448328213708646</c:v>
                      </c:pt>
                      <c:pt idx="23">
                        <c:v>-55.686025221637927</c:v>
                      </c:pt>
                      <c:pt idx="24">
                        <c:v>-59.789677928439104</c:v>
                      </c:pt>
                      <c:pt idx="25">
                        <c:v>-63.363805732080813</c:v>
                      </c:pt>
                      <c:pt idx="26">
                        <c:v>-66.598066096363766</c:v>
                      </c:pt>
                      <c:pt idx="27">
                        <c:v>-69.622857112027276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74B-47E8-A19D-44B695C09DB0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74B-47E8-A19D-44B695C09DB0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74B-47E8-A19D-44B695C09DB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74B-47E8-A19D-44B695C09DB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74B-47E8-A19D-44B695C09DB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ALL!$F$127:$AL$127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ALL!$F$140:$AL$140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74B-47E8-A19D-44B695C09DB0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ALL!$F$4:$AL$4</c:f>
              <c:numCache>
                <c:formatCode>0.0E+00</c:formatCode>
                <c:ptCount val="33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ALL!$F$5:$AL$5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2"/>
          <c:order val="2"/>
          <c:tx>
            <c:strRef>
              <c:f>ALL!$E$6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ALL!$F$6:$AL$6</c:f>
              <c:numCache>
                <c:formatCode>0.0E+00</c:formatCode>
                <c:ptCount val="33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E7A-412E-BBF5-89E233391AB6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ALL!$F$7:$AL$7</c:f>
              <c:numCache>
                <c:formatCode>0.0E+00</c:formatCode>
                <c:ptCount val="33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ALL!$F$12:$AL$12</c:f>
              <c:numCache>
                <c:formatCode>0.0E+00</c:formatCode>
                <c:ptCount val="33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ALL!$F$13:$AL$13</c:f>
              <c:numCache>
                <c:formatCode>0.0E+00</c:formatCode>
                <c:ptCount val="33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ALL!$F$14:$AL$14</c:f>
              <c:numCache>
                <c:formatCode>0.0E+00</c:formatCode>
                <c:ptCount val="33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  <c:pt idx="0">
                  <c:v>(l)Ga2Se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ALL!$F$15:$AL$15</c:f>
              <c:numCache>
                <c:formatCode>0.0E+00</c:formatCode>
                <c:ptCount val="33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ALL!$F$16:$AL$16</c:f>
              <c:numCache>
                <c:formatCode>0.0E+00</c:formatCode>
                <c:ptCount val="33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ALL!$F$17:$AL$17</c:f>
              <c:numCache>
                <c:formatCode>0.0E+00</c:formatCode>
                <c:ptCount val="33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</c:numRef>
          </c:xVal>
          <c:yVal>
            <c:numRef>
              <c:f>ALL!$F$18:$AL$18</c:f>
              <c:numCache>
                <c:formatCode>0.0E+00</c:formatCode>
                <c:ptCount val="33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ALL!$F$19:$AL$19</c:f>
              <c:numCache>
                <c:formatCode>0.0E+00</c:formatCode>
                <c:ptCount val="33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ALL!$F$20:$AL$20</c:f>
              <c:numCache>
                <c:formatCode>0.0E+00</c:formatCode>
                <c:ptCount val="33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ALL!$F$21:$AL$21</c:f>
              <c:numCache>
                <c:formatCode>0.0E+00</c:formatCode>
                <c:ptCount val="33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8"/>
          <c:tx>
            <c:strRef>
              <c:f>ALL!$E$22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ALL!$F$22:$AL$22</c:f>
              <c:numCache>
                <c:formatCode>0.0E+00</c:formatCode>
                <c:ptCount val="33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9"/>
          <c:tx>
            <c:strRef>
              <c:f>ALL!$E$23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ALL!$F$23:$AL$23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20"/>
          <c:tx>
            <c:strRef>
              <c:f>ALL!$E$24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616.4</c:v>
                </c:pt>
                <c:pt idx="15">
                  <c:v>636.6</c:v>
                </c:pt>
                <c:pt idx="16">
                  <c:v>656.8</c:v>
                </c:pt>
                <c:pt idx="17">
                  <c:v>677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ALL!$F$24:$AL$24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F-AE7A-412E-BBF5-89E233391AB6}"/>
              </c:ext>
            </c:extLst>
          </c:dPt>
          <c:xVal>
            <c:numRef>
              <c:f>ALL!$A$34:$A$35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ALL!$B$34:$B$35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E7A-412E-BBF5-89E233391AB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AE7A-412E-BBF5-89E233391AB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E7A-412E-BBF5-89E233391AB6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ALL!$F$30:$AL$30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ALL!$F$31:$AL$31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ALL!$F$32:$AL$32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-30.484012578750004</c:v>
                </c:pt>
                <c:pt idx="1">
                  <c:v>-68.497905082140022</c:v>
                </c:pt>
                <c:pt idx="2">
                  <c:v>-84.136872956220017</c:v>
                </c:pt>
                <c:pt idx="3">
                  <c:v>-115.04855481309001</c:v>
                </c:pt>
                <c:pt idx="4">
                  <c:v>-148.0588091532</c:v>
                </c:pt>
                <c:pt idx="5">
                  <c:v>-183.09176699550005</c:v>
                </c:pt>
                <c:pt idx="6">
                  <c:v>-220.64128037295004</c:v>
                </c:pt>
                <c:pt idx="7">
                  <c:v>-260.41421826225002</c:v>
                </c:pt>
                <c:pt idx="8">
                  <c:v>-302.16897127080006</c:v>
                </c:pt>
                <c:pt idx="9">
                  <c:v>-346.70633550000002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F2-4069-8B7D-46697EC8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59448089071"/>
          <c:h val="0.80009272463502523"/>
        </c:manualLayout>
      </c:layout>
      <c:scatterChart>
        <c:scatterStyle val="line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FLUID!$F$5:$AL$5</c:f>
              <c:numCache>
                <c:formatCode>0.0E+00</c:formatCode>
                <c:ptCount val="33"/>
                <c:pt idx="0">
                  <c:v>2.7272000000000002E-25</c:v>
                </c:pt>
                <c:pt idx="1">
                  <c:v>1.1460000000000001E-13</c:v>
                </c:pt>
                <c:pt idx="2">
                  <c:v>1.1460000000000001E-13</c:v>
                </c:pt>
                <c:pt idx="3">
                  <c:v>1.0018E-10</c:v>
                </c:pt>
                <c:pt idx="4">
                  <c:v>1.3125E-8</c:v>
                </c:pt>
                <c:pt idx="5">
                  <c:v>5.7566999999999997E-7</c:v>
                </c:pt>
                <c:pt idx="6">
                  <c:v>1.1068E-5</c:v>
                </c:pt>
                <c:pt idx="7">
                  <c:v>1.0688000000000001E-4</c:v>
                </c:pt>
                <c:pt idx="8">
                  <c:v>5.9057999999999995E-4</c:v>
                </c:pt>
                <c:pt idx="9">
                  <c:v>1.7849000000000001E-3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96-4DE2-99DA-C7F0C20F8110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FLUID!$F$6:$AL$6</c:f>
              <c:numCache>
                <c:formatCode>0.0E+00</c:formatCode>
                <c:ptCount val="33"/>
                <c:pt idx="0">
                  <c:v>2.8659000000000002E-23</c:v>
                </c:pt>
                <c:pt idx="1">
                  <c:v>7.6970999999999996E-13</c:v>
                </c:pt>
                <c:pt idx="2">
                  <c:v>7.6970999999999996E-13</c:v>
                </c:pt>
                <c:pt idx="3">
                  <c:v>2.9947999999999998E-10</c:v>
                </c:pt>
                <c:pt idx="4">
                  <c:v>2.1346000000000001E-8</c:v>
                </c:pt>
                <c:pt idx="5">
                  <c:v>5.9467999999999998E-7</c:v>
                </c:pt>
                <c:pt idx="6">
                  <c:v>7.9702000000000004E-6</c:v>
                </c:pt>
                <c:pt idx="7">
                  <c:v>5.5643999999999998E-5</c:v>
                </c:pt>
                <c:pt idx="8">
                  <c:v>2.2064E-4</c:v>
                </c:pt>
                <c:pt idx="9">
                  <c:v>4.4403999999999998E-4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6-4DE2-99DA-C7F0C20F8110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FLUID!$F$7:$AL$7</c:f>
              <c:numCache>
                <c:formatCode>0.0E+00</c:formatCode>
                <c:ptCount val="33"/>
                <c:pt idx="0">
                  <c:v>8.2633000000000005E-20</c:v>
                </c:pt>
                <c:pt idx="1">
                  <c:v>2.4217999999999998E-10</c:v>
                </c:pt>
                <c:pt idx="2">
                  <c:v>2.4217999999999998E-10</c:v>
                </c:pt>
                <c:pt idx="3">
                  <c:v>4.8894000000000001E-8</c:v>
                </c:pt>
                <c:pt idx="4">
                  <c:v>2.1272999999999999E-6</c:v>
                </c:pt>
                <c:pt idx="5">
                  <c:v>4.1170000000000001E-5</c:v>
                </c:pt>
                <c:pt idx="6">
                  <c:v>4.1320000000000001E-4</c:v>
                </c:pt>
                <c:pt idx="7">
                  <c:v>2.2114999999999999E-3</c:v>
                </c:pt>
                <c:pt idx="8">
                  <c:v>6.6071000000000003E-3</c:v>
                </c:pt>
                <c:pt idx="9">
                  <c:v>9.2271000000000002E-3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96-4DE2-99DA-C7F0C20F8110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FLUID!$F$8:$AL$8</c:f>
              <c:numCache>
                <c:formatCode>0.0E+00</c:formatCode>
                <c:ptCount val="33"/>
                <c:pt idx="0">
                  <c:v>3.1684999999999997E-17</c:v>
                </c:pt>
                <c:pt idx="1">
                  <c:v>2.1029999999999999E-9</c:v>
                </c:pt>
                <c:pt idx="2">
                  <c:v>2.1029999999999999E-9</c:v>
                </c:pt>
                <c:pt idx="3">
                  <c:v>1.445E-7</c:v>
                </c:pt>
                <c:pt idx="4">
                  <c:v>2.8177999999999999E-6</c:v>
                </c:pt>
                <c:pt idx="5">
                  <c:v>2.9918000000000001E-5</c:v>
                </c:pt>
                <c:pt idx="6">
                  <c:v>1.8665000000000001E-4</c:v>
                </c:pt>
                <c:pt idx="7">
                  <c:v>6.5868000000000003E-4</c:v>
                </c:pt>
                <c:pt idx="8">
                  <c:v>1.3093E-3</c:v>
                </c:pt>
                <c:pt idx="9">
                  <c:v>1.1429999999999999E-3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96-4DE2-99DA-C7F0C20F8110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FLUID!$F$9:$AL$9</c:f>
              <c:numCache>
                <c:formatCode>0.0E+00</c:formatCode>
                <c:ptCount val="33"/>
                <c:pt idx="0">
                  <c:v>2.7152E-18</c:v>
                </c:pt>
                <c:pt idx="1">
                  <c:v>4.7633000000000005E-10</c:v>
                </c:pt>
                <c:pt idx="2">
                  <c:v>4.7633000000000005E-10</c:v>
                </c:pt>
                <c:pt idx="3">
                  <c:v>3.9207000000000002E-8</c:v>
                </c:pt>
                <c:pt idx="4">
                  <c:v>8.5699000000000005E-7</c:v>
                </c:pt>
                <c:pt idx="5">
                  <c:v>1.0027000000000001E-5</c:v>
                </c:pt>
                <c:pt idx="6">
                  <c:v>6.7297000000000003E-5</c:v>
                </c:pt>
                <c:pt idx="7">
                  <c:v>2.4379999999999999E-4</c:v>
                </c:pt>
                <c:pt idx="8">
                  <c:v>4.6434999999999998E-4</c:v>
                </c:pt>
                <c:pt idx="9">
                  <c:v>3.4402E-4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6-4DE2-99DA-C7F0C20F8110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696-4DE2-99DA-C7F0C20F8110}"/>
              </c:ext>
            </c:extLst>
          </c:dPt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FLUID!$F$10:$AL$10</c:f>
              <c:numCache>
                <c:formatCode>0.0E+00</c:formatCode>
                <c:ptCount val="33"/>
                <c:pt idx="0">
                  <c:v>4.8741E-20</c:v>
                </c:pt>
                <c:pt idx="1">
                  <c:v>1.8283999999999999E-11</c:v>
                </c:pt>
                <c:pt idx="2">
                  <c:v>1.8283999999999999E-11</c:v>
                </c:pt>
                <c:pt idx="3">
                  <c:v>1.7059000000000001E-9</c:v>
                </c:pt>
                <c:pt idx="4">
                  <c:v>4.0159000000000002E-8</c:v>
                </c:pt>
                <c:pt idx="5">
                  <c:v>5.0236000000000001E-7</c:v>
                </c:pt>
                <c:pt idx="6">
                  <c:v>3.5420000000000001E-6</c:v>
                </c:pt>
                <c:pt idx="7">
                  <c:v>1.2923E-5</c:v>
                </c:pt>
                <c:pt idx="8">
                  <c:v>2.3217000000000001E-5</c:v>
                </c:pt>
                <c:pt idx="9">
                  <c:v>1.4406000000000001E-5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696-4DE2-99DA-C7F0C20F8110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FLUID!$F$11:$AL$11</c:f>
              <c:numCache>
                <c:formatCode>0.0E+00</c:formatCode>
                <c:ptCount val="33"/>
                <c:pt idx="0">
                  <c:v>3.8015999999999999E-20</c:v>
                </c:pt>
                <c:pt idx="1">
                  <c:v>1.4398E-10</c:v>
                </c:pt>
                <c:pt idx="2">
                  <c:v>1.4398E-10</c:v>
                </c:pt>
                <c:pt idx="3">
                  <c:v>4.1182999999999999E-8</c:v>
                </c:pt>
                <c:pt idx="4">
                  <c:v>2.4831E-6</c:v>
                </c:pt>
                <c:pt idx="5">
                  <c:v>6.0578999999999997E-5</c:v>
                </c:pt>
                <c:pt idx="6">
                  <c:v>7.4443999999999997E-4</c:v>
                </c:pt>
                <c:pt idx="7">
                  <c:v>5.2170999999999997E-3</c:v>
                </c:pt>
                <c:pt idx="8">
                  <c:v>2.3754000000000001E-2</c:v>
                </c:pt>
                <c:pt idx="9">
                  <c:v>6.9757E-2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6-4DE2-99DA-C7F0C20F8110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4.0376999999999999E-23</c:v>
                </c:pt>
                <c:pt idx="2">
                  <c:v>4.0376999999999999E-23</c:v>
                </c:pt>
                <c:pt idx="3">
                  <c:v>8.9678000000000005E-19</c:v>
                </c:pt>
                <c:pt idx="4">
                  <c:v>1.3319E-15</c:v>
                </c:pt>
                <c:pt idx="5">
                  <c:v>3.7343000000000001E-13</c:v>
                </c:pt>
                <c:pt idx="6">
                  <c:v>3.1794999999999999E-11</c:v>
                </c:pt>
                <c:pt idx="7">
                  <c:v>1.1096E-9</c:v>
                </c:pt>
                <c:pt idx="8">
                  <c:v>2.0412999999999999E-8</c:v>
                </c:pt>
                <c:pt idx="9">
                  <c:v>2.2142000000000001E-7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696-4DE2-99DA-C7F0C20F8110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FLUID!$F$13:$AL$13</c:f>
              <c:numCache>
                <c:formatCode>0.0E+00</c:formatCode>
                <c:ptCount val="33"/>
                <c:pt idx="0">
                  <c:v>8.0028000000000003E-11</c:v>
                </c:pt>
                <c:pt idx="1">
                  <c:v>3.5305999999999997E-5</c:v>
                </c:pt>
                <c:pt idx="2">
                  <c:v>3.5305999999999997E-5</c:v>
                </c:pt>
                <c:pt idx="3">
                  <c:v>8.8887999999999999E-4</c:v>
                </c:pt>
                <c:pt idx="4">
                  <c:v>7.9401000000000003E-3</c:v>
                </c:pt>
                <c:pt idx="5">
                  <c:v>2.8901E-2</c:v>
                </c:pt>
                <c:pt idx="6">
                  <c:v>4.9835999999999998E-2</c:v>
                </c:pt>
                <c:pt idx="7">
                  <c:v>6.2155000000000002E-2</c:v>
                </c:pt>
                <c:pt idx="8">
                  <c:v>6.9550000000000001E-2</c:v>
                </c:pt>
                <c:pt idx="9">
                  <c:v>7.4087E-2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696-4DE2-99DA-C7F0C20F8110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CF-4AE5-880A-63C83CDD9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2.2147E-8</c:v>
                      </c:pt>
                      <c:pt idx="1">
                        <c:v>3.2389E-8</c:v>
                      </c:pt>
                      <c:pt idx="2">
                        <c:v>3.2389E-8</c:v>
                      </c:pt>
                      <c:pt idx="3">
                        <c:v>2.0759000000000001E-8</c:v>
                      </c:pt>
                      <c:pt idx="4">
                        <c:v>3.1200000000000001E-8</c:v>
                      </c:pt>
                      <c:pt idx="5">
                        <c:v>2.8153000000000001E-8</c:v>
                      </c:pt>
                      <c:pt idx="6">
                        <c:v>4.8602000000000001E-8</c:v>
                      </c:pt>
                      <c:pt idx="7">
                        <c:v>5.9068000000000003E-8</c:v>
                      </c:pt>
                      <c:pt idx="8">
                        <c:v>2.9824999999999997E-8</c:v>
                      </c:pt>
                      <c:pt idx="9">
                        <c:v>1.3049E-8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696-4DE2-99DA-C7F0C20F811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696-4DE2-99DA-C7F0C20F811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0.15992999999999999</c:v>
                      </c:pt>
                      <c:pt idx="2">
                        <c:v>0.15992999999999999</c:v>
                      </c:pt>
                      <c:pt idx="3">
                        <c:v>0.15822</c:v>
                      </c:pt>
                      <c:pt idx="4">
                        <c:v>0.14412</c:v>
                      </c:pt>
                      <c:pt idx="5">
                        <c:v>0.1022</c:v>
                      </c:pt>
                      <c:pt idx="6">
                        <c:v>6.0328E-2</c:v>
                      </c:pt>
                      <c:pt idx="7">
                        <c:v>3.569E-2</c:v>
                      </c:pt>
                      <c:pt idx="8">
                        <c:v>2.0899000000000001E-2</c:v>
                      </c:pt>
                      <c:pt idx="9">
                        <c:v>1.1825E-2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696-4DE2-99DA-C7F0C20F811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0.16</c:v>
                      </c:pt>
                      <c:pt idx="1">
                        <c:v>0.16</c:v>
                      </c:pt>
                      <c:pt idx="2">
                        <c:v>0.16</c:v>
                      </c:pt>
                      <c:pt idx="3">
                        <c:v>0.16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696-4DE2-99DA-C7F0C20F811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(l)Se[l]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0.48</c:v>
                      </c:pt>
                      <c:pt idx="1">
                        <c:v>0.47996</c:v>
                      </c:pt>
                      <c:pt idx="2">
                        <c:v>0.47996</c:v>
                      </c:pt>
                      <c:pt idx="3">
                        <c:v>0.47910999999999998</c:v>
                      </c:pt>
                      <c:pt idx="4">
                        <c:v>0.47202</c:v>
                      </c:pt>
                      <c:pt idx="5">
                        <c:v>0.45051000000000002</c:v>
                      </c:pt>
                      <c:pt idx="6">
                        <c:v>0.42492000000000002</c:v>
                      </c:pt>
                      <c:pt idx="7">
                        <c:v>0.39005000000000001</c:v>
                      </c:pt>
                      <c:pt idx="8">
                        <c:v>0.31596000000000002</c:v>
                      </c:pt>
                      <c:pt idx="9">
                        <c:v>0.20374999999999999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696-4DE2-99DA-C7F0C20F811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-18.77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-19.13</c:v>
                      </c:pt>
                      <c:pt idx="5">
                        <c:v>-19.399999999999999</c:v>
                      </c:pt>
                      <c:pt idx="6">
                        <c:v>-19.649999999999999</c:v>
                      </c:pt>
                      <c:pt idx="7">
                        <c:v>-19.89</c:v>
                      </c:pt>
                      <c:pt idx="8">
                        <c:v>-20.149999999999999</c:v>
                      </c:pt>
                      <c:pt idx="9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696-4DE2-99DA-C7F0C20F811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-6.2770000000000001</c:v>
                      </c:pt>
                      <c:pt idx="1">
                        <c:v>-7.3890000000000002</c:v>
                      </c:pt>
                      <c:pt idx="2">
                        <c:v>-7.3890000000000002</c:v>
                      </c:pt>
                      <c:pt idx="3">
                        <c:v>-7.8479999999999999</c:v>
                      </c:pt>
                      <c:pt idx="4">
                        <c:v>-8.3119999999999994</c:v>
                      </c:pt>
                      <c:pt idx="5">
                        <c:v>-8.9250000000000007</c:v>
                      </c:pt>
                      <c:pt idx="6">
                        <c:v>-9.6760000000000002</c:v>
                      </c:pt>
                      <c:pt idx="7">
                        <c:v>-10.39</c:v>
                      </c:pt>
                      <c:pt idx="8">
                        <c:v>-11.03</c:v>
                      </c:pt>
                      <c:pt idx="9">
                        <c:v>-11.57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96-4DE2-99DA-C7F0C20F811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6.952</c:v>
                      </c:pt>
                      <c:pt idx="1">
                        <c:v>0.94920000000000004</c:v>
                      </c:pt>
                      <c:pt idx="2">
                        <c:v>0.94920000000000004</c:v>
                      </c:pt>
                      <c:pt idx="3">
                        <c:v>-0.79530000000000001</c:v>
                      </c:pt>
                      <c:pt idx="4">
                        <c:v>-2.113</c:v>
                      </c:pt>
                      <c:pt idx="5">
                        <c:v>-3.1059999999999999</c:v>
                      </c:pt>
                      <c:pt idx="6">
                        <c:v>-3.8969999999999998</c:v>
                      </c:pt>
                      <c:pt idx="7">
                        <c:v>-4.5529999999999999</c:v>
                      </c:pt>
                      <c:pt idx="8">
                        <c:v>-5.0380000000000003</c:v>
                      </c:pt>
                      <c:pt idx="9">
                        <c:v>-5.3250000000000002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0.28000000000000003</c:v>
                      </c:pt>
                      <c:pt idx="13">
                        <c:v>0.28000000000000003</c:v>
                      </c:pt>
                      <c:pt idx="14">
                        <c:v>0.28000000000000003</c:v>
                      </c:pt>
                      <c:pt idx="15">
                        <c:v>0.28000000000000003</c:v>
                      </c:pt>
                      <c:pt idx="16">
                        <c:v>0.28000000000000003</c:v>
                      </c:pt>
                      <c:pt idx="17">
                        <c:v>0.27079999999999999</c:v>
                      </c:pt>
                      <c:pt idx="18">
                        <c:v>0.21576000000000001</c:v>
                      </c:pt>
                      <c:pt idx="19" formatCode="General">
                        <c:v>0.20441000000000001</c:v>
                      </c:pt>
                      <c:pt idx="20" formatCode="General">
                        <c:v>0.20115</c:v>
                      </c:pt>
                      <c:pt idx="21" formatCode="General">
                        <c:v>0.20011999999999999</c:v>
                      </c:pt>
                      <c:pt idx="22" formatCode="General">
                        <c:v>0.20000999999999999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96-4DE2-99DA-C7F0C20F811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-5.6130000000000004</c:v>
                      </c:pt>
                      <c:pt idx="2">
                        <c:v>-5.6130000000000004</c:v>
                      </c:pt>
                      <c:pt idx="3">
                        <c:v>-6.0679999999999996</c:v>
                      </c:pt>
                      <c:pt idx="4">
                        <c:v>-6.4809999999999999</c:v>
                      </c:pt>
                      <c:pt idx="5">
                        <c:v>-6.8319999999999999</c:v>
                      </c:pt>
                      <c:pt idx="6">
                        <c:v>-7.15</c:v>
                      </c:pt>
                      <c:pt idx="7">
                        <c:v>-7.47</c:v>
                      </c:pt>
                      <c:pt idx="8">
                        <c:v>-7.8230000000000004</c:v>
                      </c:pt>
                      <c:pt idx="9">
                        <c:v>-8.2680000000000007</c:v>
                      </c:pt>
                      <c:pt idx="10">
                        <c:v>7.8265000000000004E-41</c:v>
                      </c:pt>
                      <c:pt idx="11">
                        <c:v>1.4296E-24</c:v>
                      </c:pt>
                      <c:pt idx="12">
                        <c:v>2.5993E-17</c:v>
                      </c:pt>
                      <c:pt idx="13">
                        <c:v>1.953E-14</c:v>
                      </c:pt>
                      <c:pt idx="14">
                        <c:v>1.4264000000000001E-10</c:v>
                      </c:pt>
                      <c:pt idx="15">
                        <c:v>1.2626000000000001E-10</c:v>
                      </c:pt>
                      <c:pt idx="16">
                        <c:v>1.0119E-9</c:v>
                      </c:pt>
                      <c:pt idx="17">
                        <c:v>0</c:v>
                      </c:pt>
                      <c:pt idx="18">
                        <c:v>9.7267000000000003E-9</c:v>
                      </c:pt>
                      <c:pt idx="19" formatCode="General">
                        <c:v>7.2993999999999998E-8</c:v>
                      </c:pt>
                      <c:pt idx="20" formatCode="General">
                        <c:v>0.18548000000000001</c:v>
                      </c:pt>
                      <c:pt idx="21" formatCode="General">
                        <c:v>0.19289000000000001</c:v>
                      </c:pt>
                      <c:pt idx="22" formatCode="General">
                        <c:v>0.19889000000000001</c:v>
                      </c:pt>
                      <c:pt idx="23" formatCode="General">
                        <c:v>0.23233000000000001</c:v>
                      </c:pt>
                      <c:pt idx="24" formatCode="General">
                        <c:v>0.24440999999999999</c:v>
                      </c:pt>
                      <c:pt idx="25" formatCode="General">
                        <c:v>0.25866</c:v>
                      </c:pt>
                      <c:pt idx="26" formatCode="General">
                        <c:v>0.27559</c:v>
                      </c:pt>
                      <c:pt idx="27" formatCode="General">
                        <c:v>0.25866</c:v>
                      </c:pt>
                      <c:pt idx="28" formatCode="General">
                        <c:v>0.27559</c:v>
                      </c:pt>
                      <c:pt idx="29" formatCode="General">
                        <c:v>0.29603000000000002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696-4DE2-99DA-C7F0C20F811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1">
                        <c:v>5.3992999999999997E-9</c:v>
                      </c:pt>
                      <c:pt idx="2">
                        <c:v>2.8524999999999998E-9</c:v>
                      </c:pt>
                      <c:pt idx="3">
                        <c:v>7.1092999999999998E-9</c:v>
                      </c:pt>
                      <c:pt idx="4">
                        <c:v>6.5676000000000004E-9</c:v>
                      </c:pt>
                      <c:pt idx="5">
                        <c:v>3.5764999999999998E-9</c:v>
                      </c:pt>
                      <c:pt idx="6">
                        <c:v>7.1643000000000002E-9</c:v>
                      </c:pt>
                      <c:pt idx="7">
                        <c:v>5.2841E-9</c:v>
                      </c:pt>
                      <c:pt idx="8">
                        <c:v>8.1865000000000002E-9</c:v>
                      </c:pt>
                      <c:pt idx="9">
                        <c:v>3.7150000000000001E-7</c:v>
                      </c:pt>
                      <c:pt idx="10">
                        <c:v>5.8954000000000001E-9</c:v>
                      </c:pt>
                      <c:pt idx="11">
                        <c:v>2.8117000000000001E-9</c:v>
                      </c:pt>
                      <c:pt idx="12">
                        <c:v>5.0099999999999999E-9</c:v>
                      </c:pt>
                      <c:pt idx="13">
                        <c:v>1.2273999999999999E-9</c:v>
                      </c:pt>
                      <c:pt idx="14">
                        <c:v>5.3845000000000002E-9</c:v>
                      </c:pt>
                      <c:pt idx="15">
                        <c:v>2.5708999999999999E-9</c:v>
                      </c:pt>
                      <c:pt idx="16">
                        <c:v>7.2542999999999997E-9</c:v>
                      </c:pt>
                      <c:pt idx="17">
                        <c:v>9.4418000000000002E-9</c:v>
                      </c:pt>
                      <c:pt idx="18">
                        <c:v>5.4284999999999996E-9</c:v>
                      </c:pt>
                      <c:pt idx="19" formatCode="General">
                        <c:v>7.0450000000000004E-9</c:v>
                      </c:pt>
                      <c:pt idx="20" formatCode="General">
                        <c:v>9.7436999999999998E-9</c:v>
                      </c:pt>
                      <c:pt idx="21" formatCode="General">
                        <c:v>9.2729999999999997E-9</c:v>
                      </c:pt>
                      <c:pt idx="22" formatCode="General">
                        <c:v>8.7954999999999993E-9</c:v>
                      </c:pt>
                      <c:pt idx="23" formatCode="General">
                        <c:v>7.3713999999999996E-9</c:v>
                      </c:pt>
                      <c:pt idx="24" formatCode="General">
                        <c:v>8.4123999999999996E-9</c:v>
                      </c:pt>
                      <c:pt idx="25" formatCode="General">
                        <c:v>7.8887999999999995E-9</c:v>
                      </c:pt>
                      <c:pt idx="26" formatCode="General">
                        <c:v>7.2149999999999996E-9</c:v>
                      </c:pt>
                      <c:pt idx="27" formatCode="General">
                        <c:v>7.8887999999999995E-9</c:v>
                      </c:pt>
                      <c:pt idx="28" formatCode="General">
                        <c:v>7.2149999999999996E-9</c:v>
                      </c:pt>
                      <c:pt idx="29" formatCode="General">
                        <c:v>9.1939999999999995E-9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696-4DE2-99DA-C7F0C20F811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696-4DE2-99DA-C7F0C20F811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696-4DE2-99DA-C7F0C20F811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696-4DE2-99DA-C7F0C20F811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696-4DE2-99DA-C7F0C20F811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696-4DE2-99DA-C7F0C20F811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696-4DE2-99DA-C7F0C20F811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696-4DE2-99DA-C7F0C20F8110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696-4DE2-99DA-C7F0C20F8110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696-4DE2-99DA-C7F0C20F8110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696-4DE2-99DA-C7F0C20F8110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54091312569232"/>
          <c:y val="4.7294133830119246E-2"/>
          <c:w val="0.83553361749524424"/>
          <c:h val="0.84652359165606239"/>
        </c:manualLayout>
      </c:layout>
      <c:scatterChart>
        <c:scatterStyle val="line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FLUID!$F$15:$AL$15</c:f>
              <c:numCache>
                <c:formatCode>0.0E+00</c:formatCode>
                <c:ptCount val="33"/>
                <c:pt idx="0">
                  <c:v>0.16</c:v>
                </c:pt>
                <c:pt idx="1">
                  <c:v>0.15992999999999999</c:v>
                </c:pt>
                <c:pt idx="2">
                  <c:v>0.15992999999999999</c:v>
                </c:pt>
                <c:pt idx="3">
                  <c:v>0.15822</c:v>
                </c:pt>
                <c:pt idx="4">
                  <c:v>0.14412</c:v>
                </c:pt>
                <c:pt idx="5">
                  <c:v>0.1022</c:v>
                </c:pt>
                <c:pt idx="6">
                  <c:v>6.0328E-2</c:v>
                </c:pt>
                <c:pt idx="7">
                  <c:v>3.569E-2</c:v>
                </c:pt>
                <c:pt idx="8">
                  <c:v>2.0899000000000001E-2</c:v>
                </c:pt>
                <c:pt idx="9">
                  <c:v>1.1825E-2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A61-4FB5-94E6-BE91A525E719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FLUID!$F$16:$AL$16</c:f>
              <c:numCache>
                <c:formatCode>0.0E+00</c:formatCode>
                <c:ptCount val="33"/>
                <c:pt idx="0">
                  <c:v>0.16</c:v>
                </c:pt>
                <c:pt idx="1">
                  <c:v>0.16</c:v>
                </c:pt>
                <c:pt idx="2">
                  <c:v>0.16</c:v>
                </c:pt>
                <c:pt idx="3">
                  <c:v>0.16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0.16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A61-4FB5-94E6-BE91A525E719}"/>
            </c:ext>
          </c:extLst>
        </c:ser>
        <c:ser>
          <c:idx val="13"/>
          <c:order val="13"/>
          <c:tx>
            <c:strRef>
              <c:f>FLUID!$E$17</c:f>
              <c:strCache>
                <c:ptCount val="1"/>
                <c:pt idx="0">
                  <c:v>(l)Se[l]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FLUID!$F$17:$AL$17</c:f>
              <c:numCache>
                <c:formatCode>0.0E+00</c:formatCode>
                <c:ptCount val="33"/>
                <c:pt idx="0">
                  <c:v>0.48</c:v>
                </c:pt>
                <c:pt idx="1">
                  <c:v>0.47996</c:v>
                </c:pt>
                <c:pt idx="2">
                  <c:v>0.47996</c:v>
                </c:pt>
                <c:pt idx="3">
                  <c:v>0.47910999999999998</c:v>
                </c:pt>
                <c:pt idx="4">
                  <c:v>0.47202</c:v>
                </c:pt>
                <c:pt idx="5">
                  <c:v>0.45051000000000002</c:v>
                </c:pt>
                <c:pt idx="6">
                  <c:v>0.42492000000000002</c:v>
                </c:pt>
                <c:pt idx="7">
                  <c:v>0.39005000000000001</c:v>
                </c:pt>
                <c:pt idx="8">
                  <c:v>0.31596000000000002</c:v>
                </c:pt>
                <c:pt idx="9">
                  <c:v>0.20374999999999999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A61-4FB5-94E6-BE91A525E719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0-7A61-4FB5-94E6-BE91A525E719}"/>
              </c:ext>
            </c:extLst>
          </c:dPt>
          <c:xVal>
            <c:numRef>
              <c:f>FLUID!$A$34:$A$35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FLUID!$B$34:$B$35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A61-4FB5-94E6-BE91A525E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2.2147E-8</c:v>
                      </c:pt>
                      <c:pt idx="1">
                        <c:v>3.2389E-8</c:v>
                      </c:pt>
                      <c:pt idx="2">
                        <c:v>3.2389E-8</c:v>
                      </c:pt>
                      <c:pt idx="3">
                        <c:v>2.0759000000000001E-8</c:v>
                      </c:pt>
                      <c:pt idx="4">
                        <c:v>3.1200000000000001E-8</c:v>
                      </c:pt>
                      <c:pt idx="5">
                        <c:v>2.8153000000000001E-8</c:v>
                      </c:pt>
                      <c:pt idx="6">
                        <c:v>4.8602000000000001E-8</c:v>
                      </c:pt>
                      <c:pt idx="7">
                        <c:v>5.9068000000000003E-8</c:v>
                      </c:pt>
                      <c:pt idx="8">
                        <c:v>2.9824999999999997E-8</c:v>
                      </c:pt>
                      <c:pt idx="9">
                        <c:v>1.3049E-8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A61-4FB5-94E6-BE91A525E719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2.7272000000000002E-25</c:v>
                      </c:pt>
                      <c:pt idx="1">
                        <c:v>1.1460000000000001E-13</c:v>
                      </c:pt>
                      <c:pt idx="2">
                        <c:v>1.1460000000000001E-13</c:v>
                      </c:pt>
                      <c:pt idx="3">
                        <c:v>1.0018E-10</c:v>
                      </c:pt>
                      <c:pt idx="4">
                        <c:v>1.3125E-8</c:v>
                      </c:pt>
                      <c:pt idx="5">
                        <c:v>5.7566999999999997E-7</c:v>
                      </c:pt>
                      <c:pt idx="6">
                        <c:v>1.1068E-5</c:v>
                      </c:pt>
                      <c:pt idx="7">
                        <c:v>1.0688000000000001E-4</c:v>
                      </c:pt>
                      <c:pt idx="8">
                        <c:v>5.9057999999999995E-4</c:v>
                      </c:pt>
                      <c:pt idx="9">
                        <c:v>1.7849000000000001E-3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A61-4FB5-94E6-BE91A525E7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2.8659000000000002E-23</c:v>
                      </c:pt>
                      <c:pt idx="1">
                        <c:v>7.6970999999999996E-13</c:v>
                      </c:pt>
                      <c:pt idx="2">
                        <c:v>7.6970999999999996E-13</c:v>
                      </c:pt>
                      <c:pt idx="3">
                        <c:v>2.9947999999999998E-10</c:v>
                      </c:pt>
                      <c:pt idx="4">
                        <c:v>2.1346000000000001E-8</c:v>
                      </c:pt>
                      <c:pt idx="5">
                        <c:v>5.9467999999999998E-7</c:v>
                      </c:pt>
                      <c:pt idx="6">
                        <c:v>7.9702000000000004E-6</c:v>
                      </c:pt>
                      <c:pt idx="7">
                        <c:v>5.5643999999999998E-5</c:v>
                      </c:pt>
                      <c:pt idx="8">
                        <c:v>2.2064E-4</c:v>
                      </c:pt>
                      <c:pt idx="9">
                        <c:v>4.4403999999999998E-4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A61-4FB5-94E6-BE91A525E71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8.2633000000000005E-20</c:v>
                      </c:pt>
                      <c:pt idx="1">
                        <c:v>2.4217999999999998E-10</c:v>
                      </c:pt>
                      <c:pt idx="2">
                        <c:v>2.4217999999999998E-10</c:v>
                      </c:pt>
                      <c:pt idx="3">
                        <c:v>4.8894000000000001E-8</c:v>
                      </c:pt>
                      <c:pt idx="4">
                        <c:v>2.1272999999999999E-6</c:v>
                      </c:pt>
                      <c:pt idx="5">
                        <c:v>4.1170000000000001E-5</c:v>
                      </c:pt>
                      <c:pt idx="6">
                        <c:v>4.1320000000000001E-4</c:v>
                      </c:pt>
                      <c:pt idx="7">
                        <c:v>2.2114999999999999E-3</c:v>
                      </c:pt>
                      <c:pt idx="8">
                        <c:v>6.6071000000000003E-3</c:v>
                      </c:pt>
                      <c:pt idx="9">
                        <c:v>9.2271000000000002E-3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A61-4FB5-94E6-BE91A525E719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3.1684999999999997E-17</c:v>
                      </c:pt>
                      <c:pt idx="1">
                        <c:v>2.1029999999999999E-9</c:v>
                      </c:pt>
                      <c:pt idx="2">
                        <c:v>2.1029999999999999E-9</c:v>
                      </c:pt>
                      <c:pt idx="3">
                        <c:v>1.445E-7</c:v>
                      </c:pt>
                      <c:pt idx="4">
                        <c:v>2.8177999999999999E-6</c:v>
                      </c:pt>
                      <c:pt idx="5">
                        <c:v>2.9918000000000001E-5</c:v>
                      </c:pt>
                      <c:pt idx="6">
                        <c:v>1.8665000000000001E-4</c:v>
                      </c:pt>
                      <c:pt idx="7">
                        <c:v>6.5868000000000003E-4</c:v>
                      </c:pt>
                      <c:pt idx="8">
                        <c:v>1.3093E-3</c:v>
                      </c:pt>
                      <c:pt idx="9">
                        <c:v>1.1429999999999999E-3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A61-4FB5-94E6-BE91A525E719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2.7152E-18</c:v>
                      </c:pt>
                      <c:pt idx="1">
                        <c:v>4.7633000000000005E-10</c:v>
                      </c:pt>
                      <c:pt idx="2">
                        <c:v>4.7633000000000005E-10</c:v>
                      </c:pt>
                      <c:pt idx="3">
                        <c:v>3.9207000000000002E-8</c:v>
                      </c:pt>
                      <c:pt idx="4">
                        <c:v>8.5699000000000005E-7</c:v>
                      </c:pt>
                      <c:pt idx="5">
                        <c:v>1.0027000000000001E-5</c:v>
                      </c:pt>
                      <c:pt idx="6">
                        <c:v>6.7297000000000003E-5</c:v>
                      </c:pt>
                      <c:pt idx="7">
                        <c:v>2.4379999999999999E-4</c:v>
                      </c:pt>
                      <c:pt idx="8">
                        <c:v>4.6434999999999998E-4</c:v>
                      </c:pt>
                      <c:pt idx="9">
                        <c:v>3.4402E-4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A61-4FB5-94E6-BE91A525E719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7A61-4FB5-94E6-BE91A525E719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4.8741E-20</c:v>
                      </c:pt>
                      <c:pt idx="1">
                        <c:v>1.8283999999999999E-11</c:v>
                      </c:pt>
                      <c:pt idx="2">
                        <c:v>1.8283999999999999E-11</c:v>
                      </c:pt>
                      <c:pt idx="3">
                        <c:v>1.7059000000000001E-9</c:v>
                      </c:pt>
                      <c:pt idx="4">
                        <c:v>4.0159000000000002E-8</c:v>
                      </c:pt>
                      <c:pt idx="5">
                        <c:v>5.0236000000000001E-7</c:v>
                      </c:pt>
                      <c:pt idx="6">
                        <c:v>3.5420000000000001E-6</c:v>
                      </c:pt>
                      <c:pt idx="7">
                        <c:v>1.2923E-5</c:v>
                      </c:pt>
                      <c:pt idx="8">
                        <c:v>2.3217000000000001E-5</c:v>
                      </c:pt>
                      <c:pt idx="9">
                        <c:v>1.4406000000000001E-5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61-4FB5-94E6-BE91A525E719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3.8015999999999999E-20</c:v>
                      </c:pt>
                      <c:pt idx="1">
                        <c:v>1.4398E-10</c:v>
                      </c:pt>
                      <c:pt idx="2">
                        <c:v>1.4398E-10</c:v>
                      </c:pt>
                      <c:pt idx="3">
                        <c:v>4.1182999999999999E-8</c:v>
                      </c:pt>
                      <c:pt idx="4">
                        <c:v>2.4831E-6</c:v>
                      </c:pt>
                      <c:pt idx="5">
                        <c:v>6.0578999999999997E-5</c:v>
                      </c:pt>
                      <c:pt idx="6">
                        <c:v>7.4443999999999997E-4</c:v>
                      </c:pt>
                      <c:pt idx="7">
                        <c:v>5.2170999999999997E-3</c:v>
                      </c:pt>
                      <c:pt idx="8">
                        <c:v>2.3754000000000001E-2</c:v>
                      </c:pt>
                      <c:pt idx="9">
                        <c:v>6.9757E-2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A61-4FB5-94E6-BE91A525E71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4.0376999999999999E-23</c:v>
                      </c:pt>
                      <c:pt idx="2">
                        <c:v>4.0376999999999999E-23</c:v>
                      </c:pt>
                      <c:pt idx="3">
                        <c:v>8.9678000000000005E-19</c:v>
                      </c:pt>
                      <c:pt idx="4">
                        <c:v>1.3319E-15</c:v>
                      </c:pt>
                      <c:pt idx="5">
                        <c:v>3.7343000000000001E-13</c:v>
                      </c:pt>
                      <c:pt idx="6">
                        <c:v>3.1794999999999999E-11</c:v>
                      </c:pt>
                      <c:pt idx="7">
                        <c:v>1.1096E-9</c:v>
                      </c:pt>
                      <c:pt idx="8">
                        <c:v>2.0412999999999999E-8</c:v>
                      </c:pt>
                      <c:pt idx="9">
                        <c:v>2.2142000000000001E-7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A61-4FB5-94E6-BE91A525E71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8.0028000000000003E-11</c:v>
                      </c:pt>
                      <c:pt idx="1">
                        <c:v>3.5305999999999997E-5</c:v>
                      </c:pt>
                      <c:pt idx="2">
                        <c:v>3.5305999999999997E-5</c:v>
                      </c:pt>
                      <c:pt idx="3">
                        <c:v>8.8887999999999999E-4</c:v>
                      </c:pt>
                      <c:pt idx="4">
                        <c:v>7.9401000000000003E-3</c:v>
                      </c:pt>
                      <c:pt idx="5">
                        <c:v>2.8901E-2</c:v>
                      </c:pt>
                      <c:pt idx="6">
                        <c:v>4.9835999999999998E-2</c:v>
                      </c:pt>
                      <c:pt idx="7">
                        <c:v>6.2155000000000002E-2</c:v>
                      </c:pt>
                      <c:pt idx="8">
                        <c:v>6.9550000000000001E-2</c:v>
                      </c:pt>
                      <c:pt idx="9">
                        <c:v>7.4087E-2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A61-4FB5-94E6-BE91A525E719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A61-4FB5-94E6-BE91A525E719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-18.62</c:v>
                      </c:pt>
                      <c:pt idx="1">
                        <c:v>-18.77</c:v>
                      </c:pt>
                      <c:pt idx="2">
                        <c:v>-18.77</c:v>
                      </c:pt>
                      <c:pt idx="3">
                        <c:v>-18.93</c:v>
                      </c:pt>
                      <c:pt idx="4">
                        <c:v>-19.13</c:v>
                      </c:pt>
                      <c:pt idx="5">
                        <c:v>-19.399999999999999</c:v>
                      </c:pt>
                      <c:pt idx="6">
                        <c:v>-19.649999999999999</c:v>
                      </c:pt>
                      <c:pt idx="7">
                        <c:v>-19.89</c:v>
                      </c:pt>
                      <c:pt idx="8">
                        <c:v>-20.149999999999999</c:v>
                      </c:pt>
                      <c:pt idx="9">
                        <c:v>-20.46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A61-4FB5-94E6-BE91A525E719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-6.2770000000000001</c:v>
                      </c:pt>
                      <c:pt idx="1">
                        <c:v>-7.3890000000000002</c:v>
                      </c:pt>
                      <c:pt idx="2">
                        <c:v>-7.3890000000000002</c:v>
                      </c:pt>
                      <c:pt idx="3">
                        <c:v>-7.8479999999999999</c:v>
                      </c:pt>
                      <c:pt idx="4">
                        <c:v>-8.3119999999999994</c:v>
                      </c:pt>
                      <c:pt idx="5">
                        <c:v>-8.9250000000000007</c:v>
                      </c:pt>
                      <c:pt idx="6">
                        <c:v>-9.6760000000000002</c:v>
                      </c:pt>
                      <c:pt idx="7">
                        <c:v>-10.39</c:v>
                      </c:pt>
                      <c:pt idx="8">
                        <c:v>-11.03</c:v>
                      </c:pt>
                      <c:pt idx="9">
                        <c:v>-11.57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A61-4FB5-94E6-BE91A525E719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6.952</c:v>
                      </c:pt>
                      <c:pt idx="1">
                        <c:v>0.94920000000000004</c:v>
                      </c:pt>
                      <c:pt idx="2">
                        <c:v>0.94920000000000004</c:v>
                      </c:pt>
                      <c:pt idx="3">
                        <c:v>-0.79530000000000001</c:v>
                      </c:pt>
                      <c:pt idx="4">
                        <c:v>-2.113</c:v>
                      </c:pt>
                      <c:pt idx="5">
                        <c:v>-3.1059999999999999</c:v>
                      </c:pt>
                      <c:pt idx="6">
                        <c:v>-3.8969999999999998</c:v>
                      </c:pt>
                      <c:pt idx="7">
                        <c:v>-4.5529999999999999</c:v>
                      </c:pt>
                      <c:pt idx="8">
                        <c:v>-5.0380000000000003</c:v>
                      </c:pt>
                      <c:pt idx="9">
                        <c:v>-5.3250000000000002</c:v>
                      </c:pt>
                      <c:pt idx="10">
                        <c:v>0.28000000000000003</c:v>
                      </c:pt>
                      <c:pt idx="11">
                        <c:v>0.28000000000000003</c:v>
                      </c:pt>
                      <c:pt idx="12">
                        <c:v>0.28000000000000003</c:v>
                      </c:pt>
                      <c:pt idx="13">
                        <c:v>0.28000000000000003</c:v>
                      </c:pt>
                      <c:pt idx="14">
                        <c:v>0.28000000000000003</c:v>
                      </c:pt>
                      <c:pt idx="15">
                        <c:v>0.28000000000000003</c:v>
                      </c:pt>
                      <c:pt idx="16">
                        <c:v>0.28000000000000003</c:v>
                      </c:pt>
                      <c:pt idx="17">
                        <c:v>0.27079999999999999</c:v>
                      </c:pt>
                      <c:pt idx="18">
                        <c:v>0.21576000000000001</c:v>
                      </c:pt>
                      <c:pt idx="19" formatCode="General">
                        <c:v>0.20441000000000001</c:v>
                      </c:pt>
                      <c:pt idx="20" formatCode="General">
                        <c:v>0.20115</c:v>
                      </c:pt>
                      <c:pt idx="21" formatCode="General">
                        <c:v>0.20011999999999999</c:v>
                      </c:pt>
                      <c:pt idx="22" formatCode="General">
                        <c:v>0.20000999999999999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A61-4FB5-94E6-BE91A525E719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-4.7</c:v>
                      </c:pt>
                      <c:pt idx="1">
                        <c:v>-5.6130000000000004</c:v>
                      </c:pt>
                      <c:pt idx="2">
                        <c:v>-5.6130000000000004</c:v>
                      </c:pt>
                      <c:pt idx="3">
                        <c:v>-6.0679999999999996</c:v>
                      </c:pt>
                      <c:pt idx="4">
                        <c:v>-6.4809999999999999</c:v>
                      </c:pt>
                      <c:pt idx="5">
                        <c:v>-6.8319999999999999</c:v>
                      </c:pt>
                      <c:pt idx="6">
                        <c:v>-7.15</c:v>
                      </c:pt>
                      <c:pt idx="7">
                        <c:v>-7.47</c:v>
                      </c:pt>
                      <c:pt idx="8">
                        <c:v>-7.8230000000000004</c:v>
                      </c:pt>
                      <c:pt idx="9">
                        <c:v>-8.2680000000000007</c:v>
                      </c:pt>
                      <c:pt idx="10">
                        <c:v>7.8265000000000004E-41</c:v>
                      </c:pt>
                      <c:pt idx="11">
                        <c:v>1.4296E-24</c:v>
                      </c:pt>
                      <c:pt idx="12">
                        <c:v>2.5993E-17</c:v>
                      </c:pt>
                      <c:pt idx="13">
                        <c:v>1.953E-14</c:v>
                      </c:pt>
                      <c:pt idx="14">
                        <c:v>1.4264000000000001E-10</c:v>
                      </c:pt>
                      <c:pt idx="15">
                        <c:v>1.2626000000000001E-10</c:v>
                      </c:pt>
                      <c:pt idx="16">
                        <c:v>1.0119E-9</c:v>
                      </c:pt>
                      <c:pt idx="17">
                        <c:v>0</c:v>
                      </c:pt>
                      <c:pt idx="18">
                        <c:v>9.7267000000000003E-9</c:v>
                      </c:pt>
                      <c:pt idx="19" formatCode="General">
                        <c:v>7.2993999999999998E-8</c:v>
                      </c:pt>
                      <c:pt idx="20" formatCode="General">
                        <c:v>0.18548000000000001</c:v>
                      </c:pt>
                      <c:pt idx="21" formatCode="General">
                        <c:v>0.19289000000000001</c:v>
                      </c:pt>
                      <c:pt idx="22" formatCode="General">
                        <c:v>0.19889000000000001</c:v>
                      </c:pt>
                      <c:pt idx="23" formatCode="General">
                        <c:v>0.23233000000000001</c:v>
                      </c:pt>
                      <c:pt idx="24" formatCode="General">
                        <c:v>0.24440999999999999</c:v>
                      </c:pt>
                      <c:pt idx="25" formatCode="General">
                        <c:v>0.25866</c:v>
                      </c:pt>
                      <c:pt idx="26" formatCode="General">
                        <c:v>0.27559</c:v>
                      </c:pt>
                      <c:pt idx="27" formatCode="General">
                        <c:v>0.25866</c:v>
                      </c:pt>
                      <c:pt idx="28" formatCode="General">
                        <c:v>0.27559</c:v>
                      </c:pt>
                      <c:pt idx="29" formatCode="General">
                        <c:v>0.29603000000000002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A61-4FB5-94E6-BE91A525E719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1">
                        <c:v>5.3992999999999997E-9</c:v>
                      </c:pt>
                      <c:pt idx="2">
                        <c:v>2.8524999999999998E-9</c:v>
                      </c:pt>
                      <c:pt idx="3">
                        <c:v>7.1092999999999998E-9</c:v>
                      </c:pt>
                      <c:pt idx="4">
                        <c:v>6.5676000000000004E-9</c:v>
                      </c:pt>
                      <c:pt idx="5">
                        <c:v>3.5764999999999998E-9</c:v>
                      </c:pt>
                      <c:pt idx="6">
                        <c:v>7.1643000000000002E-9</c:v>
                      </c:pt>
                      <c:pt idx="7">
                        <c:v>5.2841E-9</c:v>
                      </c:pt>
                      <c:pt idx="8">
                        <c:v>8.1865000000000002E-9</c:v>
                      </c:pt>
                      <c:pt idx="9">
                        <c:v>3.7150000000000001E-7</c:v>
                      </c:pt>
                      <c:pt idx="10">
                        <c:v>5.8954000000000001E-9</c:v>
                      </c:pt>
                      <c:pt idx="11">
                        <c:v>2.8117000000000001E-9</c:v>
                      </c:pt>
                      <c:pt idx="12">
                        <c:v>5.0099999999999999E-9</c:v>
                      </c:pt>
                      <c:pt idx="13">
                        <c:v>1.2273999999999999E-9</c:v>
                      </c:pt>
                      <c:pt idx="14">
                        <c:v>5.3845000000000002E-9</c:v>
                      </c:pt>
                      <c:pt idx="15">
                        <c:v>2.5708999999999999E-9</c:v>
                      </c:pt>
                      <c:pt idx="16">
                        <c:v>7.2542999999999997E-9</c:v>
                      </c:pt>
                      <c:pt idx="17">
                        <c:v>9.4418000000000002E-9</c:v>
                      </c:pt>
                      <c:pt idx="18">
                        <c:v>5.4284999999999996E-9</c:v>
                      </c:pt>
                      <c:pt idx="19" formatCode="General">
                        <c:v>7.0450000000000004E-9</c:v>
                      </c:pt>
                      <c:pt idx="20" formatCode="General">
                        <c:v>9.7436999999999998E-9</c:v>
                      </c:pt>
                      <c:pt idx="21" formatCode="General">
                        <c:v>9.2729999999999997E-9</c:v>
                      </c:pt>
                      <c:pt idx="22" formatCode="General">
                        <c:v>8.7954999999999993E-9</c:v>
                      </c:pt>
                      <c:pt idx="23" formatCode="General">
                        <c:v>7.3713999999999996E-9</c:v>
                      </c:pt>
                      <c:pt idx="24" formatCode="General">
                        <c:v>8.4123999999999996E-9</c:v>
                      </c:pt>
                      <c:pt idx="25" formatCode="General">
                        <c:v>7.8887999999999995E-9</c:v>
                      </c:pt>
                      <c:pt idx="26" formatCode="General">
                        <c:v>7.2149999999999996E-9</c:v>
                      </c:pt>
                      <c:pt idx="27" formatCode="General">
                        <c:v>7.8887999999999995E-9</c:v>
                      </c:pt>
                      <c:pt idx="28" formatCode="General">
                        <c:v>7.2149999999999996E-9</c:v>
                      </c:pt>
                      <c:pt idx="29" formatCode="General">
                        <c:v>9.1939999999999995E-9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A61-4FB5-94E6-BE91A525E719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A61-4FB5-94E6-BE91A525E719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A61-4FB5-94E6-BE91A525E719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A61-4FB5-94E6-BE91A525E719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A61-4FB5-94E6-BE91A525E719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A61-4FB5-94E6-BE91A525E719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A61-4FB5-94E6-BE91A525E719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A61-4FB5-94E6-BE91A525E719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A61-4FB5-94E6-BE91A525E719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A61-4FB5-94E6-BE91A525E719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A61-4FB5-94E6-BE91A525E719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FLUID!$F$127:$AL$127</c:f>
              <c:numCache>
                <c:formatCode>General</c:formatCode>
                <c:ptCount val="33"/>
                <c:pt idx="0">
                  <c:v>-30.484012578750008</c:v>
                </c:pt>
                <c:pt idx="1">
                  <c:v>-68.484263828860549</c:v>
                </c:pt>
                <c:pt idx="2">
                  <c:v>-84.120117226351184</c:v>
                </c:pt>
                <c:pt idx="3">
                  <c:v>-114.52976756428208</c:v>
                </c:pt>
                <c:pt idx="4">
                  <c:v>-142.36703218402874</c:v>
                </c:pt>
                <c:pt idx="5">
                  <c:v>-157.8551995594174</c:v>
                </c:pt>
                <c:pt idx="6">
                  <c:v>-167.16113200644321</c:v>
                </c:pt>
                <c:pt idx="7">
                  <c:v>-174.8579636402747</c:v>
                </c:pt>
                <c:pt idx="8">
                  <c:v>-167.58271170601768</c:v>
                </c:pt>
                <c:pt idx="9">
                  <c:v>-138.92595417890627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4FDC-4DA9-88D2-BC4A05D23606}"/>
            </c:ext>
          </c:extLst>
        </c:ser>
        <c:ser>
          <c:idx val="4"/>
          <c:order val="3"/>
          <c:marker>
            <c:symbol val="none"/>
          </c:marker>
          <c:xVal>
            <c:numRef>
              <c:f>FLUID!$F$126:$AL$126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FLUID!$F$130:$AL$130</c:f>
              <c:numCache>
                <c:formatCode>General</c:formatCode>
                <c:ptCount val="33"/>
                <c:pt idx="0">
                  <c:v>-30.484012598346119</c:v>
                </c:pt>
                <c:pt idx="1">
                  <c:v>-68.497505516905647</c:v>
                </c:pt>
                <c:pt idx="2">
                  <c:v>-84.13638216501522</c:v>
                </c:pt>
                <c:pt idx="3">
                  <c:v>-115.04814304400398</c:v>
                </c:pt>
                <c:pt idx="4">
                  <c:v>-148.0586707992172</c:v>
                </c:pt>
                <c:pt idx="5">
                  <c:v>-183.09139259860541</c:v>
                </c:pt>
                <c:pt idx="6">
                  <c:v>-220.63995151989494</c:v>
                </c:pt>
                <c:pt idx="7">
                  <c:v>-260.4148630968408</c:v>
                </c:pt>
                <c:pt idx="8">
                  <c:v>-302.16837206343723</c:v>
                </c:pt>
                <c:pt idx="9">
                  <c:v>-346.70529146717962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4FDC-4DA9-88D2-BC4A05D23606}"/>
            </c:ext>
          </c:extLst>
        </c:ser>
        <c:ser>
          <c:idx val="3"/>
          <c:order val="13"/>
          <c:tx>
            <c:v>temp</c:v>
          </c:tx>
          <c:spPr>
            <a:ln w="1905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xVal>
            <c:numRef>
              <c:f>FLUID!$A$118:$A$119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FLUID!$B$118:$B$119</c:f>
              <c:numCache>
                <c:formatCode>0</c:formatCode>
                <c:ptCount val="2"/>
                <c:pt idx="0">
                  <c:v>-346.70633550000002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4FDC-4DA9-88D2-BC4A05D23606}"/>
            </c:ext>
          </c:extLst>
        </c:ser>
        <c:ser>
          <c:idx val="13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-30.484012578750004</c:v>
                </c:pt>
                <c:pt idx="1">
                  <c:v>-68.497905082140022</c:v>
                </c:pt>
                <c:pt idx="2">
                  <c:v>-84.136872956220017</c:v>
                </c:pt>
                <c:pt idx="3">
                  <c:v>-115.04855481309001</c:v>
                </c:pt>
                <c:pt idx="4">
                  <c:v>-148.0588091532</c:v>
                </c:pt>
                <c:pt idx="5">
                  <c:v>-183.09176699550005</c:v>
                </c:pt>
                <c:pt idx="6">
                  <c:v>-220.64128037295004</c:v>
                </c:pt>
                <c:pt idx="7">
                  <c:v>-260.41421826225002</c:v>
                </c:pt>
                <c:pt idx="8">
                  <c:v>-302.16897127080006</c:v>
                </c:pt>
                <c:pt idx="9">
                  <c:v>-346.70633550000002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4FDC-4DA9-88D2-BC4A05D2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-1.959611244044737E-8</c:v>
                      </c:pt>
                      <c:pt idx="1">
                        <c:v>-1.3241688045099649E-2</c:v>
                      </c:pt>
                      <c:pt idx="2">
                        <c:v>-1.6264938664043001E-2</c:v>
                      </c:pt>
                      <c:pt idx="3">
                        <c:v>-0.51837547972189246</c:v>
                      </c:pt>
                      <c:pt idx="4">
                        <c:v>-5.6916386151884595</c:v>
                      </c:pt>
                      <c:pt idx="5">
                        <c:v>-25.236193039187995</c:v>
                      </c:pt>
                      <c:pt idx="6">
                        <c:v>-53.478819513451732</c:v>
                      </c:pt>
                      <c:pt idx="7">
                        <c:v>-85.5568994565661</c:v>
                      </c:pt>
                      <c:pt idx="8">
                        <c:v>-134.58566035741953</c:v>
                      </c:pt>
                      <c:pt idx="9">
                        <c:v>-207.77933728827335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53-4FDC-4DA9-88D2-BC4A05D23606}"/>
                  </c:ext>
                </c:extLst>
              </c15:ser>
            </c15:filteredScatterSeries>
            <c15:filteredScatterSeries>
              <c15:ser>
                <c:idx val="2"/>
                <c:order val="2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-30.484012598346119</c:v>
                      </c:pt>
                      <c:pt idx="1">
                        <c:v>-68.497505516905647</c:v>
                      </c:pt>
                      <c:pt idx="2">
                        <c:v>-84.13638216501522</c:v>
                      </c:pt>
                      <c:pt idx="3">
                        <c:v>-115.04814304400398</c:v>
                      </c:pt>
                      <c:pt idx="4">
                        <c:v>-148.0586707992172</c:v>
                      </c:pt>
                      <c:pt idx="5">
                        <c:v>-183.09139259860541</c:v>
                      </c:pt>
                      <c:pt idx="6">
                        <c:v>-220.63995151989494</c:v>
                      </c:pt>
                      <c:pt idx="7">
                        <c:v>-260.4148630968408</c:v>
                      </c:pt>
                      <c:pt idx="8">
                        <c:v>-302.16837206343723</c:v>
                      </c:pt>
                      <c:pt idx="9">
                        <c:v>-346.70529146717962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4FDC-4DA9-88D2-BC4A05D23606}"/>
                  </c:ext>
                </c:extLst>
              </c15:ser>
            </c15:filteredScatterSeries>
            <c15:filteredScatterSeries>
              <c15:ser>
                <c:idx val="5"/>
                <c:order val="4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4FDC-4DA9-88D2-BC4A05D23606}"/>
                  </c:ext>
                </c:extLst>
              </c15:ser>
            </c15:filteredScatterSeries>
            <c15:filteredScatterSeries>
              <c15:ser>
                <c:idx val="6"/>
                <c:order val="5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4FDC-4DA9-88D2-BC4A05D23606}"/>
                  </c:ext>
                </c:extLst>
              </c15:ser>
            </c15:filteredScatterSeries>
            <c15:filteredScatterSeries>
              <c15:ser>
                <c:idx val="7"/>
                <c:order val="6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4FDC-4DA9-88D2-BC4A05D23606}"/>
                  </c:ext>
                </c:extLst>
              </c15:ser>
            </c15:filteredScatterSeries>
            <c15:filteredScatterSeries>
              <c15:ser>
                <c:idx val="8"/>
                <c:order val="7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4FDC-4DA9-88D2-BC4A05D23606}"/>
                  </c:ext>
                </c:extLst>
              </c15:ser>
            </c15:filteredScatterSeries>
            <c15:filteredScatterSeries>
              <c15:ser>
                <c:idx val="9"/>
                <c:order val="8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4FDC-4DA9-88D2-BC4A05D23606}"/>
                  </c:ext>
                </c:extLst>
              </c15:ser>
            </c15:filteredScatterSeries>
            <c15:filteredScatterSeries>
              <c15:ser>
                <c:idx val="10"/>
                <c:order val="9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FLUID!$F$136:$AL$136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4FDC-4DA9-88D2-BC4A05D23606}"/>
                  </c:ext>
                </c:extLst>
              </c15:ser>
            </c15:filteredScatterSeries>
            <c15:filteredScatterSeries>
              <c15:ser>
                <c:idx val="11"/>
                <c:order val="10"/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FLUID!$F$137:$AL$137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5-4FDC-4DA9-88D2-BC4A05D23606}"/>
                  </c:ext>
                </c:extLst>
              </c15:ser>
            </c15:filteredScatterSeries>
            <c15:filteredScatterSeries>
              <c15:ser>
                <c:idx val="12"/>
                <c:order val="11"/>
                <c:spPr>
                  <a:ln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FLUID!$F$138:$AL$138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7-4FDC-4DA9-88D2-BC4A05D23606}"/>
                  </c:ext>
                </c:extLst>
              </c15:ser>
            </c15:filteredScatterSeries>
            <c15:filteredScatterSeries>
              <c15:ser>
                <c:idx val="14"/>
                <c:order val="12"/>
                <c:spPr>
                  <a:ln>
                    <a:noFill/>
                  </a:ln>
                </c:spPr>
                <c:marker>
                  <c:symbol val="square"/>
                  <c:size val="5"/>
                  <c:spPr>
                    <a:solidFill>
                      <a:srgbClr val="002060"/>
                    </a:solidFill>
                    <a:ln>
                      <a:noFill/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FLUID!$F$139:$AL$139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9-4FDC-4DA9-88D2-BC4A05D23606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34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</c:plotArea>
    <c:plotVisOnly val="0"/>
    <c:dispBlanksAs val="span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-351.26211611400004</c:v>
                </c:pt>
                <c:pt idx="2">
                  <c:v>-355.14867093750001</c:v>
                </c:pt>
                <c:pt idx="3">
                  <c:v>-359.22081371550001</c:v>
                </c:pt>
                <c:pt idx="4">
                  <c:v>-364.36996693649996</c:v>
                </c:pt>
                <c:pt idx="5">
                  <c:v>-389.70608677244996</c:v>
                </c:pt>
                <c:pt idx="6">
                  <c:v>-396.34744164554996</c:v>
                </c:pt>
                <c:pt idx="7">
                  <c:v>-403.30550413815001</c:v>
                </c:pt>
                <c:pt idx="8">
                  <c:v>-410.20650671160001</c:v>
                </c:pt>
                <c:pt idx="9">
                  <c:v>-417.52041151230009</c:v>
                </c:pt>
                <c:pt idx="10">
                  <c:v>-428.62494675000005</c:v>
                </c:pt>
                <c:pt idx="11">
                  <c:v>-439.98436631100003</c:v>
                </c:pt>
                <c:pt idx="12">
                  <c:v>-451.42067836799998</c:v>
                </c:pt>
                <c:pt idx="13">
                  <c:v>-463.08778265310002</c:v>
                </c:pt>
                <c:pt idx="14">
                  <c:v>-511.66288093349999</c:v>
                </c:pt>
                <c:pt idx="15">
                  <c:v>-524.24583653955006</c:v>
                </c:pt>
                <c:pt idx="16">
                  <c:v>-536.92616824379991</c:v>
                </c:pt>
                <c:pt idx="17">
                  <c:v>-550.07214603750003</c:v>
                </c:pt>
                <c:pt idx="18">
                  <c:v>-567.19859508945024</c:v>
                </c:pt>
                <c:pt idx="19">
                  <c:v>-584.57071017855014</c:v>
                </c:pt>
                <c:pt idx="20">
                  <c:v>-602.52422665755012</c:v>
                </c:pt>
                <c:pt idx="21">
                  <c:v>-624.07445947874999</c:v>
                </c:pt>
                <c:pt idx="22">
                  <c:v>-645.94271277899998</c:v>
                </c:pt>
                <c:pt idx="23">
                  <c:v>-735.66225731880013</c:v>
                </c:pt>
                <c:pt idx="24">
                  <c:v>-758.69445331680004</c:v>
                </c:pt>
                <c:pt idx="25">
                  <c:v>-782.30116131</c:v>
                </c:pt>
                <c:pt idx="26">
                  <c:v>-806.01122352690004</c:v>
                </c:pt>
                <c:pt idx="27">
                  <c:v>-782.30116131</c:v>
                </c:pt>
                <c:pt idx="28">
                  <c:v>-806.01122352690004</c:v>
                </c:pt>
                <c:pt idx="29">
                  <c:v>-830.07810749999999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FF-483C-BCE0-647F459C0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4355674994144814"/>
          <c:h val="0.79988254071377496"/>
        </c:manualLayout>
      </c:layout>
      <c:scatterChart>
        <c:scatterStyle val="lineMarker"/>
        <c:varyColors val="0"/>
        <c:ser>
          <c:idx val="7"/>
          <c:order val="7"/>
          <c:tx>
            <c:strRef>
              <c:f>SOLID!$E$11</c:f>
              <c:strCache>
                <c:ptCount val="1"/>
                <c:pt idx="0">
                  <c:v>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SOLID!$F$11:$AL$11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7.0791999999999994E-2</c:v>
                </c:pt>
                <c:pt idx="18">
                  <c:v>1.5764E-2</c:v>
                </c:pt>
                <c:pt idx="19" formatCode="General">
                  <c:v>4.4145E-3</c:v>
                </c:pt>
                <c:pt idx="20" formatCode="General">
                  <c:v>1.1531E-3</c:v>
                </c:pt>
                <c:pt idx="21" formatCode="General">
                  <c:v>1.1998999999999999E-4</c:v>
                </c:pt>
                <c:pt idx="22" formatCode="General">
                  <c:v>1.3539E-5</c:v>
                </c:pt>
                <c:pt idx="23" formatCode="General">
                  <c:v>4.1901999999999999E-9</c:v>
                </c:pt>
                <c:pt idx="24" formatCode="General">
                  <c:v>6.3558999999999997E-10</c:v>
                </c:pt>
                <c:pt idx="25" formatCode="General">
                  <c:v>1.007E-10</c:v>
                </c:pt>
                <c:pt idx="26" formatCode="General">
                  <c:v>1.6584000000000001E-11</c:v>
                </c:pt>
                <c:pt idx="27" formatCode="General">
                  <c:v>1.007E-10</c:v>
                </c:pt>
                <c:pt idx="28" formatCode="General">
                  <c:v>1.6584000000000001E-11</c:v>
                </c:pt>
                <c:pt idx="29" formatCode="General">
                  <c:v>2.8226000000000001E-12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12-4D25-930A-3BF236421612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SOLID!$F$12:$AL$12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1.6572999999999999E-34</c:v>
                </c:pt>
                <c:pt idx="7">
                  <c:v>7.9071999999999998E-32</c:v>
                </c:pt>
                <c:pt idx="8">
                  <c:v>2.3603000000000001E-29</c:v>
                </c:pt>
                <c:pt idx="9">
                  <c:v>4.6495999999999999E-27</c:v>
                </c:pt>
                <c:pt idx="10">
                  <c:v>6.3423000000000003E-25</c:v>
                </c:pt>
                <c:pt idx="11">
                  <c:v>6.2186000000000002E-23</c:v>
                </c:pt>
                <c:pt idx="12">
                  <c:v>4.5371000000000001E-21</c:v>
                </c:pt>
                <c:pt idx="13">
                  <c:v>2.5367E-19</c:v>
                </c:pt>
                <c:pt idx="14">
                  <c:v>2.7617000000000002E-13</c:v>
                </c:pt>
                <c:pt idx="15">
                  <c:v>5.6580999999999999E-12</c:v>
                </c:pt>
                <c:pt idx="16">
                  <c:v>9.9572000000000003E-11</c:v>
                </c:pt>
                <c:pt idx="17">
                  <c:v>1.3480999999999999E-9</c:v>
                </c:pt>
                <c:pt idx="18">
                  <c:v>4.0385000000000001E-9</c:v>
                </c:pt>
                <c:pt idx="19" formatCode="General">
                  <c:v>1.3505000000000001E-8</c:v>
                </c:pt>
                <c:pt idx="20" formatCode="General">
                  <c:v>3.7726999999999998E-8</c:v>
                </c:pt>
                <c:pt idx="21" formatCode="General">
                  <c:v>3.7906000000000002E-8</c:v>
                </c:pt>
                <c:pt idx="22" formatCode="General">
                  <c:v>3.7554E-8</c:v>
                </c:pt>
                <c:pt idx="23" formatCode="General">
                  <c:v>3.0196000000000001E-8</c:v>
                </c:pt>
                <c:pt idx="24" formatCode="General">
                  <c:v>2.7293999999999999E-8</c:v>
                </c:pt>
                <c:pt idx="25" formatCode="General">
                  <c:v>2.4188000000000001E-8</c:v>
                </c:pt>
                <c:pt idx="26" formatCode="General">
                  <c:v>2.0995E-8</c:v>
                </c:pt>
                <c:pt idx="27" formatCode="General">
                  <c:v>2.4188000000000001E-8</c:v>
                </c:pt>
                <c:pt idx="28" formatCode="General">
                  <c:v>2.0995E-8</c:v>
                </c:pt>
                <c:pt idx="29" formatCode="General">
                  <c:v>1.7808E-8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12-4D25-930A-3BF23642161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SOLID!$F$13:$AL$13</c:f>
              <c:numCache>
                <c:formatCode>0.0E+00</c:formatCode>
                <c:ptCount val="33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 formatCode="General">
                  <c:v>0.2</c:v>
                </c:pt>
                <c:pt idx="20" formatCode="General">
                  <c:v>0.2</c:v>
                </c:pt>
                <c:pt idx="21" formatCode="General">
                  <c:v>0.2</c:v>
                </c:pt>
                <c:pt idx="22" formatCode="General">
                  <c:v>0.2</c:v>
                </c:pt>
                <c:pt idx="23" formatCode="General">
                  <c:v>0.2</c:v>
                </c:pt>
                <c:pt idx="24" formatCode="General">
                  <c:v>0.2</c:v>
                </c:pt>
                <c:pt idx="25" formatCode="General">
                  <c:v>0.2</c:v>
                </c:pt>
                <c:pt idx="26" formatCode="General">
                  <c:v>0.2</c:v>
                </c:pt>
                <c:pt idx="27" formatCode="General">
                  <c:v>0.2</c:v>
                </c:pt>
                <c:pt idx="28" formatCode="General">
                  <c:v>0.2</c:v>
                </c:pt>
                <c:pt idx="29" formatCode="General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F12-4D25-930A-3BF236421612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B7-4871-B625-DDFFBF00C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SOLID!$E$4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SOLID!$F$4:$AL$4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F12-4D25-930A-3BF23642161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SOLID!$F$5:$AL$5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F12-4D25-930A-3BF23642161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SOLID!$F$6:$AL$6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F12-4D25-930A-3BF23642161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SOLID!$E$7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SOLID!$F$7:$AL$7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F12-4D25-930A-3BF23642161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SOLID!$F$8:$AL$8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F12-4D25-930A-3BF23642161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SOLID!$F$9:$AL$9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F12-4D25-930A-3BF23642161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6F12-4D25-930A-3BF23642161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SOLID!$F$10:$AL$10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F12-4D25-930A-3BF23642161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SOLID!$F$14:$AL$14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F12-4D25-930A-3BF23642161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SOLID!$F$15:$AL$15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F12-4D25-930A-3BF23642161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F12-4D25-930A-3BF23642161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F12-4D25-930A-3BF23642161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F12-4D25-930A-3BF23642161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F12-4D25-930A-3BF23642161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F12-4D25-930A-3BF23642161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F12-4D25-930A-3BF23642161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F12-4D25-930A-3BF23642161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F12-4D25-930A-3BF23642161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F12-4D25-930A-3BF23642161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F12-4D25-930A-3BF23642161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F12-4D25-930A-3BF23642161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F12-4D25-930A-3BF23642161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F12-4D25-930A-3BF23642161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F12-4D25-930A-3BF23642161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F12-4D25-930A-3BF23642161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F12-4D25-930A-3BF23642161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F12-4D25-930A-3BF23642161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SOLID!$F$127:$AL$127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-6.0260684118777312E-33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-2.3616805941163908E-24</c:v>
                </c:pt>
                <c:pt idx="12">
                  <c:v>-5.9595436508759842E-17</c:v>
                </c:pt>
                <c:pt idx="13">
                  <c:v>-6.0890658220882064E-14</c:v>
                </c:pt>
                <c:pt idx="14">
                  <c:v>-1.447695673092034E-9</c:v>
                </c:pt>
                <c:pt idx="15">
                  <c:v>-2.0163004946385837E-9</c:v>
                </c:pt>
                <c:pt idx="16">
                  <c:v>-3.1460605564850316E-8</c:v>
                </c:pt>
                <c:pt idx="17">
                  <c:v>0</c:v>
                </c:pt>
                <c:pt idx="18">
                  <c:v>-1.1548832452920305E-6</c:v>
                </c:pt>
                <c:pt idx="19">
                  <c:v>-1.4229594544952662E-5</c:v>
                </c:pt>
                <c:pt idx="20">
                  <c:v>-55.338014475837284</c:v>
                </c:pt>
                <c:pt idx="21">
                  <c:v>-59.231458053311513</c:v>
                </c:pt>
                <c:pt idx="22">
                  <c:v>-62.760113661289452</c:v>
                </c:pt>
                <c:pt idx="23">
                  <c:v>-80.464864406176645</c:v>
                </c:pt>
                <c:pt idx="24">
                  <c:v>-86.299602132197109</c:v>
                </c:pt>
                <c:pt idx="25">
                  <c:v>-92.96334958427056</c:v>
                </c:pt>
                <c:pt idx="26">
                  <c:v>-100.64782264944117</c:v>
                </c:pt>
                <c:pt idx="27">
                  <c:v>-92.96334958427056</c:v>
                </c:pt>
                <c:pt idx="28">
                  <c:v>-100.64782264944117</c:v>
                </c:pt>
                <c:pt idx="29">
                  <c:v>-109.6611097265625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96-4B09-963C-81925246AA85}"/>
            </c:ext>
          </c:extLst>
        </c:ser>
        <c:ser>
          <c:idx val="13"/>
          <c:order val="2"/>
          <c:tx>
            <c:v>Ряд3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7-0D96-4B09-963C-81925246AA85}"/>
              </c:ext>
            </c:extLst>
          </c:dPt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xVal>
          <c:yVal>
            <c:numRef>
              <c:f>SOLID!$F$129:$AL$129</c:f>
              <c:numCache>
                <c:formatCode>General</c:formatCode>
                <c:ptCount val="33"/>
                <c:pt idx="0">
                  <c:v>-230.40690922650006</c:v>
                </c:pt>
                <c:pt idx="1">
                  <c:v>-232.28073146250003</c:v>
                </c:pt>
                <c:pt idx="2">
                  <c:v>-234.22869409500004</c:v>
                </c:pt>
                <c:pt idx="3">
                  <c:v>-236.26669029075001</c:v>
                </c:pt>
                <c:pt idx="4">
                  <c:v>-238.35733805774998</c:v>
                </c:pt>
                <c:pt idx="5">
                  <c:v>-247.41780668325003</c:v>
                </c:pt>
                <c:pt idx="6">
                  <c:v>-249.76193861175</c:v>
                </c:pt>
                <c:pt idx="7">
                  <c:v>-252.26098214700002</c:v>
                </c:pt>
                <c:pt idx="8">
                  <c:v>-254.69867714399999</c:v>
                </c:pt>
                <c:pt idx="9">
                  <c:v>-257.31043619850004</c:v>
                </c:pt>
                <c:pt idx="10">
                  <c:v>-259.91371446300002</c:v>
                </c:pt>
                <c:pt idx="11">
                  <c:v>-262.5996388575</c:v>
                </c:pt>
                <c:pt idx="12">
                  <c:v>-265.27112927999997</c:v>
                </c:pt>
                <c:pt idx="13">
                  <c:v>-268.00587641850007</c:v>
                </c:pt>
                <c:pt idx="14">
                  <c:v>-279.39127047943595</c:v>
                </c:pt>
                <c:pt idx="15">
                  <c:v>-282.35398874607392</c:v>
                </c:pt>
                <c:pt idx="16">
                  <c:v>-285.31732246455834</c:v>
                </c:pt>
                <c:pt idx="17">
                  <c:v>-255.37665644097916</c:v>
                </c:pt>
                <c:pt idx="18">
                  <c:v>-58.267347918097954</c:v>
                </c:pt>
                <c:pt idx="19">
                  <c:v>-16.714566321278259</c:v>
                </c:pt>
                <c:pt idx="20">
                  <c:v>-59.815497084842917</c:v>
                </c:pt>
                <c:pt idx="21">
                  <c:v>-59.714211677626416</c:v>
                </c:pt>
                <c:pt idx="22">
                  <c:v>-62.816569047201995</c:v>
                </c:pt>
                <c:pt idx="23">
                  <c:v>-80.464947945823013</c:v>
                </c:pt>
                <c:pt idx="24">
                  <c:v>-86.299664658022337</c:v>
                </c:pt>
                <c:pt idx="25">
                  <c:v>-92.963404464702379</c:v>
                </c:pt>
                <c:pt idx="26">
                  <c:v>-100.64787144497443</c:v>
                </c:pt>
                <c:pt idx="27">
                  <c:v>-92.963404464702379</c:v>
                </c:pt>
                <c:pt idx="28">
                  <c:v>-100.64787144497443</c:v>
                </c:pt>
                <c:pt idx="29">
                  <c:v>-109.6611523750712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0D96-4B09-963C-81925246AA85}"/>
            </c:ext>
          </c:extLst>
        </c:ser>
        <c:ser>
          <c:idx val="1"/>
          <c:order val="3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SOLID!$F$130:$AL$130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D96-4B09-963C-81925246AA85}"/>
            </c:ext>
          </c:extLst>
        </c:ser>
        <c:ser>
          <c:idx val="2"/>
          <c:order val="4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SOLID!$F$131:$AL$131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D96-4B09-963C-81925246AA85}"/>
            </c:ext>
          </c:extLst>
        </c:ser>
        <c:ser>
          <c:idx val="4"/>
          <c:order val="5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SOLID!$F$132:$AL$132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D96-4B09-963C-81925246AA85}"/>
            </c:ext>
          </c:extLst>
        </c:ser>
        <c:ser>
          <c:idx val="5"/>
          <c:order val="6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SOLID!$F$133:$AL$133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D96-4B09-963C-81925246AA85}"/>
            </c:ext>
          </c:extLst>
        </c:ser>
        <c:ser>
          <c:idx val="6"/>
          <c:order val="7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SOLID!$F$134:$AL$134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D96-4B09-963C-81925246AA85}"/>
            </c:ext>
          </c:extLst>
        </c:ser>
        <c:ser>
          <c:idx val="7"/>
          <c:order val="8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SOLID!$F$135:$AL$135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D96-4B09-963C-81925246AA85}"/>
            </c:ext>
          </c:extLst>
        </c:ser>
        <c:ser>
          <c:idx val="8"/>
          <c:order val="9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SOLID!$F$136:$AL$136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D96-4B09-963C-81925246AA85}"/>
            </c:ext>
          </c:extLst>
        </c:ser>
        <c:ser>
          <c:idx val="9"/>
          <c:order val="10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SOLID!$F$137:$AL$137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D96-4B09-963C-81925246AA85}"/>
            </c:ext>
          </c:extLst>
        </c:ser>
        <c:ser>
          <c:idx val="10"/>
          <c:order val="11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SOLID!$F$138:$AL$138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D96-4B09-963C-81925246AA85}"/>
            </c:ext>
          </c:extLst>
        </c:ser>
        <c:ser>
          <c:idx val="11"/>
          <c:order val="12"/>
          <c:marker>
            <c:symbol val="none"/>
          </c:marker>
          <c:xVal>
            <c:numRef>
              <c:f>SOLID!$F$126:$AL$126</c:f>
              <c:numCache>
                <c:formatCode>0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SOLID!$F$139:$AL$139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0D96-4B09-963C-81925246AA85}"/>
            </c:ext>
          </c:extLst>
        </c:ser>
        <c:ser>
          <c:idx val="12"/>
          <c:order val="13"/>
          <c:tx>
            <c:v>temp</c:v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SOLID!$A$118:$A$119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SOLID!$B$118:$B$119</c:f>
              <c:numCache>
                <c:formatCode>0</c:formatCode>
                <c:ptCount val="2"/>
                <c:pt idx="0">
                  <c:v>-830.07810749999999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0D96-4B09-963C-81925246AA85}"/>
            </c:ext>
          </c:extLst>
        </c:ser>
        <c:ser>
          <c:idx val="14"/>
          <c:order val="14"/>
          <c:tx>
            <c:v>gibs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>
                  <c:v>777.9</c:v>
                </c:pt>
                <c:pt idx="20">
                  <c:v>798.1</c:v>
                </c:pt>
                <c:pt idx="21">
                  <c:v>818.3</c:v>
                </c:pt>
                <c:pt idx="22">
                  <c:v>838.5</c:v>
                </c:pt>
                <c:pt idx="23">
                  <c:v>919.2</c:v>
                </c:pt>
                <c:pt idx="24">
                  <c:v>939.4</c:v>
                </c:pt>
                <c:pt idx="25">
                  <c:v>959.6</c:v>
                </c:pt>
                <c:pt idx="26">
                  <c:v>979.8</c:v>
                </c:pt>
                <c:pt idx="27">
                  <c:v>959.6</c:v>
                </c:pt>
                <c:pt idx="28">
                  <c:v>979.8</c:v>
                </c:pt>
                <c:pt idx="29">
                  <c:v>1000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-347.50638994800005</c:v>
                </c:pt>
                <c:pt idx="1">
                  <c:v>-351.26211611400004</c:v>
                </c:pt>
                <c:pt idx="2">
                  <c:v>-355.14867093750001</c:v>
                </c:pt>
                <c:pt idx="3">
                  <c:v>-359.22081371550001</c:v>
                </c:pt>
                <c:pt idx="4">
                  <c:v>-364.36996693649996</c:v>
                </c:pt>
                <c:pt idx="5">
                  <c:v>-389.70608677244996</c:v>
                </c:pt>
                <c:pt idx="6">
                  <c:v>-396.34744164554996</c:v>
                </c:pt>
                <c:pt idx="7">
                  <c:v>-403.30550413815001</c:v>
                </c:pt>
                <c:pt idx="8">
                  <c:v>-410.20650671160001</c:v>
                </c:pt>
                <c:pt idx="9">
                  <c:v>-417.52041151230009</c:v>
                </c:pt>
                <c:pt idx="10">
                  <c:v>-428.62494675000005</c:v>
                </c:pt>
                <c:pt idx="11">
                  <c:v>-439.98436631100003</c:v>
                </c:pt>
                <c:pt idx="12">
                  <c:v>-451.42067836799998</c:v>
                </c:pt>
                <c:pt idx="13">
                  <c:v>-463.08778265310002</c:v>
                </c:pt>
                <c:pt idx="14">
                  <c:v>-511.66288093349999</c:v>
                </c:pt>
                <c:pt idx="15">
                  <c:v>-524.24583653955006</c:v>
                </c:pt>
                <c:pt idx="16">
                  <c:v>-536.92616824379991</c:v>
                </c:pt>
                <c:pt idx="17">
                  <c:v>-550.07214603750003</c:v>
                </c:pt>
                <c:pt idx="18">
                  <c:v>-567.19859508945024</c:v>
                </c:pt>
                <c:pt idx="19">
                  <c:v>-584.57071017855014</c:v>
                </c:pt>
                <c:pt idx="20">
                  <c:v>-602.52422665755012</c:v>
                </c:pt>
                <c:pt idx="21">
                  <c:v>-624.07445947874999</c:v>
                </c:pt>
                <c:pt idx="22">
                  <c:v>-645.94271277899998</c:v>
                </c:pt>
                <c:pt idx="23">
                  <c:v>-735.66225731880013</c:v>
                </c:pt>
                <c:pt idx="24">
                  <c:v>-758.69445331680004</c:v>
                </c:pt>
                <c:pt idx="25">
                  <c:v>-782.30116131</c:v>
                </c:pt>
                <c:pt idx="26">
                  <c:v>-806.01122352690004</c:v>
                </c:pt>
                <c:pt idx="27">
                  <c:v>-782.30116131</c:v>
                </c:pt>
                <c:pt idx="28">
                  <c:v>-806.01122352690004</c:v>
                </c:pt>
                <c:pt idx="29">
                  <c:v>-830.07810749999999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0D96-4B09-963C-81925246A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1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SOLID!$F$126:$AL$126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959.6</c:v>
                      </c:pt>
                      <c:pt idx="28">
                        <c:v>979.8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SOLID!$F$128:$AL$128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-230.40690922650006</c:v>
                      </c:pt>
                      <c:pt idx="1">
                        <c:v>-232.28073146250003</c:v>
                      </c:pt>
                      <c:pt idx="2">
                        <c:v>-234.22869409500004</c:v>
                      </c:pt>
                      <c:pt idx="3">
                        <c:v>-236.26669029075001</c:v>
                      </c:pt>
                      <c:pt idx="4">
                        <c:v>-238.35733805774998</c:v>
                      </c:pt>
                      <c:pt idx="5">
                        <c:v>-247.41780668325003</c:v>
                      </c:pt>
                      <c:pt idx="6">
                        <c:v>-249.76193861175</c:v>
                      </c:pt>
                      <c:pt idx="7">
                        <c:v>-252.26098214700002</c:v>
                      </c:pt>
                      <c:pt idx="8">
                        <c:v>-254.69867714399999</c:v>
                      </c:pt>
                      <c:pt idx="9">
                        <c:v>-257.31043619850004</c:v>
                      </c:pt>
                      <c:pt idx="10">
                        <c:v>-259.91371446300002</c:v>
                      </c:pt>
                      <c:pt idx="11">
                        <c:v>-262.5996388575</c:v>
                      </c:pt>
                      <c:pt idx="12">
                        <c:v>-265.27112927999997</c:v>
                      </c:pt>
                      <c:pt idx="13">
                        <c:v>-268.00587641850001</c:v>
                      </c:pt>
                      <c:pt idx="14">
                        <c:v>-279.39127047798826</c:v>
                      </c:pt>
                      <c:pt idx="15">
                        <c:v>-282.35398874405763</c:v>
                      </c:pt>
                      <c:pt idx="16">
                        <c:v>-285.31732243309773</c:v>
                      </c:pt>
                      <c:pt idx="17">
                        <c:v>-255.37665644097916</c:v>
                      </c:pt>
                      <c:pt idx="18">
                        <c:v>-58.267346763214711</c:v>
                      </c:pt>
                      <c:pt idx="19">
                        <c:v>-16.714552091683714</c:v>
                      </c:pt>
                      <c:pt idx="20">
                        <c:v>-4.4774826090056319</c:v>
                      </c:pt>
                      <c:pt idx="21">
                        <c:v>-0.48275362431490199</c:v>
                      </c:pt>
                      <c:pt idx="22">
                        <c:v>-5.6455385912539249E-2</c:v>
                      </c:pt>
                      <c:pt idx="23">
                        <c:v>-8.3539646365768486E-5</c:v>
                      </c:pt>
                      <c:pt idx="24">
                        <c:v>-6.252582522268019E-5</c:v>
                      </c:pt>
                      <c:pt idx="25">
                        <c:v>-5.4880431815735983E-5</c:v>
                      </c:pt>
                      <c:pt idx="26">
                        <c:v>-4.8795533264072239E-5</c:v>
                      </c:pt>
                      <c:pt idx="27">
                        <c:v>-5.4880431815735983E-5</c:v>
                      </c:pt>
                      <c:pt idx="28">
                        <c:v>-4.8795533264072239E-5</c:v>
                      </c:pt>
                      <c:pt idx="29">
                        <c:v>-4.2648508691565544E-5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0D96-4B09-963C-81925246AA8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8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97950914030483"/>
          <c:y val="4.3911525859608953E-2"/>
          <c:w val="0.86827784684809139"/>
          <c:h val="0.85021393527448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SOLID!$E$4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SOLID!$F$4:$AL$4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F2-4C72-9FE2-1C7299990DB3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SOLID!$F$5:$AL$5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F2-4C72-9FE2-1C7299990DB3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SOLID!$F$6:$AL$6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F2-4C72-9FE2-1C7299990DB3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SOLID!$F$7:$AL$7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F2-4C72-9FE2-1C7299990DB3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SOLID!$F$8:$AL$8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F2-4C72-9FE2-1C7299990DB3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SOLID!$F$9:$AL$9</c:f>
              <c:numCache>
                <c:formatCode>0.0E+00</c:formatCode>
                <c:ptCount val="33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EF2-4C72-9FE2-1C7299990DB3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5EF2-4C72-9FE2-1C7299990DB3}"/>
              </c:ext>
            </c:extLst>
          </c:dPt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SOLID!$F$10:$AL$10</c:f>
              <c:numCache>
                <c:formatCode>0.0E+00</c:formatCode>
                <c:ptCount val="33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EF2-4C72-9FE2-1C7299990DB3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SOLID!$F$14:$AL$14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5EF2-4C72-9FE2-1C7299990DB3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SOLID!$F$3:$AL$3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SOLID!$F$15:$AL$15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EF2-4C72-9FE2-1C7299990DB3}"/>
            </c:ext>
          </c:extLst>
        </c:ser>
        <c:ser>
          <c:idx val="29"/>
          <c:order val="29"/>
          <c:tx>
            <c:v>temp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SOLID!$A$34:$A$35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SOLID!$B$34:$B$35</c:f>
              <c:numCache>
                <c:formatCode>0.0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EF2-4C72-9FE2-1C7299990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SOLID!$F$11:$AL$11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5EF2-4C72-9FE2-1C7299990D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SOLID!$F$12:$AL$12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EF2-4C72-9FE2-1C7299990D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SOLID!$F$13:$AL$13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EF2-4C72-9FE2-1C7299990D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SOLID!$F$16:$AL$16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EF2-4C72-9FE2-1C7299990D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SOLID!$F$17:$AL$17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EF2-4C72-9FE2-1C7299990D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SOLID!$F$18:$AL$18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EF2-4C72-9FE2-1C7299990DB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SOLID!$F$19:$AL$19</c15:sqref>
                        </c15:formulaRef>
                      </c:ext>
                    </c:extLst>
                    <c:numCache>
                      <c:formatCode>0.0E+00</c:formatCode>
                      <c:ptCount val="33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EF2-4C72-9FE2-1C7299990DB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SOLID!$F$20:$AL$20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EF2-4C72-9FE2-1C7299990DB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SOLID!$F$21:$AL$21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EF2-4C72-9FE2-1C7299990DB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SOLID!$F$22:$AL$22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EF2-4C72-9FE2-1C7299990DB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SOLID!$F$23:$AL$23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EF2-4C72-9FE2-1C7299990DB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SOLID!$F$24:$AL$24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EF2-4C72-9FE2-1C7299990DB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SOLID!$F$25:$AL$25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EF2-4C72-9FE2-1C7299990DB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SOLID!$F$26:$AL$26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EF2-4C72-9FE2-1C7299990DB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SOLID!$F$27:$AL$27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EF2-4C72-9FE2-1C7299990DB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SOLID!$F$28:$AL$28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EF2-4C72-9FE2-1C7299990DB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SOLID!$F$29:$AL$29</c15:sqref>
                        </c15:formulaRef>
                      </c:ext>
                    </c:extLst>
                    <c:numCache>
                      <c:formatCode>0.0E+00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EF2-4C72-9FE2-1C7299990DB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SOLID!$F$30:$AL$30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EF2-4C72-9FE2-1C7299990DB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SOLID!$F$31:$AL$31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EF2-4C72-9FE2-1C7299990DB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SOLID!$F$3:$AL$3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SOLID!$F$32:$AL$32</c15:sqref>
                        </c15:formulaRef>
                      </c:ext>
                    </c:extLst>
                    <c:numCache>
                      <c:formatCode>General</c:formatCode>
                      <c:ptCount val="3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EF2-4C72-9FE2-1C7299990DB3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202413744247624"/>
          <c:y val="0.10656915812117258"/>
          <c:w val="0.76710651140013519"/>
          <c:h val="0.7637609165254019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EVALUATION!$B$101:$CP$101</c:f>
              <c:numCache>
                <c:formatCode>0</c:formatCode>
                <c:ptCount val="93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EEDA-4C12-8154-2CB8D6548BBE}"/>
            </c:ext>
          </c:extLst>
        </c:ser>
        <c:ser>
          <c:idx val="43"/>
          <c:order val="43"/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EVALUATION!$B$144:$CP$144</c:f>
              <c:numCache>
                <c:formatCode>0</c:formatCode>
                <c:ptCount val="93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EEDA-4C12-8154-2CB8D6548BB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EVALUATION!$B$145:$CP$145</c:f>
              <c:numCache>
                <c:formatCode>0</c:formatCode>
                <c:ptCount val="93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EEDA-4C12-8154-2CB8D6548BBE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3031-40B8-95B0-11E9890D9296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31-40B8-95B0-11E9890D9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EEDA-4C12-8154-2CB8D6548BBE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A-4C12-8154-2CB8D6548BBE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A-4C12-8154-2CB8D6548BBE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A-4C12-8154-2CB8D6548BBE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EDA-4C12-8154-2CB8D6548BBE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A-4C12-8154-2CB8D6548BBE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A-4C12-8154-2CB8D6548BBE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EDA-4C12-8154-2CB8D6548BBE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A-4C12-8154-2CB8D6548BB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A-4C12-8154-2CB8D6548BB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A-4C12-8154-2CB8D6548BB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A-4C12-8154-2CB8D6548BB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A-4C12-8154-2CB8D6548BB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A-4C12-8154-2CB8D6548BB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A-4C12-8154-2CB8D6548BB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A-4C12-8154-2CB8D6548BB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A-4C12-8154-2CB8D6548BB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A-4C12-8154-2CB8D6548BB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A-4C12-8154-2CB8D6548BB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A-4C12-8154-2CB8D6548BB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A-4C12-8154-2CB8D6548BB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A-4C12-8154-2CB8D6548BB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A-4C12-8154-2CB8D6548BB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A-4C12-8154-2CB8D6548BB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A-4C12-8154-2CB8D6548BB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A-4C12-8154-2CB8D6548BB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A-4C12-8154-2CB8D6548BB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A-4C12-8154-2CB8D6548BB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A-4C12-8154-2CB8D6548BB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A-4C12-8154-2CB8D6548BB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A-4C12-8154-2CB8D6548BBE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A-4C12-8154-2CB8D6548BBE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A-4C12-8154-2CB8D6548BBE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A-4C12-8154-2CB8D6548BBE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A-4C12-8154-2CB8D6548BBE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A-4C12-8154-2CB8D6548BBE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A-4C12-8154-2CB8D6548BBE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A-4C12-8154-2CB8D6548BBE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A-4C12-8154-2CB8D6548BB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A-4C12-8154-2CB8D6548BB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A-4C12-8154-2CB8D6548BB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A-4C12-8154-2CB8D6548BB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A-4C12-8154-2CB8D6548BB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A-4C12-8154-2CB8D6548BB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A-4C12-8154-2CB8D6548BB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A-4C12-8154-2CB8D6548BB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A-4C12-8154-2CB8D6548BB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A-4C12-8154-2CB8D6548BB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A-4C12-8154-2CB8D6548BB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A-4C12-8154-2CB8D6548BB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A-4C12-8154-2CB8D6548BB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84189563843559"/>
          <c:y val="0.11518057604277038"/>
          <c:w val="0.8018414957411385"/>
          <c:h val="0.75751327917783362"/>
        </c:manualLayout>
      </c:layout>
      <c:scatterChart>
        <c:scatterStyle val="smoothMarker"/>
        <c:varyColors val="0"/>
        <c:ser>
          <c:idx val="1"/>
          <c:order val="1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EVALUATION!$B$102:$CP$102</c:f>
              <c:numCache>
                <c:formatCode>0</c:formatCode>
                <c:ptCount val="93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22D-49B9-B930-702E037C4575}"/>
            </c:ext>
          </c:extLst>
        </c:ser>
        <c:ser>
          <c:idx val="40"/>
          <c:order val="40"/>
          <c:spPr>
            <a:ln w="19050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EVALUATION!$B$141:$CP$141</c:f>
              <c:numCache>
                <c:formatCode>0</c:formatCode>
                <c:ptCount val="93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22D-49B9-B930-702E037C4575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2D-49B9-B930-702E037C4575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2D-49B9-B930-702E037C4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22D-49B9-B930-702E037C457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2D-49B9-B930-702E037C4575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2D-49B9-B930-702E037C457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2D-49B9-B930-702E037C4575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22D-49B9-B930-702E037C457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22D-49B9-B930-702E037C457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22D-49B9-B930-702E037C457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22D-49B9-B930-702E037C457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22D-49B9-B930-702E037C457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22D-49B9-B930-702E037C457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22D-49B9-B930-702E037C457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22D-49B9-B930-702E037C4575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22D-49B9-B930-702E037C4575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22D-49B9-B930-702E037C4575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22D-49B9-B930-702E037C4575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22D-49B9-B930-702E037C4575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22D-49B9-B930-702E037C4575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22D-49B9-B930-702E037C4575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22D-49B9-B930-702E037C4575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22D-49B9-B930-702E037C4575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22D-49B9-B930-702E037C4575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22D-49B9-B930-702E037C4575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22D-49B9-B930-702E037C4575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22D-49B9-B930-702E037C4575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22D-49B9-B930-702E037C4575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22D-49B9-B930-702E037C4575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22D-49B9-B930-702E037C4575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22D-49B9-B930-702E037C4575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22D-49B9-B930-702E037C4575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22D-49B9-B930-702E037C4575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22D-49B9-B930-702E037C4575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22D-49B9-B930-702E037C4575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22D-49B9-B930-702E037C4575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22D-49B9-B930-702E037C4575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22D-49B9-B930-702E037C4575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22D-49B9-B930-702E037C4575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22D-49B9-B930-702E037C4575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22D-49B9-B930-702E037C4575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22D-49B9-B930-702E037C4575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22D-49B9-B930-702E037C4575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22D-49B9-B930-702E037C4575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22D-49B9-B930-702E037C4575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22D-49B9-B930-702E037C4575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22D-49B9-B930-702E037C4575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22D-49B9-B930-702E037C4575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22D-49B9-B930-702E037C4575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22D-49B9-B930-702E037C4575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22D-49B9-B930-702E037C4575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222D-49B9-B930-702E037C4575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22D-49B9-B930-702E037C4575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22D-49B9-B930-702E037C4575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22D-49B9-B930-702E037C4575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5"/>
          <c:order val="5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EVALUATION!$B$106:$CP$106</c:f>
              <c:numCache>
                <c:formatCode>0</c:formatCode>
                <c:ptCount val="93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F3C-4648-9C26-0B0A07188C01}"/>
            </c:ext>
          </c:extLst>
        </c:ser>
        <c:ser>
          <c:idx val="45"/>
          <c:order val="45"/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EVALUATION!$B$146:$CP$146</c:f>
              <c:numCache>
                <c:formatCode>0</c:formatCode>
                <c:ptCount val="93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EF3C-4648-9C26-0B0A07188C01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F3C-4648-9C26-0B0A07188C01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3C-4648-9C26-0B0A07188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EF3C-4648-9C26-0B0A07188C01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F3C-4648-9C26-0B0A07188C0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F3C-4648-9C26-0B0A07188C01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F3C-4648-9C26-0B0A07188C0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F3C-4648-9C26-0B0A07188C0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F3C-4648-9C26-0B0A07188C0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F3C-4648-9C26-0B0A07188C0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F3C-4648-9C26-0B0A07188C0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F3C-4648-9C26-0B0A07188C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F3C-4648-9C26-0B0A07188C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F3C-4648-9C26-0B0A07188C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F3C-4648-9C26-0B0A07188C01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F3C-4648-9C26-0B0A07188C01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F3C-4648-9C26-0B0A07188C0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F3C-4648-9C26-0B0A07188C0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F3C-4648-9C26-0B0A07188C0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F3C-4648-9C26-0B0A07188C0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F3C-4648-9C26-0B0A07188C0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F3C-4648-9C26-0B0A07188C0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F3C-4648-9C26-0B0A07188C0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F3C-4648-9C26-0B0A07188C0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F3C-4648-9C26-0B0A07188C0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F3C-4648-9C26-0B0A07188C0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F3C-4648-9C26-0B0A07188C0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F3C-4648-9C26-0B0A07188C0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F3C-4648-9C26-0B0A07188C0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F3C-4648-9C26-0B0A07188C0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F3C-4648-9C26-0B0A07188C01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F3C-4648-9C26-0B0A07188C01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F3C-4648-9C26-0B0A07188C01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F3C-4648-9C26-0B0A07188C01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F3C-4648-9C26-0B0A07188C01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F3C-4648-9C26-0B0A07188C01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F3C-4648-9C26-0B0A07188C01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F3C-4648-9C26-0B0A07188C01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F3C-4648-9C26-0B0A07188C01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F3C-4648-9C26-0B0A07188C01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F3C-4648-9C26-0B0A07188C01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C-4648-9C26-0B0A07188C0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F3C-4648-9C26-0B0A07188C0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F3C-4648-9C26-0B0A07188C0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F3C-4648-9C26-0B0A07188C0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F3C-4648-9C26-0B0A07188C0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F3C-4648-9C26-0B0A07188C0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F3C-4648-9C26-0B0A07188C0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F3C-4648-9C26-0B0A07188C0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F3C-4648-9C26-0B0A07188C0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F3C-4648-9C26-0B0A07188C0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F3C-4648-9C26-0B0A07188C01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F3C-4648-9C26-0B0A07188C0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F3C-4648-9C26-0B0A07188C0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F3C-4648-9C26-0B0A07188C0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Ga2Se3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7"/>
          <c:order val="7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EVALUATION!$B$108:$CP$108</c:f>
              <c:numCache>
                <c:formatCode>0</c:formatCode>
                <c:ptCount val="93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E9B-4A24-AF6E-BAFF55F304A7}"/>
            </c:ext>
          </c:extLst>
        </c:ser>
        <c:ser>
          <c:idx val="41"/>
          <c:order val="41"/>
          <c:spPr>
            <a:ln w="19050" cap="rnd">
              <a:solidFill>
                <a:srgbClr val="7030A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EVALUATION!$B$142:$CP$142</c:f>
              <c:numCache>
                <c:formatCode>0</c:formatCode>
                <c:ptCount val="93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E9B-4A24-AF6E-BAFF55F304A7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E9B-4A24-AF6E-BAFF55F304A7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E9B-4A24-AF6E-BAFF55F30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DE9B-4A24-AF6E-BAFF55F304A7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E9B-4A24-AF6E-BAFF55F304A7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E9B-4A24-AF6E-BAFF55F304A7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E9B-4A24-AF6E-BAFF55F304A7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E9B-4A24-AF6E-BAFF55F304A7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E9B-4A24-AF6E-BAFF55F304A7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E9B-4A24-AF6E-BAFF55F304A7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E9B-4A24-AF6E-BAFF55F304A7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E9B-4A24-AF6E-BAFF55F304A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E9B-4A24-AF6E-BAFF55F304A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E9B-4A24-AF6E-BAFF55F304A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E9B-4A24-AF6E-BAFF55F304A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E9B-4A24-AF6E-BAFF55F304A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E9B-4A24-AF6E-BAFF55F304A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E9B-4A24-AF6E-BAFF55F304A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E9B-4A24-AF6E-BAFF55F304A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E9B-4A24-AF6E-BAFF55F304A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E9B-4A24-AF6E-BAFF55F304A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E9B-4A24-AF6E-BAFF55F304A7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E9B-4A24-AF6E-BAFF55F304A7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E9B-4A24-AF6E-BAFF55F304A7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E9B-4A24-AF6E-BAFF55F304A7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E9B-4A24-AF6E-BAFF55F304A7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E9B-4A24-AF6E-BAFF55F304A7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E9B-4A24-AF6E-BAFF55F304A7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E9B-4A24-AF6E-BAFF55F304A7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E9B-4A24-AF6E-BAFF55F304A7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E9B-4A24-AF6E-BAFF55F304A7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E9B-4A24-AF6E-BAFF55F304A7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E9B-4A24-AF6E-BAFF55F304A7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E9B-4A24-AF6E-BAFF55F304A7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E9B-4A24-AF6E-BAFF55F304A7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E9B-4A24-AF6E-BAFF55F304A7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E9B-4A24-AF6E-BAFF55F304A7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E9B-4A24-AF6E-BAFF55F304A7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E9B-4A24-AF6E-BAFF55F304A7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E9B-4A24-AF6E-BAFF55F304A7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E9B-4A24-AF6E-BAFF55F304A7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E9B-4A24-AF6E-BAFF55F304A7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E9B-4A24-AF6E-BAFF55F304A7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E9B-4A24-AF6E-BAFF55F304A7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E9B-4A24-AF6E-BAFF55F304A7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E9B-4A24-AF6E-BAFF55F304A7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E9B-4A24-AF6E-BAFF55F304A7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E9B-4A24-AF6E-BAFF55F304A7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E9B-4A24-AF6E-BAFF55F304A7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E9B-4A24-AF6E-BAFF55F304A7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E9B-4A24-AF6E-BAFF55F304A7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E9B-4A24-AF6E-BAFF55F304A7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E9B-4A24-AF6E-BAFF55F304A7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E9B-4A24-AF6E-BAFF55F304A7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E9B-4A24-AF6E-BAFF55F304A7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GeSe2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887597466096567"/>
          <c:y val="9.7871135220072E-2"/>
          <c:w val="0.76019913337979017"/>
          <c:h val="0.78304241404704567"/>
        </c:manualLayout>
      </c:layout>
      <c:scatterChart>
        <c:scatterStyle val="smoothMarker"/>
        <c:varyColors val="0"/>
        <c:ser>
          <c:idx val="6"/>
          <c:order val="6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EVALUATION!$B$107:$CP$107</c:f>
              <c:numCache>
                <c:formatCode>0</c:formatCode>
                <c:ptCount val="93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DFD-4AA5-9149-6FDDA7C4FDBD}"/>
            </c:ext>
          </c:extLst>
        </c:ser>
        <c:ser>
          <c:idx val="36"/>
          <c:order val="36"/>
          <c:spPr>
            <a:ln w="19050" cap="rnd">
              <a:solidFill>
                <a:schemeClr val="accent4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EVALUATION!$B$137:$CP$137</c:f>
              <c:numCache>
                <c:formatCode>0</c:formatCode>
                <c:ptCount val="93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3DFD-4AA5-9149-6FDDA7C4FDBD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FD-4AA5-9149-6FDDA7C4FDBD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DFD-4AA5-9149-6FDDA7C4F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DFD-4AA5-9149-6FDDA7C4FDBD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DFD-4AA5-9149-6FDDA7C4FDBD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DFD-4AA5-9149-6FDDA7C4FDBD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DFD-4AA5-9149-6FDDA7C4FDBD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DFD-4AA5-9149-6FDDA7C4FDBD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DFD-4AA5-9149-6FDDA7C4FDBD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DFD-4AA5-9149-6FDDA7C4FDBD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DFD-4AA5-9149-6FDDA7C4FDBD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DFD-4AA5-9149-6FDDA7C4FDB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DFD-4AA5-9149-6FDDA7C4FDB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DFD-4AA5-9149-6FDDA7C4FDB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DFD-4AA5-9149-6FDDA7C4FDB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DFD-4AA5-9149-6FDDA7C4FDB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DFD-4AA5-9149-6FDDA7C4FDB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DFD-4AA5-9149-6FDDA7C4FDB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DFD-4AA5-9149-6FDDA7C4FDB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DFD-4AA5-9149-6FDDA7C4FDB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DFD-4AA5-9149-6FDDA7C4FDB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DFD-4AA5-9149-6FDDA7C4FDBD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DFD-4AA5-9149-6FDDA7C4FDBD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DFD-4AA5-9149-6FDDA7C4FDBD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DFD-4AA5-9149-6FDDA7C4FDBD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DFD-4AA5-9149-6FDDA7C4FDBD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DFD-4AA5-9149-6FDDA7C4FDBD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DFD-4AA5-9149-6FDDA7C4FDBD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DFD-4AA5-9149-6FDDA7C4FDBD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DFD-4AA5-9149-6FDDA7C4FDBD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FD-4AA5-9149-6FDDA7C4FDBD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DFD-4AA5-9149-6FDDA7C4FDBD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DFD-4AA5-9149-6FDDA7C4FDBD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DFD-4AA5-9149-6FDDA7C4FDBD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DFD-4AA5-9149-6FDDA7C4FDBD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DFD-4AA5-9149-6FDDA7C4FDBD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DFD-4AA5-9149-6FDDA7C4FDBD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DFD-4AA5-9149-6FDDA7C4FDBD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DFD-4AA5-9149-6FDDA7C4FDBD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DFD-4AA5-9149-6FDDA7C4FDBD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DFD-4AA5-9149-6FDDA7C4FDB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FD-4AA5-9149-6FDDA7C4FDB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DFD-4AA5-9149-6FDDA7C4FDB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DFD-4AA5-9149-6FDDA7C4FDB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DFD-4AA5-9149-6FDDA7C4FDBD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DFD-4AA5-9149-6FDDA7C4FDB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DFD-4AA5-9149-6FDDA7C4FDB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DFD-4AA5-9149-6FDDA7C4FDB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DFD-4AA5-9149-6FDDA7C4FDB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DFD-4AA5-9149-6FDDA7C4FDB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DFD-4AA5-9149-6FDDA7C4FDB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DFD-4AA5-9149-6FDDA7C4FDB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FD-4AA5-9149-6FDDA7C4FDB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DFD-4AA5-9149-6FDDA7C4FDB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DFD-4AA5-9149-6FDDA7C4FDB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5"/>
          <c:min val="-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</a:t>
            </a:r>
            <a:endParaRPr lang="ru-RU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875847192283608"/>
          <c:y val="0.11833128473832157"/>
          <c:w val="0.80525792780751304"/>
          <c:h val="0.75475652832597984"/>
        </c:manualLayout>
      </c:layout>
      <c:scatterChart>
        <c:scatterStyle val="smoothMarker"/>
        <c:varyColors val="0"/>
        <c:ser>
          <c:idx val="2"/>
          <c:order val="2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EVALUATION!$B$103:$CP$103</c:f>
              <c:numCache>
                <c:formatCode>0</c:formatCode>
                <c:ptCount val="93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D00-4F32-9B34-EE6D6D5BBC23}"/>
            </c:ext>
          </c:extLst>
        </c:ser>
        <c:ser>
          <c:idx val="50"/>
          <c:order val="50"/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EVALUATION!$B$151:$CP$151</c:f>
              <c:numCache>
                <c:formatCode>0</c:formatCode>
                <c:ptCount val="93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D00-4F32-9B34-EE6D6D5BBC23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00-4F32-9B34-EE6D6D5BBC23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00-4F32-9B34-EE6D6D5BB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2D00-4F32-9B34-EE6D6D5BBC23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00-4F32-9B34-EE6D6D5BBC23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D00-4F32-9B34-EE6D6D5BBC23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D00-4F32-9B34-EE6D6D5BBC23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D00-4F32-9B34-EE6D6D5BBC23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D00-4F32-9B34-EE6D6D5BBC23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D00-4F32-9B34-EE6D6D5BBC23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EVALUATION!$B$109:$CP$109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2D00-4F32-9B34-EE6D6D5BBC23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2D00-4F32-9B34-EE6D6D5BBC2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2D00-4F32-9B34-EE6D6D5BBC2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2D00-4F32-9B34-EE6D6D5BBC2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D00-4F32-9B34-EE6D6D5BBC2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D00-4F32-9B34-EE6D6D5BBC2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2D00-4F32-9B34-EE6D6D5BBC23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2D00-4F32-9B34-EE6D6D5BBC23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2D00-4F32-9B34-EE6D6D5BBC23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2D00-4F32-9B34-EE6D6D5BBC23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2D00-4F32-9B34-EE6D6D5BBC23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2D00-4F32-9B34-EE6D6D5BBC23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2D00-4F32-9B34-EE6D6D5BBC23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2D00-4F32-9B34-EE6D6D5BBC23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2D00-4F32-9B34-EE6D6D5BBC23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2D00-4F32-9B34-EE6D6D5BBC23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2D00-4F32-9B34-EE6D6D5BBC23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2D00-4F32-9B34-EE6D6D5BBC23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2D00-4F32-9B34-EE6D6D5BBC23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2D00-4F32-9B34-EE6D6D5BBC23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2D00-4F32-9B34-EE6D6D5BBC23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2D00-4F32-9B34-EE6D6D5BBC23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2D00-4F32-9B34-EE6D6D5BBC23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2D00-4F32-9B34-EE6D6D5BBC23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2D00-4F32-9B34-EE6D6D5BBC23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2D00-4F32-9B34-EE6D6D5BBC23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2D00-4F32-9B34-EE6D6D5BBC23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2D00-4F32-9B34-EE6D6D5BBC23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2D00-4F32-9B34-EE6D6D5BBC23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2D00-4F32-9B34-EE6D6D5BBC23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2D00-4F32-9B34-EE6D6D5BBC23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2D00-4F32-9B34-EE6D6D5BBC23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2D00-4F32-9B34-EE6D6D5BBC23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2D00-4F32-9B34-EE6D6D5BBC23}"/>
                  </c:ext>
                </c:extLst>
              </c15:ser>
            </c15:filteredScatterSeries>
            <c15:filteredScatterSeries>
              <c15:ser>
                <c:idx val="42"/>
                <c:order val="42"/>
                <c:spPr>
                  <a:ln w="19050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EVALUATION!$B$143:$CP$143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2D00-4F32-9B34-EE6D6D5BBC23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rgbClr val="00B05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2D00-4F32-9B34-EE6D6D5BBC23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2D00-4F32-9B34-EE6D6D5BBC23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rgbClr val="00B05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D00-4F32-9B34-EE6D6D5BBC23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2D00-4F32-9B34-EE6D6D5BBC23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2D00-4F32-9B34-EE6D6D5BBC23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2D00-4F32-9B34-EE6D6D5BBC23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2D00-4F32-9B34-EE6D6D5BBC23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2D00-4F32-9B34-EE6D6D5BBC23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2D00-4F32-9B34-EE6D6D5BBC23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2D00-4F32-9B34-EE6D6D5BBC23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Ga2Se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687748068614962"/>
          <c:y val="0.10453964061718739"/>
          <c:w val="0.7632155780506652"/>
          <c:h val="0.77627501851686642"/>
        </c:manualLayout>
      </c:layout>
      <c:scatterChart>
        <c:scatterStyle val="smoothMarker"/>
        <c:varyColors val="0"/>
        <c:ser>
          <c:idx val="8"/>
          <c:order val="8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EVALUATION!$B$109:$CP$109</c:f>
              <c:numCache>
                <c:formatCode>0</c:formatCode>
                <c:ptCount val="93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597C-45C9-BC91-4C107F9A8B92}"/>
            </c:ext>
          </c:extLst>
        </c:ser>
        <c:ser>
          <c:idx val="42"/>
          <c:order val="42"/>
          <c:spPr>
            <a:ln w="19050" cap="rnd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EVALUATION!$B$100:$CP$100</c:f>
              <c:numCache>
                <c:formatCode>0</c:formatCode>
                <c:ptCount val="93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EVALUATION!$B$143:$CP$143</c:f>
              <c:numCache>
                <c:formatCode>0</c:formatCode>
                <c:ptCount val="93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597C-45C9-BC91-4C107F9A8B92}"/>
            </c:ext>
          </c:extLst>
        </c:ser>
        <c:ser>
          <c:idx val="54"/>
          <c:order val="54"/>
          <c:tx>
            <c:v>temp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97C-45C9-BC91-4C107F9A8B92}"/>
              </c:ext>
            </c:extLst>
          </c:dPt>
          <c:xVal>
            <c:numRef>
              <c:f>EVALUATION!$A$98:$A$99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EVALUATION!$B$98:$B$99</c:f>
              <c:numCache>
                <c:formatCode>0</c:formatCode>
                <c:ptCount val="2"/>
                <c:pt idx="0">
                  <c:v>-193.00064356435647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97C-45C9-BC91-4C107F9A8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EVALUATION!$B$101:$CP$101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597C-45C9-BC91-4C107F9A8B92}"/>
                  </c:ext>
                </c:extLst>
              </c15:ser>
            </c15:filteredScatterSeries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EVALUATION!$B$102:$CP$102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97C-45C9-BC91-4C107F9A8B92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EVALUATION!$B$103:$CP$103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97C-45C9-BC91-4C107F9A8B92}"/>
                  </c:ext>
                </c:extLst>
              </c15:ser>
            </c15:filteredScatterSeries>
            <c15:filteredScatterSeries>
              <c15:ser>
                <c:idx val="3"/>
                <c:order val="3"/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EVALUATION!$B$104:$CP$104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97C-45C9-BC91-4C107F9A8B92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EVALUATION!$B$105:$CP$105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97C-45C9-BC91-4C107F9A8B92}"/>
                  </c:ext>
                </c:extLst>
              </c15:ser>
            </c15:filteredScatterSeries>
            <c15:filteredScatterSeries>
              <c15:ser>
                <c:idx val="5"/>
                <c:order val="5"/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EVALUATION!$B$106:$CP$106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97C-45C9-BC91-4C107F9A8B92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EVALUATION!$B$107:$CP$107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597C-45C9-BC91-4C107F9A8B92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rgbClr val="7030A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EVALUATION!$B$108:$CP$108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97C-45C9-BC91-4C107F9A8B92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EVALUATION!$B$110:$CP$110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97C-45C9-BC91-4C107F9A8B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EVALUATION!$B$111:$CP$111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97C-45C9-BC91-4C107F9A8B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EVALUATION!$B$112:$CP$112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97C-45C9-BC91-4C107F9A8B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EVALUATION!$B$113:$CP$113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97C-45C9-BC91-4C107F9A8B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EVALUATION!$B$114:$CP$114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97C-45C9-BC91-4C107F9A8B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EVALUATION!$B$115:$CP$115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97C-45C9-BC91-4C107F9A8B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EVALUATION!$B$116:$CP$116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97C-45C9-BC91-4C107F9A8B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EVALUATION!$B$117:$CP$117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97C-45C9-BC91-4C107F9A8B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EVALUATION!$B$118:$CP$118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97C-45C9-BC91-4C107F9A8B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EVALUATION!$B$119:$CP$119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97C-45C9-BC91-4C107F9A8B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EVALUATION!$B$120:$CP$120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97C-45C9-BC91-4C107F9A8B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EVALUATION!$B$121:$CP$121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97C-45C9-BC91-4C107F9A8B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EVALUATION!$B$122:$CP$122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97C-45C9-BC91-4C107F9A8B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EVALUATION!$B$123:$CP$123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97C-45C9-BC91-4C107F9A8B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EVALUATION!$B$124:$CP$124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97C-45C9-BC91-4C107F9A8B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EVALUATION!$B$125:$CP$125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97C-45C9-BC91-4C107F9A8B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EVALUATION!$B$126:$CP$126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97C-45C9-BC91-4C107F9A8B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EVALUATION!$B$127:$CP$127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97C-45C9-BC91-4C107F9A8B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EVALUATION!$B$128:$CP$128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97C-45C9-BC91-4C107F9A8B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EVALUATION!$B$129:$CP$129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97C-45C9-BC91-4C107F9A8B92}"/>
                  </c:ext>
                </c:extLst>
              </c15:ser>
            </c15:filteredScatterSeries>
            <c15:filteredScatterSeries>
              <c15:ser>
                <c:idx val="29"/>
                <c:order val="29"/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EVALUATION!$B$130:$CP$130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97C-45C9-BC91-4C107F9A8B92}"/>
                  </c:ext>
                </c:extLst>
              </c15:ser>
            </c15:filteredScatterSeries>
            <c15:filteredScatterSeries>
              <c15:ser>
                <c:idx val="30"/>
                <c:order val="30"/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EVALUATION!$B$131:$CP$131</c15:sqref>
                        </c15:formulaRef>
                      </c:ext>
                    </c:extLst>
                    <c:numCache>
                      <c:formatCode>0</c:formatCode>
                      <c:ptCount val="93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97C-45C9-BC91-4C107F9A8B92}"/>
                  </c:ext>
                </c:extLst>
              </c15:ser>
            </c15:filteredScatterSeries>
            <c15:filteredScatterSeries>
              <c15:ser>
                <c:idx val="31"/>
                <c:order val="31"/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EVALUATION!$B$132:$CP$132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97C-45C9-BC91-4C107F9A8B92}"/>
                  </c:ext>
                </c:extLst>
              </c15:ser>
            </c15:filteredScatterSeries>
            <c15:filteredScatterSeries>
              <c15:ser>
                <c:idx val="32"/>
                <c:order val="32"/>
                <c:spPr>
                  <a:ln w="19050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EVALUATION!$B$133:$CP$133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97C-45C9-BC91-4C107F9A8B92}"/>
                  </c:ext>
                </c:extLst>
              </c15:ser>
            </c15:filteredScatterSeries>
            <c15:filteredScatterSeries>
              <c15:ser>
                <c:idx val="33"/>
                <c:order val="33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EVALUATION!$B$134:$CP$134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97C-45C9-BC91-4C107F9A8B92}"/>
                  </c:ext>
                </c:extLst>
              </c15:ser>
            </c15:filteredScatterSeries>
            <c15:filteredScatterSeries>
              <c15:ser>
                <c:idx val="34"/>
                <c:order val="34"/>
                <c:spPr>
                  <a:ln w="19050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EVALUATION!$B$135:$CP$135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97C-45C9-BC91-4C107F9A8B92}"/>
                  </c:ext>
                </c:extLst>
              </c15:ser>
            </c15:filteredScatterSeries>
            <c15:filteredScatterSeries>
              <c15:ser>
                <c:idx val="35"/>
                <c:order val="35"/>
                <c:spPr>
                  <a:ln w="19050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EVALUATION!$B$136:$CP$136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97C-45C9-BC91-4C107F9A8B92}"/>
                  </c:ext>
                </c:extLst>
              </c15:ser>
            </c15:filteredScatterSeries>
            <c15:filteredScatterSeries>
              <c15:ser>
                <c:idx val="36"/>
                <c:order val="36"/>
                <c:spPr>
                  <a:ln w="19050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EVALUATION!$B$137:$CP$137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97C-45C9-BC91-4C107F9A8B92}"/>
                  </c:ext>
                </c:extLst>
              </c15:ser>
            </c15:filteredScatterSeries>
            <c15:filteredScatterSeries>
              <c15:ser>
                <c:idx val="37"/>
                <c:order val="37"/>
                <c:spPr>
                  <a:ln w="19050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EVALUATION!$B$138:$CP$138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97C-45C9-BC91-4C107F9A8B92}"/>
                  </c:ext>
                </c:extLst>
              </c15:ser>
            </c15:filteredScatterSeries>
            <c15:filteredScatterSeries>
              <c15:ser>
                <c:idx val="38"/>
                <c:order val="38"/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EVALUATION!$B$139:$CP$139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97C-45C9-BC91-4C107F9A8B92}"/>
                  </c:ext>
                </c:extLst>
              </c15:ser>
            </c15:filteredScatterSeries>
            <c15:filteredScatterSeries>
              <c15:ser>
                <c:idx val="39"/>
                <c:order val="39"/>
                <c:spPr>
                  <a:ln w="19050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EVALUATION!$B$140:$CP$140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97C-45C9-BC91-4C107F9A8B9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spPr>
                  <a:ln w="19050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EVALUATION!$B$141:$CP$141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597C-45C9-BC91-4C107F9A8B9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spPr>
                  <a:ln w="19050" cap="rnd">
                    <a:solidFill>
                      <a:srgbClr val="7030A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EVALUATION!$B$142:$CP$142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97C-45C9-BC91-4C107F9A8B9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spPr>
                  <a:ln w="19050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EVALUATION!$B$144:$CP$144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97C-45C9-BC91-4C107F9A8B9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spPr>
                  <a:ln w="19050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EVALUATION!$B$145:$CP$145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97C-45C9-BC91-4C107F9A8B9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spPr>
                  <a:ln w="19050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EVALUATION!$B$146:$CP$146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97C-45C9-BC91-4C107F9A8B9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spPr>
                  <a:ln w="19050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EVALUATION!$B$147:$CP$147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97C-45C9-BC91-4C107F9A8B9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spPr>
                  <a:ln w="19050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EVALUATION!$B$148:$CP$148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97C-45C9-BC91-4C107F9A8B9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spPr>
                  <a:ln w="19050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EVALUATION!$B$149:$CP$149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97C-45C9-BC91-4C107F9A8B9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spPr>
                  <a:ln w="19050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EVALUATION!$B$150:$CP$150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97C-45C9-BC91-4C107F9A8B9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spPr>
                  <a:ln w="19050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EVALUATION!$B$151:$CP$151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97C-45C9-BC91-4C107F9A8B9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spPr>
                  <a:ln w="19050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EVALUATION!$B$152:$CP$152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97C-45C9-BC91-4C107F9A8B9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spPr>
                  <a:ln w="19050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EVALUATION!$B$153:$CP$153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97C-45C9-BC91-4C107F9A8B9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spPr>
                  <a:ln w="19050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EVALUATION!$B$100:$CP$100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EVALUATION!$B$154:$CP$154</c15:sqref>
                        </c15:formulaRef>
                      </c:ext>
                    </c:extLst>
                    <c:numCache>
                      <c:formatCode>0</c:formatCode>
                      <c:ptCount val="93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97C-45C9-BC91-4C107F9A8B9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50</xdr:col>
      <xdr:colOff>369794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41545</xdr:colOff>
      <xdr:row>114</xdr:row>
      <xdr:rowOff>266407</xdr:rowOff>
    </xdr:from>
    <xdr:to>
      <xdr:col>49</xdr:col>
      <xdr:colOff>791439</xdr:colOff>
      <xdr:row>133</xdr:row>
      <xdr:rowOff>99325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78441</xdr:colOff>
      <xdr:row>18</xdr:row>
      <xdr:rowOff>33617</xdr:rowOff>
    </xdr:from>
    <xdr:to>
      <xdr:col>49</xdr:col>
      <xdr:colOff>828335</xdr:colOff>
      <xdr:row>36</xdr:row>
      <xdr:rowOff>135476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46</xdr:col>
      <xdr:colOff>485775</xdr:colOff>
      <xdr:row>47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22492</xdr:colOff>
      <xdr:row>1</xdr:row>
      <xdr:rowOff>3523</xdr:rowOff>
    </xdr:from>
    <xdr:to>
      <xdr:col>49</xdr:col>
      <xdr:colOff>876300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19050</xdr:colOff>
      <xdr:row>17</xdr:row>
      <xdr:rowOff>219075</xdr:rowOff>
    </xdr:from>
    <xdr:to>
      <xdr:col>49</xdr:col>
      <xdr:colOff>800100</xdr:colOff>
      <xdr:row>34</xdr:row>
      <xdr:rowOff>61574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37</xdr:col>
      <xdr:colOff>857249</xdr:colOff>
      <xdr:row>115</xdr:row>
      <xdr:rowOff>238125</xdr:rowOff>
    </xdr:from>
    <xdr:to>
      <xdr:col>50</xdr:col>
      <xdr:colOff>9974</xdr:colOff>
      <xdr:row>134</xdr:row>
      <xdr:rowOff>113625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7385</xdr:colOff>
      <xdr:row>38</xdr:row>
      <xdr:rowOff>0</xdr:rowOff>
    </xdr:from>
    <xdr:to>
      <xdr:col>44</xdr:col>
      <xdr:colOff>201706</xdr:colOff>
      <xdr:row>47</xdr:row>
      <xdr:rowOff>17318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22493</xdr:colOff>
      <xdr:row>0</xdr:row>
      <xdr:rowOff>1108423</xdr:rowOff>
    </xdr:from>
    <xdr:to>
      <xdr:col>49</xdr:col>
      <xdr:colOff>717177</xdr:colOff>
      <xdr:row>17</xdr:row>
      <xdr:rowOff>103197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75163</xdr:colOff>
      <xdr:row>115</xdr:row>
      <xdr:rowOff>19877</xdr:rowOff>
    </xdr:from>
    <xdr:to>
      <xdr:col>49</xdr:col>
      <xdr:colOff>825057</xdr:colOff>
      <xdr:row>133</xdr:row>
      <xdr:rowOff>121736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56029</xdr:colOff>
      <xdr:row>17</xdr:row>
      <xdr:rowOff>190501</xdr:rowOff>
    </xdr:from>
    <xdr:to>
      <xdr:col>49</xdr:col>
      <xdr:colOff>806823</xdr:colOff>
      <xdr:row>35</xdr:row>
      <xdr:rowOff>3304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0</xdr:row>
          <xdr:rowOff>47625</xdr:rowOff>
        </xdr:from>
        <xdr:to>
          <xdr:col>94</xdr:col>
          <xdr:colOff>647700</xdr:colOff>
          <xdr:row>0</xdr:row>
          <xdr:rowOff>381000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94</xdr:col>
      <xdr:colOff>66675</xdr:colOff>
      <xdr:row>99</xdr:row>
      <xdr:rowOff>37232</xdr:rowOff>
    </xdr:from>
    <xdr:to>
      <xdr:col>97</xdr:col>
      <xdr:colOff>838201</xdr:colOff>
      <xdr:row>111</xdr:row>
      <xdr:rowOff>247650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98</xdr:col>
      <xdr:colOff>54348</xdr:colOff>
      <xdr:row>99</xdr:row>
      <xdr:rowOff>27454</xdr:rowOff>
    </xdr:from>
    <xdr:to>
      <xdr:col>101</xdr:col>
      <xdr:colOff>866775</xdr:colOff>
      <xdr:row>130</xdr:row>
      <xdr:rowOff>27454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102</xdr:col>
      <xdr:colOff>40342</xdr:colOff>
      <xdr:row>99</xdr:row>
      <xdr:rowOff>33618</xdr:rowOff>
    </xdr:from>
    <xdr:to>
      <xdr:col>105</xdr:col>
      <xdr:colOff>847725</xdr:colOff>
      <xdr:row>130</xdr:row>
      <xdr:rowOff>44824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94</xdr:col>
      <xdr:colOff>40342</xdr:colOff>
      <xdr:row>131</xdr:row>
      <xdr:rowOff>49306</xdr:rowOff>
    </xdr:from>
    <xdr:to>
      <xdr:col>98</xdr:col>
      <xdr:colOff>0</xdr:colOff>
      <xdr:row>145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97</xdr:col>
      <xdr:colOff>913440</xdr:colOff>
      <xdr:row>131</xdr:row>
      <xdr:rowOff>46104</xdr:rowOff>
    </xdr:from>
    <xdr:to>
      <xdr:col>101</xdr:col>
      <xdr:colOff>742950</xdr:colOff>
      <xdr:row>145</xdr:row>
      <xdr:rowOff>38100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102</xdr:col>
      <xdr:colOff>0</xdr:colOff>
      <xdr:row>131</xdr:row>
      <xdr:rowOff>0</xdr:rowOff>
    </xdr:from>
    <xdr:to>
      <xdr:col>105</xdr:col>
      <xdr:colOff>807383</xdr:colOff>
      <xdr:row>144</xdr:row>
      <xdr:rowOff>30256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94</xdr:col>
      <xdr:colOff>133350</xdr:colOff>
      <xdr:row>145</xdr:row>
      <xdr:rowOff>114300</xdr:rowOff>
    </xdr:from>
    <xdr:to>
      <xdr:col>98</xdr:col>
      <xdr:colOff>93008</xdr:colOff>
      <xdr:row>159</xdr:row>
      <xdr:rowOff>131669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1;&#1072;&#1073;&#1072;&#1093;/Work/&#1043;&#1088;&#1072;&#1092;&#1080;&#1082;&#108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Графики"/>
    </sheetNames>
    <sheetDataSet>
      <sheetData sheetId="0">
        <row r="1">
          <cell r="B1">
            <v>700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3"/>
  <sheetViews>
    <sheetView zoomScale="115" zoomScaleNormal="115" workbookViewId="0">
      <selection activeCell="D21" sqref="D21"/>
    </sheetView>
  </sheetViews>
  <sheetFormatPr defaultRowHeight="21" x14ac:dyDescent="0.35"/>
  <cols>
    <col min="1" max="1" width="22" customWidth="1"/>
  </cols>
  <sheetData>
    <row r="1" spans="1:7" ht="30" thickTop="1" thickBot="1" x14ac:dyDescent="0.4">
      <c r="A1" s="39" t="s">
        <v>34</v>
      </c>
      <c r="B1" s="62">
        <v>700</v>
      </c>
      <c r="D1" s="168" t="s">
        <v>24</v>
      </c>
      <c r="E1" s="169"/>
      <c r="F1" s="169"/>
      <c r="G1" s="169"/>
    </row>
    <row r="2" spans="1:7" ht="21.75" thickTop="1" x14ac:dyDescent="0.35">
      <c r="A2" t="s">
        <v>377</v>
      </c>
      <c r="B2">
        <f>[1]Данные!$B$1</f>
        <v>700</v>
      </c>
      <c r="D2" s="18" t="s">
        <v>1</v>
      </c>
      <c r="E2" s="18" t="s">
        <v>3</v>
      </c>
      <c r="F2" s="18" t="s">
        <v>4</v>
      </c>
      <c r="G2" s="18" t="s">
        <v>2</v>
      </c>
    </row>
    <row r="3" spans="1:7" ht="27.75" customHeight="1" x14ac:dyDescent="0.35">
      <c r="D3" s="62">
        <v>25</v>
      </c>
      <c r="E3" s="62">
        <v>20</v>
      </c>
      <c r="F3" s="62">
        <v>20</v>
      </c>
      <c r="G3" s="62">
        <v>60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BB149"/>
  <sheetViews>
    <sheetView topLeftCell="A82" zoomScale="85" zoomScaleNormal="85" zoomScaleSheetLayoutView="25" workbookViewId="0">
      <selection activeCell="AZ125" sqref="AZ125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50" hidden="1" customWidth="1"/>
    <col min="22" max="22" width="8.6328125" style="51" hidden="1" customWidth="1"/>
    <col min="23" max="23" width="8.6328125" style="161" hidden="1" customWidth="1"/>
    <col min="24" max="37" width="8.6328125" hidden="1" customWidth="1"/>
    <col min="38" max="38" width="8.6328125" customWidth="1"/>
  </cols>
  <sheetData>
    <row r="1" spans="1:54" ht="29.25" customHeight="1" thickBot="1" x14ac:dyDescent="0.4">
      <c r="A1" s="172" t="s">
        <v>32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  <c r="AL1" s="172"/>
      <c r="AM1" s="172"/>
      <c r="AN1" s="172"/>
      <c r="AO1" s="172"/>
      <c r="AP1" s="172"/>
      <c r="AQ1" s="172"/>
      <c r="AR1" s="172"/>
      <c r="AS1" s="172"/>
      <c r="AT1" s="172"/>
      <c r="AU1" s="172"/>
      <c r="AV1" s="172"/>
      <c r="AW1" s="172"/>
      <c r="AX1" s="172"/>
      <c r="AY1" s="172"/>
      <c r="AZ1" s="172"/>
      <c r="BA1" s="172"/>
      <c r="BB1" s="172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150"/>
      <c r="V2" s="151"/>
      <c r="W2" s="2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9"/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374.1</v>
      </c>
      <c r="L3" s="8">
        <v>394.3</v>
      </c>
      <c r="M3" s="8">
        <v>414.5</v>
      </c>
      <c r="N3" s="8">
        <v>434.7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147">
        <v>616.4</v>
      </c>
      <c r="U3" s="152">
        <v>636.6</v>
      </c>
      <c r="V3" s="153">
        <v>656.8</v>
      </c>
      <c r="W3" s="1">
        <v>677</v>
      </c>
      <c r="X3" s="148">
        <v>757.7</v>
      </c>
      <c r="Y3" s="8">
        <v>777.9</v>
      </c>
      <c r="Z3" s="8">
        <v>798.1</v>
      </c>
      <c r="AA3" s="8">
        <v>818.3</v>
      </c>
      <c r="AB3" s="9">
        <v>838.5</v>
      </c>
      <c r="AC3" s="9">
        <v>919.2</v>
      </c>
      <c r="AD3" s="9">
        <v>939.4</v>
      </c>
      <c r="AE3" s="9">
        <v>959.6</v>
      </c>
      <c r="AF3" s="9">
        <v>979.8</v>
      </c>
      <c r="AG3" s="9">
        <v>1000</v>
      </c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1</v>
      </c>
      <c r="D4" s="66">
        <f t="shared" si="0"/>
        <v>0</v>
      </c>
      <c r="E4" s="72" t="s">
        <v>58</v>
      </c>
      <c r="F4" s="12">
        <v>1.4885E-9</v>
      </c>
      <c r="G4" s="12">
        <v>2.6960999999999998E-9</v>
      </c>
      <c r="H4" s="12">
        <v>6.4316E-9</v>
      </c>
      <c r="I4" s="12">
        <v>7.9884000000000002E-9</v>
      </c>
      <c r="J4" s="12">
        <v>1.5031000000000001E-8</v>
      </c>
      <c r="K4" s="12">
        <v>1.9553E-8</v>
      </c>
      <c r="L4" s="12">
        <v>2.0324000000000001E-8</v>
      </c>
      <c r="M4" s="12">
        <v>1.1984999999999999E-8</v>
      </c>
      <c r="N4" s="12">
        <v>5.9535000000000002E-9</v>
      </c>
      <c r="O4" s="12">
        <v>2.8796000000000002E-29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/>
      <c r="AI4" s="12"/>
      <c r="AJ4" s="12"/>
      <c r="AK4" s="12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0</v>
      </c>
      <c r="C5" s="66">
        <f t="shared" si="0"/>
        <v>0</v>
      </c>
      <c r="D5" s="66">
        <f t="shared" si="0"/>
        <v>1</v>
      </c>
      <c r="E5" s="72" t="s">
        <v>57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1.3754E-36</v>
      </c>
      <c r="Y5" s="12">
        <v>1.2316E-27</v>
      </c>
      <c r="Z5" s="12">
        <v>9.9036E-20</v>
      </c>
      <c r="AA5" s="12">
        <v>3.6288E-12</v>
      </c>
      <c r="AB5" s="12">
        <v>8.1276000000000003E-7</v>
      </c>
      <c r="AC5" s="12">
        <v>4.5038000000000001E-4</v>
      </c>
      <c r="AD5" s="12">
        <v>3.2380000000000001E-4</v>
      </c>
      <c r="AE5" s="12">
        <v>1.5102E-4</v>
      </c>
      <c r="AF5" s="12">
        <v>7.6592000000000001E-5</v>
      </c>
      <c r="AG5" s="12">
        <v>3.7290999999999999E-5</v>
      </c>
      <c r="AH5" s="12"/>
      <c r="AI5" s="12"/>
      <c r="AJ5" s="12"/>
      <c r="AK5" s="12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1</v>
      </c>
      <c r="C6" s="66">
        <f t="shared" si="0"/>
        <v>0</v>
      </c>
      <c r="D6" s="66">
        <f t="shared" si="0"/>
        <v>0</v>
      </c>
      <c r="E6" s="72" t="s">
        <v>54</v>
      </c>
      <c r="F6" s="12">
        <v>0</v>
      </c>
      <c r="G6" s="12">
        <v>5.3673999999999998E-31</v>
      </c>
      <c r="H6" s="12">
        <v>8.7909999999999999E-23</v>
      </c>
      <c r="I6" s="12">
        <v>2.1659000000000001E-19</v>
      </c>
      <c r="J6" s="12">
        <v>1.5101999999999999E-17</v>
      </c>
      <c r="K6" s="12">
        <v>8.1085000000000003E-17</v>
      </c>
      <c r="L6" s="12">
        <v>3.2773E-16</v>
      </c>
      <c r="M6" s="12">
        <v>4.3337000000000002E-15</v>
      </c>
      <c r="N6" s="12">
        <v>9.7760999999999991E-13</v>
      </c>
      <c r="O6" s="12">
        <v>7.1665999999999996E-9</v>
      </c>
      <c r="P6" s="12">
        <v>9.619E-9</v>
      </c>
      <c r="Q6" s="12">
        <v>1.5732999999999999E-8</v>
      </c>
      <c r="R6" s="12">
        <v>1.0646999999999999E-8</v>
      </c>
      <c r="S6" s="12">
        <v>1.1835E-8</v>
      </c>
      <c r="T6" s="12">
        <v>1.2272000000000001E-8</v>
      </c>
      <c r="U6" s="12">
        <v>1.2878E-8</v>
      </c>
      <c r="V6" s="12">
        <v>1.4869000000000001E-8</v>
      </c>
      <c r="W6" s="12">
        <v>1.3575000000000001E-8</v>
      </c>
      <c r="X6" s="12">
        <v>3.4117E-8</v>
      </c>
      <c r="Y6" s="12">
        <v>3.8187000000000003E-8</v>
      </c>
      <c r="Z6" s="12">
        <v>2.5558E-8</v>
      </c>
      <c r="AA6" s="12">
        <v>1.9358E-8</v>
      </c>
      <c r="AB6" s="12">
        <v>1.9697E-23</v>
      </c>
      <c r="AC6" s="12">
        <v>1.8587000000000001E-20</v>
      </c>
      <c r="AD6" s="12">
        <v>6.0575999999999994E-20</v>
      </c>
      <c r="AE6" s="12">
        <v>1.5035000000000001E-19</v>
      </c>
      <c r="AF6" s="12">
        <v>3.0188E-19</v>
      </c>
      <c r="AG6" s="12">
        <v>5.5668999999999996E-19</v>
      </c>
      <c r="AH6" s="12"/>
      <c r="AI6" s="12"/>
      <c r="AJ6" s="12"/>
      <c r="AK6" s="12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2</v>
      </c>
      <c r="C7" s="66">
        <f t="shared" si="0"/>
        <v>1</v>
      </c>
      <c r="D7" s="66">
        <f t="shared" si="0"/>
        <v>0</v>
      </c>
      <c r="E7" s="72" t="s">
        <v>253</v>
      </c>
      <c r="F7" s="12">
        <v>1.2947999999999999E-9</v>
      </c>
      <c r="G7" s="12">
        <v>1.9966000000000001E-10</v>
      </c>
      <c r="H7" s="12">
        <v>1.3767000000000001E-13</v>
      </c>
      <c r="I7" s="12">
        <v>2.0532000000000002E-21</v>
      </c>
      <c r="J7" s="12">
        <v>3.1104000000000002E-32</v>
      </c>
      <c r="K7" s="12">
        <v>0</v>
      </c>
      <c r="L7" s="12">
        <v>0</v>
      </c>
      <c r="M7" s="12">
        <v>0</v>
      </c>
      <c r="N7" s="12">
        <v>0</v>
      </c>
      <c r="O7" s="12">
        <v>0</v>
      </c>
      <c r="P7" s="12">
        <v>0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/>
      <c r="AI7" s="12"/>
      <c r="AJ7" s="12"/>
      <c r="AK7" s="12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3</v>
      </c>
      <c r="C8" s="66">
        <f t="shared" si="0"/>
        <v>0</v>
      </c>
      <c r="D8" s="66">
        <f t="shared" si="0"/>
        <v>2</v>
      </c>
      <c r="E8" s="72" t="s">
        <v>251</v>
      </c>
      <c r="F8" s="12">
        <v>4.4248999999999997E-2</v>
      </c>
      <c r="G8" s="12">
        <v>4.3611999999999998E-2</v>
      </c>
      <c r="H8" s="12">
        <v>4.1993000000000003E-2</v>
      </c>
      <c r="I8" s="12">
        <v>3.9691999999999998E-2</v>
      </c>
      <c r="J8" s="12">
        <v>3.7877000000000001E-2</v>
      </c>
      <c r="K8" s="12">
        <v>3.6935999999999997E-2</v>
      </c>
      <c r="L8" s="12">
        <v>3.6459999999999999E-2</v>
      </c>
      <c r="M8" s="12">
        <v>3.5982E-2</v>
      </c>
      <c r="N8" s="12">
        <v>3.5087E-2</v>
      </c>
      <c r="O8" s="12">
        <v>2.8146999999999998E-2</v>
      </c>
      <c r="P8" s="12">
        <v>2.7380999999999999E-2</v>
      </c>
      <c r="Q8" s="12">
        <v>2.7005000000000001E-2</v>
      </c>
      <c r="R8" s="12">
        <v>2.6828000000000001E-2</v>
      </c>
      <c r="S8" s="12">
        <v>2.674E-2</v>
      </c>
      <c r="T8" s="12">
        <v>2.6667E-2</v>
      </c>
      <c r="U8" s="12">
        <v>2.6468999999999999E-2</v>
      </c>
      <c r="V8" s="12">
        <v>2.5611999999999999E-2</v>
      </c>
      <c r="W8" s="12">
        <v>2.2405999999999999E-2</v>
      </c>
      <c r="X8" s="12">
        <v>6.3489999999999998E-4</v>
      </c>
      <c r="Y8" s="12">
        <v>1.8310000000000001E-4</v>
      </c>
      <c r="Z8" s="12">
        <v>5.3794E-5</v>
      </c>
      <c r="AA8" s="12">
        <v>1.6172E-5</v>
      </c>
      <c r="AB8" s="12">
        <v>4.8161000000000004E-6</v>
      </c>
      <c r="AC8" s="12">
        <v>3.2899E-9</v>
      </c>
      <c r="AD8" s="12">
        <v>5.6190999999999998E-10</v>
      </c>
      <c r="AE8" s="12">
        <v>1.0075E-10</v>
      </c>
      <c r="AF8" s="12">
        <v>1.8944999999999999E-11</v>
      </c>
      <c r="AG8" s="12">
        <v>3.7295999999999998E-12</v>
      </c>
      <c r="AH8" s="12"/>
      <c r="AI8" s="12"/>
      <c r="AJ8" s="12"/>
      <c r="AK8" s="12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2</v>
      </c>
      <c r="E9" s="72" t="s">
        <v>361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6.6561E-27</v>
      </c>
      <c r="P9" s="12">
        <v>8.2350999999999999E-25</v>
      </c>
      <c r="Q9" s="12">
        <v>7.7073000000000005E-23</v>
      </c>
      <c r="R9" s="12">
        <v>5.503E-21</v>
      </c>
      <c r="S9" s="12">
        <v>3.0452000000000001E-19</v>
      </c>
      <c r="T9" s="12">
        <v>1.33E-17</v>
      </c>
      <c r="U9" s="12">
        <v>4.6479999999999998E-16</v>
      </c>
      <c r="V9" s="12">
        <v>1.2888E-14</v>
      </c>
      <c r="W9" s="12">
        <v>2.6198999999999998E-13</v>
      </c>
      <c r="X9" s="12">
        <v>4.2234000000000001E-10</v>
      </c>
      <c r="Y9" s="12">
        <v>1.4507E-9</v>
      </c>
      <c r="Z9" s="12">
        <v>4.5695999999999996E-9</v>
      </c>
      <c r="AA9" s="12">
        <v>1.3325E-8</v>
      </c>
      <c r="AB9" s="12">
        <v>3.4411999999999997E-8</v>
      </c>
      <c r="AC9" s="12">
        <v>4.3562000000000003E-8</v>
      </c>
      <c r="AD9" s="12">
        <v>4.3579000000000003E-8</v>
      </c>
      <c r="AE9" s="12">
        <v>4.3140000000000001E-8</v>
      </c>
      <c r="AF9" s="12">
        <v>4.2320999999999999E-8</v>
      </c>
      <c r="AG9" s="12">
        <v>4.1180000000000002E-8</v>
      </c>
      <c r="AH9" s="12"/>
      <c r="AI9" s="12"/>
      <c r="AJ9" s="12"/>
      <c r="AK9" s="12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0</v>
      </c>
      <c r="C10" s="66">
        <f t="shared" si="0"/>
        <v>0</v>
      </c>
      <c r="D10" s="66">
        <f t="shared" si="0"/>
        <v>1</v>
      </c>
      <c r="E10" s="72" t="s">
        <v>4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2.7964E-31</v>
      </c>
      <c r="P10" s="12">
        <v>2.5344999999999999E-29</v>
      </c>
      <c r="Q10" s="12">
        <v>1.7465999999999999E-27</v>
      </c>
      <c r="R10" s="12">
        <v>9.2809999999999994E-26</v>
      </c>
      <c r="S10" s="12">
        <v>3.8725000000000001E-24</v>
      </c>
      <c r="T10" s="12">
        <v>1.2931E-22</v>
      </c>
      <c r="U10" s="12">
        <v>3.5094999999999998E-21</v>
      </c>
      <c r="V10" s="12">
        <v>7.7528000000000002E-20</v>
      </c>
      <c r="W10" s="12">
        <v>1.3379999999999999E-18</v>
      </c>
      <c r="X10" s="12">
        <v>5.6282000000000002E-15</v>
      </c>
      <c r="Y10" s="12">
        <v>2.9783000000000003E-14</v>
      </c>
      <c r="Z10" s="12">
        <v>1.4412E-13</v>
      </c>
      <c r="AA10" s="12">
        <v>6.4215999999999996E-13</v>
      </c>
      <c r="AB10" s="12">
        <v>2.5725000000000002E-12</v>
      </c>
      <c r="AC10" s="12">
        <v>7.2448999999999997E-11</v>
      </c>
      <c r="AD10" s="12">
        <v>1.5230999999999999E-10</v>
      </c>
      <c r="AE10" s="12">
        <v>3.1018999999999999E-10</v>
      </c>
      <c r="AF10" s="12">
        <v>6.1314000000000001E-10</v>
      </c>
      <c r="AG10" s="12">
        <v>1.1785E-9</v>
      </c>
      <c r="AH10" s="12"/>
      <c r="AI10" s="12"/>
      <c r="AJ10" s="12"/>
      <c r="AK10" s="12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1</v>
      </c>
      <c r="B11" s="66">
        <f t="shared" si="0"/>
        <v>0</v>
      </c>
      <c r="C11" s="66">
        <f t="shared" si="0"/>
        <v>0</v>
      </c>
      <c r="D11" s="66">
        <f t="shared" si="0"/>
        <v>0</v>
      </c>
      <c r="E11" s="72" t="s">
        <v>1</v>
      </c>
      <c r="F11" s="12">
        <v>0.2</v>
      </c>
      <c r="G11" s="12">
        <v>0.2</v>
      </c>
      <c r="H11" s="12">
        <v>0.2</v>
      </c>
      <c r="I11" s="12">
        <v>0.2</v>
      </c>
      <c r="J11" s="12">
        <v>0.2</v>
      </c>
      <c r="K11" s="12">
        <v>0.2</v>
      </c>
      <c r="L11" s="12">
        <v>0.2</v>
      </c>
      <c r="M11" s="12">
        <v>0.2</v>
      </c>
      <c r="N11" s="12">
        <v>0.2</v>
      </c>
      <c r="O11" s="12">
        <v>0.2</v>
      </c>
      <c r="P11" s="12">
        <v>0.2</v>
      </c>
      <c r="Q11" s="12">
        <v>0.2</v>
      </c>
      <c r="R11" s="12">
        <v>0.2</v>
      </c>
      <c r="S11" s="12">
        <v>0.2</v>
      </c>
      <c r="T11" s="12">
        <v>0.2</v>
      </c>
      <c r="U11" s="12">
        <v>0.2</v>
      </c>
      <c r="V11" s="12">
        <v>0.2</v>
      </c>
      <c r="W11" s="12">
        <v>0.2</v>
      </c>
      <c r="X11" s="12">
        <v>0.2</v>
      </c>
      <c r="Y11" s="12">
        <v>0.2</v>
      </c>
      <c r="Z11" s="12">
        <v>0.2</v>
      </c>
      <c r="AA11" s="12">
        <v>0.2</v>
      </c>
      <c r="AB11" s="12">
        <v>0.2</v>
      </c>
      <c r="AC11" s="12">
        <v>0.2</v>
      </c>
      <c r="AD11" s="12">
        <v>0.2</v>
      </c>
      <c r="AE11" s="12">
        <v>0.2</v>
      </c>
      <c r="AF11" s="12">
        <v>0.2</v>
      </c>
      <c r="AG11" s="12">
        <v>0.2</v>
      </c>
      <c r="AH11" s="12"/>
      <c r="AI11" s="12"/>
      <c r="AJ11" s="12"/>
      <c r="AK11" s="12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2</v>
      </c>
      <c r="C12" s="66">
        <f t="shared" si="0"/>
        <v>1</v>
      </c>
      <c r="D12" s="66">
        <f t="shared" si="0"/>
        <v>0</v>
      </c>
      <c r="E12" s="72" t="s">
        <v>371</v>
      </c>
      <c r="F12" s="12">
        <v>7.8411999999999996E-2</v>
      </c>
      <c r="G12" s="12">
        <v>7.3134000000000005E-2</v>
      </c>
      <c r="H12" s="12">
        <v>5.8986999999999998E-2</v>
      </c>
      <c r="I12" s="12">
        <v>3.6919E-2</v>
      </c>
      <c r="J12" s="12">
        <v>1.7676999999999998E-2</v>
      </c>
      <c r="K12" s="12">
        <v>7.2598999999999997E-3</v>
      </c>
      <c r="L12" s="12">
        <v>2.8917999999999999E-3</v>
      </c>
      <c r="M12" s="12">
        <v>1.1887E-3</v>
      </c>
      <c r="N12" s="12">
        <v>5.1097000000000002E-4</v>
      </c>
      <c r="O12" s="12">
        <v>9.0981000000000002E-6</v>
      </c>
      <c r="P12" s="12">
        <v>2.4572E-6</v>
      </c>
      <c r="Q12" s="12">
        <v>6.5054999999999996E-7</v>
      </c>
      <c r="R12" s="12">
        <v>1.7638E-7</v>
      </c>
      <c r="S12" s="12">
        <v>4.9921000000000001E-8</v>
      </c>
      <c r="T12" s="12">
        <v>1.4844E-8</v>
      </c>
      <c r="U12" s="12">
        <v>4.6448000000000003E-9</v>
      </c>
      <c r="V12" s="12">
        <v>1.5360000000000001E-9</v>
      </c>
      <c r="W12" s="12">
        <v>5.4651999999999999E-10</v>
      </c>
      <c r="X12" s="12">
        <v>1.4317E-11</v>
      </c>
      <c r="Y12" s="12">
        <v>5.8701999999999998E-12</v>
      </c>
      <c r="Z12" s="12">
        <v>2.4643999999999999E-12</v>
      </c>
      <c r="AA12" s="12">
        <v>1.0603E-12</v>
      </c>
      <c r="AB12" s="12">
        <v>4.7526999999999995E-13</v>
      </c>
      <c r="AC12" s="12">
        <v>3.0937000000000002E-14</v>
      </c>
      <c r="AD12" s="12">
        <v>1.5379E-14</v>
      </c>
      <c r="AE12" s="12">
        <v>7.7425999999999992E-15</v>
      </c>
      <c r="AF12" s="12">
        <v>3.9498999999999998E-15</v>
      </c>
      <c r="AG12" s="12">
        <v>2.0417E-15</v>
      </c>
      <c r="AH12" s="12"/>
      <c r="AI12" s="12"/>
      <c r="AJ12" s="12"/>
      <c r="AK12" s="12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1</v>
      </c>
      <c r="D13" s="66">
        <f t="shared" si="0"/>
        <v>0</v>
      </c>
      <c r="E13" s="72" t="s">
        <v>244</v>
      </c>
      <c r="F13" s="12">
        <v>8.1587000000000007E-2</v>
      </c>
      <c r="G13" s="12">
        <v>8.6863999999999997E-2</v>
      </c>
      <c r="H13" s="12">
        <v>0.10101</v>
      </c>
      <c r="I13" s="12">
        <v>0.12306</v>
      </c>
      <c r="J13" s="12">
        <v>0.14222000000000001</v>
      </c>
      <c r="K13" s="12">
        <v>0.15229999999999999</v>
      </c>
      <c r="L13" s="12">
        <v>0.15537999999999999</v>
      </c>
      <c r="M13" s="12">
        <v>0.15296000000000001</v>
      </c>
      <c r="N13" s="12">
        <v>0.14297000000000001</v>
      </c>
      <c r="O13" s="12">
        <v>3.1546999999999999E-2</v>
      </c>
      <c r="P13" s="12">
        <v>1.5650000000000001E-2</v>
      </c>
      <c r="Q13" s="12">
        <v>7.5123999999999998E-3</v>
      </c>
      <c r="R13" s="12">
        <v>3.6213999999999999E-3</v>
      </c>
      <c r="S13" s="12">
        <v>1.7830999999999999E-3</v>
      </c>
      <c r="T13" s="12">
        <v>9.0233000000000002E-4</v>
      </c>
      <c r="U13" s="12">
        <v>4.7019E-4</v>
      </c>
      <c r="V13" s="12">
        <v>2.5291000000000002E-4</v>
      </c>
      <c r="W13" s="12">
        <v>1.4166E-4</v>
      </c>
      <c r="X13" s="12">
        <v>1.8465E-5</v>
      </c>
      <c r="Y13" s="12">
        <v>1.1285E-5</v>
      </c>
      <c r="Z13" s="12">
        <v>6.9963999999999996E-6</v>
      </c>
      <c r="AA13" s="12">
        <v>4.4017999999999999E-6</v>
      </c>
      <c r="AB13" s="12">
        <v>2.8312999999999999E-6</v>
      </c>
      <c r="AC13" s="12">
        <v>6.1798000000000003E-7</v>
      </c>
      <c r="AD13" s="12">
        <v>4.2137000000000002E-7</v>
      </c>
      <c r="AE13" s="12">
        <v>2.8955E-7</v>
      </c>
      <c r="AF13" s="12">
        <v>2.0053999999999999E-7</v>
      </c>
      <c r="AG13" s="12">
        <v>1.3997E-7</v>
      </c>
      <c r="AH13" s="12"/>
      <c r="AI13" s="12"/>
      <c r="AJ13" s="12"/>
      <c r="AK13" s="12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3</v>
      </c>
      <c r="C14" s="66">
        <f t="shared" si="0"/>
        <v>0</v>
      </c>
      <c r="D14" s="66">
        <f t="shared" si="0"/>
        <v>2</v>
      </c>
      <c r="E14" s="72" t="s">
        <v>372</v>
      </c>
      <c r="F14" s="12">
        <v>3.5750999999999998E-2</v>
      </c>
      <c r="G14" s="12">
        <v>3.6387000000000003E-2</v>
      </c>
      <c r="H14" s="12">
        <v>3.8006999999999999E-2</v>
      </c>
      <c r="I14" s="12">
        <v>4.0307999999999997E-2</v>
      </c>
      <c r="J14" s="12">
        <v>4.2123000000000001E-2</v>
      </c>
      <c r="K14" s="12">
        <v>4.3063999999999998E-2</v>
      </c>
      <c r="L14" s="12">
        <v>4.3540000000000002E-2</v>
      </c>
      <c r="M14" s="12">
        <v>4.4018000000000002E-2</v>
      </c>
      <c r="N14" s="12">
        <v>4.4913000000000002E-2</v>
      </c>
      <c r="O14" s="12">
        <v>5.1853000000000003E-2</v>
      </c>
      <c r="P14" s="12">
        <v>5.2618999999999999E-2</v>
      </c>
      <c r="Q14" s="12">
        <v>5.2995E-2</v>
      </c>
      <c r="R14" s="12">
        <v>5.3170000000000002E-2</v>
      </c>
      <c r="S14" s="12">
        <v>5.3247000000000003E-2</v>
      </c>
      <c r="T14" s="12">
        <v>5.3247999999999997E-2</v>
      </c>
      <c r="U14" s="12">
        <v>5.3064E-2</v>
      </c>
      <c r="V14" s="12">
        <v>5.2088000000000002E-2</v>
      </c>
      <c r="W14" s="12">
        <v>4.8049000000000001E-2</v>
      </c>
      <c r="X14" s="12">
        <v>2.0374E-3</v>
      </c>
      <c r="Y14" s="12">
        <v>5.976E-4</v>
      </c>
      <c r="Z14" s="12">
        <v>1.7788E-4</v>
      </c>
      <c r="AA14" s="12">
        <v>5.4218000000000002E-5</v>
      </c>
      <c r="AB14" s="12">
        <v>1.6365999999999999E-5</v>
      </c>
      <c r="AC14" s="12">
        <v>1.0673000000000001E-8</v>
      </c>
      <c r="AD14" s="12">
        <v>1.8103E-9</v>
      </c>
      <c r="AE14" s="12">
        <v>3.2268000000000002E-10</v>
      </c>
      <c r="AF14" s="12">
        <v>6.0386000000000002E-11</v>
      </c>
      <c r="AG14" s="12">
        <v>1.184E-11</v>
      </c>
      <c r="AH14" s="12"/>
      <c r="AI14" s="12"/>
      <c r="AJ14" s="12"/>
      <c r="AK14" s="12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1</v>
      </c>
      <c r="C15" s="66">
        <f t="shared" si="0"/>
        <v>0</v>
      </c>
      <c r="D15" s="66">
        <f t="shared" si="0"/>
        <v>2</v>
      </c>
      <c r="E15" s="72" t="s">
        <v>373</v>
      </c>
      <c r="F15" s="12">
        <v>2.3397999999999999E-28</v>
      </c>
      <c r="G15" s="12">
        <v>2.0742E-26</v>
      </c>
      <c r="H15" s="12">
        <v>1.6841000000000001E-24</v>
      </c>
      <c r="I15" s="12">
        <v>1.5773E-22</v>
      </c>
      <c r="J15" s="12">
        <v>1.5151E-20</v>
      </c>
      <c r="K15" s="12">
        <v>1.1999000000000001E-18</v>
      </c>
      <c r="L15" s="12">
        <v>6.8945999999999997E-17</v>
      </c>
      <c r="M15" s="12">
        <v>2.7437E-15</v>
      </c>
      <c r="N15" s="12">
        <v>7.4413999999999995E-14</v>
      </c>
      <c r="O15" s="12">
        <v>2.9067999999999999E-9</v>
      </c>
      <c r="P15" s="12">
        <v>2.8701E-8</v>
      </c>
      <c r="Q15" s="12">
        <v>2.5057E-7</v>
      </c>
      <c r="R15" s="12">
        <v>1.9350000000000001E-6</v>
      </c>
      <c r="S15" s="12">
        <v>1.3294E-5</v>
      </c>
      <c r="T15" s="12">
        <v>8.1879999999999995E-5</v>
      </c>
      <c r="U15" s="12">
        <v>4.5427999999999999E-4</v>
      </c>
      <c r="V15" s="12">
        <v>2.2480999999999998E-3</v>
      </c>
      <c r="W15" s="12">
        <v>9.3439000000000005E-3</v>
      </c>
      <c r="X15" s="12">
        <v>7.2410000000000002E-2</v>
      </c>
      <c r="Y15" s="12">
        <v>7.1666999999999995E-2</v>
      </c>
      <c r="Z15" s="12">
        <v>6.8749000000000005E-2</v>
      </c>
      <c r="AA15" s="12">
        <v>6.4551999999999998E-2</v>
      </c>
      <c r="AB15" s="12">
        <v>5.6475999999999998E-2</v>
      </c>
      <c r="AC15" s="12">
        <v>1.3301000000000001E-3</v>
      </c>
      <c r="AD15" s="12">
        <v>5.4418000000000001E-4</v>
      </c>
      <c r="AE15" s="12">
        <v>2.2824999999999999E-4</v>
      </c>
      <c r="AF15" s="12">
        <v>9.8068999999999999E-5</v>
      </c>
      <c r="AG15" s="12">
        <v>4.3111000000000001E-5</v>
      </c>
      <c r="AH15" s="12"/>
      <c r="AI15" s="12"/>
      <c r="AJ15" s="12"/>
      <c r="AK15" s="12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72" t="s">
        <v>240</v>
      </c>
      <c r="F16" s="12">
        <v>3.0460000000000001E-7</v>
      </c>
      <c r="G16" s="12">
        <v>7.9172999999999996E-7</v>
      </c>
      <c r="H16" s="12">
        <v>2.5660999999999999E-6</v>
      </c>
      <c r="I16" s="12">
        <v>1.0835999999999999E-5</v>
      </c>
      <c r="J16" s="12">
        <v>5.0284000000000002E-5</v>
      </c>
      <c r="K16" s="12">
        <v>2.2064E-4</v>
      </c>
      <c r="L16" s="12">
        <v>8.6361000000000001E-4</v>
      </c>
      <c r="M16" s="12">
        <v>2.9274000000000001E-3</v>
      </c>
      <c r="N16" s="12">
        <v>8.2600999999999994E-3</v>
      </c>
      <c r="O16" s="12">
        <v>6.4222000000000001E-2</v>
      </c>
      <c r="P16" s="12">
        <v>7.2174000000000002E-2</v>
      </c>
      <c r="Q16" s="12">
        <v>7.6243000000000005E-2</v>
      </c>
      <c r="R16" s="12">
        <v>7.8188999999999995E-2</v>
      </c>
      <c r="S16" s="12">
        <v>7.9107999999999998E-2</v>
      </c>
      <c r="T16" s="12">
        <v>7.9548999999999995E-2</v>
      </c>
      <c r="U16" s="12">
        <v>7.9765000000000003E-2</v>
      </c>
      <c r="V16" s="12">
        <v>7.9874000000000001E-2</v>
      </c>
      <c r="W16" s="12">
        <v>7.9929E-2</v>
      </c>
      <c r="X16" s="12">
        <v>7.9991000000000007E-2</v>
      </c>
      <c r="Y16" s="12">
        <v>7.9993999999999996E-2</v>
      </c>
      <c r="Z16" s="12">
        <v>7.9995999999999998E-2</v>
      </c>
      <c r="AA16" s="12">
        <v>7.9998E-2</v>
      </c>
      <c r="AB16" s="12">
        <v>7.9913999999999999E-2</v>
      </c>
      <c r="AC16" s="12">
        <v>7.7256000000000005E-2</v>
      </c>
      <c r="AD16" s="12">
        <v>7.6824000000000003E-2</v>
      </c>
      <c r="AE16" s="12">
        <v>7.6387999999999998E-2</v>
      </c>
      <c r="AF16" s="12">
        <v>7.5944999999999999E-2</v>
      </c>
      <c r="AG16" s="12">
        <v>7.5490000000000002E-2</v>
      </c>
      <c r="AH16" s="12"/>
      <c r="AI16" s="12"/>
      <c r="AJ16" s="12"/>
      <c r="AK16" s="12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0</v>
      </c>
      <c r="C17" s="66">
        <f t="shared" si="0"/>
        <v>0</v>
      </c>
      <c r="D17" s="66">
        <f t="shared" si="0"/>
        <v>1</v>
      </c>
      <c r="E17" s="72" t="s">
        <v>238</v>
      </c>
      <c r="F17" s="12">
        <v>4.0423000000000001E-28</v>
      </c>
      <c r="G17" s="12">
        <v>3.3478E-26</v>
      </c>
      <c r="H17" s="12">
        <v>2.3753E-24</v>
      </c>
      <c r="I17" s="12">
        <v>1.739E-22</v>
      </c>
      <c r="J17" s="12">
        <v>1.1968000000000001E-20</v>
      </c>
      <c r="K17" s="12">
        <v>6.5977999999999999E-19</v>
      </c>
      <c r="L17" s="12">
        <v>2.6876000000000001E-17</v>
      </c>
      <c r="M17" s="12">
        <v>7.9278000000000004E-16</v>
      </c>
      <c r="N17" s="12">
        <v>1.6945000000000001E-14</v>
      </c>
      <c r="O17" s="12">
        <v>3.7249000000000002E-10</v>
      </c>
      <c r="P17" s="12">
        <v>3.1746000000000002E-9</v>
      </c>
      <c r="Q17" s="12">
        <v>2.3831E-8</v>
      </c>
      <c r="R17" s="12">
        <v>1.5837999999999999E-7</v>
      </c>
      <c r="S17" s="12">
        <v>9.3872999999999999E-7</v>
      </c>
      <c r="T17" s="12">
        <v>5.0003999999999996E-6</v>
      </c>
      <c r="U17" s="12">
        <v>2.4079000000000001E-5</v>
      </c>
      <c r="V17" s="12">
        <v>1.0474E-4</v>
      </c>
      <c r="W17" s="12">
        <v>4.0225999999999999E-4</v>
      </c>
      <c r="X17" s="12">
        <v>9.8355999999999999E-3</v>
      </c>
      <c r="Y17" s="12">
        <v>1.5105E-2</v>
      </c>
      <c r="Z17" s="12">
        <v>2.2039E-2</v>
      </c>
      <c r="AA17" s="12">
        <v>3.0755000000000001E-2</v>
      </c>
      <c r="AB17" s="12">
        <v>3.986E-2</v>
      </c>
      <c r="AC17" s="12">
        <v>1.4336E-2</v>
      </c>
      <c r="AD17" s="12">
        <v>1.0671E-2</v>
      </c>
      <c r="AE17" s="12">
        <v>7.8063999999999998E-3</v>
      </c>
      <c r="AF17" s="12">
        <v>5.6091999999999999E-3</v>
      </c>
      <c r="AG17" s="12">
        <v>3.9562E-3</v>
      </c>
      <c r="AH17" s="12"/>
      <c r="AI17" s="12"/>
      <c r="AJ17" s="12"/>
      <c r="AK17" s="12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1</v>
      </c>
      <c r="C18" s="66">
        <f t="shared" si="0"/>
        <v>0</v>
      </c>
      <c r="D18" s="66">
        <f t="shared" si="0"/>
        <v>0</v>
      </c>
      <c r="E18" s="72" t="s">
        <v>236</v>
      </c>
      <c r="F18" s="12">
        <v>1.8857999999999998E-9</v>
      </c>
      <c r="G18" s="12">
        <v>6.4452999999999997E-9</v>
      </c>
      <c r="H18" s="12">
        <v>1.5402999999999999E-8</v>
      </c>
      <c r="I18" s="12">
        <v>2.4473E-8</v>
      </c>
      <c r="J18" s="12">
        <v>2.7333000000000001E-8</v>
      </c>
      <c r="K18" s="12">
        <v>2.4652000000000001E-8</v>
      </c>
      <c r="L18" s="12">
        <v>2.0415999999999999E-8</v>
      </c>
      <c r="M18" s="12">
        <v>1.6866E-8</v>
      </c>
      <c r="N18" s="12">
        <v>1.4732000000000001E-8</v>
      </c>
      <c r="O18" s="12">
        <v>1.2278000000000001E-8</v>
      </c>
      <c r="P18" s="12">
        <v>1.0916E-8</v>
      </c>
      <c r="Q18" s="12">
        <v>9.3466000000000008E-9</v>
      </c>
      <c r="R18" s="12">
        <v>7.8566000000000004E-9</v>
      </c>
      <c r="S18" s="12">
        <v>6.5510999999999998E-9</v>
      </c>
      <c r="T18" s="12">
        <v>5.4476999999999997E-9</v>
      </c>
      <c r="U18" s="12">
        <v>4.5377000000000002E-9</v>
      </c>
      <c r="V18" s="12">
        <v>3.8261000000000003E-9</v>
      </c>
      <c r="W18" s="12">
        <v>3.3694E-9</v>
      </c>
      <c r="X18" s="12">
        <v>2.4995999999999999E-9</v>
      </c>
      <c r="Y18" s="12">
        <v>2.1214000000000001E-9</v>
      </c>
      <c r="Z18" s="12">
        <v>1.7939E-9</v>
      </c>
      <c r="AA18" s="12">
        <v>1.5189E-9</v>
      </c>
      <c r="AB18" s="12">
        <v>1.2981999999999999E-9</v>
      </c>
      <c r="AC18" s="12">
        <v>7.3192999999999997E-10</v>
      </c>
      <c r="AD18" s="12">
        <v>6.1770000000000005E-10</v>
      </c>
      <c r="AE18" s="12">
        <v>5.2130000000000005E-10</v>
      </c>
      <c r="AF18" s="12">
        <v>4.4019999999999999E-10</v>
      </c>
      <c r="AG18" s="12">
        <v>3.7200000000000001E-10</v>
      </c>
      <c r="AH18" s="12"/>
      <c r="AI18" s="12"/>
      <c r="AJ18" s="12"/>
      <c r="AK18" s="12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1</v>
      </c>
      <c r="C19" s="66">
        <f t="shared" si="0"/>
        <v>0</v>
      </c>
      <c r="D19" s="66">
        <f t="shared" si="0"/>
        <v>0</v>
      </c>
      <c r="E19" s="72" t="s">
        <v>234</v>
      </c>
      <c r="F19" s="12">
        <v>4.3467000000000001E-10</v>
      </c>
      <c r="G19" s="12">
        <v>1.7279E-9</v>
      </c>
      <c r="H19" s="12">
        <v>4.7159000000000002E-9</v>
      </c>
      <c r="I19" s="12">
        <v>8.4282000000000003E-9</v>
      </c>
      <c r="J19" s="12">
        <v>1.0452999999999999E-8</v>
      </c>
      <c r="K19" s="12">
        <v>1.0357999999999999E-8</v>
      </c>
      <c r="L19" s="12">
        <v>9.3366999999999998E-9</v>
      </c>
      <c r="M19" s="12">
        <v>8.3278999999999997E-9</v>
      </c>
      <c r="N19" s="12">
        <v>7.7996000000000002E-9</v>
      </c>
      <c r="O19" s="12">
        <v>7.6445999999999998E-9</v>
      </c>
      <c r="P19" s="12">
        <v>6.7225000000000003E-9</v>
      </c>
      <c r="Q19" s="12">
        <v>5.6904999999999997E-9</v>
      </c>
      <c r="R19" s="12">
        <v>4.7269000000000003E-9</v>
      </c>
      <c r="S19" s="12">
        <v>3.8939000000000004E-9</v>
      </c>
      <c r="T19" s="12">
        <v>3.1985000000000001E-9</v>
      </c>
      <c r="U19" s="12">
        <v>2.6313999999999998E-9</v>
      </c>
      <c r="V19" s="12">
        <v>2.1913000000000001E-9</v>
      </c>
      <c r="W19" s="12">
        <v>1.9058999999999998E-9</v>
      </c>
      <c r="X19" s="12">
        <v>1.3460999999999999E-9</v>
      </c>
      <c r="Y19" s="12">
        <v>1.1288000000000001E-9</v>
      </c>
      <c r="Z19" s="12">
        <v>9.432100000000001E-10</v>
      </c>
      <c r="AA19" s="12">
        <v>7.8925000000000004E-10</v>
      </c>
      <c r="AB19" s="12">
        <v>6.6673000000000003E-10</v>
      </c>
      <c r="AC19" s="12">
        <v>3.5906999999999998E-10</v>
      </c>
      <c r="AD19" s="12">
        <v>2.9964999999999999E-10</v>
      </c>
      <c r="AE19" s="12">
        <v>2.5007999999999998E-10</v>
      </c>
      <c r="AF19" s="12">
        <v>2.0885000000000001E-10</v>
      </c>
      <c r="AG19" s="12">
        <v>1.7455999999999999E-10</v>
      </c>
      <c r="AH19" s="12"/>
      <c r="AI19" s="12"/>
      <c r="AJ19" s="12"/>
      <c r="AK19" s="12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1</v>
      </c>
      <c r="C20" s="66">
        <f t="shared" si="1"/>
        <v>0</v>
      </c>
      <c r="D20" s="66">
        <f t="shared" si="1"/>
        <v>0</v>
      </c>
      <c r="E20" s="72" t="s">
        <v>355</v>
      </c>
      <c r="F20" s="12">
        <v>1.5883E-3</v>
      </c>
      <c r="G20" s="12">
        <v>6.8672999999999998E-3</v>
      </c>
      <c r="H20" s="12">
        <v>2.1017999999999998E-2</v>
      </c>
      <c r="I20" s="12">
        <v>4.3103000000000002E-2</v>
      </c>
      <c r="J20" s="12">
        <v>6.2424E-2</v>
      </c>
      <c r="K20" s="12">
        <v>7.3180999999999996E-2</v>
      </c>
      <c r="L20" s="12">
        <v>7.8835000000000002E-2</v>
      </c>
      <c r="M20" s="12">
        <v>8.4666000000000005E-2</v>
      </c>
      <c r="N20" s="12">
        <v>9.6008999999999997E-2</v>
      </c>
      <c r="O20" s="12">
        <v>0.20843</v>
      </c>
      <c r="P20" s="12">
        <v>0.22434999999999999</v>
      </c>
      <c r="Q20" s="12">
        <v>0.23249</v>
      </c>
      <c r="R20" s="12">
        <v>0.23638000000000001</v>
      </c>
      <c r="S20" s="12">
        <v>0.23824000000000001</v>
      </c>
      <c r="T20" s="12">
        <v>0.23927000000000001</v>
      </c>
      <c r="U20" s="12">
        <v>0.24046999999999999</v>
      </c>
      <c r="V20" s="12">
        <v>0.24440000000000001</v>
      </c>
      <c r="W20" s="12">
        <v>0.25914999999999999</v>
      </c>
      <c r="X20" s="12">
        <v>0.39955000000000002</v>
      </c>
      <c r="Y20" s="12">
        <v>0.40598000000000001</v>
      </c>
      <c r="Z20" s="12">
        <v>0.41055000000000003</v>
      </c>
      <c r="AA20" s="12">
        <v>0.41522999999999999</v>
      </c>
      <c r="AB20" s="12">
        <v>0.42346</v>
      </c>
      <c r="AC20" s="12">
        <v>0.47866999999999998</v>
      </c>
      <c r="AD20" s="12">
        <v>0.47946</v>
      </c>
      <c r="AE20" s="12">
        <v>0.47976999999999997</v>
      </c>
      <c r="AF20" s="12">
        <v>0.47989999999999999</v>
      </c>
      <c r="AG20" s="12">
        <v>0.47996</v>
      </c>
      <c r="AH20" s="12"/>
      <c r="AI20" s="12"/>
      <c r="AJ20" s="12"/>
      <c r="AK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72" t="s">
        <v>232</v>
      </c>
      <c r="F21" s="12">
        <v>4.8220999999999998E-12</v>
      </c>
      <c r="G21" s="12">
        <v>2.6835E-11</v>
      </c>
      <c r="H21" s="12">
        <v>9.8888000000000003E-11</v>
      </c>
      <c r="I21" s="12">
        <v>2.3156E-10</v>
      </c>
      <c r="J21" s="12">
        <v>3.6692000000000001E-10</v>
      </c>
      <c r="K21" s="12">
        <v>4.5460999999999999E-10</v>
      </c>
      <c r="L21" s="12">
        <v>5.0307999999999998E-10</v>
      </c>
      <c r="M21" s="12">
        <v>5.4215000000000004E-10</v>
      </c>
      <c r="N21" s="12">
        <v>6.0499999999999998E-10</v>
      </c>
      <c r="O21" s="12">
        <v>1.0715999999999999E-9</v>
      </c>
      <c r="P21" s="12">
        <v>1.0692E-9</v>
      </c>
      <c r="Q21" s="12">
        <v>1.0197999999999999E-9</v>
      </c>
      <c r="R21" s="12">
        <v>9.4844000000000009E-10</v>
      </c>
      <c r="S21" s="12">
        <v>8.6978999999999995E-10</v>
      </c>
      <c r="T21" s="12">
        <v>7.9120000000000002E-10</v>
      </c>
      <c r="U21" s="12">
        <v>7.1740000000000002E-10</v>
      </c>
      <c r="V21" s="12">
        <v>6.5553999999999999E-10</v>
      </c>
      <c r="W21" s="12">
        <v>6.2310000000000005E-10</v>
      </c>
      <c r="X21" s="12">
        <v>6.0626000000000003E-10</v>
      </c>
      <c r="Y21" s="12">
        <v>5.4663E-10</v>
      </c>
      <c r="Z21" s="12">
        <v>4.8986E-10</v>
      </c>
      <c r="AA21" s="12">
        <v>4.3852999999999998E-10</v>
      </c>
      <c r="AB21" s="12">
        <v>3.9540999999999998E-10</v>
      </c>
      <c r="AC21" s="12">
        <v>2.7087000000000002E-10</v>
      </c>
      <c r="AD21" s="12">
        <v>2.3897E-10</v>
      </c>
      <c r="AE21" s="12">
        <v>2.1051999999999999E-10</v>
      </c>
      <c r="AF21" s="12">
        <v>1.8528000000000001E-10</v>
      </c>
      <c r="AG21" s="12">
        <v>1.6297000000000001E-10</v>
      </c>
      <c r="AH21" s="12"/>
      <c r="AI21" s="12"/>
      <c r="AJ21" s="12"/>
      <c r="AK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1</v>
      </c>
      <c r="D22" s="66">
        <f t="shared" si="1"/>
        <v>0</v>
      </c>
      <c r="E22" s="72" t="s">
        <v>370</v>
      </c>
      <c r="F22" s="12">
        <v>3.0460000000000001E-7</v>
      </c>
      <c r="G22" s="12">
        <v>7.9172999999999996E-7</v>
      </c>
      <c r="H22" s="12">
        <v>2.5660999999999999E-6</v>
      </c>
      <c r="I22" s="12">
        <v>1.0835999999999999E-5</v>
      </c>
      <c r="J22" s="12">
        <v>5.0284000000000002E-5</v>
      </c>
      <c r="K22" s="12">
        <v>2.2064E-4</v>
      </c>
      <c r="L22" s="12">
        <v>8.6361000000000001E-4</v>
      </c>
      <c r="M22" s="12">
        <v>2.9274000000000001E-3</v>
      </c>
      <c r="N22" s="12">
        <v>8.2600999999999994E-3</v>
      </c>
      <c r="O22" s="12">
        <v>6.4222000000000001E-2</v>
      </c>
      <c r="P22" s="12">
        <v>7.2174000000000002E-2</v>
      </c>
      <c r="Q22" s="12">
        <v>7.6243000000000005E-2</v>
      </c>
      <c r="R22" s="12">
        <v>7.8188999999999995E-2</v>
      </c>
      <c r="S22" s="12">
        <v>7.9107999999999998E-2</v>
      </c>
      <c r="T22" s="12">
        <v>7.9548999999999995E-2</v>
      </c>
      <c r="U22" s="12">
        <v>7.9765000000000003E-2</v>
      </c>
      <c r="V22" s="12">
        <v>7.9874000000000001E-2</v>
      </c>
      <c r="W22" s="12">
        <v>7.9929E-2</v>
      </c>
      <c r="X22" s="12">
        <v>7.9991000000000007E-2</v>
      </c>
      <c r="Y22" s="12">
        <v>7.9993999999999996E-2</v>
      </c>
      <c r="Z22" s="12">
        <v>7.9995999999999998E-2</v>
      </c>
      <c r="AA22" s="12">
        <v>7.9998E-2</v>
      </c>
      <c r="AB22" s="12">
        <v>7.9913999999999999E-2</v>
      </c>
      <c r="AC22" s="12">
        <v>7.7256000000000005E-2</v>
      </c>
      <c r="AD22" s="12">
        <v>7.6824000000000003E-2</v>
      </c>
      <c r="AE22" s="12">
        <v>7.6387999999999998E-2</v>
      </c>
      <c r="AF22" s="12">
        <v>7.5944999999999999E-2</v>
      </c>
      <c r="AG22" s="12">
        <v>7.5490000000000002E-2</v>
      </c>
      <c r="AH22" s="12"/>
      <c r="AI22" s="12"/>
      <c r="AJ22" s="12"/>
      <c r="AK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1</v>
      </c>
      <c r="E23" s="63" t="s">
        <v>354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8.4594000000000007E-30</v>
      </c>
      <c r="Y23" s="12">
        <v>5.8909000000000003E-22</v>
      </c>
      <c r="Z23" s="12">
        <v>6.6172000000000003E-15</v>
      </c>
      <c r="AA23" s="12">
        <v>3.8591999999999999E-8</v>
      </c>
      <c r="AB23" s="12">
        <v>7.1447999999999998E-3</v>
      </c>
      <c r="AC23" s="12">
        <v>0.14255000000000001</v>
      </c>
      <c r="AD23" s="12">
        <v>0.14792</v>
      </c>
      <c r="AE23" s="12">
        <v>0.15159</v>
      </c>
      <c r="AF23" s="12">
        <v>0.15412000000000001</v>
      </c>
      <c r="AG23" s="12">
        <v>0.15592</v>
      </c>
      <c r="AH23" s="12"/>
      <c r="AI23" s="12"/>
      <c r="AJ23" s="12"/>
      <c r="AK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1</v>
      </c>
      <c r="D24" s="66">
        <f t="shared" si="1"/>
        <v>0</v>
      </c>
      <c r="E24" s="63" t="s">
        <v>353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9.4355000000000004E-31</v>
      </c>
      <c r="Y24" s="12">
        <v>4.2505999999999999E-23</v>
      </c>
      <c r="Z24" s="12">
        <v>3.1832999999999999E-16</v>
      </c>
      <c r="AA24" s="12">
        <v>1.2669E-9</v>
      </c>
      <c r="AB24" s="12">
        <v>1.6851E-4</v>
      </c>
      <c r="AC24" s="12">
        <v>5.4868E-3</v>
      </c>
      <c r="AD24" s="12">
        <v>6.352E-3</v>
      </c>
      <c r="AE24" s="12">
        <v>7.2240000000000004E-3</v>
      </c>
      <c r="AF24" s="12">
        <v>8.1103000000000008E-3</v>
      </c>
      <c r="AG24" s="12">
        <v>9.0189999999999992E-3</v>
      </c>
      <c r="AH24" s="12"/>
      <c r="AI24" s="12"/>
      <c r="AJ24" s="12"/>
      <c r="AK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1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 t="s">
        <v>35</v>
      </c>
      <c r="F25" s="12">
        <v>-18.82</v>
      </c>
      <c r="G25" s="12">
        <v>-18.809999999999999</v>
      </c>
      <c r="H25" s="12">
        <v>-18.8</v>
      </c>
      <c r="I25" s="12">
        <v>-18.809999999999999</v>
      </c>
      <c r="J25" s="12">
        <v>-18.82</v>
      </c>
      <c r="K25" s="12">
        <v>-18.84</v>
      </c>
      <c r="L25" s="12">
        <v>-18.87</v>
      </c>
      <c r="M25" s="12">
        <v>-18.899999999999999</v>
      </c>
      <c r="N25" s="12">
        <v>-18.93</v>
      </c>
      <c r="O25" s="12">
        <v>-19.059999999999999</v>
      </c>
      <c r="P25" s="12">
        <v>-19.100000000000001</v>
      </c>
      <c r="Q25" s="12">
        <v>-19.14</v>
      </c>
      <c r="R25" s="12">
        <v>-19.18</v>
      </c>
      <c r="S25" s="12">
        <v>-19.22</v>
      </c>
      <c r="T25" s="12">
        <v>-19.260000000000002</v>
      </c>
      <c r="U25" s="12">
        <v>-19.3</v>
      </c>
      <c r="V25" s="12">
        <v>-19.34</v>
      </c>
      <c r="W25" s="12">
        <v>-19.37</v>
      </c>
      <c r="X25" s="12">
        <v>-19.43</v>
      </c>
      <c r="Y25" s="12">
        <v>-19.47</v>
      </c>
      <c r="Z25" s="12">
        <v>-19.510000000000002</v>
      </c>
      <c r="AA25" s="12">
        <v>-19.55</v>
      </c>
      <c r="AB25" s="12">
        <v>-19.59</v>
      </c>
      <c r="AC25" s="12">
        <v>-19.739999999999998</v>
      </c>
      <c r="AD25" s="12">
        <v>-19.77</v>
      </c>
      <c r="AE25" s="12">
        <v>-19.809999999999999</v>
      </c>
      <c r="AF25" s="12">
        <v>-19.850000000000001</v>
      </c>
      <c r="AG25" s="12">
        <v>-19.88</v>
      </c>
      <c r="AH25" s="12"/>
      <c r="AI25" s="12"/>
      <c r="AJ25" s="12"/>
      <c r="AK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1</v>
      </c>
      <c r="E26" s="63" t="s">
        <v>5</v>
      </c>
      <c r="F26" s="12">
        <v>-66.36</v>
      </c>
      <c r="G26" s="12">
        <v>-61.96</v>
      </c>
      <c r="H26" s="12">
        <v>-57.78</v>
      </c>
      <c r="I26" s="12">
        <v>-53.6</v>
      </c>
      <c r="J26" s="12">
        <v>-49.48</v>
      </c>
      <c r="K26" s="12">
        <v>-45.55</v>
      </c>
      <c r="L26" s="12">
        <v>-41.9</v>
      </c>
      <c r="M26" s="12">
        <v>-38.58</v>
      </c>
      <c r="N26" s="12">
        <v>-35.61</v>
      </c>
      <c r="O26" s="12">
        <v>-26.13</v>
      </c>
      <c r="P26" s="12">
        <v>-24.06</v>
      </c>
      <c r="Q26" s="12">
        <v>-22.1</v>
      </c>
      <c r="R26" s="12">
        <v>-20.239999999999998</v>
      </c>
      <c r="S26" s="12">
        <v>-18.489999999999998</v>
      </c>
      <c r="T26" s="12">
        <v>-16.829999999999998</v>
      </c>
      <c r="U26" s="12">
        <v>-15.27</v>
      </c>
      <c r="V26" s="12">
        <v>-13.8</v>
      </c>
      <c r="W26" s="12">
        <v>-12.48</v>
      </c>
      <c r="X26" s="12">
        <v>-9.391</v>
      </c>
      <c r="Y26" s="12">
        <v>-8.8940000000000001</v>
      </c>
      <c r="Z26" s="12">
        <v>-8.4309999999999992</v>
      </c>
      <c r="AA26" s="12">
        <v>-7.9980000000000002</v>
      </c>
      <c r="AB26" s="12">
        <v>-7.6219999999999999</v>
      </c>
      <c r="AC26" s="12">
        <v>-7.9009999999999998</v>
      </c>
      <c r="AD26" s="12">
        <v>-7.9690000000000003</v>
      </c>
      <c r="AE26" s="12">
        <v>-8.0350000000000001</v>
      </c>
      <c r="AF26" s="12">
        <v>-8.1010000000000009</v>
      </c>
      <c r="AG26" s="12">
        <v>-8.1660000000000004</v>
      </c>
      <c r="AH26" s="12"/>
      <c r="AI26" s="12"/>
      <c r="AJ26" s="12"/>
      <c r="AK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1</v>
      </c>
      <c r="D27" s="66">
        <f t="shared" si="1"/>
        <v>0</v>
      </c>
      <c r="E27" s="63" t="s">
        <v>6</v>
      </c>
      <c r="F27" s="12">
        <v>-17.13</v>
      </c>
      <c r="G27" s="12">
        <v>-16.2</v>
      </c>
      <c r="H27" s="12">
        <v>-15.1</v>
      </c>
      <c r="I27" s="12">
        <v>-13.78</v>
      </c>
      <c r="J27" s="12">
        <v>-12.35</v>
      </c>
      <c r="K27" s="12">
        <v>-10.94</v>
      </c>
      <c r="L27" s="12">
        <v>-9.6310000000000002</v>
      </c>
      <c r="M27" s="12">
        <v>-8.4689999999999994</v>
      </c>
      <c r="N27" s="12">
        <v>-7.5140000000000002</v>
      </c>
      <c r="O27" s="12">
        <v>-5.98</v>
      </c>
      <c r="P27" s="12">
        <v>-5.9509999999999996</v>
      </c>
      <c r="Q27" s="12">
        <v>-5.9649999999999999</v>
      </c>
      <c r="R27" s="12">
        <v>-5.9980000000000002</v>
      </c>
      <c r="S27" s="12">
        <v>-6.0410000000000004</v>
      </c>
      <c r="T27" s="12">
        <v>-6.0880000000000001</v>
      </c>
      <c r="U27" s="12">
        <v>-6.1379999999999999</v>
      </c>
      <c r="V27" s="12">
        <v>-6.1980000000000004</v>
      </c>
      <c r="W27" s="12">
        <v>-6.2850000000000001</v>
      </c>
      <c r="X27" s="12">
        <v>-6.7809999999999997</v>
      </c>
      <c r="Y27" s="12">
        <v>-6.8440000000000003</v>
      </c>
      <c r="Z27" s="12">
        <v>-6.9050000000000002</v>
      </c>
      <c r="AA27" s="12">
        <v>-6.9660000000000002</v>
      </c>
      <c r="AB27" s="12">
        <v>-7.0279999999999996</v>
      </c>
      <c r="AC27" s="12">
        <v>-7.1989999999999998</v>
      </c>
      <c r="AD27" s="12">
        <v>-7.2430000000000003</v>
      </c>
      <c r="AE27" s="12">
        <v>-7.2880000000000003</v>
      </c>
      <c r="AF27" s="12">
        <v>-7.3330000000000002</v>
      </c>
      <c r="AG27" s="12">
        <v>-7.3780000000000001</v>
      </c>
      <c r="AH27" s="12"/>
      <c r="AI27" s="12"/>
      <c r="AJ27" s="12"/>
      <c r="AK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2" si="2">IF( ISNUMBER( FIND(A$3,$E28,1)),   IF( ISNUMBER( VALUE(MID($E28,FIND(A$3,$E28,1)+2,1)) ), VALUE( MID($E28,FIND(A$3,$E28,1)+2,1) ),1),0)</f>
        <v>0</v>
      </c>
      <c r="B28" s="66">
        <f t="shared" si="2"/>
        <v>1</v>
      </c>
      <c r="C28" s="66">
        <f t="shared" si="2"/>
        <v>0</v>
      </c>
      <c r="D28" s="66">
        <f t="shared" si="2"/>
        <v>0</v>
      </c>
      <c r="E28" s="63" t="s">
        <v>7</v>
      </c>
      <c r="F28" s="12">
        <v>-23.56</v>
      </c>
      <c r="G28" s="12">
        <v>-22.35</v>
      </c>
      <c r="H28" s="12">
        <v>-21.56</v>
      </c>
      <c r="I28" s="12">
        <v>-21.22</v>
      </c>
      <c r="J28" s="12">
        <v>-21.21</v>
      </c>
      <c r="K28" s="12">
        <v>-21.39</v>
      </c>
      <c r="L28" s="12">
        <v>-21.64</v>
      </c>
      <c r="M28" s="12">
        <v>-21.89</v>
      </c>
      <c r="N28" s="12">
        <v>-22.11</v>
      </c>
      <c r="O28" s="12">
        <v>-22.89</v>
      </c>
      <c r="P28" s="12">
        <v>-23.15</v>
      </c>
      <c r="Q28" s="12">
        <v>-23.44</v>
      </c>
      <c r="R28" s="12">
        <v>-23.72</v>
      </c>
      <c r="S28" s="12">
        <v>-24.01</v>
      </c>
      <c r="T28" s="12">
        <v>-24.3</v>
      </c>
      <c r="U28" s="12">
        <v>-24.58</v>
      </c>
      <c r="V28" s="12">
        <v>-24.86</v>
      </c>
      <c r="W28" s="12">
        <v>-25.12</v>
      </c>
      <c r="X28" s="12">
        <v>-26.08</v>
      </c>
      <c r="Y28" s="12">
        <v>-26.34</v>
      </c>
      <c r="Z28" s="12">
        <v>-26.61</v>
      </c>
      <c r="AA28" s="12">
        <v>-26.87</v>
      </c>
      <c r="AB28" s="12">
        <v>-27.12</v>
      </c>
      <c r="AC28" s="12">
        <v>-27.95</v>
      </c>
      <c r="AD28" s="12">
        <v>-28.19</v>
      </c>
      <c r="AE28" s="12">
        <v>-28.43</v>
      </c>
      <c r="AF28" s="12">
        <v>-28.66</v>
      </c>
      <c r="AG28" s="12">
        <v>-28.9</v>
      </c>
      <c r="AH28" s="12"/>
      <c r="AI28" s="12"/>
      <c r="AJ28" s="12"/>
      <c r="AK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ref="A33:D33" si="3">IF( ISNUMBER( FIND(A$3,$E33,1)),   IF( ISNUMBER( VALUE(MID($E33,FIND(A$3,$E33,1)+2,1)) ), VALUE( MID($E33,FIND(A$3,$E33,1)+2,1) ),1),0)</f>
        <v>0</v>
      </c>
      <c r="B33" s="66">
        <f t="shared" si="3"/>
        <v>0</v>
      </c>
      <c r="C33" s="66">
        <f t="shared" si="3"/>
        <v>0</v>
      </c>
      <c r="D33" s="66">
        <f t="shared" si="3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35</v>
      </c>
      <c r="D34" s="71">
        <f>MATCH(C34,$E$4:$E$33)</f>
        <v>22</v>
      </c>
      <c r="E34" s="23" t="str">
        <f ca="1">OFFSET($E$3:$AL$3,$D34,0)</f>
        <v>H (Ar)</v>
      </c>
      <c r="F34" s="26">
        <f t="shared" ref="F34:AL37" ca="1" si="4">OFFSET($E$3:$AL$3,$D34,0)</f>
        <v>-18.82</v>
      </c>
      <c r="G34" s="26">
        <f t="shared" ca="1" si="4"/>
        <v>-18.809999999999999</v>
      </c>
      <c r="H34" s="26">
        <f t="shared" ca="1" si="4"/>
        <v>-18.8</v>
      </c>
      <c r="I34" s="26">
        <f t="shared" ca="1" si="4"/>
        <v>-18.809999999999999</v>
      </c>
      <c r="J34" s="26">
        <f t="shared" ca="1" si="4"/>
        <v>-18.82</v>
      </c>
      <c r="K34" s="26">
        <f t="shared" ca="1" si="4"/>
        <v>-18.84</v>
      </c>
      <c r="L34" s="26">
        <f t="shared" ca="1" si="4"/>
        <v>-18.87</v>
      </c>
      <c r="M34" s="26">
        <f t="shared" ca="1" si="4"/>
        <v>-18.899999999999999</v>
      </c>
      <c r="N34" s="26">
        <f t="shared" ca="1" si="4"/>
        <v>-18.93</v>
      </c>
      <c r="O34" s="26">
        <f t="shared" ca="1" si="4"/>
        <v>-19.059999999999999</v>
      </c>
      <c r="P34" s="26">
        <f t="shared" ca="1" si="4"/>
        <v>-19.100000000000001</v>
      </c>
      <c r="Q34" s="26">
        <f t="shared" ca="1" si="4"/>
        <v>-19.14</v>
      </c>
      <c r="R34" s="26">
        <f t="shared" ca="1" si="4"/>
        <v>-19.18</v>
      </c>
      <c r="S34" s="26">
        <f t="shared" ca="1" si="4"/>
        <v>-19.22</v>
      </c>
      <c r="T34" s="26">
        <f t="shared" ca="1" si="4"/>
        <v>-19.260000000000002</v>
      </c>
      <c r="U34" s="154">
        <f t="shared" ca="1" si="4"/>
        <v>-19.3</v>
      </c>
      <c r="V34" s="155">
        <f t="shared" ca="1" si="4"/>
        <v>-19.34</v>
      </c>
      <c r="W34" s="160">
        <f t="shared" ca="1" si="4"/>
        <v>-19.37</v>
      </c>
      <c r="X34" s="26">
        <f t="shared" ca="1" si="4"/>
        <v>-19.43</v>
      </c>
      <c r="Y34" s="26">
        <f t="shared" ca="1" si="4"/>
        <v>-19.47</v>
      </c>
      <c r="Z34" s="26">
        <f t="shared" ca="1" si="4"/>
        <v>-19.510000000000002</v>
      </c>
      <c r="AA34" s="26">
        <f t="shared" ca="1" si="4"/>
        <v>-19.55</v>
      </c>
      <c r="AB34" s="26">
        <f t="shared" ca="1" si="4"/>
        <v>-19.59</v>
      </c>
      <c r="AC34" s="26">
        <f t="shared" ca="1" si="4"/>
        <v>-19.739999999999998</v>
      </c>
      <c r="AD34" s="26">
        <f t="shared" ca="1" si="4"/>
        <v>-19.77</v>
      </c>
      <c r="AE34" s="26">
        <f t="shared" ca="1" si="4"/>
        <v>-19.809999999999999</v>
      </c>
      <c r="AF34" s="26">
        <f t="shared" ca="1" si="4"/>
        <v>-19.850000000000001</v>
      </c>
      <c r="AG34" s="26">
        <f t="shared" ca="1" si="4"/>
        <v>-19.88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s="59" customFormat="1" ht="21" customHeight="1" outlineLevel="1" thickBot="1" x14ac:dyDescent="0.4">
      <c r="A35" s="53">
        <f>$A$2</f>
        <v>700</v>
      </c>
      <c r="B35" s="125">
        <v>1</v>
      </c>
      <c r="C35" s="23" t="s">
        <v>5</v>
      </c>
      <c r="D35" s="71">
        <f t="shared" ref="D35:D37" si="5">MATCH(C35,$E$4:$E$33)</f>
        <v>23</v>
      </c>
      <c r="E35" s="23" t="str">
        <f t="shared" ref="E35:E37" ca="1" si="6">OFFSET($E$3:$AL$3,$D35,0)</f>
        <v>H (Ga)</v>
      </c>
      <c r="F35" s="26">
        <f t="shared" ca="1" si="4"/>
        <v>-66.36</v>
      </c>
      <c r="G35" s="26">
        <f t="shared" ca="1" si="4"/>
        <v>-61.96</v>
      </c>
      <c r="H35" s="26">
        <f t="shared" ca="1" si="4"/>
        <v>-57.78</v>
      </c>
      <c r="I35" s="26">
        <f t="shared" ca="1" si="4"/>
        <v>-53.6</v>
      </c>
      <c r="J35" s="26">
        <f t="shared" ca="1" si="4"/>
        <v>-49.48</v>
      </c>
      <c r="K35" s="26">
        <f t="shared" ca="1" si="4"/>
        <v>-45.55</v>
      </c>
      <c r="L35" s="26">
        <f t="shared" ca="1" si="4"/>
        <v>-41.9</v>
      </c>
      <c r="M35" s="26">
        <f t="shared" ca="1" si="4"/>
        <v>-38.58</v>
      </c>
      <c r="N35" s="26">
        <f t="shared" ca="1" si="4"/>
        <v>-35.61</v>
      </c>
      <c r="O35" s="26">
        <f t="shared" ca="1" si="4"/>
        <v>-26.13</v>
      </c>
      <c r="P35" s="26">
        <f t="shared" ca="1" si="4"/>
        <v>-24.06</v>
      </c>
      <c r="Q35" s="26">
        <f t="shared" ca="1" si="4"/>
        <v>-22.1</v>
      </c>
      <c r="R35" s="26">
        <f t="shared" ca="1" si="4"/>
        <v>-20.239999999999998</v>
      </c>
      <c r="S35" s="26">
        <f t="shared" ca="1" si="4"/>
        <v>-18.489999999999998</v>
      </c>
      <c r="T35" s="26">
        <f t="shared" ca="1" si="4"/>
        <v>-16.829999999999998</v>
      </c>
      <c r="U35" s="154">
        <f t="shared" ca="1" si="4"/>
        <v>-15.27</v>
      </c>
      <c r="V35" s="155">
        <f t="shared" ca="1" si="4"/>
        <v>-13.8</v>
      </c>
      <c r="W35" s="160">
        <f t="shared" ca="1" si="4"/>
        <v>-12.48</v>
      </c>
      <c r="X35" s="26">
        <f t="shared" ca="1" si="4"/>
        <v>-9.391</v>
      </c>
      <c r="Y35" s="26">
        <f t="shared" ca="1" si="4"/>
        <v>-8.8940000000000001</v>
      </c>
      <c r="Z35" s="26">
        <f t="shared" ca="1" si="4"/>
        <v>-8.4309999999999992</v>
      </c>
      <c r="AA35" s="26">
        <f t="shared" ca="1" si="4"/>
        <v>-7.9980000000000002</v>
      </c>
      <c r="AB35" s="26">
        <f t="shared" ca="1" si="4"/>
        <v>-7.6219999999999999</v>
      </c>
      <c r="AC35" s="26">
        <f t="shared" ca="1" si="4"/>
        <v>-7.9009999999999998</v>
      </c>
      <c r="AD35" s="26">
        <f t="shared" ca="1" si="4"/>
        <v>-7.9690000000000003</v>
      </c>
      <c r="AE35" s="26">
        <f t="shared" ca="1" si="4"/>
        <v>-8.0350000000000001</v>
      </c>
      <c r="AF35" s="26">
        <f t="shared" ca="1" si="4"/>
        <v>-8.1010000000000009</v>
      </c>
      <c r="AG35" s="26">
        <f t="shared" ca="1" si="4"/>
        <v>-8.1660000000000004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s="59" customFormat="1" ht="21" customHeight="1" outlineLevel="1" x14ac:dyDescent="0.35">
      <c r="C36" s="23" t="s">
        <v>6</v>
      </c>
      <c r="D36" s="71">
        <f t="shared" si="5"/>
        <v>24</v>
      </c>
      <c r="E36" s="23" t="str">
        <f t="shared" ca="1" si="6"/>
        <v>H (Ge)</v>
      </c>
      <c r="F36" s="26">
        <f t="shared" ca="1" si="4"/>
        <v>-17.13</v>
      </c>
      <c r="G36" s="26">
        <f t="shared" ca="1" si="4"/>
        <v>-16.2</v>
      </c>
      <c r="H36" s="26">
        <f t="shared" ca="1" si="4"/>
        <v>-15.1</v>
      </c>
      <c r="I36" s="26">
        <f t="shared" ca="1" si="4"/>
        <v>-13.78</v>
      </c>
      <c r="J36" s="26">
        <f t="shared" ca="1" si="4"/>
        <v>-12.35</v>
      </c>
      <c r="K36" s="26">
        <f t="shared" ca="1" si="4"/>
        <v>-10.94</v>
      </c>
      <c r="L36" s="26">
        <f t="shared" ca="1" si="4"/>
        <v>-9.6310000000000002</v>
      </c>
      <c r="M36" s="26">
        <f t="shared" ca="1" si="4"/>
        <v>-8.4689999999999994</v>
      </c>
      <c r="N36" s="26">
        <f t="shared" ca="1" si="4"/>
        <v>-7.5140000000000002</v>
      </c>
      <c r="O36" s="26">
        <f t="shared" ca="1" si="4"/>
        <v>-5.98</v>
      </c>
      <c r="P36" s="26">
        <f t="shared" ca="1" si="4"/>
        <v>-5.9509999999999996</v>
      </c>
      <c r="Q36" s="26">
        <f t="shared" ca="1" si="4"/>
        <v>-5.9649999999999999</v>
      </c>
      <c r="R36" s="26">
        <f t="shared" ca="1" si="4"/>
        <v>-5.9980000000000002</v>
      </c>
      <c r="S36" s="26">
        <f t="shared" ca="1" si="4"/>
        <v>-6.0410000000000004</v>
      </c>
      <c r="T36" s="26">
        <f t="shared" ca="1" si="4"/>
        <v>-6.0880000000000001</v>
      </c>
      <c r="U36" s="155">
        <f t="shared" ca="1" si="4"/>
        <v>-6.1379999999999999</v>
      </c>
      <c r="V36" s="155">
        <f t="shared" ca="1" si="4"/>
        <v>-6.1980000000000004</v>
      </c>
      <c r="W36" s="160">
        <f t="shared" ca="1" si="4"/>
        <v>-6.2850000000000001</v>
      </c>
      <c r="X36" s="26">
        <f t="shared" ca="1" si="4"/>
        <v>-6.7809999999999997</v>
      </c>
      <c r="Y36" s="26">
        <f t="shared" ca="1" si="4"/>
        <v>-6.8440000000000003</v>
      </c>
      <c r="Z36" s="26">
        <f t="shared" ca="1" si="4"/>
        <v>-6.9050000000000002</v>
      </c>
      <c r="AA36" s="26">
        <f t="shared" ca="1" si="4"/>
        <v>-6.9660000000000002</v>
      </c>
      <c r="AB36" s="26">
        <f t="shared" ca="1" si="4"/>
        <v>-7.0279999999999996</v>
      </c>
      <c r="AC36" s="26">
        <f t="shared" ca="1" si="4"/>
        <v>-7.1989999999999998</v>
      </c>
      <c r="AD36" s="26">
        <f t="shared" ca="1" si="4"/>
        <v>-7.2430000000000003</v>
      </c>
      <c r="AE36" s="26">
        <f t="shared" ca="1" si="4"/>
        <v>-7.2880000000000003</v>
      </c>
      <c r="AF36" s="26">
        <f t="shared" ca="1" si="4"/>
        <v>-7.3330000000000002</v>
      </c>
      <c r="AG36" s="26">
        <f t="shared" ca="1" si="4"/>
        <v>-7.3780000000000001</v>
      </c>
      <c r="AH36" s="26">
        <f t="shared" ca="1" si="4"/>
        <v>0</v>
      </c>
      <c r="AI36" s="26">
        <f t="shared" ca="1" si="4"/>
        <v>0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5"/>
        <v>25</v>
      </c>
      <c r="E37" s="23" t="str">
        <f t="shared" ca="1" si="6"/>
        <v>H (Se)</v>
      </c>
      <c r="F37" s="26">
        <f t="shared" ca="1" si="4"/>
        <v>-23.56</v>
      </c>
      <c r="G37" s="26">
        <f t="shared" ca="1" si="4"/>
        <v>-22.35</v>
      </c>
      <c r="H37" s="26">
        <f t="shared" ca="1" si="4"/>
        <v>-21.56</v>
      </c>
      <c r="I37" s="26">
        <f t="shared" ca="1" si="4"/>
        <v>-21.22</v>
      </c>
      <c r="J37" s="26">
        <f t="shared" ca="1" si="4"/>
        <v>-21.21</v>
      </c>
      <c r="K37" s="26">
        <f t="shared" ca="1" si="4"/>
        <v>-21.39</v>
      </c>
      <c r="L37" s="26">
        <f t="shared" ca="1" si="4"/>
        <v>-21.64</v>
      </c>
      <c r="M37" s="26">
        <f t="shared" ca="1" si="4"/>
        <v>-21.89</v>
      </c>
      <c r="N37" s="26">
        <f t="shared" ca="1" si="4"/>
        <v>-22.11</v>
      </c>
      <c r="O37" s="26">
        <f t="shared" ca="1" si="4"/>
        <v>-22.89</v>
      </c>
      <c r="P37" s="26">
        <f t="shared" ca="1" si="4"/>
        <v>-23.15</v>
      </c>
      <c r="Q37" s="26">
        <f t="shared" ca="1" si="4"/>
        <v>-23.44</v>
      </c>
      <c r="R37" s="26">
        <f t="shared" ca="1" si="4"/>
        <v>-23.72</v>
      </c>
      <c r="S37" s="26">
        <f t="shared" ca="1" si="4"/>
        <v>-24.01</v>
      </c>
      <c r="T37" s="26">
        <f t="shared" ca="1" si="4"/>
        <v>-24.3</v>
      </c>
      <c r="U37" s="155">
        <f t="shared" ca="1" si="4"/>
        <v>-24.58</v>
      </c>
      <c r="V37" s="155">
        <f t="shared" ca="1" si="4"/>
        <v>-24.86</v>
      </c>
      <c r="W37" s="160">
        <f t="shared" ca="1" si="4"/>
        <v>-25.12</v>
      </c>
      <c r="X37" s="26">
        <f t="shared" ca="1" si="4"/>
        <v>-26.08</v>
      </c>
      <c r="Y37" s="26">
        <f t="shared" ca="1" si="4"/>
        <v>-26.34</v>
      </c>
      <c r="Z37" s="26">
        <f t="shared" ca="1" si="4"/>
        <v>-26.61</v>
      </c>
      <c r="AA37" s="26">
        <f t="shared" ca="1" si="4"/>
        <v>-26.87</v>
      </c>
      <c r="AB37" s="26">
        <f t="shared" ca="1" si="4"/>
        <v>-27.12</v>
      </c>
      <c r="AC37" s="26">
        <f t="shared" ca="1" si="4"/>
        <v>-27.95</v>
      </c>
      <c r="AD37" s="26">
        <f t="shared" ca="1" si="4"/>
        <v>-28.19</v>
      </c>
      <c r="AE37" s="26">
        <f t="shared" ca="1" si="4"/>
        <v>-28.43</v>
      </c>
      <c r="AF37" s="26">
        <f t="shared" ca="1" si="4"/>
        <v>-28.66</v>
      </c>
      <c r="AG37" s="26">
        <f t="shared" ca="1" si="4"/>
        <v>-28.9</v>
      </c>
      <c r="AH37" s="26">
        <f t="shared" ca="1" si="4"/>
        <v>0</v>
      </c>
      <c r="AI37" s="26">
        <f t="shared" ca="1" si="4"/>
        <v>0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s="59" customFormat="1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7">G3</f>
        <v>293.3</v>
      </c>
      <c r="H40" s="19">
        <f t="shared" si="7"/>
        <v>313.5</v>
      </c>
      <c r="I40" s="19">
        <f t="shared" si="7"/>
        <v>333.7</v>
      </c>
      <c r="J40" s="19">
        <f t="shared" si="7"/>
        <v>353.9</v>
      </c>
      <c r="K40" s="19">
        <f t="shared" si="7"/>
        <v>374.1</v>
      </c>
      <c r="L40" s="19">
        <f t="shared" si="7"/>
        <v>394.3</v>
      </c>
      <c r="M40" s="19">
        <f t="shared" si="7"/>
        <v>414.5</v>
      </c>
      <c r="N40" s="19">
        <f t="shared" si="7"/>
        <v>434.7</v>
      </c>
      <c r="O40" s="19">
        <f t="shared" si="7"/>
        <v>515.4</v>
      </c>
      <c r="P40" s="19">
        <f t="shared" si="7"/>
        <v>535.6</v>
      </c>
      <c r="Q40" s="19">
        <f t="shared" si="7"/>
        <v>555.79999999999995</v>
      </c>
      <c r="R40" s="19">
        <f t="shared" si="7"/>
        <v>576</v>
      </c>
      <c r="S40" s="19">
        <f t="shared" si="7"/>
        <v>596.20000000000005</v>
      </c>
      <c r="T40" s="19">
        <f t="shared" si="7"/>
        <v>616.4</v>
      </c>
      <c r="U40" s="19">
        <f t="shared" si="7"/>
        <v>636.6</v>
      </c>
      <c r="V40" s="19">
        <f t="shared" si="7"/>
        <v>656.8</v>
      </c>
      <c r="W40" s="19">
        <f t="shared" si="7"/>
        <v>677</v>
      </c>
      <c r="X40" s="19">
        <f t="shared" si="7"/>
        <v>757.7</v>
      </c>
      <c r="Y40" s="19">
        <f t="shared" si="7"/>
        <v>777.9</v>
      </c>
      <c r="Z40" s="19">
        <f t="shared" si="7"/>
        <v>798.1</v>
      </c>
      <c r="AA40" s="19">
        <f t="shared" si="7"/>
        <v>818.3</v>
      </c>
      <c r="AB40" s="19">
        <f t="shared" si="7"/>
        <v>838.5</v>
      </c>
      <c r="AC40" s="19">
        <f t="shared" si="7"/>
        <v>919.2</v>
      </c>
      <c r="AD40" s="19">
        <f t="shared" si="7"/>
        <v>939.4</v>
      </c>
      <c r="AE40" s="19">
        <f t="shared" si="7"/>
        <v>959.6</v>
      </c>
      <c r="AF40" s="19">
        <f t="shared" si="7"/>
        <v>979.8</v>
      </c>
      <c r="AG40" s="19">
        <f t="shared" si="7"/>
        <v>1000</v>
      </c>
      <c r="AH40" s="19">
        <f t="shared" si="7"/>
        <v>0</v>
      </c>
      <c r="AI40" s="19">
        <f t="shared" si="7"/>
        <v>0</v>
      </c>
      <c r="AJ40" s="19">
        <f t="shared" si="7"/>
        <v>0</v>
      </c>
      <c r="AK40" s="19">
        <f t="shared" si="7"/>
        <v>0</v>
      </c>
      <c r="AL40" s="19">
        <f t="shared" si="7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8">($B$41*H.Ge+$C$41*H.Ga+$D$41*H.Se)*F$40*$B$2/1000</f>
        <v>-350.0722695915</v>
      </c>
      <c r="G41" s="21">
        <f t="shared" ca="1" si="8"/>
        <v>-354.11532824850002</v>
      </c>
      <c r="H41" s="21">
        <f t="shared" ca="1" si="8"/>
        <v>-358.56331137000001</v>
      </c>
      <c r="I41" s="21">
        <f t="shared" ca="1" si="8"/>
        <v>-363.57685509600003</v>
      </c>
      <c r="J41" s="21">
        <f t="shared" ca="1" si="8"/>
        <v>-369.16624446300006</v>
      </c>
      <c r="K41" s="21">
        <f t="shared" ca="1" si="8"/>
        <v>-375.30743393700004</v>
      </c>
      <c r="L41" s="21">
        <f t="shared" ca="1" si="8"/>
        <v>-381.77381431485003</v>
      </c>
      <c r="M41" s="21">
        <f t="shared" ca="1" si="8"/>
        <v>-388.47028101975002</v>
      </c>
      <c r="N41" s="21">
        <f t="shared" ca="1" si="8"/>
        <v>-395.60103152010004</v>
      </c>
      <c r="O41" s="21">
        <f t="shared" ca="1" si="8"/>
        <v>-431.87185877400003</v>
      </c>
      <c r="P41" s="21">
        <f t="shared" ca="1" si="8"/>
        <v>-442.92432029820003</v>
      </c>
      <c r="Q41" s="21">
        <f t="shared" ca="1" si="8"/>
        <v>-454.65667345350005</v>
      </c>
      <c r="R41" s="21">
        <f t="shared" ca="1" si="8"/>
        <v>-466.45382649600003</v>
      </c>
      <c r="S41" s="21">
        <f t="shared" ca="1" si="8"/>
        <v>-478.6630062489001</v>
      </c>
      <c r="T41" s="21">
        <f t="shared" ca="1" si="8"/>
        <v>-491.07278828040012</v>
      </c>
      <c r="U41" s="21">
        <f t="shared" ca="1" si="8"/>
        <v>-503.61938208360004</v>
      </c>
      <c r="V41" s="21">
        <f t="shared" ca="1" si="8"/>
        <v>-516.4870153608</v>
      </c>
      <c r="W41" s="21">
        <f t="shared" ca="1" si="8"/>
        <v>-529.82176556249999</v>
      </c>
      <c r="X41" s="21">
        <f t="shared" ca="1" si="8"/>
        <v>-594.7858425198001</v>
      </c>
      <c r="Y41" s="21">
        <f t="shared" ca="1" si="8"/>
        <v>-612.88048765889994</v>
      </c>
      <c r="Z41" s="21">
        <f t="shared" ca="1" si="8"/>
        <v>-631.50277595670002</v>
      </c>
      <c r="AA41" s="21">
        <f t="shared" ca="1" si="8"/>
        <v>-650.26211382090003</v>
      </c>
      <c r="AB41" s="21">
        <f t="shared" ca="1" si="8"/>
        <v>-669.35370908250002</v>
      </c>
      <c r="AC41" s="21">
        <f t="shared" ca="1" si="8"/>
        <v>-756.24401718000013</v>
      </c>
      <c r="AD41" s="21">
        <f t="shared" ca="1" si="8"/>
        <v>-779.36141019659999</v>
      </c>
      <c r="AE41" s="21">
        <f t="shared" ca="1" si="8"/>
        <v>-802.75029824460012</v>
      </c>
      <c r="AF41" s="21">
        <f t="shared" ca="1" si="8"/>
        <v>-826.17392759940003</v>
      </c>
      <c r="AG41" s="21">
        <f t="shared" ca="1" si="8"/>
        <v>-850.10773799999993</v>
      </c>
      <c r="AH41" s="21">
        <f t="shared" ca="1" si="8"/>
        <v>0</v>
      </c>
      <c r="AI41" s="21">
        <f t="shared" ca="1" si="8"/>
        <v>0</v>
      </c>
      <c r="AJ41" s="21">
        <f t="shared" ca="1" si="8"/>
        <v>0</v>
      </c>
      <c r="AK41" s="21">
        <f t="shared" ca="1" si="8"/>
        <v>0</v>
      </c>
      <c r="AL41" s="21">
        <f t="shared" ca="1" si="8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E44" s="59"/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9">E3</f>
        <v>0</v>
      </c>
      <c r="F49" s="8">
        <f t="shared" si="9"/>
        <v>273.10000000000002</v>
      </c>
      <c r="G49" s="8">
        <f t="shared" ref="G49:AL49" si="10">G3</f>
        <v>293.3</v>
      </c>
      <c r="H49" s="8">
        <f t="shared" si="10"/>
        <v>313.5</v>
      </c>
      <c r="I49" s="8">
        <f t="shared" si="10"/>
        <v>333.7</v>
      </c>
      <c r="J49" s="8">
        <f t="shared" si="10"/>
        <v>353.9</v>
      </c>
      <c r="K49" s="8">
        <f t="shared" si="10"/>
        <v>374.1</v>
      </c>
      <c r="L49" s="8">
        <f t="shared" si="10"/>
        <v>394.3</v>
      </c>
      <c r="M49" s="8">
        <f t="shared" si="10"/>
        <v>414.5</v>
      </c>
      <c r="N49" s="8">
        <f t="shared" si="10"/>
        <v>434.7</v>
      </c>
      <c r="O49" s="8">
        <f t="shared" si="10"/>
        <v>515.4</v>
      </c>
      <c r="P49" s="8">
        <f t="shared" si="10"/>
        <v>535.6</v>
      </c>
      <c r="Q49" s="8">
        <f t="shared" si="10"/>
        <v>555.79999999999995</v>
      </c>
      <c r="R49" s="8">
        <f t="shared" si="10"/>
        <v>576</v>
      </c>
      <c r="S49" s="8">
        <f t="shared" si="10"/>
        <v>596.20000000000005</v>
      </c>
      <c r="T49" s="8">
        <f t="shared" si="10"/>
        <v>616.4</v>
      </c>
      <c r="U49" s="8">
        <f t="shared" si="10"/>
        <v>636.6</v>
      </c>
      <c r="V49" s="8">
        <f t="shared" si="10"/>
        <v>656.8</v>
      </c>
      <c r="W49" s="8">
        <f t="shared" si="10"/>
        <v>677</v>
      </c>
      <c r="X49" s="8">
        <f t="shared" si="10"/>
        <v>757.7</v>
      </c>
      <c r="Y49" s="8">
        <f t="shared" si="10"/>
        <v>777.9</v>
      </c>
      <c r="Z49" s="8">
        <f t="shared" si="10"/>
        <v>798.1</v>
      </c>
      <c r="AA49" s="8">
        <f t="shared" si="10"/>
        <v>818.3</v>
      </c>
      <c r="AB49" s="8">
        <f t="shared" si="10"/>
        <v>838.5</v>
      </c>
      <c r="AC49" s="8">
        <f t="shared" si="10"/>
        <v>919.2</v>
      </c>
      <c r="AD49" s="8">
        <f t="shared" si="10"/>
        <v>939.4</v>
      </c>
      <c r="AE49" s="8">
        <f t="shared" si="10"/>
        <v>959.6</v>
      </c>
      <c r="AF49" s="8">
        <f t="shared" si="10"/>
        <v>979.8</v>
      </c>
      <c r="AG49" s="8">
        <f t="shared" si="10"/>
        <v>1000</v>
      </c>
      <c r="AH49" s="8">
        <f t="shared" si="10"/>
        <v>0</v>
      </c>
      <c r="AI49" s="8">
        <f t="shared" si="10"/>
        <v>0</v>
      </c>
      <c r="AJ49" s="8">
        <f t="shared" si="10"/>
        <v>0</v>
      </c>
      <c r="AK49" s="8">
        <f t="shared" si="10"/>
        <v>0</v>
      </c>
      <c r="AL49" s="8">
        <f t="shared" si="10"/>
        <v>0</v>
      </c>
    </row>
    <row r="50" spans="1:38" ht="21" hidden="1" customHeight="1" outlineLevel="1" thickTop="1" thickBot="1" x14ac:dyDescent="0.4">
      <c r="A50" s="10">
        <f t="shared" ref="A50:E59" si="11">A4</f>
        <v>0</v>
      </c>
      <c r="B50" s="10">
        <f t="shared" si="11"/>
        <v>1</v>
      </c>
      <c r="C50" s="10">
        <f t="shared" si="11"/>
        <v>1</v>
      </c>
      <c r="D50" s="10">
        <f t="shared" si="11"/>
        <v>0</v>
      </c>
      <c r="E50" s="11" t="str">
        <f t="shared" si="11"/>
        <v>*GeSe</v>
      </c>
      <c r="F50" s="26">
        <f t="shared" ref="F50:U59" ca="1" si="12">$A50*H.Ar + $B50*H.Se + $C50*H.Ge + $D50*H.Ga</f>
        <v>-40.69</v>
      </c>
      <c r="G50" s="26">
        <f t="shared" ca="1" si="12"/>
        <v>-38.549999999999997</v>
      </c>
      <c r="H50" s="26">
        <f t="shared" ca="1" si="12"/>
        <v>-36.659999999999997</v>
      </c>
      <c r="I50" s="26">
        <f t="shared" ca="1" si="12"/>
        <v>-35</v>
      </c>
      <c r="J50" s="26">
        <f t="shared" ca="1" si="12"/>
        <v>-33.56</v>
      </c>
      <c r="K50" s="26">
        <f t="shared" ca="1" si="12"/>
        <v>-32.33</v>
      </c>
      <c r="L50" s="26">
        <f t="shared" ca="1" si="12"/>
        <v>-31.271000000000001</v>
      </c>
      <c r="M50" s="26">
        <f t="shared" ca="1" si="12"/>
        <v>-30.359000000000002</v>
      </c>
      <c r="N50" s="26">
        <f t="shared" ca="1" si="12"/>
        <v>-29.623999999999999</v>
      </c>
      <c r="O50" s="26">
        <f t="shared" ca="1" si="12"/>
        <v>-28.87</v>
      </c>
      <c r="P50" s="26">
        <f t="shared" ca="1" si="12"/>
        <v>-29.100999999999999</v>
      </c>
      <c r="Q50" s="26">
        <f t="shared" ca="1" si="12"/>
        <v>-29.405000000000001</v>
      </c>
      <c r="R50" s="26">
        <f t="shared" ca="1" si="12"/>
        <v>-29.718</v>
      </c>
      <c r="S50" s="26">
        <f t="shared" ca="1" si="12"/>
        <v>-30.051000000000002</v>
      </c>
      <c r="T50" s="26">
        <f t="shared" ca="1" si="12"/>
        <v>-30.388000000000002</v>
      </c>
      <c r="U50" s="26">
        <f t="shared" ca="1" si="12"/>
        <v>-30.717999999999996</v>
      </c>
      <c r="V50" s="26">
        <f t="shared" ref="G50:AL58" ca="1" si="13">$A50*H.Ar + $B50*H.Se + $C50*H.Ge + $D50*H.Ga</f>
        <v>-31.058</v>
      </c>
      <c r="W50" s="26">
        <f t="shared" ca="1" si="13"/>
        <v>-31.405000000000001</v>
      </c>
      <c r="X50" s="26">
        <f t="shared" ca="1" si="13"/>
        <v>-32.860999999999997</v>
      </c>
      <c r="Y50" s="26">
        <f t="shared" ca="1" si="13"/>
        <v>-33.183999999999997</v>
      </c>
      <c r="Z50" s="26">
        <f t="shared" ca="1" si="13"/>
        <v>-33.515000000000001</v>
      </c>
      <c r="AA50" s="26">
        <f t="shared" ca="1" si="13"/>
        <v>-33.835999999999999</v>
      </c>
      <c r="AB50" s="26">
        <f t="shared" ca="1" si="13"/>
        <v>-34.148000000000003</v>
      </c>
      <c r="AC50" s="26">
        <f t="shared" ca="1" si="13"/>
        <v>-35.149000000000001</v>
      </c>
      <c r="AD50" s="26">
        <f t="shared" ca="1" si="13"/>
        <v>-35.433</v>
      </c>
      <c r="AE50" s="26">
        <f t="shared" ca="1" si="13"/>
        <v>-35.718000000000004</v>
      </c>
      <c r="AF50" s="26">
        <f t="shared" ca="1" si="13"/>
        <v>-35.993000000000002</v>
      </c>
      <c r="AG50" s="26">
        <f t="shared" ca="1" si="13"/>
        <v>-36.277999999999999</v>
      </c>
      <c r="AH50" s="26">
        <f t="shared" ca="1" si="13"/>
        <v>0</v>
      </c>
      <c r="AI50" s="26">
        <f t="shared" ca="1" si="13"/>
        <v>0</v>
      </c>
      <c r="AJ50" s="26">
        <f t="shared" ca="1" si="13"/>
        <v>0</v>
      </c>
      <c r="AK50" s="26">
        <f t="shared" ca="1" si="13"/>
        <v>0</v>
      </c>
      <c r="AL50" s="26">
        <f t="shared" ca="1" si="13"/>
        <v>0</v>
      </c>
    </row>
    <row r="51" spans="1:38" ht="21" hidden="1" customHeight="1" outlineLevel="1" thickBot="1" x14ac:dyDescent="0.4">
      <c r="A51" s="10">
        <f t="shared" si="11"/>
        <v>0</v>
      </c>
      <c r="B51" s="10">
        <f t="shared" si="11"/>
        <v>0</v>
      </c>
      <c r="C51" s="10">
        <f t="shared" si="11"/>
        <v>0</v>
      </c>
      <c r="D51" s="10">
        <f t="shared" si="11"/>
        <v>1</v>
      </c>
      <c r="E51" s="11" t="str">
        <f t="shared" si="11"/>
        <v>*Ga[l]</v>
      </c>
      <c r="F51" s="26">
        <f t="shared" ca="1" si="12"/>
        <v>-66.36</v>
      </c>
      <c r="G51" s="26">
        <f t="shared" ca="1" si="13"/>
        <v>-61.96</v>
      </c>
      <c r="H51" s="26">
        <f t="shared" ca="1" si="13"/>
        <v>-57.78</v>
      </c>
      <c r="I51" s="26">
        <f t="shared" ca="1" si="13"/>
        <v>-53.6</v>
      </c>
      <c r="J51" s="26">
        <f t="shared" ca="1" si="13"/>
        <v>-49.48</v>
      </c>
      <c r="K51" s="26">
        <f t="shared" ca="1" si="13"/>
        <v>-45.55</v>
      </c>
      <c r="L51" s="26">
        <f t="shared" ca="1" si="13"/>
        <v>-41.9</v>
      </c>
      <c r="M51" s="26">
        <f t="shared" ca="1" si="13"/>
        <v>-38.58</v>
      </c>
      <c r="N51" s="26">
        <f t="shared" ca="1" si="13"/>
        <v>-35.61</v>
      </c>
      <c r="O51" s="26">
        <f t="shared" ca="1" si="13"/>
        <v>-26.13</v>
      </c>
      <c r="P51" s="26">
        <f t="shared" ca="1" si="13"/>
        <v>-24.06</v>
      </c>
      <c r="Q51" s="26">
        <f t="shared" ca="1" si="13"/>
        <v>-22.1</v>
      </c>
      <c r="R51" s="26">
        <f t="shared" ca="1" si="13"/>
        <v>-20.239999999999998</v>
      </c>
      <c r="S51" s="26">
        <f t="shared" ca="1" si="13"/>
        <v>-18.489999999999998</v>
      </c>
      <c r="T51" s="26">
        <f t="shared" ca="1" si="13"/>
        <v>-16.829999999999998</v>
      </c>
      <c r="U51" s="26">
        <f t="shared" ca="1" si="13"/>
        <v>-15.27</v>
      </c>
      <c r="V51" s="26">
        <f t="shared" ca="1" si="13"/>
        <v>-13.8</v>
      </c>
      <c r="W51" s="26">
        <f t="shared" ca="1" si="13"/>
        <v>-12.48</v>
      </c>
      <c r="X51" s="26">
        <f t="shared" ca="1" si="13"/>
        <v>-9.391</v>
      </c>
      <c r="Y51" s="26">
        <f t="shared" ca="1" si="13"/>
        <v>-8.8940000000000001</v>
      </c>
      <c r="Z51" s="26">
        <f t="shared" ca="1" si="13"/>
        <v>-8.4309999999999992</v>
      </c>
      <c r="AA51" s="26">
        <f t="shared" ca="1" si="13"/>
        <v>-7.9980000000000002</v>
      </c>
      <c r="AB51" s="26">
        <f t="shared" ca="1" si="13"/>
        <v>-7.6219999999999999</v>
      </c>
      <c r="AC51" s="26">
        <f t="shared" ca="1" si="13"/>
        <v>-7.9009999999999998</v>
      </c>
      <c r="AD51" s="26">
        <f t="shared" ca="1" si="13"/>
        <v>-7.9690000000000003</v>
      </c>
      <c r="AE51" s="26">
        <f t="shared" ca="1" si="13"/>
        <v>-8.0350000000000001</v>
      </c>
      <c r="AF51" s="26">
        <f t="shared" ca="1" si="13"/>
        <v>-8.1010000000000009</v>
      </c>
      <c r="AG51" s="26">
        <f t="shared" ca="1" si="13"/>
        <v>-8.1660000000000004</v>
      </c>
      <c r="AH51" s="26">
        <f t="shared" ca="1" si="13"/>
        <v>0</v>
      </c>
      <c r="AI51" s="26">
        <f t="shared" ca="1" si="13"/>
        <v>0</v>
      </c>
      <c r="AJ51" s="26">
        <f t="shared" ca="1" si="13"/>
        <v>0</v>
      </c>
      <c r="AK51" s="26">
        <f t="shared" ca="1" si="13"/>
        <v>0</v>
      </c>
      <c r="AL51" s="26">
        <f t="shared" ca="1" si="13"/>
        <v>0</v>
      </c>
    </row>
    <row r="52" spans="1:38" ht="21" hidden="1" customHeight="1" outlineLevel="1" thickBot="1" x14ac:dyDescent="0.4">
      <c r="A52" s="10">
        <f t="shared" si="11"/>
        <v>0</v>
      </c>
      <c r="B52" s="10">
        <f t="shared" si="11"/>
        <v>1</v>
      </c>
      <c r="C52" s="10">
        <f t="shared" si="11"/>
        <v>0</v>
      </c>
      <c r="D52" s="10">
        <f t="shared" si="11"/>
        <v>0</v>
      </c>
      <c r="E52" s="11" t="str">
        <f t="shared" si="11"/>
        <v>*Se[m]</v>
      </c>
      <c r="F52" s="26">
        <f t="shared" ca="1" si="12"/>
        <v>-23.56</v>
      </c>
      <c r="G52" s="26">
        <f t="shared" ca="1" si="13"/>
        <v>-22.35</v>
      </c>
      <c r="H52" s="26">
        <f t="shared" ca="1" si="13"/>
        <v>-21.56</v>
      </c>
      <c r="I52" s="26">
        <f t="shared" ca="1" si="13"/>
        <v>-21.22</v>
      </c>
      <c r="J52" s="26">
        <f t="shared" ca="1" si="13"/>
        <v>-21.21</v>
      </c>
      <c r="K52" s="26">
        <f t="shared" ca="1" si="13"/>
        <v>-21.39</v>
      </c>
      <c r="L52" s="26">
        <f t="shared" ca="1" si="13"/>
        <v>-21.64</v>
      </c>
      <c r="M52" s="26">
        <f t="shared" ca="1" si="13"/>
        <v>-21.89</v>
      </c>
      <c r="N52" s="26">
        <f t="shared" ca="1" si="13"/>
        <v>-22.11</v>
      </c>
      <c r="O52" s="26">
        <f t="shared" ca="1" si="13"/>
        <v>-22.89</v>
      </c>
      <c r="P52" s="26">
        <f t="shared" ca="1" si="13"/>
        <v>-23.15</v>
      </c>
      <c r="Q52" s="26">
        <f t="shared" ca="1" si="13"/>
        <v>-23.44</v>
      </c>
      <c r="R52" s="26">
        <f t="shared" ca="1" si="13"/>
        <v>-23.72</v>
      </c>
      <c r="S52" s="26">
        <f t="shared" ca="1" si="13"/>
        <v>-24.01</v>
      </c>
      <c r="T52" s="26">
        <f t="shared" ca="1" si="13"/>
        <v>-24.3</v>
      </c>
      <c r="U52" s="26">
        <f t="shared" ca="1" si="13"/>
        <v>-24.58</v>
      </c>
      <c r="V52" s="26">
        <f t="shared" ca="1" si="13"/>
        <v>-24.86</v>
      </c>
      <c r="W52" s="26">
        <f t="shared" ca="1" si="13"/>
        <v>-25.12</v>
      </c>
      <c r="X52" s="26">
        <f t="shared" ca="1" si="13"/>
        <v>-26.08</v>
      </c>
      <c r="Y52" s="26">
        <f t="shared" ca="1" si="13"/>
        <v>-26.34</v>
      </c>
      <c r="Z52" s="26">
        <f t="shared" ca="1" si="13"/>
        <v>-26.61</v>
      </c>
      <c r="AA52" s="26">
        <f t="shared" ca="1" si="13"/>
        <v>-26.87</v>
      </c>
      <c r="AB52" s="26">
        <f t="shared" ca="1" si="13"/>
        <v>-27.12</v>
      </c>
      <c r="AC52" s="26">
        <f t="shared" ca="1" si="13"/>
        <v>-27.95</v>
      </c>
      <c r="AD52" s="26">
        <f t="shared" ca="1" si="13"/>
        <v>-28.19</v>
      </c>
      <c r="AE52" s="26">
        <f t="shared" ca="1" si="13"/>
        <v>-28.43</v>
      </c>
      <c r="AF52" s="26">
        <f t="shared" ca="1" si="13"/>
        <v>-28.66</v>
      </c>
      <c r="AG52" s="26">
        <f t="shared" ca="1" si="13"/>
        <v>-28.9</v>
      </c>
      <c r="AH52" s="26">
        <f t="shared" ca="1" si="13"/>
        <v>0</v>
      </c>
      <c r="AI52" s="26">
        <f t="shared" ca="1" si="13"/>
        <v>0</v>
      </c>
      <c r="AJ52" s="26">
        <f t="shared" ca="1" si="13"/>
        <v>0</v>
      </c>
      <c r="AK52" s="26">
        <f t="shared" ca="1" si="13"/>
        <v>0</v>
      </c>
      <c r="AL52" s="26">
        <f t="shared" ca="1" si="13"/>
        <v>0</v>
      </c>
    </row>
    <row r="53" spans="1:38" ht="21" hidden="1" customHeight="1" outlineLevel="1" thickBot="1" x14ac:dyDescent="0.4">
      <c r="A53" s="10">
        <f t="shared" si="11"/>
        <v>0</v>
      </c>
      <c r="B53" s="10">
        <f t="shared" si="11"/>
        <v>2</v>
      </c>
      <c r="C53" s="10">
        <f t="shared" si="11"/>
        <v>1</v>
      </c>
      <c r="D53" s="10">
        <f t="shared" si="11"/>
        <v>0</v>
      </c>
      <c r="E53" s="11" t="str">
        <f t="shared" si="11"/>
        <v>*GeSe2</v>
      </c>
      <c r="F53" s="26">
        <f t="shared" ca="1" si="12"/>
        <v>-64.25</v>
      </c>
      <c r="G53" s="26">
        <f t="shared" ca="1" si="13"/>
        <v>-60.900000000000006</v>
      </c>
      <c r="H53" s="26">
        <f t="shared" ca="1" si="13"/>
        <v>-58.22</v>
      </c>
      <c r="I53" s="26">
        <f t="shared" ca="1" si="13"/>
        <v>-56.22</v>
      </c>
      <c r="J53" s="26">
        <f t="shared" ca="1" si="13"/>
        <v>-54.77</v>
      </c>
      <c r="K53" s="26">
        <f t="shared" ca="1" si="13"/>
        <v>-53.72</v>
      </c>
      <c r="L53" s="26">
        <f t="shared" ca="1" si="13"/>
        <v>-52.911000000000001</v>
      </c>
      <c r="M53" s="26">
        <f t="shared" ca="1" si="13"/>
        <v>-52.249000000000002</v>
      </c>
      <c r="N53" s="26">
        <f t="shared" ca="1" si="13"/>
        <v>-51.734000000000002</v>
      </c>
      <c r="O53" s="26">
        <f t="shared" ca="1" si="13"/>
        <v>-51.760000000000005</v>
      </c>
      <c r="P53" s="26">
        <f t="shared" ca="1" si="13"/>
        <v>-52.250999999999998</v>
      </c>
      <c r="Q53" s="26">
        <f t="shared" ca="1" si="13"/>
        <v>-52.844999999999999</v>
      </c>
      <c r="R53" s="26">
        <f t="shared" ca="1" si="13"/>
        <v>-53.437999999999995</v>
      </c>
      <c r="S53" s="26">
        <f t="shared" ca="1" si="13"/>
        <v>-54.061000000000007</v>
      </c>
      <c r="T53" s="26">
        <f t="shared" ca="1" si="13"/>
        <v>-54.688000000000002</v>
      </c>
      <c r="U53" s="26">
        <f t="shared" ca="1" si="13"/>
        <v>-55.297999999999995</v>
      </c>
      <c r="V53" s="26">
        <f t="shared" ca="1" si="13"/>
        <v>-55.917999999999999</v>
      </c>
      <c r="W53" s="26">
        <f t="shared" ca="1" si="13"/>
        <v>-56.525000000000006</v>
      </c>
      <c r="X53" s="26">
        <f t="shared" ca="1" si="13"/>
        <v>-58.940999999999995</v>
      </c>
      <c r="Y53" s="26">
        <f t="shared" ca="1" si="13"/>
        <v>-59.524000000000001</v>
      </c>
      <c r="Z53" s="26">
        <f t="shared" ca="1" si="13"/>
        <v>-60.125</v>
      </c>
      <c r="AA53" s="26">
        <f t="shared" ca="1" si="13"/>
        <v>-60.706000000000003</v>
      </c>
      <c r="AB53" s="26">
        <f t="shared" ca="1" si="13"/>
        <v>-61.268000000000001</v>
      </c>
      <c r="AC53" s="26">
        <f t="shared" ca="1" si="13"/>
        <v>-63.098999999999997</v>
      </c>
      <c r="AD53" s="26">
        <f t="shared" ca="1" si="13"/>
        <v>-63.623000000000005</v>
      </c>
      <c r="AE53" s="26">
        <f t="shared" ca="1" si="13"/>
        <v>-64.147999999999996</v>
      </c>
      <c r="AF53" s="26">
        <f t="shared" ca="1" si="13"/>
        <v>-64.653000000000006</v>
      </c>
      <c r="AG53" s="26">
        <f t="shared" ca="1" si="13"/>
        <v>-65.177999999999997</v>
      </c>
      <c r="AH53" s="26">
        <f t="shared" ca="1" si="13"/>
        <v>0</v>
      </c>
      <c r="AI53" s="26">
        <f t="shared" ca="1" si="13"/>
        <v>0</v>
      </c>
      <c r="AJ53" s="26">
        <f t="shared" ca="1" si="13"/>
        <v>0</v>
      </c>
      <c r="AK53" s="26">
        <f t="shared" ca="1" si="13"/>
        <v>0</v>
      </c>
      <c r="AL53" s="26">
        <f t="shared" ca="1" si="13"/>
        <v>0</v>
      </c>
    </row>
    <row r="54" spans="1:38" ht="21" hidden="1" customHeight="1" outlineLevel="1" thickBot="1" x14ac:dyDescent="0.4">
      <c r="A54" s="10">
        <f t="shared" si="11"/>
        <v>0</v>
      </c>
      <c r="B54" s="10">
        <f t="shared" si="11"/>
        <v>3</v>
      </c>
      <c r="C54" s="10">
        <f t="shared" si="11"/>
        <v>0</v>
      </c>
      <c r="D54" s="10">
        <f t="shared" si="11"/>
        <v>2</v>
      </c>
      <c r="E54" s="11" t="str">
        <f t="shared" si="11"/>
        <v>Ga2Se3</v>
      </c>
      <c r="F54" s="26">
        <f t="shared" ca="1" si="12"/>
        <v>-203.39999999999998</v>
      </c>
      <c r="G54" s="26">
        <f t="shared" ca="1" si="13"/>
        <v>-190.97000000000003</v>
      </c>
      <c r="H54" s="26">
        <f t="shared" ca="1" si="13"/>
        <v>-180.24</v>
      </c>
      <c r="I54" s="26">
        <f t="shared" ca="1" si="13"/>
        <v>-170.86</v>
      </c>
      <c r="J54" s="26">
        <f t="shared" ca="1" si="13"/>
        <v>-162.59</v>
      </c>
      <c r="K54" s="26">
        <f t="shared" ca="1" si="13"/>
        <v>-155.26999999999998</v>
      </c>
      <c r="L54" s="26">
        <f t="shared" ca="1" si="13"/>
        <v>-148.72</v>
      </c>
      <c r="M54" s="26">
        <f t="shared" ca="1" si="13"/>
        <v>-142.82999999999998</v>
      </c>
      <c r="N54" s="26">
        <f t="shared" ca="1" si="13"/>
        <v>-137.55000000000001</v>
      </c>
      <c r="O54" s="26">
        <f t="shared" ca="1" si="13"/>
        <v>-120.93</v>
      </c>
      <c r="P54" s="26">
        <f t="shared" ca="1" si="13"/>
        <v>-117.57</v>
      </c>
      <c r="Q54" s="26">
        <f t="shared" ca="1" si="13"/>
        <v>-114.52000000000001</v>
      </c>
      <c r="R54" s="26">
        <f t="shared" ca="1" si="13"/>
        <v>-111.63999999999999</v>
      </c>
      <c r="S54" s="26">
        <f t="shared" ca="1" si="13"/>
        <v>-109.00999999999999</v>
      </c>
      <c r="T54" s="26">
        <f t="shared" ca="1" si="13"/>
        <v>-106.56</v>
      </c>
      <c r="U54" s="26">
        <f t="shared" ca="1" si="13"/>
        <v>-104.28</v>
      </c>
      <c r="V54" s="26">
        <f t="shared" ca="1" si="13"/>
        <v>-102.18</v>
      </c>
      <c r="W54" s="26">
        <f t="shared" ca="1" si="13"/>
        <v>-100.32</v>
      </c>
      <c r="X54" s="26">
        <f t="shared" ca="1" si="13"/>
        <v>-97.021999999999991</v>
      </c>
      <c r="Y54" s="26">
        <f t="shared" ca="1" si="13"/>
        <v>-96.807999999999993</v>
      </c>
      <c r="Z54" s="26">
        <f t="shared" ca="1" si="13"/>
        <v>-96.691999999999993</v>
      </c>
      <c r="AA54" s="26">
        <f t="shared" ca="1" si="13"/>
        <v>-96.605999999999995</v>
      </c>
      <c r="AB54" s="26">
        <f t="shared" ca="1" si="13"/>
        <v>-96.603999999999999</v>
      </c>
      <c r="AC54" s="26">
        <f t="shared" ca="1" si="13"/>
        <v>-99.651999999999987</v>
      </c>
      <c r="AD54" s="26">
        <f t="shared" ca="1" si="13"/>
        <v>-100.50800000000001</v>
      </c>
      <c r="AE54" s="26">
        <f t="shared" ca="1" si="13"/>
        <v>-101.35999999999999</v>
      </c>
      <c r="AF54" s="26">
        <f t="shared" ca="1" si="13"/>
        <v>-102.182</v>
      </c>
      <c r="AG54" s="26">
        <f t="shared" ca="1" si="13"/>
        <v>-103.03199999999998</v>
      </c>
      <c r="AH54" s="26">
        <f t="shared" ca="1" si="13"/>
        <v>0</v>
      </c>
      <c r="AI54" s="26">
        <f t="shared" ca="1" si="13"/>
        <v>0</v>
      </c>
      <c r="AJ54" s="26">
        <f t="shared" ca="1" si="13"/>
        <v>0</v>
      </c>
      <c r="AK54" s="26">
        <f t="shared" ca="1" si="13"/>
        <v>0</v>
      </c>
      <c r="AL54" s="26">
        <f t="shared" ca="1" si="13"/>
        <v>0</v>
      </c>
    </row>
    <row r="55" spans="1:38" ht="21" hidden="1" customHeight="1" outlineLevel="1" thickBot="1" x14ac:dyDescent="0.4">
      <c r="A55" s="10">
        <f t="shared" si="11"/>
        <v>0</v>
      </c>
      <c r="B55" s="10">
        <f t="shared" si="11"/>
        <v>1</v>
      </c>
      <c r="C55" s="10">
        <f t="shared" si="11"/>
        <v>0</v>
      </c>
      <c r="D55" s="10">
        <f t="shared" si="11"/>
        <v>2</v>
      </c>
      <c r="E55" s="11" t="str">
        <f t="shared" si="11"/>
        <v>Ga2Se</v>
      </c>
      <c r="F55" s="26">
        <f t="shared" ca="1" si="12"/>
        <v>-156.28</v>
      </c>
      <c r="G55" s="26">
        <f t="shared" ca="1" si="13"/>
        <v>-146.27000000000001</v>
      </c>
      <c r="H55" s="26">
        <f t="shared" ca="1" si="13"/>
        <v>-137.12</v>
      </c>
      <c r="I55" s="26">
        <f t="shared" ca="1" si="13"/>
        <v>-128.42000000000002</v>
      </c>
      <c r="J55" s="26">
        <f t="shared" ca="1" si="13"/>
        <v>-120.16999999999999</v>
      </c>
      <c r="K55" s="26">
        <f t="shared" ca="1" si="13"/>
        <v>-112.49</v>
      </c>
      <c r="L55" s="26">
        <f t="shared" ca="1" si="13"/>
        <v>-105.44</v>
      </c>
      <c r="M55" s="26">
        <f t="shared" ca="1" si="13"/>
        <v>-99.05</v>
      </c>
      <c r="N55" s="26">
        <f t="shared" ca="1" si="13"/>
        <v>-93.33</v>
      </c>
      <c r="O55" s="26">
        <f t="shared" ca="1" si="13"/>
        <v>-75.150000000000006</v>
      </c>
      <c r="P55" s="26">
        <f t="shared" ca="1" si="13"/>
        <v>-71.27</v>
      </c>
      <c r="Q55" s="26">
        <f t="shared" ca="1" si="13"/>
        <v>-67.64</v>
      </c>
      <c r="R55" s="26">
        <f t="shared" ca="1" si="13"/>
        <v>-64.199999999999989</v>
      </c>
      <c r="S55" s="26">
        <f t="shared" ca="1" si="13"/>
        <v>-60.989999999999995</v>
      </c>
      <c r="T55" s="26">
        <f t="shared" ca="1" si="13"/>
        <v>-57.959999999999994</v>
      </c>
      <c r="U55" s="26">
        <f t="shared" ca="1" si="13"/>
        <v>-55.12</v>
      </c>
      <c r="V55" s="26">
        <f t="shared" ca="1" si="13"/>
        <v>-52.46</v>
      </c>
      <c r="W55" s="26">
        <f t="shared" ca="1" si="13"/>
        <v>-50.08</v>
      </c>
      <c r="X55" s="26">
        <f t="shared" ca="1" si="13"/>
        <v>-44.861999999999995</v>
      </c>
      <c r="Y55" s="26">
        <f t="shared" ca="1" si="13"/>
        <v>-44.128</v>
      </c>
      <c r="Z55" s="26">
        <f t="shared" ca="1" si="13"/>
        <v>-43.471999999999994</v>
      </c>
      <c r="AA55" s="26">
        <f t="shared" ca="1" si="13"/>
        <v>-42.866</v>
      </c>
      <c r="AB55" s="26">
        <f t="shared" ca="1" si="13"/>
        <v>-42.364000000000004</v>
      </c>
      <c r="AC55" s="26">
        <f t="shared" ca="1" si="13"/>
        <v>-43.751999999999995</v>
      </c>
      <c r="AD55" s="26">
        <f t="shared" ca="1" si="13"/>
        <v>-44.128</v>
      </c>
      <c r="AE55" s="26">
        <f t="shared" ca="1" si="13"/>
        <v>-44.5</v>
      </c>
      <c r="AF55" s="26">
        <f t="shared" ca="1" si="13"/>
        <v>-44.862000000000002</v>
      </c>
      <c r="AG55" s="26">
        <f t="shared" ca="1" si="13"/>
        <v>-45.231999999999999</v>
      </c>
      <c r="AH55" s="26">
        <f t="shared" ca="1" si="13"/>
        <v>0</v>
      </c>
      <c r="AI55" s="26">
        <f t="shared" ca="1" si="13"/>
        <v>0</v>
      </c>
      <c r="AJ55" s="26">
        <f t="shared" ca="1" si="13"/>
        <v>0</v>
      </c>
      <c r="AK55" s="26">
        <f t="shared" ca="1" si="13"/>
        <v>0</v>
      </c>
      <c r="AL55" s="26">
        <f t="shared" ca="1" si="13"/>
        <v>0</v>
      </c>
    </row>
    <row r="56" spans="1:38" ht="21" hidden="1" customHeight="1" outlineLevel="1" thickBot="1" x14ac:dyDescent="0.4">
      <c r="A56" s="10">
        <f t="shared" si="11"/>
        <v>0</v>
      </c>
      <c r="B56" s="10">
        <f t="shared" si="11"/>
        <v>0</v>
      </c>
      <c r="C56" s="10">
        <f t="shared" si="11"/>
        <v>0</v>
      </c>
      <c r="D56" s="10">
        <f t="shared" si="11"/>
        <v>1</v>
      </c>
      <c r="E56" s="11" t="str">
        <f t="shared" si="11"/>
        <v>Ga</v>
      </c>
      <c r="F56" s="26">
        <f t="shared" ca="1" si="12"/>
        <v>-66.36</v>
      </c>
      <c r="G56" s="26">
        <f t="shared" ca="1" si="13"/>
        <v>-61.96</v>
      </c>
      <c r="H56" s="26">
        <f t="shared" ca="1" si="13"/>
        <v>-57.78</v>
      </c>
      <c r="I56" s="26">
        <f t="shared" ca="1" si="13"/>
        <v>-53.6</v>
      </c>
      <c r="J56" s="26">
        <f t="shared" ca="1" si="13"/>
        <v>-49.48</v>
      </c>
      <c r="K56" s="26">
        <f t="shared" ca="1" si="13"/>
        <v>-45.55</v>
      </c>
      <c r="L56" s="26">
        <f t="shared" ca="1" si="13"/>
        <v>-41.9</v>
      </c>
      <c r="M56" s="26">
        <f t="shared" ca="1" si="13"/>
        <v>-38.58</v>
      </c>
      <c r="N56" s="26">
        <f t="shared" ca="1" si="13"/>
        <v>-35.61</v>
      </c>
      <c r="O56" s="26">
        <f t="shared" ca="1" si="13"/>
        <v>-26.13</v>
      </c>
      <c r="P56" s="26">
        <f t="shared" ca="1" si="13"/>
        <v>-24.06</v>
      </c>
      <c r="Q56" s="26">
        <f t="shared" ca="1" si="13"/>
        <v>-22.1</v>
      </c>
      <c r="R56" s="26">
        <f t="shared" ca="1" si="13"/>
        <v>-20.239999999999998</v>
      </c>
      <c r="S56" s="26">
        <f t="shared" ca="1" si="13"/>
        <v>-18.489999999999998</v>
      </c>
      <c r="T56" s="26">
        <f t="shared" ca="1" si="13"/>
        <v>-16.829999999999998</v>
      </c>
      <c r="U56" s="26">
        <f t="shared" ca="1" si="13"/>
        <v>-15.27</v>
      </c>
      <c r="V56" s="26">
        <f t="shared" ca="1" si="13"/>
        <v>-13.8</v>
      </c>
      <c r="W56" s="26">
        <f t="shared" ca="1" si="13"/>
        <v>-12.48</v>
      </c>
      <c r="X56" s="26">
        <f t="shared" ca="1" si="13"/>
        <v>-9.391</v>
      </c>
      <c r="Y56" s="26">
        <f t="shared" ca="1" si="13"/>
        <v>-8.8940000000000001</v>
      </c>
      <c r="Z56" s="26">
        <f t="shared" ca="1" si="13"/>
        <v>-8.4309999999999992</v>
      </c>
      <c r="AA56" s="26">
        <f t="shared" ca="1" si="13"/>
        <v>-7.9980000000000002</v>
      </c>
      <c r="AB56" s="26">
        <f t="shared" ca="1" si="13"/>
        <v>-7.6219999999999999</v>
      </c>
      <c r="AC56" s="26">
        <f t="shared" ca="1" si="13"/>
        <v>-7.9009999999999998</v>
      </c>
      <c r="AD56" s="26">
        <f t="shared" ca="1" si="13"/>
        <v>-7.9690000000000003</v>
      </c>
      <c r="AE56" s="26">
        <f t="shared" ca="1" si="13"/>
        <v>-8.0350000000000001</v>
      </c>
      <c r="AF56" s="26">
        <f t="shared" ca="1" si="13"/>
        <v>-8.1010000000000009</v>
      </c>
      <c r="AG56" s="26">
        <f t="shared" ca="1" si="13"/>
        <v>-8.1660000000000004</v>
      </c>
      <c r="AH56" s="26">
        <f t="shared" ca="1" si="13"/>
        <v>0</v>
      </c>
      <c r="AI56" s="26">
        <f t="shared" ca="1" si="13"/>
        <v>0</v>
      </c>
      <c r="AJ56" s="26">
        <f t="shared" ca="1" si="13"/>
        <v>0</v>
      </c>
      <c r="AK56" s="26">
        <f t="shared" ca="1" si="13"/>
        <v>0</v>
      </c>
      <c r="AL56" s="26">
        <f t="shared" ca="1" si="13"/>
        <v>0</v>
      </c>
    </row>
    <row r="57" spans="1:38" ht="21" hidden="1" customHeight="1" outlineLevel="1" thickBot="1" x14ac:dyDescent="0.4">
      <c r="A57" s="10">
        <f t="shared" si="11"/>
        <v>1</v>
      </c>
      <c r="B57" s="10">
        <f t="shared" si="11"/>
        <v>0</v>
      </c>
      <c r="C57" s="10">
        <f t="shared" si="11"/>
        <v>0</v>
      </c>
      <c r="D57" s="10">
        <f t="shared" si="11"/>
        <v>0</v>
      </c>
      <c r="E57" s="11" t="str">
        <f t="shared" si="11"/>
        <v>Ar</v>
      </c>
      <c r="F57" s="26">
        <f t="shared" ca="1" si="12"/>
        <v>-18.82</v>
      </c>
      <c r="G57" s="26">
        <f t="shared" ca="1" si="13"/>
        <v>-18.809999999999999</v>
      </c>
      <c r="H57" s="26">
        <f t="shared" ca="1" si="13"/>
        <v>-18.8</v>
      </c>
      <c r="I57" s="26">
        <f t="shared" ca="1" si="13"/>
        <v>-18.809999999999999</v>
      </c>
      <c r="J57" s="26">
        <f t="shared" ca="1" si="13"/>
        <v>-18.82</v>
      </c>
      <c r="K57" s="26">
        <f t="shared" ca="1" si="13"/>
        <v>-18.84</v>
      </c>
      <c r="L57" s="26">
        <f t="shared" ca="1" si="13"/>
        <v>-18.87</v>
      </c>
      <c r="M57" s="26">
        <f t="shared" ca="1" si="13"/>
        <v>-18.899999999999999</v>
      </c>
      <c r="N57" s="26">
        <f t="shared" ca="1" si="13"/>
        <v>-18.93</v>
      </c>
      <c r="O57" s="26">
        <f t="shared" ca="1" si="13"/>
        <v>-19.059999999999999</v>
      </c>
      <c r="P57" s="26">
        <f t="shared" ca="1" si="13"/>
        <v>-19.100000000000001</v>
      </c>
      <c r="Q57" s="26">
        <f t="shared" ca="1" si="13"/>
        <v>-19.14</v>
      </c>
      <c r="R57" s="26">
        <f t="shared" ca="1" si="13"/>
        <v>-19.18</v>
      </c>
      <c r="S57" s="26">
        <f t="shared" ca="1" si="13"/>
        <v>-19.22</v>
      </c>
      <c r="T57" s="26">
        <f t="shared" ca="1" si="13"/>
        <v>-19.260000000000002</v>
      </c>
      <c r="U57" s="26">
        <f t="shared" ca="1" si="13"/>
        <v>-19.3</v>
      </c>
      <c r="V57" s="26">
        <f t="shared" ca="1" si="13"/>
        <v>-19.34</v>
      </c>
      <c r="W57" s="26">
        <f t="shared" ca="1" si="13"/>
        <v>-19.37</v>
      </c>
      <c r="X57" s="26">
        <f t="shared" ca="1" si="13"/>
        <v>-19.43</v>
      </c>
      <c r="Y57" s="26">
        <f t="shared" ca="1" si="13"/>
        <v>-19.47</v>
      </c>
      <c r="Z57" s="26">
        <f t="shared" ca="1" si="13"/>
        <v>-19.510000000000002</v>
      </c>
      <c r="AA57" s="26">
        <f t="shared" ca="1" si="13"/>
        <v>-19.55</v>
      </c>
      <c r="AB57" s="26">
        <f t="shared" ca="1" si="13"/>
        <v>-19.59</v>
      </c>
      <c r="AC57" s="26">
        <f t="shared" ca="1" si="13"/>
        <v>-19.739999999999998</v>
      </c>
      <c r="AD57" s="26">
        <f t="shared" ca="1" si="13"/>
        <v>-19.77</v>
      </c>
      <c r="AE57" s="26">
        <f t="shared" ca="1" si="13"/>
        <v>-19.809999999999999</v>
      </c>
      <c r="AF57" s="26">
        <f t="shared" ca="1" si="13"/>
        <v>-19.850000000000001</v>
      </c>
      <c r="AG57" s="26">
        <f t="shared" ca="1" si="13"/>
        <v>-19.88</v>
      </c>
      <c r="AH57" s="26">
        <f t="shared" ca="1" si="13"/>
        <v>0</v>
      </c>
      <c r="AI57" s="26">
        <f t="shared" ca="1" si="13"/>
        <v>0</v>
      </c>
      <c r="AJ57" s="26">
        <f t="shared" ca="1" si="13"/>
        <v>0</v>
      </c>
      <c r="AK57" s="26">
        <f t="shared" ca="1" si="13"/>
        <v>0</v>
      </c>
      <c r="AL57" s="26">
        <f t="shared" ca="1" si="13"/>
        <v>0</v>
      </c>
    </row>
    <row r="58" spans="1:38" ht="21" hidden="1" customHeight="1" outlineLevel="1" thickBot="1" x14ac:dyDescent="0.4">
      <c r="A58" s="10">
        <f t="shared" si="11"/>
        <v>0</v>
      </c>
      <c r="B58" s="10">
        <f t="shared" si="11"/>
        <v>2</v>
      </c>
      <c r="C58" s="10">
        <f t="shared" si="11"/>
        <v>1</v>
      </c>
      <c r="D58" s="10">
        <f t="shared" si="11"/>
        <v>0</v>
      </c>
      <c r="E58" s="11" t="str">
        <f t="shared" si="11"/>
        <v>(l)GeSe2</v>
      </c>
      <c r="F58" s="26">
        <f t="shared" ca="1" si="12"/>
        <v>-64.25</v>
      </c>
      <c r="G58" s="26">
        <f t="shared" ca="1" si="13"/>
        <v>-60.900000000000006</v>
      </c>
      <c r="H58" s="26">
        <f t="shared" ca="1" si="13"/>
        <v>-58.22</v>
      </c>
      <c r="I58" s="26">
        <f t="shared" ca="1" si="13"/>
        <v>-56.22</v>
      </c>
      <c r="J58" s="26">
        <f t="shared" ca="1" si="13"/>
        <v>-54.77</v>
      </c>
      <c r="K58" s="26">
        <f t="shared" ca="1" si="13"/>
        <v>-53.72</v>
      </c>
      <c r="L58" s="26">
        <f t="shared" ca="1" si="13"/>
        <v>-52.911000000000001</v>
      </c>
      <c r="M58" s="26">
        <f t="shared" ca="1" si="13"/>
        <v>-52.249000000000002</v>
      </c>
      <c r="N58" s="26">
        <f t="shared" ca="1" si="13"/>
        <v>-51.734000000000002</v>
      </c>
      <c r="O58" s="26">
        <f t="shared" ca="1" si="13"/>
        <v>-51.760000000000005</v>
      </c>
      <c r="P58" s="26">
        <f t="shared" ca="1" si="13"/>
        <v>-52.250999999999998</v>
      </c>
      <c r="Q58" s="26">
        <f t="shared" ca="1" si="13"/>
        <v>-52.844999999999999</v>
      </c>
      <c r="R58" s="26">
        <f t="shared" ca="1" si="13"/>
        <v>-53.437999999999995</v>
      </c>
      <c r="S58" s="26">
        <f t="shared" ca="1" si="13"/>
        <v>-54.061000000000007</v>
      </c>
      <c r="T58" s="26">
        <f t="shared" ca="1" si="13"/>
        <v>-54.688000000000002</v>
      </c>
      <c r="U58" s="26">
        <f t="shared" ref="G58:AL66" ca="1" si="14">$A58*H.Ar + $B58*H.Se + $C58*H.Ge + $D58*H.Ga</f>
        <v>-55.297999999999995</v>
      </c>
      <c r="V58" s="26">
        <f t="shared" ca="1" si="14"/>
        <v>-55.917999999999999</v>
      </c>
      <c r="W58" s="26">
        <f t="shared" ca="1" si="14"/>
        <v>-56.525000000000006</v>
      </c>
      <c r="X58" s="26">
        <f t="shared" ca="1" si="14"/>
        <v>-58.940999999999995</v>
      </c>
      <c r="Y58" s="26">
        <f t="shared" ca="1" si="14"/>
        <v>-59.524000000000001</v>
      </c>
      <c r="Z58" s="26">
        <f t="shared" ca="1" si="14"/>
        <v>-60.125</v>
      </c>
      <c r="AA58" s="26">
        <f t="shared" ca="1" si="14"/>
        <v>-60.706000000000003</v>
      </c>
      <c r="AB58" s="26">
        <f t="shared" ca="1" si="14"/>
        <v>-61.268000000000001</v>
      </c>
      <c r="AC58" s="26">
        <f t="shared" ca="1" si="14"/>
        <v>-63.098999999999997</v>
      </c>
      <c r="AD58" s="26">
        <f t="shared" ca="1" si="14"/>
        <v>-63.623000000000005</v>
      </c>
      <c r="AE58" s="26">
        <f t="shared" ca="1" si="14"/>
        <v>-64.147999999999996</v>
      </c>
      <c r="AF58" s="26">
        <f t="shared" ca="1" si="14"/>
        <v>-64.653000000000006</v>
      </c>
      <c r="AG58" s="26">
        <f t="shared" ca="1" si="14"/>
        <v>-65.177999999999997</v>
      </c>
      <c r="AH58" s="26">
        <f t="shared" ca="1" si="14"/>
        <v>0</v>
      </c>
      <c r="AI58" s="26">
        <f t="shared" ca="1" si="14"/>
        <v>0</v>
      </c>
      <c r="AJ58" s="26">
        <f t="shared" ca="1" si="14"/>
        <v>0</v>
      </c>
      <c r="AK58" s="26">
        <f t="shared" ca="1" si="14"/>
        <v>0</v>
      </c>
      <c r="AL58" s="26">
        <f t="shared" ca="1" si="14"/>
        <v>0</v>
      </c>
    </row>
    <row r="59" spans="1:38" ht="21" hidden="1" customHeight="1" outlineLevel="1" thickBot="1" x14ac:dyDescent="0.4">
      <c r="A59" s="10">
        <f t="shared" si="11"/>
        <v>0</v>
      </c>
      <c r="B59" s="10">
        <f t="shared" si="11"/>
        <v>1</v>
      </c>
      <c r="C59" s="10">
        <f t="shared" si="11"/>
        <v>1</v>
      </c>
      <c r="D59" s="10">
        <f t="shared" si="11"/>
        <v>0</v>
      </c>
      <c r="E59" s="11" t="str">
        <f t="shared" si="11"/>
        <v>(l)GeSe</v>
      </c>
      <c r="F59" s="26">
        <f t="shared" ca="1" si="12"/>
        <v>-40.69</v>
      </c>
      <c r="G59" s="26">
        <f t="shared" ca="1" si="14"/>
        <v>-38.549999999999997</v>
      </c>
      <c r="H59" s="26">
        <f t="shared" ca="1" si="14"/>
        <v>-36.659999999999997</v>
      </c>
      <c r="I59" s="26">
        <f t="shared" ca="1" si="14"/>
        <v>-35</v>
      </c>
      <c r="J59" s="26">
        <f t="shared" ca="1" si="14"/>
        <v>-33.56</v>
      </c>
      <c r="K59" s="26">
        <f t="shared" ca="1" si="14"/>
        <v>-32.33</v>
      </c>
      <c r="L59" s="26">
        <f t="shared" ca="1" si="14"/>
        <v>-31.271000000000001</v>
      </c>
      <c r="M59" s="26">
        <f t="shared" ca="1" si="14"/>
        <v>-30.359000000000002</v>
      </c>
      <c r="N59" s="26">
        <f t="shared" ca="1" si="14"/>
        <v>-29.623999999999999</v>
      </c>
      <c r="O59" s="26">
        <f t="shared" ca="1" si="14"/>
        <v>-28.87</v>
      </c>
      <c r="P59" s="26">
        <f t="shared" ca="1" si="14"/>
        <v>-29.100999999999999</v>
      </c>
      <c r="Q59" s="26">
        <f t="shared" ca="1" si="14"/>
        <v>-29.405000000000001</v>
      </c>
      <c r="R59" s="26">
        <f t="shared" ca="1" si="14"/>
        <v>-29.718</v>
      </c>
      <c r="S59" s="26">
        <f t="shared" ca="1" si="14"/>
        <v>-30.051000000000002</v>
      </c>
      <c r="T59" s="26">
        <f t="shared" ca="1" si="14"/>
        <v>-30.388000000000002</v>
      </c>
      <c r="U59" s="26">
        <f t="shared" ca="1" si="14"/>
        <v>-30.717999999999996</v>
      </c>
      <c r="V59" s="26">
        <f t="shared" ca="1" si="14"/>
        <v>-31.058</v>
      </c>
      <c r="W59" s="26">
        <f t="shared" ca="1" si="14"/>
        <v>-31.405000000000001</v>
      </c>
      <c r="X59" s="26">
        <f t="shared" ca="1" si="14"/>
        <v>-32.860999999999997</v>
      </c>
      <c r="Y59" s="26">
        <f t="shared" ca="1" si="14"/>
        <v>-33.183999999999997</v>
      </c>
      <c r="Z59" s="26">
        <f t="shared" ca="1" si="14"/>
        <v>-33.515000000000001</v>
      </c>
      <c r="AA59" s="26">
        <f t="shared" ca="1" si="14"/>
        <v>-33.835999999999999</v>
      </c>
      <c r="AB59" s="26">
        <f t="shared" ca="1" si="14"/>
        <v>-34.148000000000003</v>
      </c>
      <c r="AC59" s="26">
        <f t="shared" ca="1" si="14"/>
        <v>-35.149000000000001</v>
      </c>
      <c r="AD59" s="26">
        <f t="shared" ca="1" si="14"/>
        <v>-35.433</v>
      </c>
      <c r="AE59" s="26">
        <f t="shared" ca="1" si="14"/>
        <v>-35.718000000000004</v>
      </c>
      <c r="AF59" s="26">
        <f t="shared" ca="1" si="14"/>
        <v>-35.993000000000002</v>
      </c>
      <c r="AG59" s="26">
        <f t="shared" ca="1" si="14"/>
        <v>-36.277999999999999</v>
      </c>
      <c r="AH59" s="26">
        <f t="shared" ca="1" si="14"/>
        <v>0</v>
      </c>
      <c r="AI59" s="26">
        <f t="shared" ca="1" si="14"/>
        <v>0</v>
      </c>
      <c r="AJ59" s="26">
        <f t="shared" ca="1" si="14"/>
        <v>0</v>
      </c>
      <c r="AK59" s="26">
        <f t="shared" ca="1" si="14"/>
        <v>0</v>
      </c>
      <c r="AL59" s="26">
        <f t="shared" ca="1" si="14"/>
        <v>0</v>
      </c>
    </row>
    <row r="60" spans="1:38" ht="21" hidden="1" customHeight="1" outlineLevel="1" thickBot="1" x14ac:dyDescent="0.4">
      <c r="A60" s="10">
        <f t="shared" ref="A60:E69" si="15">A14</f>
        <v>0</v>
      </c>
      <c r="B60" s="10">
        <f t="shared" si="15"/>
        <v>3</v>
      </c>
      <c r="C60" s="10">
        <f t="shared" si="15"/>
        <v>0</v>
      </c>
      <c r="D60" s="10">
        <f t="shared" si="15"/>
        <v>2</v>
      </c>
      <c r="E60" s="11" t="str">
        <f t="shared" si="15"/>
        <v>(l)Ga2Se3</v>
      </c>
      <c r="F60" s="26">
        <f t="shared" ref="F60:U69" ca="1" si="16">$A60*H.Ar + $B60*H.Se + $C60*H.Ge + $D60*H.Ga</f>
        <v>-203.39999999999998</v>
      </c>
      <c r="G60" s="26">
        <f t="shared" ca="1" si="16"/>
        <v>-190.97000000000003</v>
      </c>
      <c r="H60" s="26">
        <f t="shared" ca="1" si="16"/>
        <v>-180.24</v>
      </c>
      <c r="I60" s="26">
        <f t="shared" ca="1" si="16"/>
        <v>-170.86</v>
      </c>
      <c r="J60" s="26">
        <f t="shared" ca="1" si="16"/>
        <v>-162.59</v>
      </c>
      <c r="K60" s="26">
        <f t="shared" ca="1" si="16"/>
        <v>-155.26999999999998</v>
      </c>
      <c r="L60" s="26">
        <f t="shared" ca="1" si="16"/>
        <v>-148.72</v>
      </c>
      <c r="M60" s="26">
        <f t="shared" ca="1" si="16"/>
        <v>-142.82999999999998</v>
      </c>
      <c r="N60" s="26">
        <f t="shared" ca="1" si="16"/>
        <v>-137.55000000000001</v>
      </c>
      <c r="O60" s="26">
        <f t="shared" ca="1" si="16"/>
        <v>-120.93</v>
      </c>
      <c r="P60" s="26">
        <f t="shared" ca="1" si="16"/>
        <v>-117.57</v>
      </c>
      <c r="Q60" s="26">
        <f t="shared" ca="1" si="16"/>
        <v>-114.52000000000001</v>
      </c>
      <c r="R60" s="26">
        <f t="shared" ca="1" si="16"/>
        <v>-111.63999999999999</v>
      </c>
      <c r="S60" s="26">
        <f t="shared" ca="1" si="16"/>
        <v>-109.00999999999999</v>
      </c>
      <c r="T60" s="26">
        <f t="shared" ca="1" si="16"/>
        <v>-106.56</v>
      </c>
      <c r="U60" s="26">
        <f t="shared" ca="1" si="16"/>
        <v>-104.28</v>
      </c>
      <c r="V60" s="26">
        <f t="shared" ca="1" si="14"/>
        <v>-102.18</v>
      </c>
      <c r="W60" s="26">
        <f t="shared" ca="1" si="14"/>
        <v>-100.32</v>
      </c>
      <c r="X60" s="26">
        <f t="shared" ca="1" si="14"/>
        <v>-97.021999999999991</v>
      </c>
      <c r="Y60" s="26">
        <f t="shared" ca="1" si="14"/>
        <v>-96.807999999999993</v>
      </c>
      <c r="Z60" s="26">
        <f t="shared" ca="1" si="14"/>
        <v>-96.691999999999993</v>
      </c>
      <c r="AA60" s="26">
        <f t="shared" ca="1" si="14"/>
        <v>-96.605999999999995</v>
      </c>
      <c r="AB60" s="26">
        <f t="shared" ca="1" si="14"/>
        <v>-96.603999999999999</v>
      </c>
      <c r="AC60" s="26">
        <f t="shared" ca="1" si="14"/>
        <v>-99.651999999999987</v>
      </c>
      <c r="AD60" s="26">
        <f t="shared" ca="1" si="14"/>
        <v>-100.50800000000001</v>
      </c>
      <c r="AE60" s="26">
        <f t="shared" ca="1" si="14"/>
        <v>-101.35999999999999</v>
      </c>
      <c r="AF60" s="26">
        <f t="shared" ca="1" si="14"/>
        <v>-102.182</v>
      </c>
      <c r="AG60" s="26">
        <f t="shared" ca="1" si="14"/>
        <v>-103.03199999999998</v>
      </c>
      <c r="AH60" s="26">
        <f t="shared" ca="1" si="14"/>
        <v>0</v>
      </c>
      <c r="AI60" s="26">
        <f t="shared" ca="1" si="14"/>
        <v>0</v>
      </c>
      <c r="AJ60" s="26">
        <f t="shared" ca="1" si="14"/>
        <v>0</v>
      </c>
      <c r="AK60" s="26">
        <f t="shared" ca="1" si="14"/>
        <v>0</v>
      </c>
      <c r="AL60" s="26">
        <f t="shared" ca="1" si="14"/>
        <v>0</v>
      </c>
    </row>
    <row r="61" spans="1:38" ht="21" hidden="1" customHeight="1" outlineLevel="1" thickBot="1" x14ac:dyDescent="0.4">
      <c r="A61" s="10">
        <f t="shared" si="15"/>
        <v>0</v>
      </c>
      <c r="B61" s="10">
        <f t="shared" si="15"/>
        <v>1</v>
      </c>
      <c r="C61" s="10">
        <f t="shared" si="15"/>
        <v>0</v>
      </c>
      <c r="D61" s="10">
        <f t="shared" si="15"/>
        <v>2</v>
      </c>
      <c r="E61" s="11" t="str">
        <f t="shared" si="15"/>
        <v>(l)Ga2Se</v>
      </c>
      <c r="F61" s="26">
        <f t="shared" ca="1" si="16"/>
        <v>-156.28</v>
      </c>
      <c r="G61" s="26">
        <f t="shared" ca="1" si="14"/>
        <v>-146.27000000000001</v>
      </c>
      <c r="H61" s="26">
        <f t="shared" ca="1" si="14"/>
        <v>-137.12</v>
      </c>
      <c r="I61" s="26">
        <f t="shared" ca="1" si="14"/>
        <v>-128.42000000000002</v>
      </c>
      <c r="J61" s="26">
        <f t="shared" ca="1" si="14"/>
        <v>-120.16999999999999</v>
      </c>
      <c r="K61" s="26">
        <f t="shared" ca="1" si="14"/>
        <v>-112.49</v>
      </c>
      <c r="L61" s="26">
        <f t="shared" ca="1" si="14"/>
        <v>-105.44</v>
      </c>
      <c r="M61" s="26">
        <f t="shared" ca="1" si="14"/>
        <v>-99.05</v>
      </c>
      <c r="N61" s="26">
        <f t="shared" ca="1" si="14"/>
        <v>-93.33</v>
      </c>
      <c r="O61" s="26">
        <f t="shared" ca="1" si="14"/>
        <v>-75.150000000000006</v>
      </c>
      <c r="P61" s="26">
        <f t="shared" ca="1" si="14"/>
        <v>-71.27</v>
      </c>
      <c r="Q61" s="26">
        <f t="shared" ca="1" si="14"/>
        <v>-67.64</v>
      </c>
      <c r="R61" s="26">
        <f t="shared" ca="1" si="14"/>
        <v>-64.199999999999989</v>
      </c>
      <c r="S61" s="26">
        <f t="shared" ca="1" si="14"/>
        <v>-60.989999999999995</v>
      </c>
      <c r="T61" s="26">
        <f t="shared" ca="1" si="14"/>
        <v>-57.959999999999994</v>
      </c>
      <c r="U61" s="26">
        <f t="shared" ca="1" si="14"/>
        <v>-55.12</v>
      </c>
      <c r="V61" s="26">
        <f t="shared" ca="1" si="14"/>
        <v>-52.46</v>
      </c>
      <c r="W61" s="26">
        <f t="shared" ca="1" si="14"/>
        <v>-50.08</v>
      </c>
      <c r="X61" s="26">
        <f t="shared" ca="1" si="14"/>
        <v>-44.861999999999995</v>
      </c>
      <c r="Y61" s="26">
        <f t="shared" ca="1" si="14"/>
        <v>-44.128</v>
      </c>
      <c r="Z61" s="26">
        <f t="shared" ca="1" si="14"/>
        <v>-43.471999999999994</v>
      </c>
      <c r="AA61" s="26">
        <f t="shared" ca="1" si="14"/>
        <v>-42.866</v>
      </c>
      <c r="AB61" s="26">
        <f t="shared" ca="1" si="14"/>
        <v>-42.364000000000004</v>
      </c>
      <c r="AC61" s="26">
        <f t="shared" ca="1" si="14"/>
        <v>-43.751999999999995</v>
      </c>
      <c r="AD61" s="26">
        <f t="shared" ca="1" si="14"/>
        <v>-44.128</v>
      </c>
      <c r="AE61" s="26">
        <f t="shared" ca="1" si="14"/>
        <v>-44.5</v>
      </c>
      <c r="AF61" s="26">
        <f t="shared" ca="1" si="14"/>
        <v>-44.862000000000002</v>
      </c>
      <c r="AG61" s="26">
        <f t="shared" ca="1" si="14"/>
        <v>-45.231999999999999</v>
      </c>
      <c r="AH61" s="26">
        <f t="shared" ca="1" si="14"/>
        <v>0</v>
      </c>
      <c r="AI61" s="26">
        <f t="shared" ca="1" si="14"/>
        <v>0</v>
      </c>
      <c r="AJ61" s="26">
        <f t="shared" ca="1" si="14"/>
        <v>0</v>
      </c>
      <c r="AK61" s="26">
        <f t="shared" ca="1" si="14"/>
        <v>0</v>
      </c>
      <c r="AL61" s="26">
        <f t="shared" ca="1" si="14"/>
        <v>0</v>
      </c>
    </row>
    <row r="62" spans="1:38" ht="21" hidden="1" customHeight="1" outlineLevel="1" thickBot="1" x14ac:dyDescent="0.4">
      <c r="A62" s="10">
        <f t="shared" si="15"/>
        <v>0</v>
      </c>
      <c r="B62" s="10">
        <f t="shared" si="15"/>
        <v>0</v>
      </c>
      <c r="C62" s="10">
        <f t="shared" si="15"/>
        <v>1</v>
      </c>
      <c r="D62" s="10">
        <f t="shared" si="15"/>
        <v>0</v>
      </c>
      <c r="E62" s="11" t="str">
        <f t="shared" si="15"/>
        <v>(l)Ge</v>
      </c>
      <c r="F62" s="26">
        <f t="shared" ca="1" si="16"/>
        <v>-17.13</v>
      </c>
      <c r="G62" s="26">
        <f t="shared" ca="1" si="14"/>
        <v>-16.2</v>
      </c>
      <c r="H62" s="26">
        <f t="shared" ca="1" si="14"/>
        <v>-15.1</v>
      </c>
      <c r="I62" s="26">
        <f t="shared" ca="1" si="14"/>
        <v>-13.78</v>
      </c>
      <c r="J62" s="26">
        <f t="shared" ca="1" si="14"/>
        <v>-12.35</v>
      </c>
      <c r="K62" s="26">
        <f t="shared" ca="1" si="14"/>
        <v>-10.94</v>
      </c>
      <c r="L62" s="26">
        <f t="shared" ca="1" si="14"/>
        <v>-9.6310000000000002</v>
      </c>
      <c r="M62" s="26">
        <f t="shared" ca="1" si="14"/>
        <v>-8.4689999999999994</v>
      </c>
      <c r="N62" s="26">
        <f t="shared" ca="1" si="14"/>
        <v>-7.5140000000000002</v>
      </c>
      <c r="O62" s="26">
        <f t="shared" ca="1" si="14"/>
        <v>-5.98</v>
      </c>
      <c r="P62" s="26">
        <f t="shared" ca="1" si="14"/>
        <v>-5.9509999999999996</v>
      </c>
      <c r="Q62" s="26">
        <f t="shared" ca="1" si="14"/>
        <v>-5.9649999999999999</v>
      </c>
      <c r="R62" s="26">
        <f t="shared" ca="1" si="14"/>
        <v>-5.9980000000000002</v>
      </c>
      <c r="S62" s="26">
        <f t="shared" ca="1" si="14"/>
        <v>-6.0410000000000004</v>
      </c>
      <c r="T62" s="26">
        <f t="shared" ca="1" si="14"/>
        <v>-6.0880000000000001</v>
      </c>
      <c r="U62" s="26">
        <f t="shared" ca="1" si="14"/>
        <v>-6.1379999999999999</v>
      </c>
      <c r="V62" s="26">
        <f t="shared" ca="1" si="14"/>
        <v>-6.1980000000000004</v>
      </c>
      <c r="W62" s="26">
        <f t="shared" ca="1" si="14"/>
        <v>-6.2850000000000001</v>
      </c>
      <c r="X62" s="26">
        <f t="shared" ca="1" si="14"/>
        <v>-6.7809999999999997</v>
      </c>
      <c r="Y62" s="26">
        <f t="shared" ca="1" si="14"/>
        <v>-6.8440000000000003</v>
      </c>
      <c r="Z62" s="26">
        <f t="shared" ca="1" si="14"/>
        <v>-6.9050000000000002</v>
      </c>
      <c r="AA62" s="26">
        <f t="shared" ca="1" si="14"/>
        <v>-6.9660000000000002</v>
      </c>
      <c r="AB62" s="26">
        <f t="shared" ca="1" si="14"/>
        <v>-7.0279999999999996</v>
      </c>
      <c r="AC62" s="26">
        <f t="shared" ca="1" si="14"/>
        <v>-7.1989999999999998</v>
      </c>
      <c r="AD62" s="26">
        <f t="shared" ca="1" si="14"/>
        <v>-7.2430000000000003</v>
      </c>
      <c r="AE62" s="26">
        <f t="shared" ca="1" si="14"/>
        <v>-7.2880000000000003</v>
      </c>
      <c r="AF62" s="26">
        <f t="shared" ca="1" si="14"/>
        <v>-7.3330000000000002</v>
      </c>
      <c r="AG62" s="26">
        <f t="shared" ca="1" si="14"/>
        <v>-7.3780000000000001</v>
      </c>
      <c r="AH62" s="26">
        <f t="shared" ca="1" si="14"/>
        <v>0</v>
      </c>
      <c r="AI62" s="26">
        <f t="shared" ca="1" si="14"/>
        <v>0</v>
      </c>
      <c r="AJ62" s="26">
        <f t="shared" ca="1" si="14"/>
        <v>0</v>
      </c>
      <c r="AK62" s="26">
        <f t="shared" ca="1" si="14"/>
        <v>0</v>
      </c>
      <c r="AL62" s="26">
        <f t="shared" ca="1" si="14"/>
        <v>0</v>
      </c>
    </row>
    <row r="63" spans="1:38" ht="21" hidden="1" customHeight="1" outlineLevel="1" thickBot="1" x14ac:dyDescent="0.4">
      <c r="A63" s="10">
        <f t="shared" si="15"/>
        <v>0</v>
      </c>
      <c r="B63" s="10">
        <f t="shared" si="15"/>
        <v>0</v>
      </c>
      <c r="C63" s="10">
        <f t="shared" si="15"/>
        <v>0</v>
      </c>
      <c r="D63" s="10">
        <f t="shared" si="15"/>
        <v>1</v>
      </c>
      <c r="E63" s="11" t="str">
        <f t="shared" si="15"/>
        <v>(l)Ga</v>
      </c>
      <c r="F63" s="26">
        <f t="shared" ca="1" si="16"/>
        <v>-66.36</v>
      </c>
      <c r="G63" s="26">
        <f t="shared" ca="1" si="14"/>
        <v>-61.96</v>
      </c>
      <c r="H63" s="26">
        <f t="shared" ca="1" si="14"/>
        <v>-57.78</v>
      </c>
      <c r="I63" s="26">
        <f t="shared" ca="1" si="14"/>
        <v>-53.6</v>
      </c>
      <c r="J63" s="26">
        <f t="shared" ca="1" si="14"/>
        <v>-49.48</v>
      </c>
      <c r="K63" s="26">
        <f t="shared" ca="1" si="14"/>
        <v>-45.55</v>
      </c>
      <c r="L63" s="26">
        <f t="shared" ca="1" si="14"/>
        <v>-41.9</v>
      </c>
      <c r="M63" s="26">
        <f t="shared" ca="1" si="14"/>
        <v>-38.58</v>
      </c>
      <c r="N63" s="26">
        <f t="shared" ca="1" si="14"/>
        <v>-35.61</v>
      </c>
      <c r="O63" s="26">
        <f t="shared" ca="1" si="14"/>
        <v>-26.13</v>
      </c>
      <c r="P63" s="26">
        <f t="shared" ca="1" si="14"/>
        <v>-24.06</v>
      </c>
      <c r="Q63" s="26">
        <f t="shared" ca="1" si="14"/>
        <v>-22.1</v>
      </c>
      <c r="R63" s="26">
        <f t="shared" ca="1" si="14"/>
        <v>-20.239999999999998</v>
      </c>
      <c r="S63" s="26">
        <f t="shared" ca="1" si="14"/>
        <v>-18.489999999999998</v>
      </c>
      <c r="T63" s="26">
        <f t="shared" ca="1" si="14"/>
        <v>-16.829999999999998</v>
      </c>
      <c r="U63" s="26">
        <f t="shared" ca="1" si="14"/>
        <v>-15.27</v>
      </c>
      <c r="V63" s="26">
        <f t="shared" ca="1" si="14"/>
        <v>-13.8</v>
      </c>
      <c r="W63" s="26">
        <f t="shared" ca="1" si="14"/>
        <v>-12.48</v>
      </c>
      <c r="X63" s="26">
        <f t="shared" ca="1" si="14"/>
        <v>-9.391</v>
      </c>
      <c r="Y63" s="26">
        <f t="shared" ca="1" si="14"/>
        <v>-8.8940000000000001</v>
      </c>
      <c r="Z63" s="26">
        <f t="shared" ca="1" si="14"/>
        <v>-8.4309999999999992</v>
      </c>
      <c r="AA63" s="26">
        <f t="shared" ca="1" si="14"/>
        <v>-7.9980000000000002</v>
      </c>
      <c r="AB63" s="26">
        <f t="shared" ca="1" si="14"/>
        <v>-7.6219999999999999</v>
      </c>
      <c r="AC63" s="26">
        <f t="shared" ca="1" si="14"/>
        <v>-7.9009999999999998</v>
      </c>
      <c r="AD63" s="26">
        <f t="shared" ca="1" si="14"/>
        <v>-7.9690000000000003</v>
      </c>
      <c r="AE63" s="26">
        <f t="shared" ca="1" si="14"/>
        <v>-8.0350000000000001</v>
      </c>
      <c r="AF63" s="26">
        <f t="shared" ca="1" si="14"/>
        <v>-8.1010000000000009</v>
      </c>
      <c r="AG63" s="26">
        <f t="shared" ca="1" si="14"/>
        <v>-8.1660000000000004</v>
      </c>
      <c r="AH63" s="26">
        <f t="shared" ca="1" si="14"/>
        <v>0</v>
      </c>
      <c r="AI63" s="26">
        <f t="shared" ca="1" si="14"/>
        <v>0</v>
      </c>
      <c r="AJ63" s="26">
        <f t="shared" ca="1" si="14"/>
        <v>0</v>
      </c>
      <c r="AK63" s="26">
        <f t="shared" ca="1" si="14"/>
        <v>0</v>
      </c>
      <c r="AL63" s="26">
        <f t="shared" ca="1" si="14"/>
        <v>0</v>
      </c>
    </row>
    <row r="64" spans="1:38" ht="21" hidden="1" customHeight="1" outlineLevel="1" thickBot="1" x14ac:dyDescent="0.4">
      <c r="A64" s="10">
        <f t="shared" si="15"/>
        <v>0</v>
      </c>
      <c r="B64" s="10">
        <f t="shared" si="15"/>
        <v>1</v>
      </c>
      <c r="C64" s="10">
        <f t="shared" si="15"/>
        <v>0</v>
      </c>
      <c r="D64" s="10">
        <f t="shared" si="15"/>
        <v>0</v>
      </c>
      <c r="E64" s="11" t="str">
        <f t="shared" si="15"/>
        <v>(l)Se</v>
      </c>
      <c r="F64" s="26">
        <f t="shared" ca="1" si="16"/>
        <v>-23.56</v>
      </c>
      <c r="G64" s="26">
        <f t="shared" ca="1" si="14"/>
        <v>-22.35</v>
      </c>
      <c r="H64" s="26">
        <f t="shared" ca="1" si="14"/>
        <v>-21.56</v>
      </c>
      <c r="I64" s="26">
        <f t="shared" ca="1" si="14"/>
        <v>-21.22</v>
      </c>
      <c r="J64" s="26">
        <f t="shared" ca="1" si="14"/>
        <v>-21.21</v>
      </c>
      <c r="K64" s="26">
        <f t="shared" ca="1" si="14"/>
        <v>-21.39</v>
      </c>
      <c r="L64" s="26">
        <f t="shared" ca="1" si="14"/>
        <v>-21.64</v>
      </c>
      <c r="M64" s="26">
        <f t="shared" ca="1" si="14"/>
        <v>-21.89</v>
      </c>
      <c r="N64" s="26">
        <f t="shared" ca="1" si="14"/>
        <v>-22.11</v>
      </c>
      <c r="O64" s="26">
        <f t="shared" ca="1" si="14"/>
        <v>-22.89</v>
      </c>
      <c r="P64" s="26">
        <f t="shared" ca="1" si="14"/>
        <v>-23.15</v>
      </c>
      <c r="Q64" s="26">
        <f t="shared" ca="1" si="14"/>
        <v>-23.44</v>
      </c>
      <c r="R64" s="26">
        <f t="shared" ca="1" si="14"/>
        <v>-23.72</v>
      </c>
      <c r="S64" s="26">
        <f t="shared" ca="1" si="14"/>
        <v>-24.01</v>
      </c>
      <c r="T64" s="26">
        <f t="shared" ca="1" si="14"/>
        <v>-24.3</v>
      </c>
      <c r="U64" s="26">
        <f t="shared" ca="1" si="14"/>
        <v>-24.58</v>
      </c>
      <c r="V64" s="26">
        <f t="shared" ca="1" si="14"/>
        <v>-24.86</v>
      </c>
      <c r="W64" s="26">
        <f t="shared" ca="1" si="14"/>
        <v>-25.12</v>
      </c>
      <c r="X64" s="26">
        <f t="shared" ca="1" si="14"/>
        <v>-26.08</v>
      </c>
      <c r="Y64" s="26">
        <f t="shared" ca="1" si="14"/>
        <v>-26.34</v>
      </c>
      <c r="Z64" s="26">
        <f t="shared" ca="1" si="14"/>
        <v>-26.61</v>
      </c>
      <c r="AA64" s="26">
        <f t="shared" ca="1" si="14"/>
        <v>-26.87</v>
      </c>
      <c r="AB64" s="26">
        <f t="shared" ca="1" si="14"/>
        <v>-27.12</v>
      </c>
      <c r="AC64" s="26">
        <f t="shared" ca="1" si="14"/>
        <v>-27.95</v>
      </c>
      <c r="AD64" s="26">
        <f t="shared" ca="1" si="14"/>
        <v>-28.19</v>
      </c>
      <c r="AE64" s="26">
        <f t="shared" ca="1" si="14"/>
        <v>-28.43</v>
      </c>
      <c r="AF64" s="26">
        <f t="shared" ca="1" si="14"/>
        <v>-28.66</v>
      </c>
      <c r="AG64" s="26">
        <f t="shared" ca="1" si="14"/>
        <v>-28.9</v>
      </c>
      <c r="AH64" s="26">
        <f t="shared" ca="1" si="14"/>
        <v>0</v>
      </c>
      <c r="AI64" s="26">
        <f t="shared" ca="1" si="14"/>
        <v>0</v>
      </c>
      <c r="AJ64" s="26">
        <f t="shared" ca="1" si="14"/>
        <v>0</v>
      </c>
      <c r="AK64" s="26">
        <f t="shared" ca="1" si="14"/>
        <v>0</v>
      </c>
      <c r="AL64" s="26">
        <f t="shared" ca="1" si="14"/>
        <v>0</v>
      </c>
    </row>
    <row r="65" spans="1:38" ht="21" hidden="1" customHeight="1" outlineLevel="1" thickBot="1" x14ac:dyDescent="0.4">
      <c r="A65" s="10">
        <f t="shared" si="15"/>
        <v>0</v>
      </c>
      <c r="B65" s="10">
        <f t="shared" si="15"/>
        <v>1</v>
      </c>
      <c r="C65" s="10">
        <f t="shared" si="15"/>
        <v>0</v>
      </c>
      <c r="D65" s="10">
        <f t="shared" si="15"/>
        <v>0</v>
      </c>
      <c r="E65" s="11" t="str">
        <f t="shared" si="15"/>
        <v>(l)Se[a]</v>
      </c>
      <c r="F65" s="26">
        <f t="shared" ca="1" si="16"/>
        <v>-23.56</v>
      </c>
      <c r="G65" s="26">
        <f t="shared" ca="1" si="14"/>
        <v>-22.35</v>
      </c>
      <c r="H65" s="26">
        <f t="shared" ca="1" si="14"/>
        <v>-21.56</v>
      </c>
      <c r="I65" s="26">
        <f t="shared" ca="1" si="14"/>
        <v>-21.22</v>
      </c>
      <c r="J65" s="26">
        <f t="shared" ca="1" si="14"/>
        <v>-21.21</v>
      </c>
      <c r="K65" s="26">
        <f t="shared" ca="1" si="14"/>
        <v>-21.39</v>
      </c>
      <c r="L65" s="26">
        <f t="shared" ca="1" si="14"/>
        <v>-21.64</v>
      </c>
      <c r="M65" s="26">
        <f t="shared" ca="1" si="14"/>
        <v>-21.89</v>
      </c>
      <c r="N65" s="26">
        <f t="shared" ca="1" si="14"/>
        <v>-22.11</v>
      </c>
      <c r="O65" s="26">
        <f t="shared" ca="1" si="14"/>
        <v>-22.89</v>
      </c>
      <c r="P65" s="26">
        <f t="shared" ca="1" si="14"/>
        <v>-23.15</v>
      </c>
      <c r="Q65" s="26">
        <f t="shared" ca="1" si="14"/>
        <v>-23.44</v>
      </c>
      <c r="R65" s="26">
        <f t="shared" ca="1" si="14"/>
        <v>-23.72</v>
      </c>
      <c r="S65" s="26">
        <f t="shared" ca="1" si="14"/>
        <v>-24.01</v>
      </c>
      <c r="T65" s="26">
        <f t="shared" ca="1" si="14"/>
        <v>-24.3</v>
      </c>
      <c r="U65" s="26">
        <f t="shared" ca="1" si="14"/>
        <v>-24.58</v>
      </c>
      <c r="V65" s="26">
        <f t="shared" ca="1" si="14"/>
        <v>-24.86</v>
      </c>
      <c r="W65" s="26">
        <f t="shared" ca="1" si="14"/>
        <v>-25.12</v>
      </c>
      <c r="X65" s="26">
        <f t="shared" ca="1" si="14"/>
        <v>-26.08</v>
      </c>
      <c r="Y65" s="26">
        <f t="shared" ca="1" si="14"/>
        <v>-26.34</v>
      </c>
      <c r="Z65" s="26">
        <f t="shared" ca="1" si="14"/>
        <v>-26.61</v>
      </c>
      <c r="AA65" s="26">
        <f t="shared" ca="1" si="14"/>
        <v>-26.87</v>
      </c>
      <c r="AB65" s="26">
        <f t="shared" ca="1" si="14"/>
        <v>-27.12</v>
      </c>
      <c r="AC65" s="26">
        <f t="shared" ca="1" si="14"/>
        <v>-27.95</v>
      </c>
      <c r="AD65" s="26">
        <f t="shared" ca="1" si="14"/>
        <v>-28.19</v>
      </c>
      <c r="AE65" s="26">
        <f t="shared" ca="1" si="14"/>
        <v>-28.43</v>
      </c>
      <c r="AF65" s="26">
        <f t="shared" ca="1" si="14"/>
        <v>-28.66</v>
      </c>
      <c r="AG65" s="26">
        <f t="shared" ca="1" si="14"/>
        <v>-28.9</v>
      </c>
      <c r="AH65" s="26">
        <f t="shared" ca="1" si="14"/>
        <v>0</v>
      </c>
      <c r="AI65" s="26">
        <f t="shared" ca="1" si="14"/>
        <v>0</v>
      </c>
      <c r="AJ65" s="26">
        <f t="shared" ca="1" si="14"/>
        <v>0</v>
      </c>
      <c r="AK65" s="26">
        <f t="shared" ca="1" si="14"/>
        <v>0</v>
      </c>
      <c r="AL65" s="26">
        <f t="shared" ca="1" si="14"/>
        <v>0</v>
      </c>
    </row>
    <row r="66" spans="1:38" ht="21" hidden="1" customHeight="1" outlineLevel="1" thickBot="1" x14ac:dyDescent="0.4">
      <c r="A66" s="10">
        <f t="shared" si="15"/>
        <v>0</v>
      </c>
      <c r="B66" s="10">
        <f t="shared" si="15"/>
        <v>1</v>
      </c>
      <c r="C66" s="10">
        <f t="shared" si="15"/>
        <v>0</v>
      </c>
      <c r="D66" s="10">
        <f t="shared" si="15"/>
        <v>0</v>
      </c>
      <c r="E66" s="11" t="str">
        <f t="shared" si="15"/>
        <v>(l)Se[m]</v>
      </c>
      <c r="F66" s="26">
        <f t="shared" ca="1" si="16"/>
        <v>-23.56</v>
      </c>
      <c r="G66" s="26">
        <f t="shared" ca="1" si="14"/>
        <v>-22.35</v>
      </c>
      <c r="H66" s="26">
        <f t="shared" ca="1" si="14"/>
        <v>-21.56</v>
      </c>
      <c r="I66" s="26">
        <f t="shared" ca="1" si="14"/>
        <v>-21.22</v>
      </c>
      <c r="J66" s="26">
        <f t="shared" ca="1" si="14"/>
        <v>-21.21</v>
      </c>
      <c r="K66" s="26">
        <f t="shared" ca="1" si="14"/>
        <v>-21.39</v>
      </c>
      <c r="L66" s="26">
        <f t="shared" ca="1" si="14"/>
        <v>-21.64</v>
      </c>
      <c r="M66" s="26">
        <f t="shared" ca="1" si="14"/>
        <v>-21.89</v>
      </c>
      <c r="N66" s="26">
        <f t="shared" ca="1" si="14"/>
        <v>-22.11</v>
      </c>
      <c r="O66" s="26">
        <f t="shared" ca="1" si="14"/>
        <v>-22.89</v>
      </c>
      <c r="P66" s="26">
        <f t="shared" ca="1" si="14"/>
        <v>-23.15</v>
      </c>
      <c r="Q66" s="26">
        <f t="shared" ca="1" si="14"/>
        <v>-23.44</v>
      </c>
      <c r="R66" s="26">
        <f t="shared" ca="1" si="14"/>
        <v>-23.72</v>
      </c>
      <c r="S66" s="26">
        <f t="shared" ca="1" si="14"/>
        <v>-24.01</v>
      </c>
      <c r="T66" s="26">
        <f t="shared" ca="1" si="14"/>
        <v>-24.3</v>
      </c>
      <c r="U66" s="26">
        <f t="shared" ca="1" si="14"/>
        <v>-24.58</v>
      </c>
      <c r="V66" s="26">
        <f t="shared" ca="1" si="14"/>
        <v>-24.86</v>
      </c>
      <c r="W66" s="26">
        <f t="shared" ca="1" si="14"/>
        <v>-25.12</v>
      </c>
      <c r="X66" s="26">
        <f t="shared" ca="1" si="14"/>
        <v>-26.08</v>
      </c>
      <c r="Y66" s="26">
        <f t="shared" ca="1" si="14"/>
        <v>-26.34</v>
      </c>
      <c r="Z66" s="26">
        <f t="shared" ca="1" si="14"/>
        <v>-26.61</v>
      </c>
      <c r="AA66" s="26">
        <f t="shared" ca="1" si="14"/>
        <v>-26.87</v>
      </c>
      <c r="AB66" s="26">
        <f t="shared" ca="1" si="14"/>
        <v>-27.12</v>
      </c>
      <c r="AC66" s="26">
        <f t="shared" ca="1" si="14"/>
        <v>-27.95</v>
      </c>
      <c r="AD66" s="26">
        <f t="shared" ca="1" si="14"/>
        <v>-28.19</v>
      </c>
      <c r="AE66" s="26">
        <f t="shared" ca="1" si="14"/>
        <v>-28.43</v>
      </c>
      <c r="AF66" s="26">
        <f t="shared" ca="1" si="14"/>
        <v>-28.66</v>
      </c>
      <c r="AG66" s="26">
        <f t="shared" ca="1" si="14"/>
        <v>-28.9</v>
      </c>
      <c r="AH66" s="26">
        <f t="shared" ca="1" si="14"/>
        <v>0</v>
      </c>
      <c r="AI66" s="26">
        <f t="shared" ref="G66:AL75" ca="1" si="17">$A66*H.Ar + $B66*H.Se + $C66*H.Ge + $D66*H.Ga</f>
        <v>0</v>
      </c>
      <c r="AJ66" s="26">
        <f t="shared" ca="1" si="17"/>
        <v>0</v>
      </c>
      <c r="AK66" s="26">
        <f t="shared" ca="1" si="17"/>
        <v>0</v>
      </c>
      <c r="AL66" s="26">
        <f t="shared" ca="1" si="17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(l)Se[r]</v>
      </c>
      <c r="F67" s="26">
        <f t="shared" ca="1" si="16"/>
        <v>-23.56</v>
      </c>
      <c r="G67" s="26">
        <f t="shared" ca="1" si="17"/>
        <v>-22.35</v>
      </c>
      <c r="H67" s="26">
        <f t="shared" ca="1" si="17"/>
        <v>-21.56</v>
      </c>
      <c r="I67" s="26">
        <f t="shared" ca="1" si="17"/>
        <v>-21.22</v>
      </c>
      <c r="J67" s="26">
        <f t="shared" ca="1" si="17"/>
        <v>-21.21</v>
      </c>
      <c r="K67" s="26">
        <f t="shared" ca="1" si="17"/>
        <v>-21.39</v>
      </c>
      <c r="L67" s="26">
        <f t="shared" ca="1" si="17"/>
        <v>-21.64</v>
      </c>
      <c r="M67" s="26">
        <f t="shared" ca="1" si="17"/>
        <v>-21.89</v>
      </c>
      <c r="N67" s="26">
        <f t="shared" ca="1" si="17"/>
        <v>-22.11</v>
      </c>
      <c r="O67" s="26">
        <f t="shared" ca="1" si="17"/>
        <v>-22.89</v>
      </c>
      <c r="P67" s="26">
        <f t="shared" ca="1" si="17"/>
        <v>-23.15</v>
      </c>
      <c r="Q67" s="26">
        <f t="shared" ca="1" si="17"/>
        <v>-23.44</v>
      </c>
      <c r="R67" s="26">
        <f t="shared" ca="1" si="17"/>
        <v>-23.72</v>
      </c>
      <c r="S67" s="26">
        <f t="shared" ca="1" si="17"/>
        <v>-24.01</v>
      </c>
      <c r="T67" s="26">
        <f t="shared" ca="1" si="17"/>
        <v>-24.3</v>
      </c>
      <c r="U67" s="26">
        <f t="shared" ca="1" si="17"/>
        <v>-24.58</v>
      </c>
      <c r="V67" s="26">
        <f t="shared" ca="1" si="17"/>
        <v>-24.86</v>
      </c>
      <c r="W67" s="26">
        <f t="shared" ca="1" si="17"/>
        <v>-25.12</v>
      </c>
      <c r="X67" s="26">
        <f t="shared" ca="1" si="17"/>
        <v>-26.08</v>
      </c>
      <c r="Y67" s="26">
        <f t="shared" ca="1" si="17"/>
        <v>-26.34</v>
      </c>
      <c r="Z67" s="26">
        <f t="shared" ca="1" si="17"/>
        <v>-26.61</v>
      </c>
      <c r="AA67" s="26">
        <f t="shared" ca="1" si="17"/>
        <v>-26.87</v>
      </c>
      <c r="AB67" s="26">
        <f t="shared" ca="1" si="17"/>
        <v>-27.12</v>
      </c>
      <c r="AC67" s="26">
        <f t="shared" ca="1" si="17"/>
        <v>-27.95</v>
      </c>
      <c r="AD67" s="26">
        <f t="shared" ca="1" si="17"/>
        <v>-28.19</v>
      </c>
      <c r="AE67" s="26">
        <f t="shared" ca="1" si="17"/>
        <v>-28.43</v>
      </c>
      <c r="AF67" s="26">
        <f t="shared" ca="1" si="17"/>
        <v>-28.66</v>
      </c>
      <c r="AG67" s="26">
        <f t="shared" ca="1" si="17"/>
        <v>-28.9</v>
      </c>
      <c r="AH67" s="26">
        <f t="shared" ca="1" si="17"/>
        <v>0</v>
      </c>
      <c r="AI67" s="26">
        <f t="shared" ca="1" si="17"/>
        <v>0</v>
      </c>
      <c r="AJ67" s="26">
        <f t="shared" ca="1" si="17"/>
        <v>0</v>
      </c>
      <c r="AK67" s="26">
        <f t="shared" ca="1" si="17"/>
        <v>0</v>
      </c>
      <c r="AL67" s="26">
        <f t="shared" ca="1" si="17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1</v>
      </c>
      <c r="D68" s="10">
        <f t="shared" si="15"/>
        <v>0</v>
      </c>
      <c r="E68" s="11" t="str">
        <f t="shared" si="15"/>
        <v>(l)Ge[c]</v>
      </c>
      <c r="F68" s="26">
        <f t="shared" ca="1" si="16"/>
        <v>-17.13</v>
      </c>
      <c r="G68" s="26">
        <f t="shared" ca="1" si="17"/>
        <v>-16.2</v>
      </c>
      <c r="H68" s="26">
        <f t="shared" ca="1" si="17"/>
        <v>-15.1</v>
      </c>
      <c r="I68" s="26">
        <f t="shared" ca="1" si="17"/>
        <v>-13.78</v>
      </c>
      <c r="J68" s="26">
        <f t="shared" ca="1" si="17"/>
        <v>-12.35</v>
      </c>
      <c r="K68" s="26">
        <f t="shared" ca="1" si="17"/>
        <v>-10.94</v>
      </c>
      <c r="L68" s="26">
        <f t="shared" ca="1" si="17"/>
        <v>-9.6310000000000002</v>
      </c>
      <c r="M68" s="26">
        <f t="shared" ca="1" si="17"/>
        <v>-8.4689999999999994</v>
      </c>
      <c r="N68" s="26">
        <f t="shared" ca="1" si="17"/>
        <v>-7.5140000000000002</v>
      </c>
      <c r="O68" s="26">
        <f t="shared" ca="1" si="17"/>
        <v>-5.98</v>
      </c>
      <c r="P68" s="26">
        <f t="shared" ca="1" si="17"/>
        <v>-5.9509999999999996</v>
      </c>
      <c r="Q68" s="26">
        <f t="shared" ca="1" si="17"/>
        <v>-5.9649999999999999</v>
      </c>
      <c r="R68" s="26">
        <f t="shared" ca="1" si="17"/>
        <v>-5.9980000000000002</v>
      </c>
      <c r="S68" s="26">
        <f t="shared" ca="1" si="17"/>
        <v>-6.0410000000000004</v>
      </c>
      <c r="T68" s="26">
        <f t="shared" ca="1" si="17"/>
        <v>-6.0880000000000001</v>
      </c>
      <c r="U68" s="26">
        <f t="shared" ca="1" si="17"/>
        <v>-6.1379999999999999</v>
      </c>
      <c r="V68" s="26">
        <f t="shared" ca="1" si="17"/>
        <v>-6.1980000000000004</v>
      </c>
      <c r="W68" s="26">
        <f t="shared" ca="1" si="17"/>
        <v>-6.2850000000000001</v>
      </c>
      <c r="X68" s="26">
        <f t="shared" ca="1" si="17"/>
        <v>-6.7809999999999997</v>
      </c>
      <c r="Y68" s="26">
        <f t="shared" ca="1" si="17"/>
        <v>-6.8440000000000003</v>
      </c>
      <c r="Z68" s="26">
        <f t="shared" ca="1" si="17"/>
        <v>-6.9050000000000002</v>
      </c>
      <c r="AA68" s="26">
        <f t="shared" ca="1" si="17"/>
        <v>-6.9660000000000002</v>
      </c>
      <c r="AB68" s="26">
        <f t="shared" ca="1" si="17"/>
        <v>-7.0279999999999996</v>
      </c>
      <c r="AC68" s="26">
        <f t="shared" ca="1" si="17"/>
        <v>-7.1989999999999998</v>
      </c>
      <c r="AD68" s="26">
        <f t="shared" ca="1" si="17"/>
        <v>-7.2430000000000003</v>
      </c>
      <c r="AE68" s="26">
        <f t="shared" ca="1" si="17"/>
        <v>-7.2880000000000003</v>
      </c>
      <c r="AF68" s="26">
        <f t="shared" ca="1" si="17"/>
        <v>-7.3330000000000002</v>
      </c>
      <c r="AG68" s="26">
        <f t="shared" ca="1" si="17"/>
        <v>-7.3780000000000001</v>
      </c>
      <c r="AH68" s="26">
        <f t="shared" ca="1" si="17"/>
        <v>0</v>
      </c>
      <c r="AI68" s="26">
        <f t="shared" ca="1" si="17"/>
        <v>0</v>
      </c>
      <c r="AJ68" s="26">
        <f t="shared" ca="1" si="17"/>
        <v>0</v>
      </c>
      <c r="AK68" s="26">
        <f t="shared" ca="1" si="17"/>
        <v>0</v>
      </c>
      <c r="AL68" s="26">
        <f t="shared" ca="1" si="17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1</v>
      </c>
      <c r="E69" s="11" t="str">
        <f t="shared" si="15"/>
        <v>(3)Ga[l]</v>
      </c>
      <c r="F69" s="26">
        <f t="shared" ca="1" si="16"/>
        <v>-66.36</v>
      </c>
      <c r="G69" s="26">
        <f t="shared" ca="1" si="17"/>
        <v>-61.96</v>
      </c>
      <c r="H69" s="26">
        <f t="shared" ca="1" si="17"/>
        <v>-57.78</v>
      </c>
      <c r="I69" s="26">
        <f t="shared" ca="1" si="17"/>
        <v>-53.6</v>
      </c>
      <c r="J69" s="26">
        <f t="shared" ca="1" si="17"/>
        <v>-49.48</v>
      </c>
      <c r="K69" s="26">
        <f t="shared" ca="1" si="17"/>
        <v>-45.55</v>
      </c>
      <c r="L69" s="26">
        <f t="shared" ca="1" si="17"/>
        <v>-41.9</v>
      </c>
      <c r="M69" s="26">
        <f t="shared" ca="1" si="17"/>
        <v>-38.58</v>
      </c>
      <c r="N69" s="26">
        <f t="shared" ca="1" si="17"/>
        <v>-35.61</v>
      </c>
      <c r="O69" s="26">
        <f t="shared" ca="1" si="17"/>
        <v>-26.13</v>
      </c>
      <c r="P69" s="26">
        <f t="shared" ca="1" si="17"/>
        <v>-24.06</v>
      </c>
      <c r="Q69" s="26">
        <f t="shared" ca="1" si="17"/>
        <v>-22.1</v>
      </c>
      <c r="R69" s="26">
        <f t="shared" ca="1" si="17"/>
        <v>-20.239999999999998</v>
      </c>
      <c r="S69" s="26">
        <f t="shared" ca="1" si="17"/>
        <v>-18.489999999999998</v>
      </c>
      <c r="T69" s="26">
        <f t="shared" ca="1" si="17"/>
        <v>-16.829999999999998</v>
      </c>
      <c r="U69" s="26">
        <f t="shared" ca="1" si="17"/>
        <v>-15.27</v>
      </c>
      <c r="V69" s="26">
        <f t="shared" ca="1" si="17"/>
        <v>-13.8</v>
      </c>
      <c r="W69" s="26">
        <f t="shared" ca="1" si="17"/>
        <v>-12.48</v>
      </c>
      <c r="X69" s="26">
        <f t="shared" ca="1" si="17"/>
        <v>-9.391</v>
      </c>
      <c r="Y69" s="26">
        <f t="shared" ca="1" si="17"/>
        <v>-8.8940000000000001</v>
      </c>
      <c r="Z69" s="26">
        <f t="shared" ca="1" si="17"/>
        <v>-8.4309999999999992</v>
      </c>
      <c r="AA69" s="26">
        <f t="shared" ca="1" si="17"/>
        <v>-7.9980000000000002</v>
      </c>
      <c r="AB69" s="26">
        <f t="shared" ca="1" si="17"/>
        <v>-7.6219999999999999</v>
      </c>
      <c r="AC69" s="26">
        <f t="shared" ca="1" si="17"/>
        <v>-7.9009999999999998</v>
      </c>
      <c r="AD69" s="26">
        <f t="shared" ca="1" si="17"/>
        <v>-7.9690000000000003</v>
      </c>
      <c r="AE69" s="26">
        <f t="shared" ca="1" si="17"/>
        <v>-8.0350000000000001</v>
      </c>
      <c r="AF69" s="26">
        <f t="shared" ca="1" si="17"/>
        <v>-8.1010000000000009</v>
      </c>
      <c r="AG69" s="26">
        <f t="shared" ca="1" si="17"/>
        <v>-8.1660000000000004</v>
      </c>
      <c r="AH69" s="26">
        <f t="shared" ca="1" si="17"/>
        <v>0</v>
      </c>
      <c r="AI69" s="26">
        <f t="shared" ca="1" si="17"/>
        <v>0</v>
      </c>
      <c r="AJ69" s="26">
        <f t="shared" ca="1" si="17"/>
        <v>0</v>
      </c>
      <c r="AK69" s="26">
        <f t="shared" ca="1" si="17"/>
        <v>0</v>
      </c>
      <c r="AL69" s="26">
        <f t="shared" ca="1" si="17"/>
        <v>0</v>
      </c>
    </row>
    <row r="70" spans="1:38" ht="21" hidden="1" customHeight="1" outlineLevel="1" thickBot="1" x14ac:dyDescent="0.4">
      <c r="A70" s="10">
        <f t="shared" ref="A70:E79" si="18">A24</f>
        <v>0</v>
      </c>
      <c r="B70" s="10">
        <f t="shared" si="18"/>
        <v>0</v>
      </c>
      <c r="C70" s="10">
        <f t="shared" si="18"/>
        <v>1</v>
      </c>
      <c r="D70" s="10">
        <f t="shared" si="18"/>
        <v>0</v>
      </c>
      <c r="E70" s="11" t="str">
        <f t="shared" si="18"/>
        <v>(3)Ge[l]</v>
      </c>
      <c r="F70" s="26">
        <f t="shared" ref="F70:U78" ca="1" si="19">$A70*H.Ar + $B70*H.Se + $C70*H.Ge + $D70*H.Ga</f>
        <v>-17.13</v>
      </c>
      <c r="G70" s="26">
        <f t="shared" ca="1" si="19"/>
        <v>-16.2</v>
      </c>
      <c r="H70" s="26">
        <f t="shared" ca="1" si="19"/>
        <v>-15.1</v>
      </c>
      <c r="I70" s="26">
        <f t="shared" ca="1" si="19"/>
        <v>-13.78</v>
      </c>
      <c r="J70" s="26">
        <f t="shared" ca="1" si="19"/>
        <v>-12.35</v>
      </c>
      <c r="K70" s="26">
        <f t="shared" ca="1" si="19"/>
        <v>-10.94</v>
      </c>
      <c r="L70" s="26">
        <f t="shared" ca="1" si="19"/>
        <v>-9.6310000000000002</v>
      </c>
      <c r="M70" s="26">
        <f t="shared" ca="1" si="19"/>
        <v>-8.4689999999999994</v>
      </c>
      <c r="N70" s="26">
        <f t="shared" ca="1" si="19"/>
        <v>-7.5140000000000002</v>
      </c>
      <c r="O70" s="26">
        <f t="shared" ca="1" si="19"/>
        <v>-5.98</v>
      </c>
      <c r="P70" s="26">
        <f t="shared" ca="1" si="19"/>
        <v>-5.9509999999999996</v>
      </c>
      <c r="Q70" s="26">
        <f t="shared" ca="1" si="19"/>
        <v>-5.9649999999999999</v>
      </c>
      <c r="R70" s="26">
        <f t="shared" ca="1" si="19"/>
        <v>-5.9980000000000002</v>
      </c>
      <c r="S70" s="26">
        <f t="shared" ca="1" si="19"/>
        <v>-6.0410000000000004</v>
      </c>
      <c r="T70" s="26">
        <f t="shared" ca="1" si="19"/>
        <v>-6.0880000000000001</v>
      </c>
      <c r="U70" s="26">
        <f t="shared" ca="1" si="19"/>
        <v>-6.1379999999999999</v>
      </c>
      <c r="V70" s="26">
        <f t="shared" ca="1" si="17"/>
        <v>-6.1980000000000004</v>
      </c>
      <c r="W70" s="26">
        <f t="shared" ca="1" si="17"/>
        <v>-6.2850000000000001</v>
      </c>
      <c r="X70" s="26">
        <f t="shared" ca="1" si="17"/>
        <v>-6.7809999999999997</v>
      </c>
      <c r="Y70" s="26">
        <f t="shared" ca="1" si="17"/>
        <v>-6.8440000000000003</v>
      </c>
      <c r="Z70" s="26">
        <f t="shared" ca="1" si="17"/>
        <v>-6.9050000000000002</v>
      </c>
      <c r="AA70" s="26">
        <f t="shared" ca="1" si="17"/>
        <v>-6.9660000000000002</v>
      </c>
      <c r="AB70" s="26">
        <f t="shared" ca="1" si="17"/>
        <v>-7.0279999999999996</v>
      </c>
      <c r="AC70" s="26">
        <f t="shared" ca="1" si="17"/>
        <v>-7.1989999999999998</v>
      </c>
      <c r="AD70" s="26">
        <f t="shared" ca="1" si="17"/>
        <v>-7.2430000000000003</v>
      </c>
      <c r="AE70" s="26">
        <f t="shared" ca="1" si="17"/>
        <v>-7.2880000000000003</v>
      </c>
      <c r="AF70" s="26">
        <f t="shared" ca="1" si="17"/>
        <v>-7.3330000000000002</v>
      </c>
      <c r="AG70" s="26">
        <f t="shared" ca="1" si="17"/>
        <v>-7.3780000000000001</v>
      </c>
      <c r="AH70" s="26">
        <f t="shared" ca="1" si="17"/>
        <v>0</v>
      </c>
      <c r="AI70" s="26">
        <f t="shared" ca="1" si="17"/>
        <v>0</v>
      </c>
      <c r="AJ70" s="26">
        <f t="shared" ca="1" si="17"/>
        <v>0</v>
      </c>
      <c r="AK70" s="26">
        <f t="shared" ca="1" si="17"/>
        <v>0</v>
      </c>
      <c r="AL70" s="26">
        <f t="shared" ca="1" si="17"/>
        <v>0</v>
      </c>
    </row>
    <row r="71" spans="1:38" ht="21" hidden="1" customHeight="1" outlineLevel="1" thickBot="1" x14ac:dyDescent="0.4">
      <c r="A71" s="10">
        <f t="shared" si="18"/>
        <v>1</v>
      </c>
      <c r="B71" s="10">
        <f t="shared" si="18"/>
        <v>0</v>
      </c>
      <c r="C71" s="10">
        <f t="shared" si="18"/>
        <v>0</v>
      </c>
      <c r="D71" s="10">
        <f t="shared" si="18"/>
        <v>0</v>
      </c>
      <c r="E71" s="11" t="str">
        <f t="shared" si="18"/>
        <v>H (Ar)</v>
      </c>
      <c r="F71" s="26">
        <f t="shared" ca="1" si="19"/>
        <v>-18.82</v>
      </c>
      <c r="G71" s="26">
        <f t="shared" ca="1" si="17"/>
        <v>-18.809999999999999</v>
      </c>
      <c r="H71" s="26">
        <f t="shared" ca="1" si="17"/>
        <v>-18.8</v>
      </c>
      <c r="I71" s="26">
        <f t="shared" ca="1" si="17"/>
        <v>-18.809999999999999</v>
      </c>
      <c r="J71" s="26">
        <f t="shared" ca="1" si="17"/>
        <v>-18.82</v>
      </c>
      <c r="K71" s="26">
        <f t="shared" ca="1" si="17"/>
        <v>-18.84</v>
      </c>
      <c r="L71" s="26">
        <f t="shared" ca="1" si="17"/>
        <v>-18.87</v>
      </c>
      <c r="M71" s="26">
        <f t="shared" ca="1" si="17"/>
        <v>-18.899999999999999</v>
      </c>
      <c r="N71" s="26">
        <f t="shared" ca="1" si="17"/>
        <v>-18.93</v>
      </c>
      <c r="O71" s="26">
        <f t="shared" ca="1" si="17"/>
        <v>-19.059999999999999</v>
      </c>
      <c r="P71" s="26">
        <f t="shared" ca="1" si="17"/>
        <v>-19.100000000000001</v>
      </c>
      <c r="Q71" s="26">
        <f t="shared" ca="1" si="17"/>
        <v>-19.14</v>
      </c>
      <c r="R71" s="26">
        <f t="shared" ca="1" si="17"/>
        <v>-19.18</v>
      </c>
      <c r="S71" s="26">
        <f t="shared" ca="1" si="17"/>
        <v>-19.22</v>
      </c>
      <c r="T71" s="26">
        <f t="shared" ca="1" si="17"/>
        <v>-19.260000000000002</v>
      </c>
      <c r="U71" s="26">
        <f t="shared" ca="1" si="17"/>
        <v>-19.3</v>
      </c>
      <c r="V71" s="26">
        <f t="shared" ca="1" si="17"/>
        <v>-19.34</v>
      </c>
      <c r="W71" s="26">
        <f t="shared" ca="1" si="17"/>
        <v>-19.37</v>
      </c>
      <c r="X71" s="26">
        <f t="shared" ca="1" si="17"/>
        <v>-19.43</v>
      </c>
      <c r="Y71" s="26">
        <f t="shared" ca="1" si="17"/>
        <v>-19.47</v>
      </c>
      <c r="Z71" s="26">
        <f t="shared" ca="1" si="17"/>
        <v>-19.510000000000002</v>
      </c>
      <c r="AA71" s="26">
        <f t="shared" ca="1" si="17"/>
        <v>-19.55</v>
      </c>
      <c r="AB71" s="26">
        <f t="shared" ca="1" si="17"/>
        <v>-19.59</v>
      </c>
      <c r="AC71" s="26">
        <f t="shared" ca="1" si="17"/>
        <v>-19.739999999999998</v>
      </c>
      <c r="AD71" s="26">
        <f t="shared" ca="1" si="17"/>
        <v>-19.77</v>
      </c>
      <c r="AE71" s="26">
        <f t="shared" ca="1" si="17"/>
        <v>-19.809999999999999</v>
      </c>
      <c r="AF71" s="26">
        <f t="shared" ca="1" si="17"/>
        <v>-19.850000000000001</v>
      </c>
      <c r="AG71" s="26">
        <f t="shared" ca="1" si="17"/>
        <v>-19.88</v>
      </c>
      <c r="AH71" s="26">
        <f t="shared" ca="1" si="17"/>
        <v>0</v>
      </c>
      <c r="AI71" s="26">
        <f t="shared" ca="1" si="17"/>
        <v>0</v>
      </c>
      <c r="AJ71" s="26">
        <f t="shared" ca="1" si="17"/>
        <v>0</v>
      </c>
      <c r="AK71" s="26">
        <f t="shared" ca="1" si="17"/>
        <v>0</v>
      </c>
      <c r="AL71" s="26">
        <f t="shared" ca="1" si="17"/>
        <v>0</v>
      </c>
    </row>
    <row r="72" spans="1:38" ht="21" hidden="1" customHeight="1" outlineLevel="1" thickBot="1" x14ac:dyDescent="0.4">
      <c r="A72" s="10">
        <f t="shared" si="18"/>
        <v>0</v>
      </c>
      <c r="B72" s="10">
        <f t="shared" si="18"/>
        <v>0</v>
      </c>
      <c r="C72" s="10">
        <f t="shared" si="18"/>
        <v>0</v>
      </c>
      <c r="D72" s="10">
        <f t="shared" si="18"/>
        <v>1</v>
      </c>
      <c r="E72" s="11" t="str">
        <f t="shared" si="18"/>
        <v>H (Ga)</v>
      </c>
      <c r="F72" s="26">
        <f t="shared" ca="1" si="19"/>
        <v>-66.36</v>
      </c>
      <c r="G72" s="26">
        <f t="shared" ca="1" si="17"/>
        <v>-61.96</v>
      </c>
      <c r="H72" s="26">
        <f t="shared" ca="1" si="17"/>
        <v>-57.78</v>
      </c>
      <c r="I72" s="26">
        <f t="shared" ca="1" si="17"/>
        <v>-53.6</v>
      </c>
      <c r="J72" s="26">
        <f t="shared" ca="1" si="17"/>
        <v>-49.48</v>
      </c>
      <c r="K72" s="26">
        <f t="shared" ca="1" si="17"/>
        <v>-45.55</v>
      </c>
      <c r="L72" s="26">
        <f t="shared" ca="1" si="17"/>
        <v>-41.9</v>
      </c>
      <c r="M72" s="26">
        <f t="shared" ca="1" si="17"/>
        <v>-38.58</v>
      </c>
      <c r="N72" s="26">
        <f t="shared" ca="1" si="17"/>
        <v>-35.61</v>
      </c>
      <c r="O72" s="26">
        <f t="shared" ca="1" si="17"/>
        <v>-26.13</v>
      </c>
      <c r="P72" s="26">
        <f t="shared" ca="1" si="17"/>
        <v>-24.06</v>
      </c>
      <c r="Q72" s="26">
        <f t="shared" ca="1" si="17"/>
        <v>-22.1</v>
      </c>
      <c r="R72" s="26">
        <f t="shared" ca="1" si="17"/>
        <v>-20.239999999999998</v>
      </c>
      <c r="S72" s="26">
        <f t="shared" ca="1" si="17"/>
        <v>-18.489999999999998</v>
      </c>
      <c r="T72" s="26">
        <f t="shared" ca="1" si="17"/>
        <v>-16.829999999999998</v>
      </c>
      <c r="U72" s="26">
        <f t="shared" ca="1" si="17"/>
        <v>-15.27</v>
      </c>
      <c r="V72" s="26">
        <f t="shared" ca="1" si="17"/>
        <v>-13.8</v>
      </c>
      <c r="W72" s="26">
        <f t="shared" ca="1" si="17"/>
        <v>-12.48</v>
      </c>
      <c r="X72" s="26">
        <f t="shared" ca="1" si="17"/>
        <v>-9.391</v>
      </c>
      <c r="Y72" s="26">
        <f t="shared" ca="1" si="17"/>
        <v>-8.8940000000000001</v>
      </c>
      <c r="Z72" s="26">
        <f t="shared" ca="1" si="17"/>
        <v>-8.4309999999999992</v>
      </c>
      <c r="AA72" s="26">
        <f t="shared" ca="1" si="17"/>
        <v>-7.9980000000000002</v>
      </c>
      <c r="AB72" s="26">
        <f t="shared" ca="1" si="17"/>
        <v>-7.6219999999999999</v>
      </c>
      <c r="AC72" s="26">
        <f t="shared" ca="1" si="17"/>
        <v>-7.9009999999999998</v>
      </c>
      <c r="AD72" s="26">
        <f t="shared" ca="1" si="17"/>
        <v>-7.9690000000000003</v>
      </c>
      <c r="AE72" s="26">
        <f t="shared" ca="1" si="17"/>
        <v>-8.0350000000000001</v>
      </c>
      <c r="AF72" s="26">
        <f t="shared" ca="1" si="17"/>
        <v>-8.1010000000000009</v>
      </c>
      <c r="AG72" s="26">
        <f t="shared" ca="1" si="17"/>
        <v>-8.1660000000000004</v>
      </c>
      <c r="AH72" s="26">
        <f t="shared" ca="1" si="17"/>
        <v>0</v>
      </c>
      <c r="AI72" s="26">
        <f t="shared" ca="1" si="17"/>
        <v>0</v>
      </c>
      <c r="AJ72" s="26">
        <f t="shared" ca="1" si="17"/>
        <v>0</v>
      </c>
      <c r="AK72" s="26">
        <f t="shared" ca="1" si="17"/>
        <v>0</v>
      </c>
      <c r="AL72" s="26">
        <f t="shared" ca="1" si="17"/>
        <v>0</v>
      </c>
    </row>
    <row r="73" spans="1:38" ht="21" hidden="1" customHeight="1" outlineLevel="1" thickBot="1" x14ac:dyDescent="0.4">
      <c r="A73" s="10">
        <f t="shared" si="18"/>
        <v>0</v>
      </c>
      <c r="B73" s="10">
        <f t="shared" si="18"/>
        <v>0</v>
      </c>
      <c r="C73" s="10">
        <f t="shared" si="18"/>
        <v>1</v>
      </c>
      <c r="D73" s="10">
        <f t="shared" si="18"/>
        <v>0</v>
      </c>
      <c r="E73" s="11" t="str">
        <f t="shared" si="18"/>
        <v>H (Ge)</v>
      </c>
      <c r="F73" s="26">
        <f t="shared" ca="1" si="19"/>
        <v>-17.13</v>
      </c>
      <c r="G73" s="26">
        <f t="shared" ca="1" si="17"/>
        <v>-16.2</v>
      </c>
      <c r="H73" s="26">
        <f t="shared" ca="1" si="17"/>
        <v>-15.1</v>
      </c>
      <c r="I73" s="26">
        <f t="shared" ca="1" si="17"/>
        <v>-13.78</v>
      </c>
      <c r="J73" s="26">
        <f t="shared" ca="1" si="17"/>
        <v>-12.35</v>
      </c>
      <c r="K73" s="26">
        <f t="shared" ca="1" si="17"/>
        <v>-10.94</v>
      </c>
      <c r="L73" s="26">
        <f t="shared" ca="1" si="17"/>
        <v>-9.6310000000000002</v>
      </c>
      <c r="M73" s="26">
        <f t="shared" ca="1" si="17"/>
        <v>-8.4689999999999994</v>
      </c>
      <c r="N73" s="26">
        <f t="shared" ca="1" si="17"/>
        <v>-7.5140000000000002</v>
      </c>
      <c r="O73" s="26">
        <f t="shared" ca="1" si="17"/>
        <v>-5.98</v>
      </c>
      <c r="P73" s="26">
        <f t="shared" ca="1" si="17"/>
        <v>-5.9509999999999996</v>
      </c>
      <c r="Q73" s="26">
        <f t="shared" ca="1" si="17"/>
        <v>-5.9649999999999999</v>
      </c>
      <c r="R73" s="26">
        <f t="shared" ca="1" si="17"/>
        <v>-5.9980000000000002</v>
      </c>
      <c r="S73" s="26">
        <f t="shared" ca="1" si="17"/>
        <v>-6.0410000000000004</v>
      </c>
      <c r="T73" s="26">
        <f t="shared" ca="1" si="17"/>
        <v>-6.0880000000000001</v>
      </c>
      <c r="U73" s="26">
        <f t="shared" ca="1" si="17"/>
        <v>-6.1379999999999999</v>
      </c>
      <c r="V73" s="26">
        <f t="shared" ca="1" si="17"/>
        <v>-6.1980000000000004</v>
      </c>
      <c r="W73" s="26">
        <f t="shared" ca="1" si="17"/>
        <v>-6.2850000000000001</v>
      </c>
      <c r="X73" s="26">
        <f t="shared" ca="1" si="17"/>
        <v>-6.7809999999999997</v>
      </c>
      <c r="Y73" s="26">
        <f t="shared" ca="1" si="17"/>
        <v>-6.8440000000000003</v>
      </c>
      <c r="Z73" s="26">
        <f t="shared" ca="1" si="17"/>
        <v>-6.9050000000000002</v>
      </c>
      <c r="AA73" s="26">
        <f t="shared" ca="1" si="17"/>
        <v>-6.9660000000000002</v>
      </c>
      <c r="AB73" s="26">
        <f t="shared" ca="1" si="17"/>
        <v>-7.0279999999999996</v>
      </c>
      <c r="AC73" s="26">
        <f t="shared" ca="1" si="17"/>
        <v>-7.1989999999999998</v>
      </c>
      <c r="AD73" s="26">
        <f t="shared" ca="1" si="17"/>
        <v>-7.2430000000000003</v>
      </c>
      <c r="AE73" s="26">
        <f t="shared" ca="1" si="17"/>
        <v>-7.2880000000000003</v>
      </c>
      <c r="AF73" s="26">
        <f t="shared" ca="1" si="17"/>
        <v>-7.3330000000000002</v>
      </c>
      <c r="AG73" s="26">
        <f t="shared" ca="1" si="17"/>
        <v>-7.3780000000000001</v>
      </c>
      <c r="AH73" s="26">
        <f t="shared" ca="1" si="17"/>
        <v>0</v>
      </c>
      <c r="AI73" s="26">
        <f t="shared" ca="1" si="17"/>
        <v>0</v>
      </c>
      <c r="AJ73" s="26">
        <f t="shared" ca="1" si="17"/>
        <v>0</v>
      </c>
      <c r="AK73" s="26">
        <f t="shared" ca="1" si="17"/>
        <v>0</v>
      </c>
      <c r="AL73" s="26">
        <f t="shared" ca="1" si="17"/>
        <v>0</v>
      </c>
    </row>
    <row r="74" spans="1:38" ht="21" hidden="1" customHeight="1" outlineLevel="1" thickBot="1" x14ac:dyDescent="0.4">
      <c r="A74" s="10">
        <f t="shared" si="18"/>
        <v>0</v>
      </c>
      <c r="B74" s="10">
        <f t="shared" si="18"/>
        <v>1</v>
      </c>
      <c r="C74" s="10">
        <f t="shared" si="18"/>
        <v>0</v>
      </c>
      <c r="D74" s="10">
        <f t="shared" si="18"/>
        <v>0</v>
      </c>
      <c r="E74" s="11" t="str">
        <f t="shared" si="18"/>
        <v>H (Se)</v>
      </c>
      <c r="F74" s="26">
        <f t="shared" ca="1" si="19"/>
        <v>-23.56</v>
      </c>
      <c r="G74" s="26">
        <f t="shared" ca="1" si="17"/>
        <v>-22.35</v>
      </c>
      <c r="H74" s="26">
        <f t="shared" ca="1" si="17"/>
        <v>-21.56</v>
      </c>
      <c r="I74" s="26">
        <f t="shared" ca="1" si="17"/>
        <v>-21.22</v>
      </c>
      <c r="J74" s="26">
        <f t="shared" ca="1" si="17"/>
        <v>-21.21</v>
      </c>
      <c r="K74" s="26">
        <f t="shared" ca="1" si="17"/>
        <v>-21.39</v>
      </c>
      <c r="L74" s="26">
        <f t="shared" ca="1" si="17"/>
        <v>-21.64</v>
      </c>
      <c r="M74" s="26">
        <f t="shared" ca="1" si="17"/>
        <v>-21.89</v>
      </c>
      <c r="N74" s="26">
        <f t="shared" ca="1" si="17"/>
        <v>-22.11</v>
      </c>
      <c r="O74" s="26">
        <f t="shared" ca="1" si="17"/>
        <v>-22.89</v>
      </c>
      <c r="P74" s="26">
        <f t="shared" ca="1" si="17"/>
        <v>-23.15</v>
      </c>
      <c r="Q74" s="26">
        <f t="shared" ca="1" si="17"/>
        <v>-23.44</v>
      </c>
      <c r="R74" s="26">
        <f t="shared" ca="1" si="17"/>
        <v>-23.72</v>
      </c>
      <c r="S74" s="26">
        <f t="shared" ca="1" si="17"/>
        <v>-24.01</v>
      </c>
      <c r="T74" s="26">
        <f t="shared" ca="1" si="17"/>
        <v>-24.3</v>
      </c>
      <c r="U74" s="26">
        <f t="shared" ca="1" si="17"/>
        <v>-24.58</v>
      </c>
      <c r="V74" s="26">
        <f t="shared" ca="1" si="17"/>
        <v>-24.86</v>
      </c>
      <c r="W74" s="26">
        <f t="shared" ca="1" si="17"/>
        <v>-25.12</v>
      </c>
      <c r="X74" s="26">
        <f t="shared" ca="1" si="17"/>
        <v>-26.08</v>
      </c>
      <c r="Y74" s="26">
        <f t="shared" ca="1" si="17"/>
        <v>-26.34</v>
      </c>
      <c r="Z74" s="26">
        <f t="shared" ca="1" si="17"/>
        <v>-26.61</v>
      </c>
      <c r="AA74" s="26">
        <f t="shared" ca="1" si="17"/>
        <v>-26.87</v>
      </c>
      <c r="AB74" s="26">
        <f t="shared" ca="1" si="17"/>
        <v>-27.12</v>
      </c>
      <c r="AC74" s="26">
        <f t="shared" ca="1" si="17"/>
        <v>-27.95</v>
      </c>
      <c r="AD74" s="26">
        <f t="shared" ca="1" si="17"/>
        <v>-28.19</v>
      </c>
      <c r="AE74" s="26">
        <f t="shared" ca="1" si="17"/>
        <v>-28.43</v>
      </c>
      <c r="AF74" s="26">
        <f t="shared" ca="1" si="17"/>
        <v>-28.66</v>
      </c>
      <c r="AG74" s="26">
        <f t="shared" ca="1" si="17"/>
        <v>-28.9</v>
      </c>
      <c r="AH74" s="26">
        <f t="shared" ca="1" si="17"/>
        <v>0</v>
      </c>
      <c r="AI74" s="26">
        <f t="shared" ca="1" si="17"/>
        <v>0</v>
      </c>
      <c r="AJ74" s="26">
        <f t="shared" ca="1" si="17"/>
        <v>0</v>
      </c>
      <c r="AK74" s="26">
        <f t="shared" ca="1" si="17"/>
        <v>0</v>
      </c>
      <c r="AL74" s="26">
        <f t="shared" ca="1" si="17"/>
        <v>0</v>
      </c>
    </row>
    <row r="75" spans="1:38" ht="21" hidden="1" customHeight="1" outlineLevel="1" thickBot="1" x14ac:dyDescent="0.4">
      <c r="A75" s="10">
        <f t="shared" si="18"/>
        <v>0</v>
      </c>
      <c r="B75" s="10">
        <f t="shared" si="18"/>
        <v>0</v>
      </c>
      <c r="C75" s="10">
        <f t="shared" si="18"/>
        <v>0</v>
      </c>
      <c r="D75" s="10">
        <f t="shared" si="18"/>
        <v>0</v>
      </c>
      <c r="E75" s="11">
        <f t="shared" si="18"/>
        <v>0</v>
      </c>
      <c r="F75" s="26">
        <f t="shared" ca="1" si="19"/>
        <v>0</v>
      </c>
      <c r="G75" s="26">
        <f t="shared" ca="1" si="17"/>
        <v>0</v>
      </c>
      <c r="H75" s="26">
        <f t="shared" ca="1" si="17"/>
        <v>0</v>
      </c>
      <c r="I75" s="26">
        <f t="shared" ca="1" si="17"/>
        <v>0</v>
      </c>
      <c r="J75" s="26">
        <f t="shared" ca="1" si="17"/>
        <v>0</v>
      </c>
      <c r="K75" s="26">
        <f t="shared" ca="1" si="17"/>
        <v>0</v>
      </c>
      <c r="L75" s="26">
        <f t="shared" ca="1" si="17"/>
        <v>0</v>
      </c>
      <c r="M75" s="26">
        <f t="shared" ca="1" si="17"/>
        <v>0</v>
      </c>
      <c r="N75" s="26">
        <f t="shared" ca="1" si="17"/>
        <v>0</v>
      </c>
      <c r="O75" s="26">
        <f t="shared" ca="1" si="17"/>
        <v>0</v>
      </c>
      <c r="P75" s="26">
        <f t="shared" ca="1" si="17"/>
        <v>0</v>
      </c>
      <c r="Q75" s="26">
        <f t="shared" ref="G75:AL78" ca="1" si="20">$A75*H.Ar + $B75*H.Se + $C75*H.Ge + $D75*H.Ga</f>
        <v>0</v>
      </c>
      <c r="R75" s="26">
        <f t="shared" ca="1" si="20"/>
        <v>0</v>
      </c>
      <c r="S75" s="26">
        <f t="shared" ca="1" si="20"/>
        <v>0</v>
      </c>
      <c r="T75" s="26">
        <f t="shared" ca="1" si="20"/>
        <v>0</v>
      </c>
      <c r="U75" s="26">
        <f t="shared" ca="1" si="20"/>
        <v>0</v>
      </c>
      <c r="V75" s="26">
        <f t="shared" ca="1" si="20"/>
        <v>0</v>
      </c>
      <c r="W75" s="26">
        <f t="shared" ca="1" si="20"/>
        <v>0</v>
      </c>
      <c r="X75" s="26">
        <f t="shared" ca="1" si="20"/>
        <v>0</v>
      </c>
      <c r="Y75" s="26">
        <f t="shared" ca="1" si="20"/>
        <v>0</v>
      </c>
      <c r="Z75" s="26">
        <f t="shared" ca="1" si="20"/>
        <v>0</v>
      </c>
      <c r="AA75" s="26">
        <f t="shared" ca="1" si="20"/>
        <v>0</v>
      </c>
      <c r="AB75" s="26">
        <f t="shared" ca="1" si="20"/>
        <v>0</v>
      </c>
      <c r="AC75" s="26">
        <f t="shared" ca="1" si="20"/>
        <v>0</v>
      </c>
      <c r="AD75" s="26">
        <f t="shared" ca="1" si="20"/>
        <v>0</v>
      </c>
      <c r="AE75" s="26">
        <f t="shared" ca="1" si="20"/>
        <v>0</v>
      </c>
      <c r="AF75" s="26">
        <f t="shared" ca="1" si="20"/>
        <v>0</v>
      </c>
      <c r="AG75" s="26">
        <f t="shared" ca="1" si="20"/>
        <v>0</v>
      </c>
      <c r="AH75" s="26">
        <f t="shared" ca="1" si="20"/>
        <v>0</v>
      </c>
      <c r="AI75" s="26">
        <f t="shared" ca="1" si="20"/>
        <v>0</v>
      </c>
      <c r="AJ75" s="26">
        <f t="shared" ca="1" si="20"/>
        <v>0</v>
      </c>
      <c r="AK75" s="26">
        <f t="shared" ca="1" si="20"/>
        <v>0</v>
      </c>
      <c r="AL75" s="26">
        <f t="shared" ca="1" si="20"/>
        <v>0</v>
      </c>
    </row>
    <row r="76" spans="1:38" ht="21" hidden="1" customHeight="1" outlineLevel="1" thickBot="1" x14ac:dyDescent="0.4">
      <c r="A76" s="10">
        <f t="shared" si="18"/>
        <v>0</v>
      </c>
      <c r="B76" s="10">
        <f t="shared" si="18"/>
        <v>0</v>
      </c>
      <c r="C76" s="10">
        <f t="shared" si="18"/>
        <v>0</v>
      </c>
      <c r="D76" s="10">
        <f t="shared" si="18"/>
        <v>0</v>
      </c>
      <c r="E76" s="11">
        <f t="shared" si="18"/>
        <v>0</v>
      </c>
      <c r="F76" s="26">
        <f t="shared" ca="1" si="19"/>
        <v>0</v>
      </c>
      <c r="G76" s="26">
        <f t="shared" ca="1" si="20"/>
        <v>0</v>
      </c>
      <c r="H76" s="26">
        <f t="shared" ca="1" si="20"/>
        <v>0</v>
      </c>
      <c r="I76" s="26">
        <f t="shared" ca="1" si="20"/>
        <v>0</v>
      </c>
      <c r="J76" s="26">
        <f t="shared" ca="1" si="20"/>
        <v>0</v>
      </c>
      <c r="K76" s="26">
        <f t="shared" ca="1" si="20"/>
        <v>0</v>
      </c>
      <c r="L76" s="26">
        <f t="shared" ca="1" si="20"/>
        <v>0</v>
      </c>
      <c r="M76" s="26">
        <f t="shared" ca="1" si="20"/>
        <v>0</v>
      </c>
      <c r="N76" s="26">
        <f t="shared" ca="1" si="20"/>
        <v>0</v>
      </c>
      <c r="O76" s="26">
        <f t="shared" ca="1" si="20"/>
        <v>0</v>
      </c>
      <c r="P76" s="26">
        <f t="shared" ca="1" si="20"/>
        <v>0</v>
      </c>
      <c r="Q76" s="26">
        <f t="shared" ca="1" si="20"/>
        <v>0</v>
      </c>
      <c r="R76" s="26">
        <f t="shared" ca="1" si="20"/>
        <v>0</v>
      </c>
      <c r="S76" s="26">
        <f t="shared" ca="1" si="20"/>
        <v>0</v>
      </c>
      <c r="T76" s="26">
        <f t="shared" ca="1" si="20"/>
        <v>0</v>
      </c>
      <c r="U76" s="26">
        <f t="shared" ca="1" si="20"/>
        <v>0</v>
      </c>
      <c r="V76" s="26">
        <f t="shared" ca="1" si="20"/>
        <v>0</v>
      </c>
      <c r="W76" s="26">
        <f t="shared" ca="1" si="20"/>
        <v>0</v>
      </c>
      <c r="X76" s="26">
        <f t="shared" ca="1" si="20"/>
        <v>0</v>
      </c>
      <c r="Y76" s="26">
        <f t="shared" ca="1" si="20"/>
        <v>0</v>
      </c>
      <c r="Z76" s="26">
        <f t="shared" ca="1" si="20"/>
        <v>0</v>
      </c>
      <c r="AA76" s="26">
        <f t="shared" ca="1" si="20"/>
        <v>0</v>
      </c>
      <c r="AB76" s="26">
        <f t="shared" ca="1" si="20"/>
        <v>0</v>
      </c>
      <c r="AC76" s="26">
        <f t="shared" ca="1" si="20"/>
        <v>0</v>
      </c>
      <c r="AD76" s="26">
        <f t="shared" ca="1" si="20"/>
        <v>0</v>
      </c>
      <c r="AE76" s="26">
        <f t="shared" ca="1" si="20"/>
        <v>0</v>
      </c>
      <c r="AF76" s="26">
        <f t="shared" ca="1" si="20"/>
        <v>0</v>
      </c>
      <c r="AG76" s="26">
        <f t="shared" ca="1" si="20"/>
        <v>0</v>
      </c>
      <c r="AH76" s="26">
        <f t="shared" ca="1" si="20"/>
        <v>0</v>
      </c>
      <c r="AI76" s="26">
        <f t="shared" ca="1" si="20"/>
        <v>0</v>
      </c>
      <c r="AJ76" s="26">
        <f t="shared" ca="1" si="20"/>
        <v>0</v>
      </c>
      <c r="AK76" s="26">
        <f t="shared" ca="1" si="20"/>
        <v>0</v>
      </c>
      <c r="AL76" s="26">
        <f t="shared" ca="1" si="20"/>
        <v>0</v>
      </c>
    </row>
    <row r="77" spans="1:38" ht="21" hidden="1" customHeight="1" outlineLevel="1" thickBot="1" x14ac:dyDescent="0.4">
      <c r="A77" s="10">
        <f t="shared" si="18"/>
        <v>0</v>
      </c>
      <c r="B77" s="10">
        <f t="shared" si="18"/>
        <v>0</v>
      </c>
      <c r="C77" s="10">
        <f t="shared" si="18"/>
        <v>0</v>
      </c>
      <c r="D77" s="10">
        <f t="shared" si="18"/>
        <v>0</v>
      </c>
      <c r="E77" s="11">
        <f t="shared" si="18"/>
        <v>0</v>
      </c>
      <c r="F77" s="26">
        <f t="shared" ca="1" si="19"/>
        <v>0</v>
      </c>
      <c r="G77" s="26">
        <f t="shared" ca="1" si="20"/>
        <v>0</v>
      </c>
      <c r="H77" s="26">
        <f t="shared" ca="1" si="20"/>
        <v>0</v>
      </c>
      <c r="I77" s="26">
        <f t="shared" ca="1" si="20"/>
        <v>0</v>
      </c>
      <c r="J77" s="26">
        <f t="shared" ca="1" si="20"/>
        <v>0</v>
      </c>
      <c r="K77" s="26">
        <f t="shared" ca="1" si="20"/>
        <v>0</v>
      </c>
      <c r="L77" s="26">
        <f t="shared" ca="1" si="20"/>
        <v>0</v>
      </c>
      <c r="M77" s="26">
        <f t="shared" ca="1" si="20"/>
        <v>0</v>
      </c>
      <c r="N77" s="26">
        <f t="shared" ca="1" si="20"/>
        <v>0</v>
      </c>
      <c r="O77" s="26">
        <f t="shared" ca="1" si="20"/>
        <v>0</v>
      </c>
      <c r="P77" s="26">
        <f t="shared" ca="1" si="20"/>
        <v>0</v>
      </c>
      <c r="Q77" s="26">
        <f t="shared" ca="1" si="20"/>
        <v>0</v>
      </c>
      <c r="R77" s="26">
        <f t="shared" ca="1" si="20"/>
        <v>0</v>
      </c>
      <c r="S77" s="26">
        <f t="shared" ca="1" si="20"/>
        <v>0</v>
      </c>
      <c r="T77" s="26">
        <f t="shared" ca="1" si="20"/>
        <v>0</v>
      </c>
      <c r="U77" s="26">
        <f t="shared" ca="1" si="20"/>
        <v>0</v>
      </c>
      <c r="V77" s="26">
        <f t="shared" ca="1" si="20"/>
        <v>0</v>
      </c>
      <c r="W77" s="26">
        <f t="shared" ca="1" si="20"/>
        <v>0</v>
      </c>
      <c r="X77" s="26">
        <f t="shared" ca="1" si="20"/>
        <v>0</v>
      </c>
      <c r="Y77" s="26">
        <f t="shared" ca="1" si="20"/>
        <v>0</v>
      </c>
      <c r="Z77" s="26">
        <f t="shared" ca="1" si="20"/>
        <v>0</v>
      </c>
      <c r="AA77" s="26">
        <f t="shared" ca="1" si="20"/>
        <v>0</v>
      </c>
      <c r="AB77" s="26">
        <f t="shared" ca="1" si="20"/>
        <v>0</v>
      </c>
      <c r="AC77" s="26">
        <f t="shared" ca="1" si="20"/>
        <v>0</v>
      </c>
      <c r="AD77" s="26">
        <f t="shared" ca="1" si="20"/>
        <v>0</v>
      </c>
      <c r="AE77" s="26">
        <f t="shared" ca="1" si="20"/>
        <v>0</v>
      </c>
      <c r="AF77" s="26">
        <f t="shared" ca="1" si="20"/>
        <v>0</v>
      </c>
      <c r="AG77" s="26">
        <f t="shared" ca="1" si="20"/>
        <v>0</v>
      </c>
      <c r="AH77" s="26">
        <f t="shared" ca="1" si="20"/>
        <v>0</v>
      </c>
      <c r="AI77" s="26">
        <f t="shared" ca="1" si="20"/>
        <v>0</v>
      </c>
      <c r="AJ77" s="26">
        <f t="shared" ca="1" si="20"/>
        <v>0</v>
      </c>
      <c r="AK77" s="26">
        <f t="shared" ca="1" si="20"/>
        <v>0</v>
      </c>
      <c r="AL77" s="26">
        <f t="shared" ca="1" si="20"/>
        <v>0</v>
      </c>
    </row>
    <row r="78" spans="1:38" ht="21" hidden="1" customHeight="1" outlineLevel="1" thickBot="1" x14ac:dyDescent="0.4">
      <c r="A78" s="10">
        <f t="shared" si="18"/>
        <v>0</v>
      </c>
      <c r="B78" s="10">
        <f t="shared" si="18"/>
        <v>0</v>
      </c>
      <c r="C78" s="10">
        <f t="shared" si="18"/>
        <v>0</v>
      </c>
      <c r="D78" s="10">
        <f t="shared" si="18"/>
        <v>0</v>
      </c>
      <c r="E78" s="11">
        <f t="shared" si="18"/>
        <v>0</v>
      </c>
      <c r="F78" s="26">
        <f t="shared" ca="1" si="19"/>
        <v>0</v>
      </c>
      <c r="G78" s="26">
        <f t="shared" ca="1" si="20"/>
        <v>0</v>
      </c>
      <c r="H78" s="26">
        <f t="shared" ca="1" si="20"/>
        <v>0</v>
      </c>
      <c r="I78" s="26">
        <f t="shared" ca="1" si="20"/>
        <v>0</v>
      </c>
      <c r="J78" s="26">
        <f t="shared" ca="1" si="20"/>
        <v>0</v>
      </c>
      <c r="K78" s="26">
        <f t="shared" ca="1" si="20"/>
        <v>0</v>
      </c>
      <c r="L78" s="26">
        <f t="shared" ca="1" si="20"/>
        <v>0</v>
      </c>
      <c r="M78" s="26">
        <f t="shared" ca="1" si="20"/>
        <v>0</v>
      </c>
      <c r="N78" s="26">
        <f t="shared" ca="1" si="20"/>
        <v>0</v>
      </c>
      <c r="O78" s="26">
        <f t="shared" ca="1" si="20"/>
        <v>0</v>
      </c>
      <c r="P78" s="26">
        <f t="shared" ca="1" si="20"/>
        <v>0</v>
      </c>
      <c r="Q78" s="26">
        <f t="shared" ca="1" si="20"/>
        <v>0</v>
      </c>
      <c r="R78" s="26">
        <f t="shared" ca="1" si="20"/>
        <v>0</v>
      </c>
      <c r="S78" s="26">
        <f t="shared" ca="1" si="20"/>
        <v>0</v>
      </c>
      <c r="T78" s="26">
        <f t="shared" ca="1" si="20"/>
        <v>0</v>
      </c>
      <c r="U78" s="26">
        <f t="shared" ca="1" si="20"/>
        <v>0</v>
      </c>
      <c r="V78" s="26">
        <f t="shared" ca="1" si="20"/>
        <v>0</v>
      </c>
      <c r="W78" s="26">
        <f t="shared" ca="1" si="20"/>
        <v>0</v>
      </c>
      <c r="X78" s="26">
        <f t="shared" ca="1" si="20"/>
        <v>0</v>
      </c>
      <c r="Y78" s="26">
        <f t="shared" ca="1" si="20"/>
        <v>0</v>
      </c>
      <c r="Z78" s="26">
        <f t="shared" ca="1" si="20"/>
        <v>0</v>
      </c>
      <c r="AA78" s="26">
        <f t="shared" ca="1" si="20"/>
        <v>0</v>
      </c>
      <c r="AB78" s="26">
        <f t="shared" ca="1" si="20"/>
        <v>0</v>
      </c>
      <c r="AC78" s="26">
        <f t="shared" ca="1" si="20"/>
        <v>0</v>
      </c>
      <c r="AD78" s="26">
        <f t="shared" ca="1" si="20"/>
        <v>0</v>
      </c>
      <c r="AE78" s="26">
        <f t="shared" ca="1" si="20"/>
        <v>0</v>
      </c>
      <c r="AF78" s="26">
        <f t="shared" ca="1" si="20"/>
        <v>0</v>
      </c>
      <c r="AG78" s="26">
        <f t="shared" ca="1" si="20"/>
        <v>0</v>
      </c>
      <c r="AH78" s="26">
        <f t="shared" ca="1" si="20"/>
        <v>0</v>
      </c>
      <c r="AI78" s="26">
        <f t="shared" ca="1" si="20"/>
        <v>0</v>
      </c>
      <c r="AJ78" s="26">
        <f t="shared" ca="1" si="20"/>
        <v>0</v>
      </c>
      <c r="AK78" s="26">
        <f t="shared" ca="1" si="20"/>
        <v>0</v>
      </c>
      <c r="AL78" s="26">
        <f t="shared" ca="1" si="20"/>
        <v>0</v>
      </c>
    </row>
    <row r="79" spans="1:38" ht="21" hidden="1" customHeight="1" outlineLevel="1" thickBot="1" x14ac:dyDescent="0.4">
      <c r="A79" s="10">
        <f t="shared" si="18"/>
        <v>0</v>
      </c>
      <c r="B79" s="10">
        <f t="shared" si="18"/>
        <v>0</v>
      </c>
      <c r="C79" s="10">
        <f t="shared" si="18"/>
        <v>0</v>
      </c>
      <c r="D79" s="10">
        <f t="shared" si="18"/>
        <v>0</v>
      </c>
      <c r="E79" s="11">
        <f t="shared" si="18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21">E49</f>
        <v>0</v>
      </c>
      <c r="F83" s="8">
        <f t="shared" ref="F83" si="22">F3</f>
        <v>273.10000000000002</v>
      </c>
      <c r="G83" s="8">
        <f t="shared" ref="G83:AL83" si="23">G3</f>
        <v>293.3</v>
      </c>
      <c r="H83" s="8">
        <f t="shared" si="23"/>
        <v>313.5</v>
      </c>
      <c r="I83" s="8">
        <f t="shared" si="23"/>
        <v>333.7</v>
      </c>
      <c r="J83" s="8">
        <f t="shared" si="23"/>
        <v>353.9</v>
      </c>
      <c r="K83" s="8">
        <f t="shared" si="23"/>
        <v>374.1</v>
      </c>
      <c r="L83" s="8">
        <f t="shared" si="23"/>
        <v>394.3</v>
      </c>
      <c r="M83" s="8">
        <f t="shared" si="23"/>
        <v>414.5</v>
      </c>
      <c r="N83" s="8">
        <f t="shared" si="23"/>
        <v>434.7</v>
      </c>
      <c r="O83" s="8">
        <f t="shared" si="23"/>
        <v>515.4</v>
      </c>
      <c r="P83" s="8">
        <f t="shared" si="23"/>
        <v>535.6</v>
      </c>
      <c r="Q83" s="8">
        <f t="shared" si="23"/>
        <v>555.79999999999995</v>
      </c>
      <c r="R83" s="8">
        <f t="shared" si="23"/>
        <v>576</v>
      </c>
      <c r="S83" s="8">
        <f t="shared" si="23"/>
        <v>596.20000000000005</v>
      </c>
      <c r="T83" s="8">
        <f t="shared" si="23"/>
        <v>616.4</v>
      </c>
      <c r="U83" s="8">
        <f t="shared" si="23"/>
        <v>636.6</v>
      </c>
      <c r="V83" s="8">
        <f t="shared" si="23"/>
        <v>656.8</v>
      </c>
      <c r="W83" s="8">
        <f t="shared" si="23"/>
        <v>677</v>
      </c>
      <c r="X83" s="8">
        <f t="shared" si="23"/>
        <v>757.7</v>
      </c>
      <c r="Y83" s="8">
        <f t="shared" si="23"/>
        <v>777.9</v>
      </c>
      <c r="Z83" s="8">
        <f t="shared" si="23"/>
        <v>798.1</v>
      </c>
      <c r="AA83" s="8">
        <f t="shared" si="23"/>
        <v>818.3</v>
      </c>
      <c r="AB83" s="8">
        <f t="shared" si="23"/>
        <v>838.5</v>
      </c>
      <c r="AC83" s="8">
        <f t="shared" si="23"/>
        <v>919.2</v>
      </c>
      <c r="AD83" s="8">
        <f t="shared" si="23"/>
        <v>939.4</v>
      </c>
      <c r="AE83" s="8">
        <f t="shared" si="23"/>
        <v>959.6</v>
      </c>
      <c r="AF83" s="8">
        <f t="shared" si="23"/>
        <v>979.8</v>
      </c>
      <c r="AG83" s="8">
        <f t="shared" si="23"/>
        <v>1000</v>
      </c>
      <c r="AH83" s="8">
        <f t="shared" si="23"/>
        <v>0</v>
      </c>
      <c r="AI83" s="8">
        <f t="shared" si="23"/>
        <v>0</v>
      </c>
      <c r="AJ83" s="8">
        <f t="shared" si="23"/>
        <v>0</v>
      </c>
      <c r="AK83" s="8">
        <f t="shared" si="23"/>
        <v>0</v>
      </c>
      <c r="AL83" s="8">
        <f t="shared" si="23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4">B50</f>
        <v>1</v>
      </c>
      <c r="C84" s="10">
        <f t="shared" si="24"/>
        <v>1</v>
      </c>
      <c r="D84" s="10">
        <f t="shared" si="24"/>
        <v>0</v>
      </c>
      <c r="E84" s="11" t="str">
        <f t="shared" si="21"/>
        <v>*GeSe</v>
      </c>
      <c r="F84" s="26">
        <f t="shared" ref="F84" si="25">F4*$C$82</f>
        <v>9.3031249999999991E-9</v>
      </c>
      <c r="G84" s="26">
        <f t="shared" ref="G84:AL84" si="26">G4*$C$82</f>
        <v>1.6850624999999999E-8</v>
      </c>
      <c r="H84" s="26">
        <f t="shared" si="26"/>
        <v>4.01975E-8</v>
      </c>
      <c r="I84" s="26">
        <f t="shared" si="26"/>
        <v>4.9927500000000002E-8</v>
      </c>
      <c r="J84" s="26">
        <f t="shared" si="26"/>
        <v>9.3943750000000004E-8</v>
      </c>
      <c r="K84" s="26">
        <f t="shared" si="26"/>
        <v>1.2220625000000001E-7</v>
      </c>
      <c r="L84" s="26">
        <f t="shared" si="26"/>
        <v>1.2702500000000001E-7</v>
      </c>
      <c r="M84" s="26">
        <f t="shared" si="26"/>
        <v>7.4906250000000003E-8</v>
      </c>
      <c r="N84" s="26">
        <f t="shared" si="26"/>
        <v>3.7209375000000003E-8</v>
      </c>
      <c r="O84" s="26">
        <f t="shared" si="26"/>
        <v>1.79975E-28</v>
      </c>
      <c r="P84" s="26">
        <f t="shared" si="26"/>
        <v>0</v>
      </c>
      <c r="Q84" s="26">
        <f t="shared" si="26"/>
        <v>0</v>
      </c>
      <c r="R84" s="26">
        <f t="shared" si="26"/>
        <v>0</v>
      </c>
      <c r="S84" s="26">
        <f t="shared" si="26"/>
        <v>0</v>
      </c>
      <c r="T84" s="26">
        <f t="shared" si="26"/>
        <v>0</v>
      </c>
      <c r="U84" s="26">
        <f t="shared" si="26"/>
        <v>0</v>
      </c>
      <c r="V84" s="26">
        <f t="shared" si="26"/>
        <v>0</v>
      </c>
      <c r="W84" s="26">
        <f t="shared" si="26"/>
        <v>0</v>
      </c>
      <c r="X84" s="26">
        <f t="shared" si="26"/>
        <v>0</v>
      </c>
      <c r="Y84" s="26">
        <f t="shared" si="26"/>
        <v>0</v>
      </c>
      <c r="Z84" s="26">
        <f t="shared" si="26"/>
        <v>0</v>
      </c>
      <c r="AA84" s="26">
        <f t="shared" si="26"/>
        <v>0</v>
      </c>
      <c r="AB84" s="26">
        <f t="shared" si="26"/>
        <v>0</v>
      </c>
      <c r="AC84" s="26">
        <f t="shared" si="26"/>
        <v>0</v>
      </c>
      <c r="AD84" s="26">
        <f t="shared" si="26"/>
        <v>0</v>
      </c>
      <c r="AE84" s="26">
        <f t="shared" si="26"/>
        <v>0</v>
      </c>
      <c r="AF84" s="26">
        <f t="shared" si="26"/>
        <v>0</v>
      </c>
      <c r="AG84" s="26">
        <f t="shared" si="26"/>
        <v>0</v>
      </c>
      <c r="AH84" s="26">
        <f t="shared" si="26"/>
        <v>0</v>
      </c>
      <c r="AI84" s="26">
        <f t="shared" si="26"/>
        <v>0</v>
      </c>
      <c r="AJ84" s="26">
        <f t="shared" si="26"/>
        <v>0</v>
      </c>
      <c r="AK84" s="26">
        <f t="shared" si="26"/>
        <v>0</v>
      </c>
      <c r="AL84" s="26">
        <f t="shared" si="26"/>
        <v>0</v>
      </c>
    </row>
    <row r="85" spans="1:38" ht="21" hidden="1" customHeight="1" outlineLevel="1" thickBot="1" x14ac:dyDescent="0.4">
      <c r="A85" s="10">
        <f t="shared" ref="A85:D100" si="27">A51</f>
        <v>0</v>
      </c>
      <c r="B85" s="10">
        <f t="shared" si="27"/>
        <v>0</v>
      </c>
      <c r="C85" s="10">
        <f t="shared" si="27"/>
        <v>0</v>
      </c>
      <c r="D85" s="10">
        <f t="shared" si="27"/>
        <v>1</v>
      </c>
      <c r="E85" s="11" t="str">
        <f t="shared" si="21"/>
        <v>*Ga[l]</v>
      </c>
      <c r="F85" s="26">
        <f t="shared" ref="F85" si="28">F5*$C$82</f>
        <v>0</v>
      </c>
      <c r="G85" s="26">
        <f t="shared" ref="G85:AL85" si="29">G5*$C$82</f>
        <v>0</v>
      </c>
      <c r="H85" s="26">
        <f t="shared" si="29"/>
        <v>0</v>
      </c>
      <c r="I85" s="26">
        <f t="shared" si="29"/>
        <v>0</v>
      </c>
      <c r="J85" s="26">
        <f t="shared" si="29"/>
        <v>0</v>
      </c>
      <c r="K85" s="26">
        <f t="shared" si="29"/>
        <v>0</v>
      </c>
      <c r="L85" s="26">
        <f t="shared" si="29"/>
        <v>0</v>
      </c>
      <c r="M85" s="26">
        <f t="shared" si="29"/>
        <v>0</v>
      </c>
      <c r="N85" s="26">
        <f t="shared" si="29"/>
        <v>0</v>
      </c>
      <c r="O85" s="26">
        <f t="shared" si="29"/>
        <v>0</v>
      </c>
      <c r="P85" s="26">
        <f t="shared" si="29"/>
        <v>0</v>
      </c>
      <c r="Q85" s="26">
        <f t="shared" si="29"/>
        <v>0</v>
      </c>
      <c r="R85" s="26">
        <f t="shared" si="29"/>
        <v>0</v>
      </c>
      <c r="S85" s="26">
        <f t="shared" si="29"/>
        <v>0</v>
      </c>
      <c r="T85" s="26">
        <f t="shared" si="29"/>
        <v>0</v>
      </c>
      <c r="U85" s="26">
        <f t="shared" si="29"/>
        <v>0</v>
      </c>
      <c r="V85" s="26">
        <f t="shared" si="29"/>
        <v>0</v>
      </c>
      <c r="W85" s="26">
        <f t="shared" si="29"/>
        <v>0</v>
      </c>
      <c r="X85" s="26">
        <f t="shared" si="29"/>
        <v>8.5962499999999995E-36</v>
      </c>
      <c r="Y85" s="26">
        <f t="shared" si="29"/>
        <v>7.6975E-27</v>
      </c>
      <c r="Z85" s="26">
        <f t="shared" si="29"/>
        <v>6.1897500000000001E-19</v>
      </c>
      <c r="AA85" s="26">
        <f t="shared" si="29"/>
        <v>2.2679999999999999E-11</v>
      </c>
      <c r="AB85" s="26">
        <f t="shared" si="29"/>
        <v>5.0797499999999999E-6</v>
      </c>
      <c r="AC85" s="26">
        <f t="shared" si="29"/>
        <v>2.8148750000000001E-3</v>
      </c>
      <c r="AD85" s="26">
        <f t="shared" si="29"/>
        <v>2.0237499999999999E-3</v>
      </c>
      <c r="AE85" s="26">
        <f t="shared" si="29"/>
        <v>9.4387500000000005E-4</v>
      </c>
      <c r="AF85" s="26">
        <f t="shared" si="29"/>
        <v>4.7869999999999998E-4</v>
      </c>
      <c r="AG85" s="26">
        <f t="shared" si="29"/>
        <v>2.3306875E-4</v>
      </c>
      <c r="AH85" s="26">
        <f t="shared" si="29"/>
        <v>0</v>
      </c>
      <c r="AI85" s="26">
        <f t="shared" si="29"/>
        <v>0</v>
      </c>
      <c r="AJ85" s="26">
        <f t="shared" si="29"/>
        <v>0</v>
      </c>
      <c r="AK85" s="26">
        <f t="shared" si="29"/>
        <v>0</v>
      </c>
      <c r="AL85" s="26">
        <f t="shared" si="29"/>
        <v>0</v>
      </c>
    </row>
    <row r="86" spans="1:38" ht="21" hidden="1" customHeight="1" outlineLevel="1" thickBot="1" x14ac:dyDescent="0.4">
      <c r="A86" s="10">
        <f t="shared" si="27"/>
        <v>0</v>
      </c>
      <c r="B86" s="10">
        <f t="shared" si="27"/>
        <v>1</v>
      </c>
      <c r="C86" s="10">
        <f t="shared" si="27"/>
        <v>0</v>
      </c>
      <c r="D86" s="10">
        <f t="shared" si="27"/>
        <v>0</v>
      </c>
      <c r="E86" s="11" t="str">
        <f t="shared" si="21"/>
        <v>*Se[m]</v>
      </c>
      <c r="F86" s="26">
        <f t="shared" ref="F86" si="30">F6*$C$82</f>
        <v>0</v>
      </c>
      <c r="G86" s="26">
        <f t="shared" ref="G86:AL86" si="31">G6*$C$82</f>
        <v>3.3546249999999995E-30</v>
      </c>
      <c r="H86" s="26">
        <f t="shared" si="31"/>
        <v>5.4943750000000003E-22</v>
      </c>
      <c r="I86" s="26">
        <f t="shared" si="31"/>
        <v>1.3536875000000001E-18</v>
      </c>
      <c r="J86" s="26">
        <f t="shared" si="31"/>
        <v>9.4387499999999998E-17</v>
      </c>
      <c r="K86" s="26">
        <f t="shared" si="31"/>
        <v>5.0678124999999999E-16</v>
      </c>
      <c r="L86" s="26">
        <f t="shared" si="31"/>
        <v>2.0483124999999999E-15</v>
      </c>
      <c r="M86" s="26">
        <f t="shared" si="31"/>
        <v>2.7085625E-14</v>
      </c>
      <c r="N86" s="26">
        <f t="shared" si="31"/>
        <v>6.1100624999999993E-12</v>
      </c>
      <c r="O86" s="26">
        <f t="shared" si="31"/>
        <v>4.4791250000000001E-8</v>
      </c>
      <c r="P86" s="26">
        <f t="shared" si="31"/>
        <v>6.0118750000000004E-8</v>
      </c>
      <c r="Q86" s="26">
        <f t="shared" si="31"/>
        <v>9.8331249999999989E-8</v>
      </c>
      <c r="R86" s="26">
        <f t="shared" si="31"/>
        <v>6.6543749999999997E-8</v>
      </c>
      <c r="S86" s="26">
        <f t="shared" si="31"/>
        <v>7.3968749999999999E-8</v>
      </c>
      <c r="T86" s="26">
        <f t="shared" si="31"/>
        <v>7.6700000000000005E-8</v>
      </c>
      <c r="U86" s="26">
        <f t="shared" si="31"/>
        <v>8.0487499999999999E-8</v>
      </c>
      <c r="V86" s="26">
        <f t="shared" si="31"/>
        <v>9.2931250000000007E-8</v>
      </c>
      <c r="W86" s="26">
        <f t="shared" si="31"/>
        <v>8.4843750000000008E-8</v>
      </c>
      <c r="X86" s="26">
        <f t="shared" si="31"/>
        <v>2.1323124999999999E-7</v>
      </c>
      <c r="Y86" s="26">
        <f t="shared" si="31"/>
        <v>2.3866875000000002E-7</v>
      </c>
      <c r="Z86" s="26">
        <f t="shared" si="31"/>
        <v>1.5973750000000001E-7</v>
      </c>
      <c r="AA86" s="26">
        <f t="shared" si="31"/>
        <v>1.2098750000000001E-7</v>
      </c>
      <c r="AB86" s="26">
        <f t="shared" si="31"/>
        <v>1.2310625000000001E-22</v>
      </c>
      <c r="AC86" s="26">
        <f t="shared" si="31"/>
        <v>1.1616875E-19</v>
      </c>
      <c r="AD86" s="26">
        <f t="shared" si="31"/>
        <v>3.7859999999999995E-19</v>
      </c>
      <c r="AE86" s="26">
        <f t="shared" si="31"/>
        <v>9.3968750000000003E-19</v>
      </c>
      <c r="AF86" s="26">
        <f t="shared" si="31"/>
        <v>1.88675E-18</v>
      </c>
      <c r="AG86" s="26">
        <f t="shared" si="31"/>
        <v>3.4793124999999997E-18</v>
      </c>
      <c r="AH86" s="26">
        <f t="shared" si="31"/>
        <v>0</v>
      </c>
      <c r="AI86" s="26">
        <f t="shared" si="31"/>
        <v>0</v>
      </c>
      <c r="AJ86" s="26">
        <f t="shared" si="31"/>
        <v>0</v>
      </c>
      <c r="AK86" s="26">
        <f t="shared" si="31"/>
        <v>0</v>
      </c>
      <c r="AL86" s="26">
        <f t="shared" si="31"/>
        <v>0</v>
      </c>
    </row>
    <row r="87" spans="1:38" ht="21" hidden="1" customHeight="1" outlineLevel="1" thickBot="1" x14ac:dyDescent="0.4">
      <c r="A87" s="10">
        <f t="shared" si="27"/>
        <v>0</v>
      </c>
      <c r="B87" s="10">
        <f t="shared" si="27"/>
        <v>2</v>
      </c>
      <c r="C87" s="10">
        <f t="shared" si="27"/>
        <v>1</v>
      </c>
      <c r="D87" s="10">
        <f t="shared" si="27"/>
        <v>0</v>
      </c>
      <c r="E87" s="11" t="str">
        <f t="shared" si="21"/>
        <v>*GeSe2</v>
      </c>
      <c r="F87" s="26">
        <f t="shared" ref="F87" si="32">F7*$C$82</f>
        <v>8.0924999999999995E-9</v>
      </c>
      <c r="G87" s="26">
        <f t="shared" ref="G87:AL87" si="33">G7*$C$82</f>
        <v>1.2478750000000001E-9</v>
      </c>
      <c r="H87" s="26">
        <f t="shared" si="33"/>
        <v>8.6043750000000009E-13</v>
      </c>
      <c r="I87" s="26">
        <f t="shared" si="33"/>
        <v>1.2832500000000001E-20</v>
      </c>
      <c r="J87" s="26">
        <f t="shared" si="33"/>
        <v>1.9440000000000002E-31</v>
      </c>
      <c r="K87" s="26">
        <f t="shared" si="33"/>
        <v>0</v>
      </c>
      <c r="L87" s="26">
        <f t="shared" si="33"/>
        <v>0</v>
      </c>
      <c r="M87" s="26">
        <f t="shared" si="33"/>
        <v>0</v>
      </c>
      <c r="N87" s="26">
        <f t="shared" si="33"/>
        <v>0</v>
      </c>
      <c r="O87" s="26">
        <f t="shared" si="33"/>
        <v>0</v>
      </c>
      <c r="P87" s="26">
        <f t="shared" si="33"/>
        <v>0</v>
      </c>
      <c r="Q87" s="26">
        <f t="shared" si="33"/>
        <v>0</v>
      </c>
      <c r="R87" s="26">
        <f t="shared" si="33"/>
        <v>0</v>
      </c>
      <c r="S87" s="26">
        <f t="shared" si="33"/>
        <v>0</v>
      </c>
      <c r="T87" s="26">
        <f t="shared" si="33"/>
        <v>0</v>
      </c>
      <c r="U87" s="26">
        <f t="shared" si="33"/>
        <v>0</v>
      </c>
      <c r="V87" s="26">
        <f t="shared" si="33"/>
        <v>0</v>
      </c>
      <c r="W87" s="26">
        <f t="shared" si="33"/>
        <v>0</v>
      </c>
      <c r="X87" s="26">
        <f t="shared" si="33"/>
        <v>0</v>
      </c>
      <c r="Y87" s="26">
        <f t="shared" si="33"/>
        <v>0</v>
      </c>
      <c r="Z87" s="26">
        <f t="shared" si="33"/>
        <v>0</v>
      </c>
      <c r="AA87" s="26">
        <f t="shared" si="33"/>
        <v>0</v>
      </c>
      <c r="AB87" s="26">
        <f t="shared" si="33"/>
        <v>0</v>
      </c>
      <c r="AC87" s="26">
        <f t="shared" si="33"/>
        <v>0</v>
      </c>
      <c r="AD87" s="26">
        <f t="shared" si="33"/>
        <v>0</v>
      </c>
      <c r="AE87" s="26">
        <f t="shared" si="33"/>
        <v>0</v>
      </c>
      <c r="AF87" s="26">
        <f t="shared" si="33"/>
        <v>0</v>
      </c>
      <c r="AG87" s="26">
        <f t="shared" si="33"/>
        <v>0</v>
      </c>
      <c r="AH87" s="26">
        <f t="shared" si="33"/>
        <v>0</v>
      </c>
      <c r="AI87" s="26">
        <f t="shared" si="33"/>
        <v>0</v>
      </c>
      <c r="AJ87" s="26">
        <f t="shared" si="33"/>
        <v>0</v>
      </c>
      <c r="AK87" s="26">
        <f t="shared" si="33"/>
        <v>0</v>
      </c>
      <c r="AL87" s="26">
        <f t="shared" si="33"/>
        <v>0</v>
      </c>
    </row>
    <row r="88" spans="1:38" ht="21" hidden="1" customHeight="1" outlineLevel="1" thickBot="1" x14ac:dyDescent="0.4">
      <c r="A88" s="10">
        <f t="shared" si="27"/>
        <v>0</v>
      </c>
      <c r="B88" s="10">
        <f t="shared" si="27"/>
        <v>3</v>
      </c>
      <c r="C88" s="10">
        <f t="shared" si="27"/>
        <v>0</v>
      </c>
      <c r="D88" s="10">
        <f t="shared" si="27"/>
        <v>2</v>
      </c>
      <c r="E88" s="11" t="str">
        <f t="shared" si="21"/>
        <v>Ga2Se3</v>
      </c>
      <c r="F88" s="26">
        <f t="shared" ref="F88" si="34">F8*$C$82</f>
        <v>0.27655625</v>
      </c>
      <c r="G88" s="26">
        <f t="shared" ref="G88:AL88" si="35">G8*$C$82</f>
        <v>0.27257500000000001</v>
      </c>
      <c r="H88" s="26">
        <f t="shared" si="35"/>
        <v>0.26245625</v>
      </c>
      <c r="I88" s="26">
        <f t="shared" si="35"/>
        <v>0.24807499999999999</v>
      </c>
      <c r="J88" s="26">
        <f t="shared" si="35"/>
        <v>0.23673125</v>
      </c>
      <c r="K88" s="26">
        <f t="shared" si="35"/>
        <v>0.23084999999999997</v>
      </c>
      <c r="L88" s="26">
        <f t="shared" si="35"/>
        <v>0.22787499999999999</v>
      </c>
      <c r="M88" s="26">
        <f t="shared" si="35"/>
        <v>0.22488749999999999</v>
      </c>
      <c r="N88" s="26">
        <f t="shared" si="35"/>
        <v>0.21929375000000001</v>
      </c>
      <c r="O88" s="26">
        <f t="shared" si="35"/>
        <v>0.17591874999999998</v>
      </c>
      <c r="P88" s="26">
        <f t="shared" si="35"/>
        <v>0.17113124999999998</v>
      </c>
      <c r="Q88" s="26">
        <f t="shared" si="35"/>
        <v>0.16878124999999999</v>
      </c>
      <c r="R88" s="26">
        <f t="shared" si="35"/>
        <v>0.16767500000000002</v>
      </c>
      <c r="S88" s="26">
        <f t="shared" si="35"/>
        <v>0.167125</v>
      </c>
      <c r="T88" s="26">
        <f t="shared" si="35"/>
        <v>0.16666875</v>
      </c>
      <c r="U88" s="26">
        <f t="shared" si="35"/>
        <v>0.16543125</v>
      </c>
      <c r="V88" s="26">
        <f t="shared" si="35"/>
        <v>0.160075</v>
      </c>
      <c r="W88" s="26">
        <f t="shared" si="35"/>
        <v>0.14003749999999998</v>
      </c>
      <c r="X88" s="26">
        <f t="shared" si="35"/>
        <v>3.9681250000000003E-3</v>
      </c>
      <c r="Y88" s="26">
        <f t="shared" si="35"/>
        <v>1.144375E-3</v>
      </c>
      <c r="Z88" s="26">
        <f t="shared" si="35"/>
        <v>3.3621250000000002E-4</v>
      </c>
      <c r="AA88" s="26">
        <f t="shared" si="35"/>
        <v>1.01075E-4</v>
      </c>
      <c r="AB88" s="26">
        <f t="shared" si="35"/>
        <v>3.0100625000000003E-5</v>
      </c>
      <c r="AC88" s="26">
        <f t="shared" si="35"/>
        <v>2.0561874999999999E-8</v>
      </c>
      <c r="AD88" s="26">
        <f t="shared" si="35"/>
        <v>3.5119374999999998E-9</v>
      </c>
      <c r="AE88" s="26">
        <f t="shared" si="35"/>
        <v>6.2968750000000006E-10</v>
      </c>
      <c r="AF88" s="26">
        <f t="shared" si="35"/>
        <v>1.1840625E-10</v>
      </c>
      <c r="AG88" s="26">
        <f t="shared" si="35"/>
        <v>2.3309999999999998E-11</v>
      </c>
      <c r="AH88" s="26">
        <f t="shared" si="35"/>
        <v>0</v>
      </c>
      <c r="AI88" s="26">
        <f t="shared" si="35"/>
        <v>0</v>
      </c>
      <c r="AJ88" s="26">
        <f t="shared" si="35"/>
        <v>0</v>
      </c>
      <c r="AK88" s="26">
        <f t="shared" si="35"/>
        <v>0</v>
      </c>
      <c r="AL88" s="26">
        <f t="shared" si="35"/>
        <v>0</v>
      </c>
    </row>
    <row r="89" spans="1:38" ht="21" hidden="1" customHeight="1" outlineLevel="1" thickBot="1" x14ac:dyDescent="0.4">
      <c r="A89" s="10">
        <f t="shared" si="27"/>
        <v>0</v>
      </c>
      <c r="B89" s="10">
        <f t="shared" si="27"/>
        <v>1</v>
      </c>
      <c r="C89" s="10">
        <f t="shared" si="27"/>
        <v>0</v>
      </c>
      <c r="D89" s="10">
        <f t="shared" si="27"/>
        <v>2</v>
      </c>
      <c r="E89" s="11" t="str">
        <f t="shared" si="21"/>
        <v>Ga2Se</v>
      </c>
      <c r="F89" s="26">
        <f t="shared" ref="F89" si="36">F9*$C$82</f>
        <v>0</v>
      </c>
      <c r="G89" s="26">
        <f t="shared" ref="G89:AL89" si="37">G9*$C$82</f>
        <v>0</v>
      </c>
      <c r="H89" s="26">
        <f t="shared" si="37"/>
        <v>0</v>
      </c>
      <c r="I89" s="26">
        <f t="shared" si="37"/>
        <v>0</v>
      </c>
      <c r="J89" s="26">
        <f t="shared" si="37"/>
        <v>0</v>
      </c>
      <c r="K89" s="26">
        <f t="shared" si="37"/>
        <v>0</v>
      </c>
      <c r="L89" s="26">
        <f t="shared" si="37"/>
        <v>0</v>
      </c>
      <c r="M89" s="26">
        <f t="shared" si="37"/>
        <v>0</v>
      </c>
      <c r="N89" s="26">
        <f t="shared" si="37"/>
        <v>0</v>
      </c>
      <c r="O89" s="26">
        <f t="shared" si="37"/>
        <v>4.1600624999999999E-26</v>
      </c>
      <c r="P89" s="26">
        <f t="shared" si="37"/>
        <v>5.1469375000000001E-24</v>
      </c>
      <c r="Q89" s="26">
        <f t="shared" si="37"/>
        <v>4.8170624999999999E-22</v>
      </c>
      <c r="R89" s="26">
        <f t="shared" si="37"/>
        <v>3.4393749999999998E-20</v>
      </c>
      <c r="S89" s="26">
        <f t="shared" si="37"/>
        <v>1.9032499999999999E-18</v>
      </c>
      <c r="T89" s="26">
        <f t="shared" si="37"/>
        <v>8.3124999999999995E-17</v>
      </c>
      <c r="U89" s="26">
        <f t="shared" si="37"/>
        <v>2.9049999999999997E-15</v>
      </c>
      <c r="V89" s="26">
        <f t="shared" si="37"/>
        <v>8.0549999999999995E-14</v>
      </c>
      <c r="W89" s="26">
        <f t="shared" si="37"/>
        <v>1.6374374999999999E-12</v>
      </c>
      <c r="X89" s="26">
        <f t="shared" si="37"/>
        <v>2.639625E-9</v>
      </c>
      <c r="Y89" s="26">
        <f t="shared" si="37"/>
        <v>9.0668749999999993E-9</v>
      </c>
      <c r="Z89" s="26">
        <f t="shared" si="37"/>
        <v>2.8559999999999999E-8</v>
      </c>
      <c r="AA89" s="26">
        <f t="shared" si="37"/>
        <v>8.3281249999999997E-8</v>
      </c>
      <c r="AB89" s="26">
        <f t="shared" si="37"/>
        <v>2.1507499999999999E-7</v>
      </c>
      <c r="AC89" s="26">
        <f t="shared" si="37"/>
        <v>2.7226250000000005E-7</v>
      </c>
      <c r="AD89" s="26">
        <f t="shared" si="37"/>
        <v>2.7236875000000001E-7</v>
      </c>
      <c r="AE89" s="26">
        <f t="shared" si="37"/>
        <v>2.6962499999999998E-7</v>
      </c>
      <c r="AF89" s="26">
        <f t="shared" si="37"/>
        <v>2.6450624999999998E-7</v>
      </c>
      <c r="AG89" s="26">
        <f t="shared" si="37"/>
        <v>2.5737500000000001E-7</v>
      </c>
      <c r="AH89" s="26">
        <f t="shared" si="37"/>
        <v>0</v>
      </c>
      <c r="AI89" s="26">
        <f t="shared" si="37"/>
        <v>0</v>
      </c>
      <c r="AJ89" s="26">
        <f t="shared" si="37"/>
        <v>0</v>
      </c>
      <c r="AK89" s="26">
        <f t="shared" si="37"/>
        <v>0</v>
      </c>
      <c r="AL89" s="26">
        <f t="shared" si="37"/>
        <v>0</v>
      </c>
    </row>
    <row r="90" spans="1:38" ht="21" hidden="1" customHeight="1" outlineLevel="1" thickBot="1" x14ac:dyDescent="0.4">
      <c r="A90" s="10">
        <f t="shared" si="27"/>
        <v>0</v>
      </c>
      <c r="B90" s="10">
        <f t="shared" si="27"/>
        <v>0</v>
      </c>
      <c r="C90" s="10">
        <f t="shared" si="27"/>
        <v>0</v>
      </c>
      <c r="D90" s="10">
        <f t="shared" si="27"/>
        <v>1</v>
      </c>
      <c r="E90" s="11" t="str">
        <f t="shared" si="21"/>
        <v>Ga</v>
      </c>
      <c r="F90" s="26">
        <f t="shared" ref="F90" si="38">F10*$C$82</f>
        <v>0</v>
      </c>
      <c r="G90" s="26">
        <f t="shared" ref="G90:AL90" si="39">G10*$C$82</f>
        <v>0</v>
      </c>
      <c r="H90" s="26">
        <f t="shared" si="39"/>
        <v>0</v>
      </c>
      <c r="I90" s="26">
        <f t="shared" si="39"/>
        <v>0</v>
      </c>
      <c r="J90" s="26">
        <f t="shared" si="39"/>
        <v>0</v>
      </c>
      <c r="K90" s="26">
        <f t="shared" si="39"/>
        <v>0</v>
      </c>
      <c r="L90" s="26">
        <f t="shared" si="39"/>
        <v>0</v>
      </c>
      <c r="M90" s="26">
        <f t="shared" si="39"/>
        <v>0</v>
      </c>
      <c r="N90" s="26">
        <f t="shared" si="39"/>
        <v>0</v>
      </c>
      <c r="O90" s="26">
        <f t="shared" si="39"/>
        <v>1.7477500000000001E-30</v>
      </c>
      <c r="P90" s="26">
        <f t="shared" si="39"/>
        <v>1.5840625E-28</v>
      </c>
      <c r="Q90" s="26">
        <f t="shared" si="39"/>
        <v>1.091625E-26</v>
      </c>
      <c r="R90" s="26">
        <f t="shared" si="39"/>
        <v>5.8006249999999993E-25</v>
      </c>
      <c r="S90" s="26">
        <f t="shared" si="39"/>
        <v>2.4203125000000001E-23</v>
      </c>
      <c r="T90" s="26">
        <f t="shared" si="39"/>
        <v>8.0818749999999995E-22</v>
      </c>
      <c r="U90" s="26">
        <f t="shared" si="39"/>
        <v>2.1934375E-20</v>
      </c>
      <c r="V90" s="26">
        <f t="shared" si="39"/>
        <v>4.8455000000000005E-19</v>
      </c>
      <c r="W90" s="26">
        <f t="shared" si="39"/>
        <v>8.3625E-18</v>
      </c>
      <c r="X90" s="26">
        <f t="shared" si="39"/>
        <v>3.5176250000000001E-14</v>
      </c>
      <c r="Y90" s="26">
        <f t="shared" si="39"/>
        <v>1.8614375000000002E-13</v>
      </c>
      <c r="Z90" s="26">
        <f t="shared" si="39"/>
        <v>9.0074999999999997E-13</v>
      </c>
      <c r="AA90" s="26">
        <f t="shared" si="39"/>
        <v>4.0134999999999994E-12</v>
      </c>
      <c r="AB90" s="26">
        <f t="shared" si="39"/>
        <v>1.6078125000000001E-11</v>
      </c>
      <c r="AC90" s="26">
        <f t="shared" si="39"/>
        <v>4.5280625E-10</v>
      </c>
      <c r="AD90" s="26">
        <f t="shared" si="39"/>
        <v>9.5193749999999995E-10</v>
      </c>
      <c r="AE90" s="26">
        <f t="shared" si="39"/>
        <v>1.9386875000000001E-9</v>
      </c>
      <c r="AF90" s="26">
        <f t="shared" si="39"/>
        <v>3.8321250000000001E-9</v>
      </c>
      <c r="AG90" s="26">
        <f t="shared" si="39"/>
        <v>7.365625E-9</v>
      </c>
      <c r="AH90" s="26">
        <f t="shared" si="39"/>
        <v>0</v>
      </c>
      <c r="AI90" s="26">
        <f t="shared" si="39"/>
        <v>0</v>
      </c>
      <c r="AJ90" s="26">
        <f t="shared" si="39"/>
        <v>0</v>
      </c>
      <c r="AK90" s="26">
        <f t="shared" si="39"/>
        <v>0</v>
      </c>
      <c r="AL90" s="26">
        <f t="shared" si="39"/>
        <v>0</v>
      </c>
    </row>
    <row r="91" spans="1:38" ht="21" hidden="1" customHeight="1" outlineLevel="1" thickBot="1" x14ac:dyDescent="0.4">
      <c r="A91" s="10">
        <f t="shared" si="27"/>
        <v>1</v>
      </c>
      <c r="B91" s="10">
        <f t="shared" si="27"/>
        <v>0</v>
      </c>
      <c r="C91" s="10">
        <f t="shared" si="27"/>
        <v>0</v>
      </c>
      <c r="D91" s="10">
        <f t="shared" si="27"/>
        <v>0</v>
      </c>
      <c r="E91" s="11" t="str">
        <f t="shared" si="21"/>
        <v>Ar</v>
      </c>
      <c r="F91" s="26">
        <f t="shared" ref="F91" si="40">F11*$C$82</f>
        <v>1.25</v>
      </c>
      <c r="G91" s="26">
        <f t="shared" ref="G91:AL91" si="41">G11*$C$82</f>
        <v>1.25</v>
      </c>
      <c r="H91" s="26">
        <f t="shared" si="41"/>
        <v>1.25</v>
      </c>
      <c r="I91" s="26">
        <f t="shared" si="41"/>
        <v>1.25</v>
      </c>
      <c r="J91" s="26">
        <f t="shared" si="41"/>
        <v>1.25</v>
      </c>
      <c r="K91" s="26">
        <f t="shared" si="41"/>
        <v>1.25</v>
      </c>
      <c r="L91" s="26">
        <f t="shared" si="41"/>
        <v>1.25</v>
      </c>
      <c r="M91" s="26">
        <f t="shared" si="41"/>
        <v>1.25</v>
      </c>
      <c r="N91" s="26">
        <f t="shared" si="41"/>
        <v>1.25</v>
      </c>
      <c r="O91" s="26">
        <f t="shared" si="41"/>
        <v>1.25</v>
      </c>
      <c r="P91" s="26">
        <f t="shared" si="41"/>
        <v>1.25</v>
      </c>
      <c r="Q91" s="26">
        <f t="shared" si="41"/>
        <v>1.25</v>
      </c>
      <c r="R91" s="26">
        <f t="shared" si="41"/>
        <v>1.25</v>
      </c>
      <c r="S91" s="26">
        <f t="shared" si="41"/>
        <v>1.25</v>
      </c>
      <c r="T91" s="26">
        <f t="shared" si="41"/>
        <v>1.25</v>
      </c>
      <c r="U91" s="26">
        <f t="shared" si="41"/>
        <v>1.25</v>
      </c>
      <c r="V91" s="26">
        <f t="shared" si="41"/>
        <v>1.25</v>
      </c>
      <c r="W91" s="26">
        <f t="shared" si="41"/>
        <v>1.25</v>
      </c>
      <c r="X91" s="26">
        <f t="shared" si="41"/>
        <v>1.25</v>
      </c>
      <c r="Y91" s="26">
        <f t="shared" si="41"/>
        <v>1.25</v>
      </c>
      <c r="Z91" s="26">
        <f t="shared" si="41"/>
        <v>1.25</v>
      </c>
      <c r="AA91" s="26">
        <f t="shared" si="41"/>
        <v>1.25</v>
      </c>
      <c r="AB91" s="26">
        <f t="shared" si="41"/>
        <v>1.25</v>
      </c>
      <c r="AC91" s="26">
        <f t="shared" si="41"/>
        <v>1.25</v>
      </c>
      <c r="AD91" s="26">
        <f t="shared" si="41"/>
        <v>1.25</v>
      </c>
      <c r="AE91" s="26">
        <f t="shared" si="41"/>
        <v>1.25</v>
      </c>
      <c r="AF91" s="26">
        <f t="shared" si="41"/>
        <v>1.25</v>
      </c>
      <c r="AG91" s="26">
        <f t="shared" si="41"/>
        <v>1.25</v>
      </c>
      <c r="AH91" s="26">
        <f t="shared" si="41"/>
        <v>0</v>
      </c>
      <c r="AI91" s="26">
        <f t="shared" si="41"/>
        <v>0</v>
      </c>
      <c r="AJ91" s="26">
        <f t="shared" si="41"/>
        <v>0</v>
      </c>
      <c r="AK91" s="26">
        <f t="shared" si="41"/>
        <v>0</v>
      </c>
      <c r="AL91" s="26">
        <f t="shared" si="41"/>
        <v>0</v>
      </c>
    </row>
    <row r="92" spans="1:38" ht="21" hidden="1" customHeight="1" outlineLevel="1" thickBot="1" x14ac:dyDescent="0.4">
      <c r="A92" s="10">
        <f t="shared" si="27"/>
        <v>0</v>
      </c>
      <c r="B92" s="10">
        <f t="shared" si="27"/>
        <v>2</v>
      </c>
      <c r="C92" s="10">
        <f t="shared" si="27"/>
        <v>1</v>
      </c>
      <c r="D92" s="10">
        <f t="shared" si="27"/>
        <v>0</v>
      </c>
      <c r="E92" s="11" t="str">
        <f t="shared" si="21"/>
        <v>(l)GeSe2</v>
      </c>
      <c r="F92" s="26">
        <f t="shared" ref="F92" si="42">F12*$C$82</f>
        <v>0.49007499999999998</v>
      </c>
      <c r="G92" s="26">
        <f t="shared" ref="G92:AL92" si="43">G12*$C$82</f>
        <v>0.45708750000000004</v>
      </c>
      <c r="H92" s="26">
        <f t="shared" si="43"/>
        <v>0.36866874999999999</v>
      </c>
      <c r="I92" s="26">
        <f t="shared" si="43"/>
        <v>0.23074375</v>
      </c>
      <c r="J92" s="26">
        <f t="shared" si="43"/>
        <v>0.11048124999999999</v>
      </c>
      <c r="K92" s="26">
        <f t="shared" si="43"/>
        <v>4.5374374999999995E-2</v>
      </c>
      <c r="L92" s="26">
        <f t="shared" si="43"/>
        <v>1.807375E-2</v>
      </c>
      <c r="M92" s="26">
        <f t="shared" si="43"/>
        <v>7.4293750000000002E-3</v>
      </c>
      <c r="N92" s="26">
        <f t="shared" si="43"/>
        <v>3.1935625000000002E-3</v>
      </c>
      <c r="O92" s="26">
        <f t="shared" si="43"/>
        <v>5.6863125000000003E-5</v>
      </c>
      <c r="P92" s="26">
        <f t="shared" si="43"/>
        <v>1.53575E-5</v>
      </c>
      <c r="Q92" s="26">
        <f t="shared" si="43"/>
        <v>4.0659374999999996E-6</v>
      </c>
      <c r="R92" s="26">
        <f t="shared" si="43"/>
        <v>1.102375E-6</v>
      </c>
      <c r="S92" s="26">
        <f t="shared" si="43"/>
        <v>3.1200625E-7</v>
      </c>
      <c r="T92" s="26">
        <f t="shared" si="43"/>
        <v>9.2775000000000009E-8</v>
      </c>
      <c r="U92" s="26">
        <f t="shared" si="43"/>
        <v>2.9030000000000003E-8</v>
      </c>
      <c r="V92" s="26">
        <f t="shared" si="43"/>
        <v>9.5999999999999999E-9</v>
      </c>
      <c r="W92" s="26">
        <f t="shared" si="43"/>
        <v>3.4157499999999999E-9</v>
      </c>
      <c r="X92" s="26">
        <f t="shared" si="43"/>
        <v>8.9481250000000008E-11</v>
      </c>
      <c r="Y92" s="26">
        <f t="shared" si="43"/>
        <v>3.668875E-11</v>
      </c>
      <c r="Z92" s="26">
        <f t="shared" si="43"/>
        <v>1.5402499999999999E-11</v>
      </c>
      <c r="AA92" s="26">
        <f t="shared" si="43"/>
        <v>6.6268750000000005E-12</v>
      </c>
      <c r="AB92" s="26">
        <f t="shared" si="43"/>
        <v>2.9704374999999998E-12</v>
      </c>
      <c r="AC92" s="26">
        <f t="shared" si="43"/>
        <v>1.9335625E-13</v>
      </c>
      <c r="AD92" s="26">
        <f t="shared" si="43"/>
        <v>9.6118749999999996E-14</v>
      </c>
      <c r="AE92" s="26">
        <f t="shared" si="43"/>
        <v>4.8391249999999998E-14</v>
      </c>
      <c r="AF92" s="26">
        <f t="shared" si="43"/>
        <v>2.4686874999999998E-14</v>
      </c>
      <c r="AG92" s="26">
        <f t="shared" si="43"/>
        <v>1.2760625E-14</v>
      </c>
      <c r="AH92" s="26">
        <f t="shared" si="43"/>
        <v>0</v>
      </c>
      <c r="AI92" s="26">
        <f t="shared" si="43"/>
        <v>0</v>
      </c>
      <c r="AJ92" s="26">
        <f t="shared" si="43"/>
        <v>0</v>
      </c>
      <c r="AK92" s="26">
        <f t="shared" si="43"/>
        <v>0</v>
      </c>
      <c r="AL92" s="26">
        <f t="shared" si="43"/>
        <v>0</v>
      </c>
    </row>
    <row r="93" spans="1:38" ht="21" hidden="1" customHeight="1" outlineLevel="1" thickBot="1" x14ac:dyDescent="0.4">
      <c r="A93" s="10">
        <f t="shared" si="27"/>
        <v>0</v>
      </c>
      <c r="B93" s="10">
        <f t="shared" si="27"/>
        <v>1</v>
      </c>
      <c r="C93" s="10">
        <f t="shared" si="27"/>
        <v>1</v>
      </c>
      <c r="D93" s="10">
        <f t="shared" si="27"/>
        <v>0</v>
      </c>
      <c r="E93" s="11" t="str">
        <f t="shared" si="21"/>
        <v>(l)GeSe</v>
      </c>
      <c r="F93" s="26">
        <f t="shared" ref="F93" si="44">F13*$C$82</f>
        <v>0.50991875000000009</v>
      </c>
      <c r="G93" s="26">
        <f t="shared" ref="G93:AL93" si="45">G13*$C$82</f>
        <v>0.54289999999999994</v>
      </c>
      <c r="H93" s="26">
        <f t="shared" si="45"/>
        <v>0.63131250000000005</v>
      </c>
      <c r="I93" s="26">
        <f t="shared" si="45"/>
        <v>0.76912500000000006</v>
      </c>
      <c r="J93" s="26">
        <f t="shared" si="45"/>
        <v>0.88887500000000008</v>
      </c>
      <c r="K93" s="26">
        <f t="shared" si="45"/>
        <v>0.95187499999999992</v>
      </c>
      <c r="L93" s="26">
        <f t="shared" si="45"/>
        <v>0.9711249999999999</v>
      </c>
      <c r="M93" s="26">
        <f t="shared" si="45"/>
        <v>0.95600000000000007</v>
      </c>
      <c r="N93" s="26">
        <f t="shared" si="45"/>
        <v>0.89356250000000004</v>
      </c>
      <c r="O93" s="26">
        <f t="shared" si="45"/>
        <v>0.19716875</v>
      </c>
      <c r="P93" s="26">
        <f t="shared" si="45"/>
        <v>9.7812500000000011E-2</v>
      </c>
      <c r="Q93" s="26">
        <f t="shared" si="45"/>
        <v>4.6952500000000001E-2</v>
      </c>
      <c r="R93" s="26">
        <f t="shared" si="45"/>
        <v>2.2633749999999998E-2</v>
      </c>
      <c r="S93" s="26">
        <f t="shared" si="45"/>
        <v>1.1144375E-2</v>
      </c>
      <c r="T93" s="26">
        <f t="shared" si="45"/>
        <v>5.6395625000000005E-3</v>
      </c>
      <c r="U93" s="26">
        <f t="shared" si="45"/>
        <v>2.9386874999999999E-3</v>
      </c>
      <c r="V93" s="26">
        <f t="shared" si="45"/>
        <v>1.5806875000000001E-3</v>
      </c>
      <c r="W93" s="26">
        <f t="shared" si="45"/>
        <v>8.8537499999999999E-4</v>
      </c>
      <c r="X93" s="26">
        <f t="shared" si="45"/>
        <v>1.1540625E-4</v>
      </c>
      <c r="Y93" s="26">
        <f t="shared" si="45"/>
        <v>7.0531249999999997E-5</v>
      </c>
      <c r="Z93" s="26">
        <f t="shared" si="45"/>
        <v>4.3727499999999998E-5</v>
      </c>
      <c r="AA93" s="26">
        <f t="shared" si="45"/>
        <v>2.7511249999999999E-5</v>
      </c>
      <c r="AB93" s="26">
        <f t="shared" si="45"/>
        <v>1.7695624999999999E-5</v>
      </c>
      <c r="AC93" s="26">
        <f t="shared" si="45"/>
        <v>3.8623750000000004E-6</v>
      </c>
      <c r="AD93" s="26">
        <f t="shared" si="45"/>
        <v>2.6335625E-6</v>
      </c>
      <c r="AE93" s="26">
        <f t="shared" si="45"/>
        <v>1.8096875E-6</v>
      </c>
      <c r="AF93" s="26">
        <f t="shared" si="45"/>
        <v>1.2533749999999999E-6</v>
      </c>
      <c r="AG93" s="26">
        <f t="shared" si="45"/>
        <v>8.748125E-7</v>
      </c>
      <c r="AH93" s="26">
        <f t="shared" si="45"/>
        <v>0</v>
      </c>
      <c r="AI93" s="26">
        <f t="shared" si="45"/>
        <v>0</v>
      </c>
      <c r="AJ93" s="26">
        <f t="shared" si="45"/>
        <v>0</v>
      </c>
      <c r="AK93" s="26">
        <f t="shared" si="45"/>
        <v>0</v>
      </c>
      <c r="AL93" s="26">
        <f t="shared" si="45"/>
        <v>0</v>
      </c>
    </row>
    <row r="94" spans="1:38" ht="21" hidden="1" customHeight="1" outlineLevel="1" thickBot="1" x14ac:dyDescent="0.4">
      <c r="A94" s="10">
        <f t="shared" si="27"/>
        <v>0</v>
      </c>
      <c r="B94" s="10">
        <f t="shared" si="27"/>
        <v>3</v>
      </c>
      <c r="C94" s="10">
        <f t="shared" si="27"/>
        <v>0</v>
      </c>
      <c r="D94" s="10">
        <f t="shared" si="27"/>
        <v>2</v>
      </c>
      <c r="E94" s="11" t="str">
        <f t="shared" si="21"/>
        <v>(l)Ga2Se3</v>
      </c>
      <c r="F94" s="26">
        <f t="shared" ref="F94" si="46">F14*$C$82</f>
        <v>0.22344375</v>
      </c>
      <c r="G94" s="26">
        <f t="shared" ref="G94:AL94" si="47">G14*$C$82</f>
        <v>0.22741875</v>
      </c>
      <c r="H94" s="26">
        <f t="shared" si="47"/>
        <v>0.23754375</v>
      </c>
      <c r="I94" s="26">
        <f t="shared" si="47"/>
        <v>0.25192499999999995</v>
      </c>
      <c r="J94" s="26">
        <f t="shared" si="47"/>
        <v>0.26326875</v>
      </c>
      <c r="K94" s="26">
        <f t="shared" si="47"/>
        <v>0.26915</v>
      </c>
      <c r="L94" s="26">
        <f t="shared" si="47"/>
        <v>0.27212500000000001</v>
      </c>
      <c r="M94" s="26">
        <f t="shared" si="47"/>
        <v>0.27511249999999998</v>
      </c>
      <c r="N94" s="26">
        <f t="shared" si="47"/>
        <v>0.28070624999999999</v>
      </c>
      <c r="O94" s="26">
        <f t="shared" si="47"/>
        <v>0.32408125000000004</v>
      </c>
      <c r="P94" s="26">
        <f t="shared" si="47"/>
        <v>0.32886874999999999</v>
      </c>
      <c r="Q94" s="26">
        <f t="shared" si="47"/>
        <v>0.33121875000000001</v>
      </c>
      <c r="R94" s="26">
        <f t="shared" si="47"/>
        <v>0.33231250000000001</v>
      </c>
      <c r="S94" s="26">
        <f t="shared" si="47"/>
        <v>0.33279375</v>
      </c>
      <c r="T94" s="26">
        <f t="shared" si="47"/>
        <v>0.33279999999999998</v>
      </c>
      <c r="U94" s="26">
        <f t="shared" si="47"/>
        <v>0.33165</v>
      </c>
      <c r="V94" s="26">
        <f t="shared" si="47"/>
        <v>0.32555000000000001</v>
      </c>
      <c r="W94" s="26">
        <f t="shared" si="47"/>
        <v>0.30030625</v>
      </c>
      <c r="X94" s="26">
        <f t="shared" si="47"/>
        <v>1.273375E-2</v>
      </c>
      <c r="Y94" s="26">
        <f t="shared" si="47"/>
        <v>3.735E-3</v>
      </c>
      <c r="Z94" s="26">
        <f t="shared" si="47"/>
        <v>1.1117499999999999E-3</v>
      </c>
      <c r="AA94" s="26">
        <f t="shared" si="47"/>
        <v>3.388625E-4</v>
      </c>
      <c r="AB94" s="26">
        <f t="shared" si="47"/>
        <v>1.0228749999999999E-4</v>
      </c>
      <c r="AC94" s="26">
        <f t="shared" si="47"/>
        <v>6.6706250000000009E-8</v>
      </c>
      <c r="AD94" s="26">
        <f t="shared" si="47"/>
        <v>1.1314375E-8</v>
      </c>
      <c r="AE94" s="26">
        <f t="shared" si="47"/>
        <v>2.0167500000000001E-9</v>
      </c>
      <c r="AF94" s="26">
        <f t="shared" si="47"/>
        <v>3.7741250000000001E-10</v>
      </c>
      <c r="AG94" s="26">
        <f t="shared" si="47"/>
        <v>7.4000000000000003E-11</v>
      </c>
      <c r="AH94" s="26">
        <f t="shared" si="47"/>
        <v>0</v>
      </c>
      <c r="AI94" s="26">
        <f t="shared" si="47"/>
        <v>0</v>
      </c>
      <c r="AJ94" s="26">
        <f t="shared" si="47"/>
        <v>0</v>
      </c>
      <c r="AK94" s="26">
        <f t="shared" si="47"/>
        <v>0</v>
      </c>
      <c r="AL94" s="26">
        <f t="shared" si="47"/>
        <v>0</v>
      </c>
    </row>
    <row r="95" spans="1:38" ht="21" hidden="1" customHeight="1" outlineLevel="1" thickBot="1" x14ac:dyDescent="0.4">
      <c r="A95" s="10">
        <f t="shared" si="27"/>
        <v>0</v>
      </c>
      <c r="B95" s="10">
        <f t="shared" si="27"/>
        <v>1</v>
      </c>
      <c r="C95" s="10">
        <f t="shared" si="27"/>
        <v>0</v>
      </c>
      <c r="D95" s="10">
        <f t="shared" si="27"/>
        <v>2</v>
      </c>
      <c r="E95" s="11" t="str">
        <f t="shared" si="21"/>
        <v>(l)Ga2Se</v>
      </c>
      <c r="F95" s="26">
        <f t="shared" ref="F95" si="48">F15*$C$82</f>
        <v>1.462375E-27</v>
      </c>
      <c r="G95" s="26">
        <f t="shared" ref="G95:AL95" si="49">G15*$C$82</f>
        <v>1.2963749999999999E-25</v>
      </c>
      <c r="H95" s="26">
        <f t="shared" si="49"/>
        <v>1.0525625E-23</v>
      </c>
      <c r="I95" s="26">
        <f t="shared" si="49"/>
        <v>9.8581250000000009E-22</v>
      </c>
      <c r="J95" s="26">
        <f t="shared" si="49"/>
        <v>9.4693749999999996E-20</v>
      </c>
      <c r="K95" s="26">
        <f t="shared" si="49"/>
        <v>7.4993750000000002E-18</v>
      </c>
      <c r="L95" s="26">
        <f t="shared" si="49"/>
        <v>4.3091249999999998E-16</v>
      </c>
      <c r="M95" s="26">
        <f t="shared" si="49"/>
        <v>1.7148125000000001E-14</v>
      </c>
      <c r="N95" s="26">
        <f t="shared" si="49"/>
        <v>4.6508749999999996E-13</v>
      </c>
      <c r="O95" s="26">
        <f t="shared" si="49"/>
        <v>1.81675E-8</v>
      </c>
      <c r="P95" s="26">
        <f t="shared" si="49"/>
        <v>1.7938124999999999E-7</v>
      </c>
      <c r="Q95" s="26">
        <f t="shared" si="49"/>
        <v>1.5660625000000001E-6</v>
      </c>
      <c r="R95" s="26">
        <f t="shared" si="49"/>
        <v>1.2093750000000001E-5</v>
      </c>
      <c r="S95" s="26">
        <f t="shared" si="49"/>
        <v>8.3087500000000007E-5</v>
      </c>
      <c r="T95" s="26">
        <f t="shared" si="49"/>
        <v>5.1174999999999994E-4</v>
      </c>
      <c r="U95" s="26">
        <f t="shared" si="49"/>
        <v>2.8392499999999998E-3</v>
      </c>
      <c r="V95" s="26">
        <f t="shared" si="49"/>
        <v>1.4050624999999999E-2</v>
      </c>
      <c r="W95" s="26">
        <f t="shared" si="49"/>
        <v>5.8399375000000003E-2</v>
      </c>
      <c r="X95" s="26">
        <f t="shared" si="49"/>
        <v>0.45256250000000003</v>
      </c>
      <c r="Y95" s="26">
        <f t="shared" si="49"/>
        <v>0.44791874999999998</v>
      </c>
      <c r="Z95" s="26">
        <f t="shared" si="49"/>
        <v>0.42968125000000001</v>
      </c>
      <c r="AA95" s="26">
        <f t="shared" si="49"/>
        <v>0.40344999999999998</v>
      </c>
      <c r="AB95" s="26">
        <f t="shared" si="49"/>
        <v>0.35297499999999998</v>
      </c>
      <c r="AC95" s="26">
        <f t="shared" si="49"/>
        <v>8.3131250000000011E-3</v>
      </c>
      <c r="AD95" s="26">
        <f t="shared" si="49"/>
        <v>3.4011250000000001E-3</v>
      </c>
      <c r="AE95" s="26">
        <f t="shared" si="49"/>
        <v>1.4265624999999999E-3</v>
      </c>
      <c r="AF95" s="26">
        <f t="shared" si="49"/>
        <v>6.1293125000000002E-4</v>
      </c>
      <c r="AG95" s="26">
        <f t="shared" si="49"/>
        <v>2.6944375E-4</v>
      </c>
      <c r="AH95" s="26">
        <f t="shared" si="49"/>
        <v>0</v>
      </c>
      <c r="AI95" s="26">
        <f t="shared" si="49"/>
        <v>0</v>
      </c>
      <c r="AJ95" s="26">
        <f t="shared" si="49"/>
        <v>0</v>
      </c>
      <c r="AK95" s="26">
        <f t="shared" si="49"/>
        <v>0</v>
      </c>
      <c r="AL95" s="26">
        <f t="shared" si="49"/>
        <v>0</v>
      </c>
    </row>
    <row r="96" spans="1:38" ht="21" hidden="1" customHeight="1" outlineLevel="1" thickBot="1" x14ac:dyDescent="0.4">
      <c r="A96" s="10">
        <f t="shared" si="27"/>
        <v>0</v>
      </c>
      <c r="B96" s="10">
        <f t="shared" si="27"/>
        <v>0</v>
      </c>
      <c r="C96" s="10">
        <f t="shared" si="27"/>
        <v>1</v>
      </c>
      <c r="D96" s="10">
        <f t="shared" si="27"/>
        <v>0</v>
      </c>
      <c r="E96" s="11" t="str">
        <f t="shared" si="21"/>
        <v>(l)Ge</v>
      </c>
      <c r="F96" s="26">
        <f t="shared" ref="F96" si="50">F16*$C$82</f>
        <v>1.9037500000000002E-6</v>
      </c>
      <c r="G96" s="26">
        <f t="shared" ref="G96:AL96" si="51">G16*$C$82</f>
        <v>4.9483124999999997E-6</v>
      </c>
      <c r="H96" s="26">
        <f t="shared" si="51"/>
        <v>1.6038125E-5</v>
      </c>
      <c r="I96" s="26">
        <f t="shared" si="51"/>
        <v>6.7724999999999993E-5</v>
      </c>
      <c r="J96" s="26">
        <f t="shared" si="51"/>
        <v>3.1427500000000004E-4</v>
      </c>
      <c r="K96" s="26">
        <f t="shared" si="51"/>
        <v>1.379E-3</v>
      </c>
      <c r="L96" s="26">
        <f t="shared" si="51"/>
        <v>5.3975625000000005E-3</v>
      </c>
      <c r="M96" s="26">
        <f t="shared" si="51"/>
        <v>1.829625E-2</v>
      </c>
      <c r="N96" s="26">
        <f t="shared" si="51"/>
        <v>5.1625624999999994E-2</v>
      </c>
      <c r="O96" s="26">
        <f t="shared" si="51"/>
        <v>0.40138750000000001</v>
      </c>
      <c r="P96" s="26">
        <f t="shared" si="51"/>
        <v>0.45108750000000003</v>
      </c>
      <c r="Q96" s="26">
        <f t="shared" si="51"/>
        <v>0.47651875000000005</v>
      </c>
      <c r="R96" s="26">
        <f t="shared" si="51"/>
        <v>0.48868124999999996</v>
      </c>
      <c r="S96" s="26">
        <f t="shared" si="51"/>
        <v>0.494425</v>
      </c>
      <c r="T96" s="26">
        <f t="shared" si="51"/>
        <v>0.49718124999999996</v>
      </c>
      <c r="U96" s="26">
        <f t="shared" si="51"/>
        <v>0.49853125000000004</v>
      </c>
      <c r="V96" s="26">
        <f t="shared" si="51"/>
        <v>0.4992125</v>
      </c>
      <c r="W96" s="26">
        <f t="shared" si="51"/>
        <v>0.49955624999999998</v>
      </c>
      <c r="X96" s="26">
        <f t="shared" si="51"/>
        <v>0.49994375000000002</v>
      </c>
      <c r="Y96" s="26">
        <f t="shared" si="51"/>
        <v>0.49996249999999998</v>
      </c>
      <c r="Z96" s="26">
        <f t="shared" si="51"/>
        <v>0.499975</v>
      </c>
      <c r="AA96" s="26">
        <f t="shared" si="51"/>
        <v>0.49998749999999997</v>
      </c>
      <c r="AB96" s="26">
        <f t="shared" si="51"/>
        <v>0.49946249999999998</v>
      </c>
      <c r="AC96" s="26">
        <f t="shared" si="51"/>
        <v>0.48285000000000006</v>
      </c>
      <c r="AD96" s="26">
        <f t="shared" si="51"/>
        <v>0.48015000000000002</v>
      </c>
      <c r="AE96" s="26">
        <f t="shared" si="51"/>
        <v>0.47742499999999999</v>
      </c>
      <c r="AF96" s="26">
        <f t="shared" si="51"/>
        <v>0.47465625</v>
      </c>
      <c r="AG96" s="26">
        <f t="shared" si="51"/>
        <v>0.47181250000000002</v>
      </c>
      <c r="AH96" s="26">
        <f t="shared" si="51"/>
        <v>0</v>
      </c>
      <c r="AI96" s="26">
        <f t="shared" si="51"/>
        <v>0</v>
      </c>
      <c r="AJ96" s="26">
        <f t="shared" si="51"/>
        <v>0</v>
      </c>
      <c r="AK96" s="26">
        <f t="shared" si="51"/>
        <v>0</v>
      </c>
      <c r="AL96" s="26">
        <f t="shared" si="51"/>
        <v>0</v>
      </c>
    </row>
    <row r="97" spans="1:38" ht="21" hidden="1" customHeight="1" outlineLevel="1" thickBot="1" x14ac:dyDescent="0.4">
      <c r="A97" s="10">
        <f t="shared" si="27"/>
        <v>0</v>
      </c>
      <c r="B97" s="10">
        <f t="shared" si="27"/>
        <v>0</v>
      </c>
      <c r="C97" s="10">
        <f t="shared" si="27"/>
        <v>0</v>
      </c>
      <c r="D97" s="10">
        <f t="shared" si="27"/>
        <v>1</v>
      </c>
      <c r="E97" s="11" t="str">
        <f t="shared" si="21"/>
        <v>(l)Ga</v>
      </c>
      <c r="F97" s="26">
        <f t="shared" ref="F97" si="52">F17*$C$82</f>
        <v>2.5264375E-27</v>
      </c>
      <c r="G97" s="26">
        <f t="shared" ref="G97:AL97" si="53">G17*$C$82</f>
        <v>2.0923749999999999E-25</v>
      </c>
      <c r="H97" s="26">
        <f t="shared" si="53"/>
        <v>1.4845625E-23</v>
      </c>
      <c r="I97" s="26">
        <f t="shared" si="53"/>
        <v>1.086875E-21</v>
      </c>
      <c r="J97" s="26">
        <f t="shared" si="53"/>
        <v>7.4800000000000004E-20</v>
      </c>
      <c r="K97" s="26">
        <f t="shared" si="53"/>
        <v>4.1236250000000003E-18</v>
      </c>
      <c r="L97" s="26">
        <f t="shared" si="53"/>
        <v>1.6797500000000001E-16</v>
      </c>
      <c r="M97" s="26">
        <f t="shared" si="53"/>
        <v>4.9548749999999999E-15</v>
      </c>
      <c r="N97" s="26">
        <f t="shared" si="53"/>
        <v>1.0590625000000001E-13</v>
      </c>
      <c r="O97" s="26">
        <f t="shared" si="53"/>
        <v>2.3280625000000003E-9</v>
      </c>
      <c r="P97" s="26">
        <f t="shared" si="53"/>
        <v>1.9841250000000002E-8</v>
      </c>
      <c r="Q97" s="26">
        <f t="shared" si="53"/>
        <v>1.4894375000000001E-7</v>
      </c>
      <c r="R97" s="26">
        <f t="shared" si="53"/>
        <v>9.8987499999999999E-7</v>
      </c>
      <c r="S97" s="26">
        <f t="shared" si="53"/>
        <v>5.8670625E-6</v>
      </c>
      <c r="T97" s="26">
        <f t="shared" si="53"/>
        <v>3.1252499999999999E-5</v>
      </c>
      <c r="U97" s="26">
        <f t="shared" si="53"/>
        <v>1.5049375000000001E-4</v>
      </c>
      <c r="V97" s="26">
        <f t="shared" si="53"/>
        <v>6.5462500000000004E-4</v>
      </c>
      <c r="W97" s="26">
        <f t="shared" si="53"/>
        <v>2.5141249999999999E-3</v>
      </c>
      <c r="X97" s="26">
        <f t="shared" si="53"/>
        <v>6.1472499999999999E-2</v>
      </c>
      <c r="Y97" s="26">
        <f t="shared" si="53"/>
        <v>9.4406249999999997E-2</v>
      </c>
      <c r="Z97" s="26">
        <f t="shared" si="53"/>
        <v>0.13774375</v>
      </c>
      <c r="AA97" s="26">
        <f t="shared" si="53"/>
        <v>0.19221874999999999</v>
      </c>
      <c r="AB97" s="26">
        <f t="shared" si="53"/>
        <v>0.24912499999999999</v>
      </c>
      <c r="AC97" s="26">
        <f t="shared" si="53"/>
        <v>8.9599999999999999E-2</v>
      </c>
      <c r="AD97" s="26">
        <f t="shared" si="53"/>
        <v>6.6693749999999996E-2</v>
      </c>
      <c r="AE97" s="26">
        <f t="shared" si="53"/>
        <v>4.879E-2</v>
      </c>
      <c r="AF97" s="26">
        <f t="shared" si="53"/>
        <v>3.5057499999999998E-2</v>
      </c>
      <c r="AG97" s="26">
        <f t="shared" si="53"/>
        <v>2.4726249999999998E-2</v>
      </c>
      <c r="AH97" s="26">
        <f t="shared" si="53"/>
        <v>0</v>
      </c>
      <c r="AI97" s="26">
        <f t="shared" si="53"/>
        <v>0</v>
      </c>
      <c r="AJ97" s="26">
        <f t="shared" si="53"/>
        <v>0</v>
      </c>
      <c r="AK97" s="26">
        <f t="shared" si="53"/>
        <v>0</v>
      </c>
      <c r="AL97" s="26">
        <f t="shared" si="53"/>
        <v>0</v>
      </c>
    </row>
    <row r="98" spans="1:38" ht="21" hidden="1" customHeight="1" outlineLevel="1" thickBot="1" x14ac:dyDescent="0.4">
      <c r="A98" s="10">
        <f t="shared" si="27"/>
        <v>0</v>
      </c>
      <c r="B98" s="10">
        <f t="shared" si="27"/>
        <v>1</v>
      </c>
      <c r="C98" s="10">
        <f t="shared" si="27"/>
        <v>0</v>
      </c>
      <c r="D98" s="10">
        <f t="shared" si="27"/>
        <v>0</v>
      </c>
      <c r="E98" s="11" t="str">
        <f t="shared" si="21"/>
        <v>(l)Se</v>
      </c>
      <c r="F98" s="26">
        <f t="shared" ref="F98:F112" si="54">F18*$C$82</f>
        <v>1.1786249999999999E-8</v>
      </c>
      <c r="G98" s="26">
        <f t="shared" ref="G98:AL98" si="55">G18*$C$82</f>
        <v>4.0283125000000001E-8</v>
      </c>
      <c r="H98" s="26">
        <f t="shared" si="55"/>
        <v>9.6268749999999993E-8</v>
      </c>
      <c r="I98" s="26">
        <f t="shared" si="55"/>
        <v>1.5295624999999999E-7</v>
      </c>
      <c r="J98" s="26">
        <f t="shared" si="55"/>
        <v>1.7083125000000001E-7</v>
      </c>
      <c r="K98" s="26">
        <f t="shared" si="55"/>
        <v>1.5407500000000001E-7</v>
      </c>
      <c r="L98" s="26">
        <f t="shared" si="55"/>
        <v>1.276E-7</v>
      </c>
      <c r="M98" s="26">
        <f t="shared" si="55"/>
        <v>1.0541250000000001E-7</v>
      </c>
      <c r="N98" s="26">
        <f t="shared" si="55"/>
        <v>9.2075000000000009E-8</v>
      </c>
      <c r="O98" s="26">
        <f t="shared" si="55"/>
        <v>7.6737500000000008E-8</v>
      </c>
      <c r="P98" s="26">
        <f t="shared" si="55"/>
        <v>6.8225000000000004E-8</v>
      </c>
      <c r="Q98" s="26">
        <f t="shared" si="55"/>
        <v>5.8416250000000005E-8</v>
      </c>
      <c r="R98" s="26">
        <f t="shared" si="55"/>
        <v>4.9103750000000001E-8</v>
      </c>
      <c r="S98" s="26">
        <f t="shared" si="55"/>
        <v>4.0944374999999996E-8</v>
      </c>
      <c r="T98" s="26">
        <f t="shared" si="55"/>
        <v>3.4048124999999998E-8</v>
      </c>
      <c r="U98" s="26">
        <f t="shared" si="55"/>
        <v>2.8360625000000001E-8</v>
      </c>
      <c r="V98" s="26">
        <f t="shared" si="55"/>
        <v>2.3913125000000001E-8</v>
      </c>
      <c r="W98" s="26">
        <f t="shared" si="55"/>
        <v>2.105875E-8</v>
      </c>
      <c r="X98" s="26">
        <f t="shared" si="55"/>
        <v>1.56225E-8</v>
      </c>
      <c r="Y98" s="26">
        <f t="shared" si="55"/>
        <v>1.3258750000000001E-8</v>
      </c>
      <c r="Z98" s="26">
        <f t="shared" si="55"/>
        <v>1.1211875E-8</v>
      </c>
      <c r="AA98" s="26">
        <f t="shared" si="55"/>
        <v>9.4931249999999995E-9</v>
      </c>
      <c r="AB98" s="26">
        <f t="shared" si="55"/>
        <v>8.1137499999999988E-9</v>
      </c>
      <c r="AC98" s="26">
        <f t="shared" si="55"/>
        <v>4.5745624999999999E-9</v>
      </c>
      <c r="AD98" s="26">
        <f t="shared" si="55"/>
        <v>3.8606250000000002E-9</v>
      </c>
      <c r="AE98" s="26">
        <f t="shared" si="55"/>
        <v>3.2581250000000003E-9</v>
      </c>
      <c r="AF98" s="26">
        <f t="shared" si="55"/>
        <v>2.75125E-9</v>
      </c>
      <c r="AG98" s="26">
        <f t="shared" si="55"/>
        <v>2.3250000000000001E-9</v>
      </c>
      <c r="AH98" s="26">
        <f t="shared" si="55"/>
        <v>0</v>
      </c>
      <c r="AI98" s="26">
        <f t="shared" si="55"/>
        <v>0</v>
      </c>
      <c r="AJ98" s="26">
        <f t="shared" si="55"/>
        <v>0</v>
      </c>
      <c r="AK98" s="26">
        <f t="shared" si="55"/>
        <v>0</v>
      </c>
      <c r="AL98" s="26">
        <f t="shared" si="55"/>
        <v>0</v>
      </c>
    </row>
    <row r="99" spans="1:38" ht="21" hidden="1" customHeight="1" outlineLevel="1" thickBot="1" x14ac:dyDescent="0.4">
      <c r="A99" s="10">
        <f t="shared" si="27"/>
        <v>0</v>
      </c>
      <c r="B99" s="10">
        <f t="shared" si="27"/>
        <v>1</v>
      </c>
      <c r="C99" s="10">
        <f t="shared" si="27"/>
        <v>0</v>
      </c>
      <c r="D99" s="10">
        <f t="shared" si="27"/>
        <v>0</v>
      </c>
      <c r="E99" s="11" t="str">
        <f t="shared" si="21"/>
        <v>(l)Se[a]</v>
      </c>
      <c r="F99" s="26">
        <f t="shared" si="54"/>
        <v>2.7166875000000001E-9</v>
      </c>
      <c r="G99" s="26">
        <f t="shared" ref="G99:AL99" si="56">G19*$C$82</f>
        <v>1.0799375E-8</v>
      </c>
      <c r="H99" s="26">
        <f t="shared" si="56"/>
        <v>2.9474375E-8</v>
      </c>
      <c r="I99" s="26">
        <f t="shared" si="56"/>
        <v>5.2676250000000002E-8</v>
      </c>
      <c r="J99" s="26">
        <f t="shared" si="56"/>
        <v>6.5331249999999998E-8</v>
      </c>
      <c r="K99" s="26">
        <f t="shared" si="56"/>
        <v>6.4737499999999993E-8</v>
      </c>
      <c r="L99" s="26">
        <f t="shared" si="56"/>
        <v>5.8354374999999998E-8</v>
      </c>
      <c r="M99" s="26">
        <f t="shared" si="56"/>
        <v>5.2049374999999996E-8</v>
      </c>
      <c r="N99" s="26">
        <f t="shared" si="56"/>
        <v>4.87475E-8</v>
      </c>
      <c r="O99" s="26">
        <f t="shared" si="56"/>
        <v>4.777875E-8</v>
      </c>
      <c r="P99" s="26">
        <f t="shared" si="56"/>
        <v>4.2015625E-8</v>
      </c>
      <c r="Q99" s="26">
        <f t="shared" si="56"/>
        <v>3.5565624999999999E-8</v>
      </c>
      <c r="R99" s="26">
        <f t="shared" si="56"/>
        <v>2.9543125000000002E-8</v>
      </c>
      <c r="S99" s="26">
        <f t="shared" si="56"/>
        <v>2.4336875000000001E-8</v>
      </c>
      <c r="T99" s="26">
        <f t="shared" si="56"/>
        <v>1.9990625E-8</v>
      </c>
      <c r="U99" s="26">
        <f t="shared" si="56"/>
        <v>1.6446249999999997E-8</v>
      </c>
      <c r="V99" s="26">
        <f t="shared" si="56"/>
        <v>1.3695625E-8</v>
      </c>
      <c r="W99" s="26">
        <f t="shared" si="56"/>
        <v>1.1911874999999999E-8</v>
      </c>
      <c r="X99" s="26">
        <f t="shared" si="56"/>
        <v>8.4131249999999991E-9</v>
      </c>
      <c r="Y99" s="26">
        <f t="shared" si="56"/>
        <v>7.0550000000000001E-9</v>
      </c>
      <c r="Z99" s="26">
        <f t="shared" si="56"/>
        <v>5.8950625000000009E-9</v>
      </c>
      <c r="AA99" s="26">
        <f t="shared" si="56"/>
        <v>4.9328125E-9</v>
      </c>
      <c r="AB99" s="26">
        <f t="shared" si="56"/>
        <v>4.1670625000000003E-9</v>
      </c>
      <c r="AC99" s="26">
        <f t="shared" si="56"/>
        <v>2.2441874999999999E-9</v>
      </c>
      <c r="AD99" s="26">
        <f t="shared" si="56"/>
        <v>1.8728124999999998E-9</v>
      </c>
      <c r="AE99" s="26">
        <f t="shared" si="56"/>
        <v>1.5629999999999999E-9</v>
      </c>
      <c r="AF99" s="26">
        <f t="shared" si="56"/>
        <v>1.3053125000000001E-9</v>
      </c>
      <c r="AG99" s="26">
        <f t="shared" si="56"/>
        <v>1.0909999999999999E-9</v>
      </c>
      <c r="AH99" s="26">
        <f t="shared" si="56"/>
        <v>0</v>
      </c>
      <c r="AI99" s="26">
        <f t="shared" si="56"/>
        <v>0</v>
      </c>
      <c r="AJ99" s="26">
        <f t="shared" si="56"/>
        <v>0</v>
      </c>
      <c r="AK99" s="26">
        <f t="shared" si="56"/>
        <v>0</v>
      </c>
      <c r="AL99" s="26">
        <f t="shared" si="56"/>
        <v>0</v>
      </c>
    </row>
    <row r="100" spans="1:38" ht="21" hidden="1" customHeight="1" outlineLevel="1" thickBot="1" x14ac:dyDescent="0.4">
      <c r="A100" s="10">
        <f t="shared" si="27"/>
        <v>0</v>
      </c>
      <c r="B100" s="10">
        <f t="shared" si="27"/>
        <v>1</v>
      </c>
      <c r="C100" s="10">
        <f t="shared" si="27"/>
        <v>0</v>
      </c>
      <c r="D100" s="10">
        <f t="shared" si="27"/>
        <v>0</v>
      </c>
      <c r="E100" s="11" t="str">
        <f t="shared" si="21"/>
        <v>(l)Se[m]</v>
      </c>
      <c r="F100" s="26">
        <f t="shared" si="54"/>
        <v>9.9268749999999999E-3</v>
      </c>
      <c r="G100" s="26">
        <f t="shared" ref="G100:AL100" si="57">G20*$C$82</f>
        <v>4.2920624999999997E-2</v>
      </c>
      <c r="H100" s="26">
        <f t="shared" si="57"/>
        <v>0.13136249999999999</v>
      </c>
      <c r="I100" s="26">
        <f t="shared" si="57"/>
        <v>0.26939374999999999</v>
      </c>
      <c r="J100" s="26">
        <f t="shared" si="57"/>
        <v>0.39015</v>
      </c>
      <c r="K100" s="26">
        <f t="shared" si="57"/>
        <v>0.45738124999999996</v>
      </c>
      <c r="L100" s="26">
        <f t="shared" si="57"/>
        <v>0.49271875000000004</v>
      </c>
      <c r="M100" s="26">
        <f t="shared" si="57"/>
        <v>0.52916249999999998</v>
      </c>
      <c r="N100" s="26">
        <f t="shared" si="57"/>
        <v>0.60005624999999996</v>
      </c>
      <c r="O100" s="26">
        <f t="shared" si="57"/>
        <v>1.3026875</v>
      </c>
      <c r="P100" s="26">
        <f t="shared" si="57"/>
        <v>1.4021874999999999</v>
      </c>
      <c r="Q100" s="26">
        <f t="shared" si="57"/>
        <v>1.4530624999999999</v>
      </c>
      <c r="R100" s="26">
        <f t="shared" si="57"/>
        <v>1.4773750000000001</v>
      </c>
      <c r="S100" s="26">
        <f t="shared" si="57"/>
        <v>1.4890000000000001</v>
      </c>
      <c r="T100" s="26">
        <f t="shared" si="57"/>
        <v>1.4954375</v>
      </c>
      <c r="U100" s="26">
        <f t="shared" si="57"/>
        <v>1.5029375</v>
      </c>
      <c r="V100" s="26">
        <f t="shared" si="57"/>
        <v>1.5275000000000001</v>
      </c>
      <c r="W100" s="26">
        <f t="shared" si="57"/>
        <v>1.6196874999999999</v>
      </c>
      <c r="X100" s="26">
        <f t="shared" si="57"/>
        <v>2.4971874999999999</v>
      </c>
      <c r="Y100" s="26">
        <f t="shared" si="57"/>
        <v>2.5373749999999999</v>
      </c>
      <c r="Z100" s="26">
        <f t="shared" si="57"/>
        <v>2.5659375</v>
      </c>
      <c r="AA100" s="26">
        <f t="shared" si="57"/>
        <v>2.5951874999999998</v>
      </c>
      <c r="AB100" s="26">
        <f t="shared" si="57"/>
        <v>2.6466250000000002</v>
      </c>
      <c r="AC100" s="26">
        <f t="shared" si="57"/>
        <v>2.9916874999999998</v>
      </c>
      <c r="AD100" s="26">
        <f t="shared" si="57"/>
        <v>2.9966249999999999</v>
      </c>
      <c r="AE100" s="26">
        <f t="shared" si="57"/>
        <v>2.9985624999999998</v>
      </c>
      <c r="AF100" s="26">
        <f t="shared" si="57"/>
        <v>2.9993750000000001</v>
      </c>
      <c r="AG100" s="26">
        <f t="shared" si="57"/>
        <v>2.9997500000000001</v>
      </c>
      <c r="AH100" s="26">
        <f t="shared" si="57"/>
        <v>0</v>
      </c>
      <c r="AI100" s="26">
        <f t="shared" si="57"/>
        <v>0</v>
      </c>
      <c r="AJ100" s="26">
        <f t="shared" si="57"/>
        <v>0</v>
      </c>
      <c r="AK100" s="26">
        <f t="shared" si="57"/>
        <v>0</v>
      </c>
      <c r="AL100" s="26">
        <f t="shared" si="57"/>
        <v>0</v>
      </c>
    </row>
    <row r="101" spans="1:38" ht="21" hidden="1" customHeight="1" outlineLevel="1" thickBot="1" x14ac:dyDescent="0.4">
      <c r="A101" s="10">
        <f t="shared" ref="A101:D113" si="58">A67</f>
        <v>0</v>
      </c>
      <c r="B101" s="10">
        <f t="shared" si="58"/>
        <v>1</v>
      </c>
      <c r="C101" s="10">
        <f t="shared" si="58"/>
        <v>0</v>
      </c>
      <c r="D101" s="10">
        <f t="shared" si="58"/>
        <v>0</v>
      </c>
      <c r="E101" s="11" t="str">
        <f t="shared" si="21"/>
        <v>(l)Se[r]</v>
      </c>
      <c r="F101" s="26">
        <f t="shared" si="54"/>
        <v>3.0138124999999996E-11</v>
      </c>
      <c r="G101" s="26">
        <f t="shared" ref="G101:AL101" si="59">G21*$C$82</f>
        <v>1.6771875000000001E-10</v>
      </c>
      <c r="H101" s="26">
        <f t="shared" si="59"/>
        <v>6.1805000000000005E-10</v>
      </c>
      <c r="I101" s="26">
        <f t="shared" si="59"/>
        <v>1.4472499999999999E-9</v>
      </c>
      <c r="J101" s="26">
        <f t="shared" si="59"/>
        <v>2.2932500000000001E-9</v>
      </c>
      <c r="K101" s="26">
        <f t="shared" si="59"/>
        <v>2.8413125E-9</v>
      </c>
      <c r="L101" s="26">
        <f t="shared" si="59"/>
        <v>3.1442499999999998E-9</v>
      </c>
      <c r="M101" s="26">
        <f t="shared" si="59"/>
        <v>3.3884375000000004E-9</v>
      </c>
      <c r="N101" s="26">
        <f t="shared" si="59"/>
        <v>3.7812499999999995E-9</v>
      </c>
      <c r="O101" s="26">
        <f t="shared" si="59"/>
        <v>6.6974999999999993E-9</v>
      </c>
      <c r="P101" s="26">
        <f t="shared" si="59"/>
        <v>6.6824999999999996E-9</v>
      </c>
      <c r="Q101" s="26">
        <f t="shared" si="59"/>
        <v>6.3737499999999994E-9</v>
      </c>
      <c r="R101" s="26">
        <f t="shared" si="59"/>
        <v>5.9277500000000008E-9</v>
      </c>
      <c r="S101" s="26">
        <f t="shared" si="59"/>
        <v>5.4361875000000001E-9</v>
      </c>
      <c r="T101" s="26">
        <f t="shared" si="59"/>
        <v>4.9449999999999998E-9</v>
      </c>
      <c r="U101" s="26">
        <f t="shared" si="59"/>
        <v>4.4837500000000004E-9</v>
      </c>
      <c r="V101" s="26">
        <f t="shared" si="59"/>
        <v>4.0971250000000004E-9</v>
      </c>
      <c r="W101" s="26">
        <f t="shared" si="59"/>
        <v>3.8943750000000004E-9</v>
      </c>
      <c r="X101" s="26">
        <f t="shared" si="59"/>
        <v>3.7891250000000002E-9</v>
      </c>
      <c r="Y101" s="26">
        <f t="shared" si="59"/>
        <v>3.4164374999999999E-9</v>
      </c>
      <c r="Z101" s="26">
        <f t="shared" si="59"/>
        <v>3.061625E-9</v>
      </c>
      <c r="AA101" s="26">
        <f t="shared" si="59"/>
        <v>2.7408124999999997E-9</v>
      </c>
      <c r="AB101" s="26">
        <f t="shared" si="59"/>
        <v>2.4713124999999998E-9</v>
      </c>
      <c r="AC101" s="26">
        <f t="shared" si="59"/>
        <v>1.6929375000000002E-9</v>
      </c>
      <c r="AD101" s="26">
        <f t="shared" si="59"/>
        <v>1.4935624999999999E-9</v>
      </c>
      <c r="AE101" s="26">
        <f t="shared" si="59"/>
        <v>1.3157499999999999E-9</v>
      </c>
      <c r="AF101" s="26">
        <f t="shared" si="59"/>
        <v>1.1579999999999999E-9</v>
      </c>
      <c r="AG101" s="26">
        <f t="shared" si="59"/>
        <v>1.0185625E-9</v>
      </c>
      <c r="AH101" s="26">
        <f t="shared" si="59"/>
        <v>0</v>
      </c>
      <c r="AI101" s="26">
        <f t="shared" si="59"/>
        <v>0</v>
      </c>
      <c r="AJ101" s="26">
        <f t="shared" si="59"/>
        <v>0</v>
      </c>
      <c r="AK101" s="26">
        <f t="shared" si="59"/>
        <v>0</v>
      </c>
      <c r="AL101" s="26">
        <f t="shared" si="59"/>
        <v>0</v>
      </c>
    </row>
    <row r="102" spans="1:38" ht="21" hidden="1" customHeight="1" outlineLevel="1" thickBot="1" x14ac:dyDescent="0.4">
      <c r="A102" s="10">
        <f t="shared" si="58"/>
        <v>0</v>
      </c>
      <c r="B102" s="10">
        <f t="shared" si="58"/>
        <v>0</v>
      </c>
      <c r="C102" s="10">
        <f t="shared" si="58"/>
        <v>1</v>
      </c>
      <c r="D102" s="10">
        <f t="shared" si="58"/>
        <v>0</v>
      </c>
      <c r="E102" s="11" t="str">
        <f t="shared" si="21"/>
        <v>(l)Ge[c]</v>
      </c>
      <c r="F102" s="26">
        <f t="shared" si="54"/>
        <v>1.9037500000000002E-6</v>
      </c>
      <c r="G102" s="26">
        <f t="shared" ref="G102:AL102" si="60">G22*$C$82</f>
        <v>4.9483124999999997E-6</v>
      </c>
      <c r="H102" s="26">
        <f t="shared" si="60"/>
        <v>1.6038125E-5</v>
      </c>
      <c r="I102" s="26">
        <f t="shared" si="60"/>
        <v>6.7724999999999993E-5</v>
      </c>
      <c r="J102" s="26">
        <f t="shared" si="60"/>
        <v>3.1427500000000004E-4</v>
      </c>
      <c r="K102" s="26">
        <f t="shared" si="60"/>
        <v>1.379E-3</v>
      </c>
      <c r="L102" s="26">
        <f t="shared" si="60"/>
        <v>5.3975625000000005E-3</v>
      </c>
      <c r="M102" s="26">
        <f t="shared" si="60"/>
        <v>1.829625E-2</v>
      </c>
      <c r="N102" s="26">
        <f t="shared" si="60"/>
        <v>5.1625624999999994E-2</v>
      </c>
      <c r="O102" s="26">
        <f t="shared" si="60"/>
        <v>0.40138750000000001</v>
      </c>
      <c r="P102" s="26">
        <f t="shared" si="60"/>
        <v>0.45108750000000003</v>
      </c>
      <c r="Q102" s="26">
        <f t="shared" si="60"/>
        <v>0.47651875000000005</v>
      </c>
      <c r="R102" s="26">
        <f t="shared" si="60"/>
        <v>0.48868124999999996</v>
      </c>
      <c r="S102" s="26">
        <f t="shared" si="60"/>
        <v>0.494425</v>
      </c>
      <c r="T102" s="26">
        <f t="shared" si="60"/>
        <v>0.49718124999999996</v>
      </c>
      <c r="U102" s="26">
        <f t="shared" si="60"/>
        <v>0.49853125000000004</v>
      </c>
      <c r="V102" s="26">
        <f t="shared" si="60"/>
        <v>0.4992125</v>
      </c>
      <c r="W102" s="26">
        <f t="shared" si="60"/>
        <v>0.49955624999999998</v>
      </c>
      <c r="X102" s="26">
        <f t="shared" si="60"/>
        <v>0.49994375000000002</v>
      </c>
      <c r="Y102" s="26">
        <f t="shared" si="60"/>
        <v>0.49996249999999998</v>
      </c>
      <c r="Z102" s="26">
        <f t="shared" si="60"/>
        <v>0.499975</v>
      </c>
      <c r="AA102" s="26">
        <f t="shared" si="60"/>
        <v>0.49998749999999997</v>
      </c>
      <c r="AB102" s="26">
        <f t="shared" si="60"/>
        <v>0.49946249999999998</v>
      </c>
      <c r="AC102" s="26">
        <f t="shared" si="60"/>
        <v>0.48285000000000006</v>
      </c>
      <c r="AD102" s="26">
        <f t="shared" si="60"/>
        <v>0.48015000000000002</v>
      </c>
      <c r="AE102" s="26">
        <f t="shared" si="60"/>
        <v>0.47742499999999999</v>
      </c>
      <c r="AF102" s="26">
        <f t="shared" si="60"/>
        <v>0.47465625</v>
      </c>
      <c r="AG102" s="26">
        <f t="shared" si="60"/>
        <v>0.47181250000000002</v>
      </c>
      <c r="AH102" s="26">
        <f t="shared" si="60"/>
        <v>0</v>
      </c>
      <c r="AI102" s="26">
        <f t="shared" si="60"/>
        <v>0</v>
      </c>
      <c r="AJ102" s="26">
        <f t="shared" si="60"/>
        <v>0</v>
      </c>
      <c r="AK102" s="26">
        <f t="shared" si="60"/>
        <v>0</v>
      </c>
      <c r="AL102" s="26">
        <f t="shared" si="60"/>
        <v>0</v>
      </c>
    </row>
    <row r="103" spans="1:38" ht="21" hidden="1" customHeight="1" outlineLevel="1" thickBot="1" x14ac:dyDescent="0.4">
      <c r="A103" s="10">
        <f t="shared" si="58"/>
        <v>0</v>
      </c>
      <c r="B103" s="10">
        <f t="shared" si="58"/>
        <v>0</v>
      </c>
      <c r="C103" s="10">
        <f t="shared" si="58"/>
        <v>0</v>
      </c>
      <c r="D103" s="10">
        <f t="shared" si="58"/>
        <v>1</v>
      </c>
      <c r="E103" s="11" t="str">
        <f t="shared" si="21"/>
        <v>(3)Ga[l]</v>
      </c>
      <c r="F103" s="26">
        <f t="shared" si="54"/>
        <v>0</v>
      </c>
      <c r="G103" s="26">
        <f t="shared" ref="G103:AL103" si="61">G23*$C$82</f>
        <v>0</v>
      </c>
      <c r="H103" s="26">
        <f t="shared" si="61"/>
        <v>0</v>
      </c>
      <c r="I103" s="26">
        <f t="shared" si="61"/>
        <v>0</v>
      </c>
      <c r="J103" s="26">
        <f t="shared" si="61"/>
        <v>0</v>
      </c>
      <c r="K103" s="26">
        <f t="shared" si="61"/>
        <v>0</v>
      </c>
      <c r="L103" s="26">
        <f t="shared" si="61"/>
        <v>0</v>
      </c>
      <c r="M103" s="26">
        <f t="shared" si="61"/>
        <v>0</v>
      </c>
      <c r="N103" s="26">
        <f t="shared" si="61"/>
        <v>0</v>
      </c>
      <c r="O103" s="26">
        <f t="shared" si="61"/>
        <v>0</v>
      </c>
      <c r="P103" s="26">
        <f t="shared" si="61"/>
        <v>0</v>
      </c>
      <c r="Q103" s="26">
        <f t="shared" si="61"/>
        <v>0</v>
      </c>
      <c r="R103" s="26">
        <f t="shared" si="61"/>
        <v>0</v>
      </c>
      <c r="S103" s="26">
        <f t="shared" si="61"/>
        <v>0</v>
      </c>
      <c r="T103" s="26">
        <f t="shared" si="61"/>
        <v>0</v>
      </c>
      <c r="U103" s="26">
        <f t="shared" si="61"/>
        <v>0</v>
      </c>
      <c r="V103" s="26">
        <f t="shared" si="61"/>
        <v>0</v>
      </c>
      <c r="W103" s="26">
        <f t="shared" si="61"/>
        <v>0</v>
      </c>
      <c r="X103" s="26">
        <f t="shared" si="61"/>
        <v>5.2871250000000002E-29</v>
      </c>
      <c r="Y103" s="26">
        <f t="shared" si="61"/>
        <v>3.6818125000000003E-21</v>
      </c>
      <c r="Z103" s="26">
        <f t="shared" si="61"/>
        <v>4.1357500000000002E-14</v>
      </c>
      <c r="AA103" s="26">
        <f t="shared" si="61"/>
        <v>2.4120000000000002E-7</v>
      </c>
      <c r="AB103" s="26">
        <f t="shared" si="61"/>
        <v>4.4655E-2</v>
      </c>
      <c r="AC103" s="26">
        <f t="shared" si="61"/>
        <v>0.89093750000000005</v>
      </c>
      <c r="AD103" s="26">
        <f t="shared" si="61"/>
        <v>0.92449999999999999</v>
      </c>
      <c r="AE103" s="26">
        <f t="shared" si="61"/>
        <v>0.94743750000000004</v>
      </c>
      <c r="AF103" s="26">
        <f t="shared" si="61"/>
        <v>0.96325000000000005</v>
      </c>
      <c r="AG103" s="26">
        <f t="shared" si="61"/>
        <v>0.97450000000000003</v>
      </c>
      <c r="AH103" s="26">
        <f t="shared" si="61"/>
        <v>0</v>
      </c>
      <c r="AI103" s="26">
        <f t="shared" si="61"/>
        <v>0</v>
      </c>
      <c r="AJ103" s="26">
        <f t="shared" si="61"/>
        <v>0</v>
      </c>
      <c r="AK103" s="26">
        <f t="shared" si="61"/>
        <v>0</v>
      </c>
      <c r="AL103" s="26">
        <f t="shared" si="61"/>
        <v>0</v>
      </c>
    </row>
    <row r="104" spans="1:38" ht="21" hidden="1" customHeight="1" outlineLevel="1" thickBot="1" x14ac:dyDescent="0.4">
      <c r="A104" s="10">
        <f t="shared" si="58"/>
        <v>0</v>
      </c>
      <c r="B104" s="10">
        <f t="shared" si="58"/>
        <v>0</v>
      </c>
      <c r="C104" s="10">
        <f t="shared" si="58"/>
        <v>1</v>
      </c>
      <c r="D104" s="10">
        <f t="shared" si="58"/>
        <v>0</v>
      </c>
      <c r="E104" s="11" t="str">
        <f t="shared" si="21"/>
        <v>(3)Ge[l]</v>
      </c>
      <c r="F104" s="26">
        <f t="shared" si="54"/>
        <v>0</v>
      </c>
      <c r="G104" s="26">
        <f t="shared" ref="G104:AL104" si="62">G24*$C$82</f>
        <v>0</v>
      </c>
      <c r="H104" s="26">
        <f t="shared" si="62"/>
        <v>0</v>
      </c>
      <c r="I104" s="26">
        <f t="shared" si="62"/>
        <v>0</v>
      </c>
      <c r="J104" s="26">
        <f t="shared" si="62"/>
        <v>0</v>
      </c>
      <c r="K104" s="26">
        <f t="shared" si="62"/>
        <v>0</v>
      </c>
      <c r="L104" s="26">
        <f t="shared" si="62"/>
        <v>0</v>
      </c>
      <c r="M104" s="26">
        <f t="shared" si="62"/>
        <v>0</v>
      </c>
      <c r="N104" s="26">
        <f t="shared" si="62"/>
        <v>0</v>
      </c>
      <c r="O104" s="26">
        <f t="shared" si="62"/>
        <v>0</v>
      </c>
      <c r="P104" s="26">
        <f t="shared" si="62"/>
        <v>0</v>
      </c>
      <c r="Q104" s="26">
        <f t="shared" si="62"/>
        <v>0</v>
      </c>
      <c r="R104" s="26">
        <f t="shared" si="62"/>
        <v>0</v>
      </c>
      <c r="S104" s="26">
        <f t="shared" si="62"/>
        <v>0</v>
      </c>
      <c r="T104" s="26">
        <f t="shared" si="62"/>
        <v>0</v>
      </c>
      <c r="U104" s="26">
        <f t="shared" si="62"/>
        <v>0</v>
      </c>
      <c r="V104" s="26">
        <f t="shared" si="62"/>
        <v>0</v>
      </c>
      <c r="W104" s="26">
        <f t="shared" si="62"/>
        <v>0</v>
      </c>
      <c r="X104" s="26">
        <f t="shared" si="62"/>
        <v>5.8971875000000001E-30</v>
      </c>
      <c r="Y104" s="26">
        <f t="shared" si="62"/>
        <v>2.6566249999999998E-22</v>
      </c>
      <c r="Z104" s="26">
        <f t="shared" si="62"/>
        <v>1.9895624999999999E-15</v>
      </c>
      <c r="AA104" s="26">
        <f t="shared" si="62"/>
        <v>7.9181250000000003E-9</v>
      </c>
      <c r="AB104" s="26">
        <f t="shared" si="62"/>
        <v>1.0531875000000001E-3</v>
      </c>
      <c r="AC104" s="26">
        <f t="shared" si="62"/>
        <v>3.4292500000000004E-2</v>
      </c>
      <c r="AD104" s="26">
        <f t="shared" si="62"/>
        <v>3.9699999999999999E-2</v>
      </c>
      <c r="AE104" s="26">
        <f t="shared" si="62"/>
        <v>4.5150000000000003E-2</v>
      </c>
      <c r="AF104" s="26">
        <f t="shared" si="62"/>
        <v>5.0689375000000009E-2</v>
      </c>
      <c r="AG104" s="26">
        <f t="shared" si="62"/>
        <v>5.6368749999999995E-2</v>
      </c>
      <c r="AH104" s="26">
        <f t="shared" si="62"/>
        <v>0</v>
      </c>
      <c r="AI104" s="26">
        <f t="shared" si="62"/>
        <v>0</v>
      </c>
      <c r="AJ104" s="26">
        <f t="shared" si="62"/>
        <v>0</v>
      </c>
      <c r="AK104" s="26">
        <f t="shared" si="62"/>
        <v>0</v>
      </c>
      <c r="AL104" s="26">
        <f t="shared" si="62"/>
        <v>0</v>
      </c>
    </row>
    <row r="105" spans="1:38" ht="21" hidden="1" customHeight="1" outlineLevel="1" thickBot="1" x14ac:dyDescent="0.4">
      <c r="A105" s="10">
        <f t="shared" si="58"/>
        <v>1</v>
      </c>
      <c r="B105" s="10">
        <f t="shared" si="58"/>
        <v>0</v>
      </c>
      <c r="C105" s="10">
        <f t="shared" si="58"/>
        <v>0</v>
      </c>
      <c r="D105" s="10">
        <f t="shared" si="58"/>
        <v>0</v>
      </c>
      <c r="E105" s="11" t="str">
        <f t="shared" si="21"/>
        <v>H (Ar)</v>
      </c>
      <c r="F105" s="26">
        <f t="shared" si="54"/>
        <v>-117.625</v>
      </c>
      <c r="G105" s="26">
        <f t="shared" ref="G105:AL105" si="63">G25*$C$82</f>
        <v>-117.56249999999999</v>
      </c>
      <c r="H105" s="26">
        <f t="shared" si="63"/>
        <v>-117.5</v>
      </c>
      <c r="I105" s="26">
        <f t="shared" si="63"/>
        <v>-117.56249999999999</v>
      </c>
      <c r="J105" s="26">
        <f t="shared" si="63"/>
        <v>-117.625</v>
      </c>
      <c r="K105" s="26">
        <f t="shared" si="63"/>
        <v>-117.75</v>
      </c>
      <c r="L105" s="26">
        <f t="shared" si="63"/>
        <v>-117.9375</v>
      </c>
      <c r="M105" s="26">
        <f t="shared" si="63"/>
        <v>-118.12499999999999</v>
      </c>
      <c r="N105" s="26">
        <f t="shared" si="63"/>
        <v>-118.3125</v>
      </c>
      <c r="O105" s="26">
        <f t="shared" si="63"/>
        <v>-119.12499999999999</v>
      </c>
      <c r="P105" s="26">
        <f t="shared" si="63"/>
        <v>-119.37500000000001</v>
      </c>
      <c r="Q105" s="26">
        <f t="shared" si="63"/>
        <v>-119.625</v>
      </c>
      <c r="R105" s="26">
        <f t="shared" si="63"/>
        <v>-119.875</v>
      </c>
      <c r="S105" s="26">
        <f t="shared" si="63"/>
        <v>-120.125</v>
      </c>
      <c r="T105" s="26">
        <f t="shared" si="63"/>
        <v>-120.37500000000001</v>
      </c>
      <c r="U105" s="26">
        <f t="shared" si="63"/>
        <v>-120.625</v>
      </c>
      <c r="V105" s="26">
        <f t="shared" si="63"/>
        <v>-120.875</v>
      </c>
      <c r="W105" s="26">
        <f t="shared" si="63"/>
        <v>-121.0625</v>
      </c>
      <c r="X105" s="26">
        <f t="shared" si="63"/>
        <v>-121.4375</v>
      </c>
      <c r="Y105" s="26">
        <f t="shared" si="63"/>
        <v>-121.6875</v>
      </c>
      <c r="Z105" s="26">
        <f t="shared" si="63"/>
        <v>-121.93750000000001</v>
      </c>
      <c r="AA105" s="26">
        <f t="shared" si="63"/>
        <v>-122.1875</v>
      </c>
      <c r="AB105" s="26">
        <f t="shared" si="63"/>
        <v>-122.4375</v>
      </c>
      <c r="AC105" s="26">
        <f t="shared" si="63"/>
        <v>-123.37499999999999</v>
      </c>
      <c r="AD105" s="26">
        <f t="shared" si="63"/>
        <v>-123.5625</v>
      </c>
      <c r="AE105" s="26">
        <f t="shared" si="63"/>
        <v>-123.81249999999999</v>
      </c>
      <c r="AF105" s="26">
        <f t="shared" si="63"/>
        <v>-124.06250000000001</v>
      </c>
      <c r="AG105" s="26">
        <f t="shared" si="63"/>
        <v>-124.25</v>
      </c>
      <c r="AH105" s="26">
        <f t="shared" si="63"/>
        <v>0</v>
      </c>
      <c r="AI105" s="26">
        <f t="shared" si="63"/>
        <v>0</v>
      </c>
      <c r="AJ105" s="26">
        <f t="shared" si="63"/>
        <v>0</v>
      </c>
      <c r="AK105" s="26">
        <f t="shared" si="63"/>
        <v>0</v>
      </c>
      <c r="AL105" s="26">
        <f t="shared" si="63"/>
        <v>0</v>
      </c>
    </row>
    <row r="106" spans="1:38" ht="21" hidden="1" customHeight="1" outlineLevel="1" thickBot="1" x14ac:dyDescent="0.4">
      <c r="A106" s="10">
        <f t="shared" si="58"/>
        <v>0</v>
      </c>
      <c r="B106" s="10">
        <f t="shared" si="58"/>
        <v>0</v>
      </c>
      <c r="C106" s="10">
        <f t="shared" si="58"/>
        <v>0</v>
      </c>
      <c r="D106" s="10">
        <f t="shared" si="58"/>
        <v>1</v>
      </c>
      <c r="E106" s="11" t="str">
        <f t="shared" si="21"/>
        <v>H (Ga)</v>
      </c>
      <c r="F106" s="26">
        <f t="shared" si="54"/>
        <v>-414.75</v>
      </c>
      <c r="G106" s="26">
        <f t="shared" ref="G106:AL106" si="64">G26*$C$82</f>
        <v>-387.25</v>
      </c>
      <c r="H106" s="26">
        <f t="shared" si="64"/>
        <v>-361.125</v>
      </c>
      <c r="I106" s="26">
        <f t="shared" si="64"/>
        <v>-335</v>
      </c>
      <c r="J106" s="26">
        <f t="shared" si="64"/>
        <v>-309.25</v>
      </c>
      <c r="K106" s="26">
        <f t="shared" si="64"/>
        <v>-284.6875</v>
      </c>
      <c r="L106" s="26">
        <f t="shared" si="64"/>
        <v>-261.875</v>
      </c>
      <c r="M106" s="26">
        <f t="shared" si="64"/>
        <v>-241.125</v>
      </c>
      <c r="N106" s="26">
        <f t="shared" si="64"/>
        <v>-222.5625</v>
      </c>
      <c r="O106" s="26">
        <f t="shared" si="64"/>
        <v>-163.3125</v>
      </c>
      <c r="P106" s="26">
        <f t="shared" si="64"/>
        <v>-150.375</v>
      </c>
      <c r="Q106" s="26">
        <f t="shared" si="64"/>
        <v>-138.125</v>
      </c>
      <c r="R106" s="26">
        <f t="shared" si="64"/>
        <v>-126.49999999999999</v>
      </c>
      <c r="S106" s="26">
        <f t="shared" si="64"/>
        <v>-115.56249999999999</v>
      </c>
      <c r="T106" s="26">
        <f t="shared" si="64"/>
        <v>-105.18749999999999</v>
      </c>
      <c r="U106" s="26">
        <f t="shared" si="64"/>
        <v>-95.4375</v>
      </c>
      <c r="V106" s="26">
        <f t="shared" si="64"/>
        <v>-86.25</v>
      </c>
      <c r="W106" s="26">
        <f t="shared" si="64"/>
        <v>-78</v>
      </c>
      <c r="X106" s="26">
        <f t="shared" si="64"/>
        <v>-58.693750000000001</v>
      </c>
      <c r="Y106" s="26">
        <f t="shared" si="64"/>
        <v>-55.587499999999999</v>
      </c>
      <c r="Z106" s="26">
        <f t="shared" si="64"/>
        <v>-52.693749999999994</v>
      </c>
      <c r="AA106" s="26">
        <f t="shared" si="64"/>
        <v>-49.987500000000004</v>
      </c>
      <c r="AB106" s="26">
        <f t="shared" si="64"/>
        <v>-47.637500000000003</v>
      </c>
      <c r="AC106" s="26">
        <f t="shared" si="64"/>
        <v>-49.381250000000001</v>
      </c>
      <c r="AD106" s="26">
        <f t="shared" si="64"/>
        <v>-49.806249999999999</v>
      </c>
      <c r="AE106" s="26">
        <f t="shared" si="64"/>
        <v>-50.21875</v>
      </c>
      <c r="AF106" s="26">
        <f t="shared" si="64"/>
        <v>-50.631250000000009</v>
      </c>
      <c r="AG106" s="26">
        <f t="shared" si="64"/>
        <v>-51.037500000000001</v>
      </c>
      <c r="AH106" s="26">
        <f t="shared" si="64"/>
        <v>0</v>
      </c>
      <c r="AI106" s="26">
        <f t="shared" si="64"/>
        <v>0</v>
      </c>
      <c r="AJ106" s="26">
        <f t="shared" si="64"/>
        <v>0</v>
      </c>
      <c r="AK106" s="26">
        <f t="shared" si="64"/>
        <v>0</v>
      </c>
      <c r="AL106" s="26">
        <f t="shared" si="64"/>
        <v>0</v>
      </c>
    </row>
    <row r="107" spans="1:38" ht="21" hidden="1" customHeight="1" outlineLevel="1" thickBot="1" x14ac:dyDescent="0.4">
      <c r="A107" s="10">
        <f t="shared" si="58"/>
        <v>0</v>
      </c>
      <c r="B107" s="10">
        <f t="shared" si="58"/>
        <v>0</v>
      </c>
      <c r="C107" s="10">
        <f t="shared" si="58"/>
        <v>1</v>
      </c>
      <c r="D107" s="10">
        <f t="shared" si="58"/>
        <v>0</v>
      </c>
      <c r="E107" s="11" t="str">
        <f t="shared" si="21"/>
        <v>H (Ge)</v>
      </c>
      <c r="F107" s="26">
        <f t="shared" si="54"/>
        <v>-107.0625</v>
      </c>
      <c r="G107" s="26">
        <f t="shared" ref="G107:AL107" si="65">G27*$C$82</f>
        <v>-101.25</v>
      </c>
      <c r="H107" s="26">
        <f t="shared" si="65"/>
        <v>-94.375</v>
      </c>
      <c r="I107" s="26">
        <f t="shared" si="65"/>
        <v>-86.125</v>
      </c>
      <c r="J107" s="26">
        <f t="shared" si="65"/>
        <v>-77.1875</v>
      </c>
      <c r="K107" s="26">
        <f t="shared" si="65"/>
        <v>-68.375</v>
      </c>
      <c r="L107" s="26">
        <f t="shared" si="65"/>
        <v>-60.193750000000001</v>
      </c>
      <c r="M107" s="26">
        <f t="shared" si="65"/>
        <v>-52.931249999999999</v>
      </c>
      <c r="N107" s="26">
        <f t="shared" si="65"/>
        <v>-46.962499999999999</v>
      </c>
      <c r="O107" s="26">
        <f t="shared" si="65"/>
        <v>-37.375</v>
      </c>
      <c r="P107" s="26">
        <f t="shared" si="65"/>
        <v>-37.193749999999994</v>
      </c>
      <c r="Q107" s="26">
        <f t="shared" si="65"/>
        <v>-37.28125</v>
      </c>
      <c r="R107" s="26">
        <f t="shared" si="65"/>
        <v>-37.487500000000004</v>
      </c>
      <c r="S107" s="26">
        <f t="shared" si="65"/>
        <v>-37.756250000000001</v>
      </c>
      <c r="T107" s="26">
        <f t="shared" si="65"/>
        <v>-38.049999999999997</v>
      </c>
      <c r="U107" s="26">
        <f t="shared" si="65"/>
        <v>-38.362499999999997</v>
      </c>
      <c r="V107" s="26">
        <f t="shared" si="65"/>
        <v>-38.737500000000004</v>
      </c>
      <c r="W107" s="26">
        <f t="shared" si="65"/>
        <v>-39.28125</v>
      </c>
      <c r="X107" s="26">
        <f t="shared" si="65"/>
        <v>-42.381250000000001</v>
      </c>
      <c r="Y107" s="26">
        <f t="shared" si="65"/>
        <v>-42.774999999999999</v>
      </c>
      <c r="Z107" s="26">
        <f t="shared" si="65"/>
        <v>-43.15625</v>
      </c>
      <c r="AA107" s="26">
        <f t="shared" si="65"/>
        <v>-43.537500000000001</v>
      </c>
      <c r="AB107" s="26">
        <f t="shared" si="65"/>
        <v>-43.924999999999997</v>
      </c>
      <c r="AC107" s="26">
        <f t="shared" si="65"/>
        <v>-44.993749999999999</v>
      </c>
      <c r="AD107" s="26">
        <f t="shared" si="65"/>
        <v>-45.268750000000004</v>
      </c>
      <c r="AE107" s="26">
        <f t="shared" si="65"/>
        <v>-45.550000000000004</v>
      </c>
      <c r="AF107" s="26">
        <f t="shared" si="65"/>
        <v>-45.831250000000004</v>
      </c>
      <c r="AG107" s="26">
        <f t="shared" si="65"/>
        <v>-46.112499999999997</v>
      </c>
      <c r="AH107" s="26">
        <f t="shared" si="65"/>
        <v>0</v>
      </c>
      <c r="AI107" s="26">
        <f t="shared" si="65"/>
        <v>0</v>
      </c>
      <c r="AJ107" s="26">
        <f t="shared" si="65"/>
        <v>0</v>
      </c>
      <c r="AK107" s="26">
        <f t="shared" si="65"/>
        <v>0</v>
      </c>
      <c r="AL107" s="26">
        <f t="shared" si="65"/>
        <v>0</v>
      </c>
    </row>
    <row r="108" spans="1:38" ht="21" hidden="1" customHeight="1" outlineLevel="1" thickBot="1" x14ac:dyDescent="0.4">
      <c r="A108" s="10">
        <f t="shared" si="58"/>
        <v>0</v>
      </c>
      <c r="B108" s="10">
        <f t="shared" si="58"/>
        <v>1</v>
      </c>
      <c r="C108" s="10">
        <f t="shared" si="58"/>
        <v>0</v>
      </c>
      <c r="D108" s="10">
        <f t="shared" si="58"/>
        <v>0</v>
      </c>
      <c r="E108" s="11" t="str">
        <f t="shared" si="21"/>
        <v>H (Se)</v>
      </c>
      <c r="F108" s="26">
        <f t="shared" si="54"/>
        <v>-147.25</v>
      </c>
      <c r="G108" s="26">
        <f t="shared" ref="G108:AL108" si="66">G28*$C$82</f>
        <v>-139.6875</v>
      </c>
      <c r="H108" s="26">
        <f t="shared" si="66"/>
        <v>-134.75</v>
      </c>
      <c r="I108" s="26">
        <f t="shared" si="66"/>
        <v>-132.625</v>
      </c>
      <c r="J108" s="26">
        <f t="shared" si="66"/>
        <v>-132.5625</v>
      </c>
      <c r="K108" s="26">
        <f t="shared" si="66"/>
        <v>-133.6875</v>
      </c>
      <c r="L108" s="26">
        <f t="shared" si="66"/>
        <v>-135.25</v>
      </c>
      <c r="M108" s="26">
        <f t="shared" si="66"/>
        <v>-136.8125</v>
      </c>
      <c r="N108" s="26">
        <f t="shared" si="66"/>
        <v>-138.1875</v>
      </c>
      <c r="O108" s="26">
        <f t="shared" si="66"/>
        <v>-143.0625</v>
      </c>
      <c r="P108" s="26">
        <f t="shared" si="66"/>
        <v>-144.6875</v>
      </c>
      <c r="Q108" s="26">
        <f t="shared" si="66"/>
        <v>-146.5</v>
      </c>
      <c r="R108" s="26">
        <f t="shared" si="66"/>
        <v>-148.25</v>
      </c>
      <c r="S108" s="26">
        <f t="shared" si="66"/>
        <v>-150.0625</v>
      </c>
      <c r="T108" s="26">
        <f t="shared" si="66"/>
        <v>-151.875</v>
      </c>
      <c r="U108" s="26">
        <f t="shared" si="66"/>
        <v>-153.625</v>
      </c>
      <c r="V108" s="26">
        <f t="shared" si="66"/>
        <v>-155.375</v>
      </c>
      <c r="W108" s="26">
        <f t="shared" si="66"/>
        <v>-157</v>
      </c>
      <c r="X108" s="26">
        <f t="shared" si="66"/>
        <v>-163</v>
      </c>
      <c r="Y108" s="26">
        <f t="shared" si="66"/>
        <v>-164.625</v>
      </c>
      <c r="Z108" s="26">
        <f t="shared" si="66"/>
        <v>-166.3125</v>
      </c>
      <c r="AA108" s="26">
        <f t="shared" si="66"/>
        <v>-167.9375</v>
      </c>
      <c r="AB108" s="26">
        <f t="shared" si="66"/>
        <v>-169.5</v>
      </c>
      <c r="AC108" s="26">
        <f t="shared" si="66"/>
        <v>-174.6875</v>
      </c>
      <c r="AD108" s="26">
        <f t="shared" si="66"/>
        <v>-176.1875</v>
      </c>
      <c r="AE108" s="26">
        <f t="shared" si="66"/>
        <v>-177.6875</v>
      </c>
      <c r="AF108" s="26">
        <f t="shared" si="66"/>
        <v>-179.125</v>
      </c>
      <c r="AG108" s="26">
        <f t="shared" si="66"/>
        <v>-180.625</v>
      </c>
      <c r="AH108" s="26">
        <f t="shared" si="66"/>
        <v>0</v>
      </c>
      <c r="AI108" s="26">
        <f t="shared" si="66"/>
        <v>0</v>
      </c>
      <c r="AJ108" s="26">
        <f t="shared" si="66"/>
        <v>0</v>
      </c>
      <c r="AK108" s="26">
        <f t="shared" si="66"/>
        <v>0</v>
      </c>
      <c r="AL108" s="26">
        <f t="shared" si="66"/>
        <v>0</v>
      </c>
    </row>
    <row r="109" spans="1:38" ht="21" hidden="1" customHeight="1" outlineLevel="1" thickBot="1" x14ac:dyDescent="0.4">
      <c r="A109" s="10">
        <f t="shared" si="58"/>
        <v>0</v>
      </c>
      <c r="B109" s="10">
        <f t="shared" si="58"/>
        <v>0</v>
      </c>
      <c r="C109" s="10">
        <f t="shared" si="58"/>
        <v>0</v>
      </c>
      <c r="D109" s="10">
        <f t="shared" si="58"/>
        <v>0</v>
      </c>
      <c r="E109" s="11">
        <f t="shared" si="21"/>
        <v>0</v>
      </c>
      <c r="F109" s="26">
        <f t="shared" si="54"/>
        <v>0</v>
      </c>
      <c r="G109" s="26">
        <f t="shared" ref="G109:AL109" si="67">G29*$C$82</f>
        <v>0</v>
      </c>
      <c r="H109" s="26">
        <f t="shared" si="67"/>
        <v>0</v>
      </c>
      <c r="I109" s="26">
        <f t="shared" si="67"/>
        <v>0</v>
      </c>
      <c r="J109" s="26">
        <f t="shared" si="67"/>
        <v>0</v>
      </c>
      <c r="K109" s="26">
        <f t="shared" si="67"/>
        <v>0</v>
      </c>
      <c r="L109" s="26">
        <f t="shared" si="67"/>
        <v>0</v>
      </c>
      <c r="M109" s="26">
        <f t="shared" si="67"/>
        <v>0</v>
      </c>
      <c r="N109" s="26">
        <f t="shared" si="67"/>
        <v>0</v>
      </c>
      <c r="O109" s="26">
        <f t="shared" si="67"/>
        <v>0</v>
      </c>
      <c r="P109" s="26">
        <f t="shared" si="67"/>
        <v>0</v>
      </c>
      <c r="Q109" s="26">
        <f t="shared" si="67"/>
        <v>0</v>
      </c>
      <c r="R109" s="26">
        <f t="shared" si="67"/>
        <v>0</v>
      </c>
      <c r="S109" s="26">
        <f t="shared" si="67"/>
        <v>0</v>
      </c>
      <c r="T109" s="26">
        <f t="shared" si="67"/>
        <v>0</v>
      </c>
      <c r="U109" s="26">
        <f t="shared" si="67"/>
        <v>0</v>
      </c>
      <c r="V109" s="26">
        <f t="shared" si="67"/>
        <v>0</v>
      </c>
      <c r="W109" s="26">
        <f t="shared" si="67"/>
        <v>0</v>
      </c>
      <c r="X109" s="26">
        <f t="shared" si="67"/>
        <v>0</v>
      </c>
      <c r="Y109" s="26">
        <f t="shared" si="67"/>
        <v>0</v>
      </c>
      <c r="Z109" s="26">
        <f t="shared" si="67"/>
        <v>0</v>
      </c>
      <c r="AA109" s="26">
        <f t="shared" si="67"/>
        <v>0</v>
      </c>
      <c r="AB109" s="26">
        <f t="shared" si="67"/>
        <v>0</v>
      </c>
      <c r="AC109" s="26">
        <f t="shared" si="67"/>
        <v>0</v>
      </c>
      <c r="AD109" s="26">
        <f t="shared" si="67"/>
        <v>0</v>
      </c>
      <c r="AE109" s="26">
        <f t="shared" si="67"/>
        <v>0</v>
      </c>
      <c r="AF109" s="26">
        <f t="shared" si="67"/>
        <v>0</v>
      </c>
      <c r="AG109" s="26">
        <f t="shared" si="67"/>
        <v>0</v>
      </c>
      <c r="AH109" s="26">
        <f t="shared" si="67"/>
        <v>0</v>
      </c>
      <c r="AI109" s="26">
        <f t="shared" si="67"/>
        <v>0</v>
      </c>
      <c r="AJ109" s="26">
        <f t="shared" si="67"/>
        <v>0</v>
      </c>
      <c r="AK109" s="26">
        <f t="shared" si="67"/>
        <v>0</v>
      </c>
      <c r="AL109" s="26">
        <f t="shared" si="67"/>
        <v>0</v>
      </c>
    </row>
    <row r="110" spans="1:38" ht="21" hidden="1" customHeight="1" outlineLevel="1" thickBot="1" x14ac:dyDescent="0.4">
      <c r="A110" s="10">
        <f t="shared" si="58"/>
        <v>0</v>
      </c>
      <c r="B110" s="10">
        <f t="shared" si="58"/>
        <v>0</v>
      </c>
      <c r="C110" s="10">
        <f t="shared" si="58"/>
        <v>0</v>
      </c>
      <c r="D110" s="10">
        <f t="shared" si="58"/>
        <v>0</v>
      </c>
      <c r="E110" s="11">
        <f t="shared" si="21"/>
        <v>0</v>
      </c>
      <c r="F110" s="26">
        <f t="shared" si="54"/>
        <v>0</v>
      </c>
      <c r="G110" s="26">
        <f t="shared" ref="G110:AL110" si="68">G30*$C$82</f>
        <v>0</v>
      </c>
      <c r="H110" s="26">
        <f t="shared" si="68"/>
        <v>0</v>
      </c>
      <c r="I110" s="26">
        <f t="shared" si="68"/>
        <v>0</v>
      </c>
      <c r="J110" s="26">
        <f t="shared" si="68"/>
        <v>0</v>
      </c>
      <c r="K110" s="26">
        <f t="shared" si="68"/>
        <v>0</v>
      </c>
      <c r="L110" s="26">
        <f t="shared" si="68"/>
        <v>0</v>
      </c>
      <c r="M110" s="26">
        <f t="shared" si="68"/>
        <v>0</v>
      </c>
      <c r="N110" s="26">
        <f t="shared" si="68"/>
        <v>0</v>
      </c>
      <c r="O110" s="26">
        <f t="shared" si="68"/>
        <v>0</v>
      </c>
      <c r="P110" s="26">
        <f t="shared" si="68"/>
        <v>0</v>
      </c>
      <c r="Q110" s="26">
        <f t="shared" si="68"/>
        <v>0</v>
      </c>
      <c r="R110" s="26">
        <f t="shared" si="68"/>
        <v>0</v>
      </c>
      <c r="S110" s="26">
        <f t="shared" si="68"/>
        <v>0</v>
      </c>
      <c r="T110" s="26">
        <f t="shared" si="68"/>
        <v>0</v>
      </c>
      <c r="U110" s="26">
        <f t="shared" si="68"/>
        <v>0</v>
      </c>
      <c r="V110" s="26">
        <f t="shared" si="68"/>
        <v>0</v>
      </c>
      <c r="W110" s="26">
        <f t="shared" si="68"/>
        <v>0</v>
      </c>
      <c r="X110" s="26">
        <f t="shared" si="68"/>
        <v>0</v>
      </c>
      <c r="Y110" s="26">
        <f t="shared" si="68"/>
        <v>0</v>
      </c>
      <c r="Z110" s="26">
        <f t="shared" si="68"/>
        <v>0</v>
      </c>
      <c r="AA110" s="26">
        <f t="shared" si="68"/>
        <v>0</v>
      </c>
      <c r="AB110" s="26">
        <f t="shared" si="68"/>
        <v>0</v>
      </c>
      <c r="AC110" s="26">
        <f t="shared" si="68"/>
        <v>0</v>
      </c>
      <c r="AD110" s="26">
        <f t="shared" si="68"/>
        <v>0</v>
      </c>
      <c r="AE110" s="26">
        <f t="shared" si="68"/>
        <v>0</v>
      </c>
      <c r="AF110" s="26">
        <f t="shared" si="68"/>
        <v>0</v>
      </c>
      <c r="AG110" s="26">
        <f t="shared" si="68"/>
        <v>0</v>
      </c>
      <c r="AH110" s="26">
        <f t="shared" si="68"/>
        <v>0</v>
      </c>
      <c r="AI110" s="26">
        <f t="shared" si="68"/>
        <v>0</v>
      </c>
      <c r="AJ110" s="26">
        <f t="shared" si="68"/>
        <v>0</v>
      </c>
      <c r="AK110" s="26">
        <f t="shared" si="68"/>
        <v>0</v>
      </c>
      <c r="AL110" s="26">
        <f t="shared" si="68"/>
        <v>0</v>
      </c>
    </row>
    <row r="111" spans="1:38" ht="21" hidden="1" customHeight="1" outlineLevel="1" thickBot="1" x14ac:dyDescent="0.4">
      <c r="A111" s="10">
        <f t="shared" si="58"/>
        <v>0</v>
      </c>
      <c r="B111" s="10">
        <f t="shared" si="58"/>
        <v>0</v>
      </c>
      <c r="C111" s="10">
        <f t="shared" si="58"/>
        <v>0</v>
      </c>
      <c r="D111" s="10">
        <f t="shared" si="58"/>
        <v>0</v>
      </c>
      <c r="E111" s="11">
        <f t="shared" si="21"/>
        <v>0</v>
      </c>
      <c r="F111" s="26">
        <f t="shared" si="54"/>
        <v>0</v>
      </c>
      <c r="G111" s="26">
        <f t="shared" ref="G111:AL111" si="69">G31*$C$82</f>
        <v>0</v>
      </c>
      <c r="H111" s="26">
        <f t="shared" si="69"/>
        <v>0</v>
      </c>
      <c r="I111" s="26">
        <f t="shared" si="69"/>
        <v>0</v>
      </c>
      <c r="J111" s="26">
        <f t="shared" si="69"/>
        <v>0</v>
      </c>
      <c r="K111" s="26">
        <f t="shared" si="69"/>
        <v>0</v>
      </c>
      <c r="L111" s="26">
        <f t="shared" si="69"/>
        <v>0</v>
      </c>
      <c r="M111" s="26">
        <f t="shared" si="69"/>
        <v>0</v>
      </c>
      <c r="N111" s="26">
        <f t="shared" si="69"/>
        <v>0</v>
      </c>
      <c r="O111" s="26">
        <f t="shared" si="69"/>
        <v>0</v>
      </c>
      <c r="P111" s="26">
        <f t="shared" si="69"/>
        <v>0</v>
      </c>
      <c r="Q111" s="26">
        <f t="shared" si="69"/>
        <v>0</v>
      </c>
      <c r="R111" s="26">
        <f t="shared" si="69"/>
        <v>0</v>
      </c>
      <c r="S111" s="26">
        <f t="shared" si="69"/>
        <v>0</v>
      </c>
      <c r="T111" s="26">
        <f t="shared" si="69"/>
        <v>0</v>
      </c>
      <c r="U111" s="26">
        <f t="shared" si="69"/>
        <v>0</v>
      </c>
      <c r="V111" s="26">
        <f t="shared" si="69"/>
        <v>0</v>
      </c>
      <c r="W111" s="26">
        <f t="shared" si="69"/>
        <v>0</v>
      </c>
      <c r="X111" s="26">
        <f t="shared" si="69"/>
        <v>0</v>
      </c>
      <c r="Y111" s="26">
        <f t="shared" si="69"/>
        <v>0</v>
      </c>
      <c r="Z111" s="26">
        <f t="shared" si="69"/>
        <v>0</v>
      </c>
      <c r="AA111" s="26">
        <f t="shared" si="69"/>
        <v>0</v>
      </c>
      <c r="AB111" s="26">
        <f t="shared" si="69"/>
        <v>0</v>
      </c>
      <c r="AC111" s="26">
        <f t="shared" si="69"/>
        <v>0</v>
      </c>
      <c r="AD111" s="26">
        <f t="shared" si="69"/>
        <v>0</v>
      </c>
      <c r="AE111" s="26">
        <f t="shared" si="69"/>
        <v>0</v>
      </c>
      <c r="AF111" s="26">
        <f t="shared" si="69"/>
        <v>0</v>
      </c>
      <c r="AG111" s="26">
        <f t="shared" si="69"/>
        <v>0</v>
      </c>
      <c r="AH111" s="26">
        <f t="shared" si="69"/>
        <v>0</v>
      </c>
      <c r="AI111" s="26">
        <f t="shared" si="69"/>
        <v>0</v>
      </c>
      <c r="AJ111" s="26">
        <f t="shared" si="69"/>
        <v>0</v>
      </c>
      <c r="AK111" s="26">
        <f t="shared" si="69"/>
        <v>0</v>
      </c>
      <c r="AL111" s="26">
        <f t="shared" si="69"/>
        <v>0</v>
      </c>
    </row>
    <row r="112" spans="1:38" ht="21" hidden="1" customHeight="1" outlineLevel="1" thickBot="1" x14ac:dyDescent="0.4">
      <c r="A112" s="10">
        <f t="shared" si="58"/>
        <v>0</v>
      </c>
      <c r="B112" s="10">
        <f t="shared" si="58"/>
        <v>0</v>
      </c>
      <c r="C112" s="10">
        <f t="shared" si="58"/>
        <v>0</v>
      </c>
      <c r="D112" s="10">
        <f t="shared" si="58"/>
        <v>0</v>
      </c>
      <c r="E112" s="11">
        <f t="shared" si="21"/>
        <v>0</v>
      </c>
      <c r="F112" s="26">
        <f t="shared" si="54"/>
        <v>0</v>
      </c>
      <c r="G112" s="26">
        <f t="shared" ref="G112:AL112" si="70">G32*$C$82</f>
        <v>0</v>
      </c>
      <c r="H112" s="26">
        <f t="shared" si="70"/>
        <v>0</v>
      </c>
      <c r="I112" s="26">
        <f t="shared" si="70"/>
        <v>0</v>
      </c>
      <c r="J112" s="26">
        <f t="shared" si="70"/>
        <v>0</v>
      </c>
      <c r="K112" s="26">
        <f t="shared" si="70"/>
        <v>0</v>
      </c>
      <c r="L112" s="26">
        <f t="shared" si="70"/>
        <v>0</v>
      </c>
      <c r="M112" s="26">
        <f t="shared" si="70"/>
        <v>0</v>
      </c>
      <c r="N112" s="26">
        <f t="shared" si="70"/>
        <v>0</v>
      </c>
      <c r="O112" s="26">
        <f t="shared" si="70"/>
        <v>0</v>
      </c>
      <c r="P112" s="26">
        <f t="shared" si="70"/>
        <v>0</v>
      </c>
      <c r="Q112" s="26">
        <f t="shared" si="70"/>
        <v>0</v>
      </c>
      <c r="R112" s="26">
        <f t="shared" si="70"/>
        <v>0</v>
      </c>
      <c r="S112" s="26">
        <f t="shared" si="70"/>
        <v>0</v>
      </c>
      <c r="T112" s="26">
        <f t="shared" si="70"/>
        <v>0</v>
      </c>
      <c r="U112" s="26">
        <f t="shared" si="70"/>
        <v>0</v>
      </c>
      <c r="V112" s="26">
        <f t="shared" si="70"/>
        <v>0</v>
      </c>
      <c r="W112" s="26">
        <f t="shared" si="70"/>
        <v>0</v>
      </c>
      <c r="X112" s="26">
        <f t="shared" si="70"/>
        <v>0</v>
      </c>
      <c r="Y112" s="26">
        <f t="shared" si="70"/>
        <v>0</v>
      </c>
      <c r="Z112" s="26">
        <f t="shared" si="70"/>
        <v>0</v>
      </c>
      <c r="AA112" s="26">
        <f t="shared" si="70"/>
        <v>0</v>
      </c>
      <c r="AB112" s="26">
        <f t="shared" si="70"/>
        <v>0</v>
      </c>
      <c r="AC112" s="26">
        <f t="shared" si="70"/>
        <v>0</v>
      </c>
      <c r="AD112" s="26">
        <f t="shared" si="70"/>
        <v>0</v>
      </c>
      <c r="AE112" s="26">
        <f t="shared" si="70"/>
        <v>0</v>
      </c>
      <c r="AF112" s="26">
        <f t="shared" si="70"/>
        <v>0</v>
      </c>
      <c r="AG112" s="26">
        <f t="shared" si="70"/>
        <v>0</v>
      </c>
      <c r="AH112" s="26">
        <f t="shared" si="70"/>
        <v>0</v>
      </c>
      <c r="AI112" s="26">
        <f t="shared" si="70"/>
        <v>0</v>
      </c>
      <c r="AJ112" s="26">
        <f t="shared" si="70"/>
        <v>0</v>
      </c>
      <c r="AK112" s="26">
        <f t="shared" si="70"/>
        <v>0</v>
      </c>
      <c r="AL112" s="26">
        <f t="shared" si="70"/>
        <v>0</v>
      </c>
    </row>
    <row r="113" spans="1:38" ht="21" hidden="1" customHeight="1" outlineLevel="1" thickBot="1" x14ac:dyDescent="0.4">
      <c r="A113" s="10">
        <f t="shared" si="58"/>
        <v>0</v>
      </c>
      <c r="B113" s="10">
        <f t="shared" si="58"/>
        <v>0</v>
      </c>
      <c r="C113" s="10">
        <f t="shared" si="58"/>
        <v>0</v>
      </c>
      <c r="D113" s="10">
        <f t="shared" si="58"/>
        <v>0</v>
      </c>
      <c r="E113" s="11">
        <f t="shared" si="21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" si="71">F3</f>
        <v>273.10000000000002</v>
      </c>
      <c r="G117" s="9">
        <f t="shared" ref="G117:AL117" si="72">G3</f>
        <v>293.3</v>
      </c>
      <c r="H117" s="9">
        <f t="shared" si="72"/>
        <v>313.5</v>
      </c>
      <c r="I117" s="9">
        <f t="shared" si="72"/>
        <v>333.7</v>
      </c>
      <c r="J117" s="9">
        <f t="shared" si="72"/>
        <v>353.9</v>
      </c>
      <c r="K117" s="9">
        <f t="shared" si="72"/>
        <v>374.1</v>
      </c>
      <c r="L117" s="9">
        <f t="shared" si="72"/>
        <v>394.3</v>
      </c>
      <c r="M117" s="9">
        <f t="shared" si="72"/>
        <v>414.5</v>
      </c>
      <c r="N117" s="9">
        <f t="shared" si="72"/>
        <v>434.7</v>
      </c>
      <c r="O117" s="9">
        <f t="shared" si="72"/>
        <v>515.4</v>
      </c>
      <c r="P117" s="9">
        <f t="shared" si="72"/>
        <v>535.6</v>
      </c>
      <c r="Q117" s="9">
        <f t="shared" si="72"/>
        <v>555.79999999999995</v>
      </c>
      <c r="R117" s="9">
        <f t="shared" si="72"/>
        <v>576</v>
      </c>
      <c r="S117" s="9">
        <f t="shared" si="72"/>
        <v>596.20000000000005</v>
      </c>
      <c r="T117" s="9">
        <f t="shared" si="72"/>
        <v>616.4</v>
      </c>
      <c r="U117" s="9">
        <f t="shared" si="72"/>
        <v>636.6</v>
      </c>
      <c r="V117" s="9">
        <f t="shared" si="72"/>
        <v>656.8</v>
      </c>
      <c r="W117" s="9">
        <f t="shared" si="72"/>
        <v>677</v>
      </c>
      <c r="X117" s="9">
        <f t="shared" si="72"/>
        <v>757.7</v>
      </c>
      <c r="Y117" s="9">
        <f t="shared" si="72"/>
        <v>777.9</v>
      </c>
      <c r="Z117" s="9">
        <f t="shared" si="72"/>
        <v>798.1</v>
      </c>
      <c r="AA117" s="9">
        <f t="shared" si="72"/>
        <v>818.3</v>
      </c>
      <c r="AB117" s="9">
        <f t="shared" si="72"/>
        <v>838.5</v>
      </c>
      <c r="AC117" s="9">
        <f t="shared" si="72"/>
        <v>919.2</v>
      </c>
      <c r="AD117" s="9">
        <f t="shared" si="72"/>
        <v>939.4</v>
      </c>
      <c r="AE117" s="9">
        <f t="shared" si="72"/>
        <v>959.6</v>
      </c>
      <c r="AF117" s="9">
        <f t="shared" si="72"/>
        <v>979.8</v>
      </c>
      <c r="AG117" s="9">
        <f t="shared" si="72"/>
        <v>1000</v>
      </c>
      <c r="AH117" s="9">
        <f t="shared" si="72"/>
        <v>0</v>
      </c>
      <c r="AI117" s="9">
        <f t="shared" si="72"/>
        <v>0</v>
      </c>
      <c r="AJ117" s="9">
        <f t="shared" si="72"/>
        <v>0</v>
      </c>
      <c r="AK117" s="9">
        <f t="shared" si="72"/>
        <v>0</v>
      </c>
      <c r="AL117" s="9">
        <f t="shared" si="72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-850.10773799999993</v>
      </c>
      <c r="C118" s="45">
        <f>COUNTA(E118:E123)+1</f>
        <v>7</v>
      </c>
      <c r="E118" s="29" t="s">
        <v>42</v>
      </c>
      <c r="F118" s="78">
        <f ca="1">F$117*$B$2*SUMPRODUCT(F$92:F$102,F$58:F$68)/1000</f>
        <v>-222.34213192350634</v>
      </c>
      <c r="G118" s="78">
        <f t="shared" ref="G118:AL118" ca="1" si="73">G$117*$B$2*SUMPRODUCT(G$92:G$102,G$58:G$68)/1000</f>
        <v>-227.17182316469641</v>
      </c>
      <c r="H118" s="78">
        <f t="shared" ca="1" si="73"/>
        <v>-235.25923505567633</v>
      </c>
      <c r="I118" s="78">
        <f t="shared" ca="1" si="73"/>
        <v>-245.97511456855622</v>
      </c>
      <c r="J118" s="78">
        <f t="shared" ca="1" si="73"/>
        <v>-255.90764807721681</v>
      </c>
      <c r="K118" s="78">
        <f t="shared" ca="1" si="73"/>
        <v>-263.81665571962498</v>
      </c>
      <c r="L118" s="78">
        <f t="shared" ca="1" si="73"/>
        <v>-270.66919819479097</v>
      </c>
      <c r="M118" s="78">
        <f t="shared" ca="1" si="73"/>
        <v>-277.77309438722722</v>
      </c>
      <c r="N118" s="78">
        <f t="shared" ca="1" si="73"/>
        <v>-286.58009224347296</v>
      </c>
      <c r="O118" s="78">
        <f t="shared" ca="1" si="73"/>
        <v>-340.70424254137157</v>
      </c>
      <c r="P118" s="78">
        <f t="shared" ca="1" si="73"/>
        <v>-353.32876067769098</v>
      </c>
      <c r="Q118" s="78">
        <f t="shared" ca="1" si="73"/>
        <v>-365.33716511905828</v>
      </c>
      <c r="R118" s="78">
        <f t="shared" ca="1" si="73"/>
        <v>-376.80286425461895</v>
      </c>
      <c r="S118" s="78">
        <f t="shared" ca="1" si="73"/>
        <v>-388.35186027885283</v>
      </c>
      <c r="T118" s="78">
        <f t="shared" ca="1" si="73"/>
        <v>-400.0494385217217</v>
      </c>
      <c r="U118" s="78">
        <f t="shared" ca="1" si="73"/>
        <v>-412.30280689847461</v>
      </c>
      <c r="V118" s="78">
        <f t="shared" ca="1" si="73"/>
        <v>-427.16646439098344</v>
      </c>
      <c r="W118" s="78">
        <f t="shared" ca="1" si="73"/>
        <v>-450.74403547885288</v>
      </c>
      <c r="X118" s="78">
        <f t="shared" ca="1" si="73"/>
        <v>-592.35585424764952</v>
      </c>
      <c r="Y118" s="78">
        <f t="shared" ca="1" si="73"/>
        <v>-612.16430917024832</v>
      </c>
      <c r="Z118" s="78">
        <f t="shared" ca="1" si="73"/>
        <v>-631.28801403016382</v>
      </c>
      <c r="AA118" s="78">
        <f t="shared" ca="1" si="73"/>
        <v>-650.19295174613717</v>
      </c>
      <c r="AB118" s="78">
        <f t="shared" ca="1" si="73"/>
        <v>-666.91127289877818</v>
      </c>
      <c r="AC118" s="78">
        <f t="shared" ca="1" si="73"/>
        <v>-700.3876431104444</v>
      </c>
      <c r="AD118" s="78">
        <f t="shared" ca="1" si="73"/>
        <v>-719.45358556592055</v>
      </c>
      <c r="AE118" s="78">
        <f t="shared" ca="1" si="73"/>
        <v>-739.32568735709924</v>
      </c>
      <c r="AF118" s="78">
        <f t="shared" ca="1" si="73"/>
        <v>-759.54282594113533</v>
      </c>
      <c r="AG118" s="78">
        <f t="shared" ca="1" si="73"/>
        <v>-780.47358564859667</v>
      </c>
      <c r="AH118" s="78">
        <f t="shared" ca="1" si="73"/>
        <v>0</v>
      </c>
      <c r="AI118" s="78">
        <f t="shared" ca="1" si="73"/>
        <v>0</v>
      </c>
      <c r="AJ118" s="78">
        <f t="shared" ca="1" si="73"/>
        <v>0</v>
      </c>
      <c r="AK118" s="78">
        <f t="shared" ca="1" si="73"/>
        <v>0</v>
      </c>
      <c r="AL118" s="78">
        <f t="shared" ca="1" si="73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28</v>
      </c>
      <c r="E119" s="29" t="s">
        <v>374</v>
      </c>
      <c r="F119" s="26">
        <f ca="1">F$117*$B$2*SUMPRODUCT(F$103:F$104,F$69:F$70)/1000</f>
        <v>0</v>
      </c>
      <c r="G119" s="26">
        <f t="shared" ref="G119:AL119" ca="1" si="74">G$117*$B$2*SUMPRODUCT(G$103:G$104,G$69:G$70)/1000</f>
        <v>0</v>
      </c>
      <c r="H119" s="26">
        <f t="shared" ca="1" si="74"/>
        <v>0</v>
      </c>
      <c r="I119" s="26">
        <f t="shared" ca="1" si="74"/>
        <v>0</v>
      </c>
      <c r="J119" s="26">
        <f t="shared" ca="1" si="74"/>
        <v>0</v>
      </c>
      <c r="K119" s="26">
        <f t="shared" ca="1" si="74"/>
        <v>0</v>
      </c>
      <c r="L119" s="26">
        <f t="shared" ca="1" si="74"/>
        <v>0</v>
      </c>
      <c r="M119" s="26">
        <f t="shared" ca="1" si="74"/>
        <v>0</v>
      </c>
      <c r="N119" s="26">
        <f t="shared" ca="1" si="74"/>
        <v>0</v>
      </c>
      <c r="O119" s="26">
        <f t="shared" ca="1" si="74"/>
        <v>0</v>
      </c>
      <c r="P119" s="26">
        <f t="shared" ca="1" si="74"/>
        <v>0</v>
      </c>
      <c r="Q119" s="26">
        <f t="shared" ca="1" si="74"/>
        <v>0</v>
      </c>
      <c r="R119" s="26">
        <f t="shared" ca="1" si="74"/>
        <v>0</v>
      </c>
      <c r="S119" s="26">
        <f t="shared" ca="1" si="74"/>
        <v>0</v>
      </c>
      <c r="T119" s="26">
        <f t="shared" ca="1" si="74"/>
        <v>0</v>
      </c>
      <c r="U119" s="26">
        <f t="shared" ca="1" si="74"/>
        <v>0</v>
      </c>
      <c r="V119" s="26">
        <f t="shared" ca="1" si="74"/>
        <v>0</v>
      </c>
      <c r="W119" s="26">
        <f t="shared" ca="1" si="74"/>
        <v>0</v>
      </c>
      <c r="X119" s="26">
        <f t="shared" ca="1" si="74"/>
        <v>-3.3799117967233617E-27</v>
      </c>
      <c r="Y119" s="26">
        <f t="shared" ca="1" si="74"/>
        <v>-2.2355626871861579E-19</v>
      </c>
      <c r="Z119" s="26">
        <f t="shared" ca="1" si="74"/>
        <v>-2.4049675080628164E-12</v>
      </c>
      <c r="AA119" s="26">
        <f t="shared" ca="1" si="74"/>
        <v>-1.3500523407592949E-5</v>
      </c>
      <c r="AB119" s="26">
        <f t="shared" ca="1" si="74"/>
        <v>-2.4244966806957224</v>
      </c>
      <c r="AC119" s="26">
        <f t="shared" ca="1" si="74"/>
        <v>-55.685918494257329</v>
      </c>
      <c r="AD119" s="26">
        <f t="shared" ca="1" si="74"/>
        <v>-59.789581235417884</v>
      </c>
      <c r="AE119" s="26">
        <f t="shared" ca="1" si="74"/>
        <v>-63.363709368894135</v>
      </c>
      <c r="AF119" s="26">
        <f t="shared" ca="1" si="74"/>
        <v>-66.597969075693086</v>
      </c>
      <c r="AG119" s="26">
        <f t="shared" ca="1" si="74"/>
        <v>-69.622759797993751</v>
      </c>
      <c r="AH119" s="26">
        <f t="shared" ca="1" si="74"/>
        <v>0</v>
      </c>
      <c r="AI119" s="26">
        <f t="shared" ca="1" si="74"/>
        <v>0</v>
      </c>
      <c r="AJ119" s="26">
        <f t="shared" ca="1" si="74"/>
        <v>0</v>
      </c>
      <c r="AK119" s="26">
        <f t="shared" ca="1" si="74"/>
        <v>0</v>
      </c>
      <c r="AL119" s="26">
        <f t="shared" ca="1" si="74"/>
        <v>0</v>
      </c>
    </row>
    <row r="120" spans="1:38" ht="21" customHeight="1" outlineLevel="1" thickBot="1" x14ac:dyDescent="0.4">
      <c r="E120" s="29" t="s">
        <v>15</v>
      </c>
      <c r="F120" s="26">
        <f t="shared" ref="F120:AL120" ca="1" si="75">F$117*$B$2*SUMPRODUCT(F$88:F$90,F$54:F$56)/1000</f>
        <v>-127.72980938838545</v>
      </c>
      <c r="G120" s="26">
        <f t="shared" ca="1" si="75"/>
        <v>-126.94025590195612</v>
      </c>
      <c r="H120" s="26">
        <f t="shared" ca="1" si="75"/>
        <v>-123.30531040896339</v>
      </c>
      <c r="I120" s="26">
        <f t="shared" ca="1" si="75"/>
        <v>-117.60228127374744</v>
      </c>
      <c r="J120" s="26">
        <f t="shared" ca="1" si="75"/>
        <v>-113.25727877080136</v>
      </c>
      <c r="K120" s="26">
        <f t="shared" ca="1" si="75"/>
        <v>-111.49137658692878</v>
      </c>
      <c r="L120" s="26">
        <f t="shared" ca="1" si="75"/>
        <v>-111.10381537633951</v>
      </c>
      <c r="M120" s="26">
        <f t="shared" ca="1" si="75"/>
        <v>-110.6994403553054</v>
      </c>
      <c r="N120" s="26">
        <f t="shared" ca="1" si="75"/>
        <v>-109.02161891066613</v>
      </c>
      <c r="O120" s="26">
        <f t="shared" ca="1" si="75"/>
        <v>-91.164705886194014</v>
      </c>
      <c r="P120" s="26">
        <f t="shared" ca="1" si="75"/>
        <v>-89.598872950954089</v>
      </c>
      <c r="Q120" s="26">
        <f t="shared" ca="1" si="75"/>
        <v>-89.32236602355411</v>
      </c>
      <c r="R120" s="26">
        <f t="shared" ca="1" si="75"/>
        <v>-89.649271317024002</v>
      </c>
      <c r="S120" s="26">
        <f t="shared" ca="1" si="75"/>
        <v>-90.310005610526645</v>
      </c>
      <c r="T120" s="26">
        <f t="shared" ca="1" si="75"/>
        <v>-91.02216429083164</v>
      </c>
      <c r="U120" s="26">
        <f t="shared" ca="1" si="75"/>
        <v>-91.310631367277878</v>
      </c>
      <c r="V120" s="26">
        <f t="shared" ca="1" si="75"/>
        <v>-89.322051798251678</v>
      </c>
      <c r="W120" s="26">
        <f t="shared" ca="1" si="75"/>
        <v>-79.078182443534573</v>
      </c>
      <c r="X120" s="26">
        <f t="shared" ca="1" si="75"/>
        <v>-2.4254321263765961</v>
      </c>
      <c r="Y120" s="26">
        <f t="shared" ca="1" si="75"/>
        <v>-0.71654106880575974</v>
      </c>
      <c r="Z120" s="26">
        <f t="shared" ca="1" si="75"/>
        <v>-0.21573193249059172</v>
      </c>
      <c r="AA120" s="26">
        <f t="shared" ca="1" si="75"/>
        <v>-6.6459227969129994E-2</v>
      </c>
      <c r="AB120" s="26">
        <f t="shared" ca="1" si="75"/>
        <v>-2.0336140675142132E-2</v>
      </c>
      <c r="AC120" s="26">
        <f t="shared" ca="1" si="75"/>
        <v>-1.0672738059528041E-4</v>
      </c>
      <c r="AD120" s="26">
        <f t="shared" ca="1" si="75"/>
        <v>-9.6693021223534666E-5</v>
      </c>
      <c r="AE120" s="26">
        <f t="shared" ca="1" si="75"/>
        <v>-9.6363186681201177E-5</v>
      </c>
      <c r="AF120" s="26">
        <f t="shared" ca="1" si="75"/>
        <v>-9.7020670674761878E-5</v>
      </c>
      <c r="AG120" s="26">
        <f t="shared" ca="1" si="75"/>
        <v>-9.7314033531121222E-5</v>
      </c>
      <c r="AH120" s="26">
        <f t="shared" ca="1" si="75"/>
        <v>0</v>
      </c>
      <c r="AI120" s="26">
        <f t="shared" ca="1" si="75"/>
        <v>0</v>
      </c>
      <c r="AJ120" s="26">
        <f t="shared" ca="1" si="75"/>
        <v>0</v>
      </c>
      <c r="AK120" s="26">
        <f t="shared" ca="1" si="75"/>
        <v>0</v>
      </c>
      <c r="AL120" s="26">
        <f t="shared" ca="1" si="75"/>
        <v>0</v>
      </c>
    </row>
    <row r="121" spans="1:38" ht="21" customHeight="1" outlineLevel="1" thickBot="1" x14ac:dyDescent="0.4">
      <c r="E121" s="29" t="s">
        <v>43</v>
      </c>
      <c r="F121" s="26">
        <f t="shared" ref="F121:AL121" ca="1" si="76">F120+F118</f>
        <v>-350.07194131189181</v>
      </c>
      <c r="G121" s="26">
        <f t="shared" ca="1" si="76"/>
        <v>-354.11207906665254</v>
      </c>
      <c r="H121" s="26">
        <f t="shared" ca="1" si="76"/>
        <v>-358.56454546463971</v>
      </c>
      <c r="I121" s="26">
        <f t="shared" ca="1" si="76"/>
        <v>-363.57739584230364</v>
      </c>
      <c r="J121" s="26">
        <f t="shared" ca="1" si="76"/>
        <v>-369.16492684801818</v>
      </c>
      <c r="K121" s="26">
        <f t="shared" ca="1" si="76"/>
        <v>-375.30803230655374</v>
      </c>
      <c r="L121" s="26">
        <f t="shared" ca="1" si="76"/>
        <v>-381.77301357113049</v>
      </c>
      <c r="M121" s="26">
        <f t="shared" ca="1" si="76"/>
        <v>-388.47253474253262</v>
      </c>
      <c r="N121" s="26">
        <f t="shared" ca="1" si="76"/>
        <v>-395.60171115413908</v>
      </c>
      <c r="O121" s="26">
        <f t="shared" ca="1" si="76"/>
        <v>-431.86894842756556</v>
      </c>
      <c r="P121" s="26">
        <f t="shared" ca="1" si="76"/>
        <v>-442.92763362864508</v>
      </c>
      <c r="Q121" s="26">
        <f t="shared" ca="1" si="76"/>
        <v>-454.65953114261242</v>
      </c>
      <c r="R121" s="26">
        <f t="shared" ca="1" si="76"/>
        <v>-466.45213557164294</v>
      </c>
      <c r="S121" s="26">
        <f t="shared" ca="1" si="76"/>
        <v>-478.66186588937944</v>
      </c>
      <c r="T121" s="26">
        <f t="shared" ca="1" si="76"/>
        <v>-491.07160281255335</v>
      </c>
      <c r="U121" s="26">
        <f t="shared" ca="1" si="76"/>
        <v>-503.61343826575251</v>
      </c>
      <c r="V121" s="26">
        <f t="shared" ca="1" si="76"/>
        <v>-516.48851618923516</v>
      </c>
      <c r="W121" s="26">
        <f t="shared" ca="1" si="76"/>
        <v>-529.82221792238749</v>
      </c>
      <c r="X121" s="26">
        <f t="shared" ca="1" si="76"/>
        <v>-594.78128637402608</v>
      </c>
      <c r="Y121" s="26">
        <f t="shared" ca="1" si="76"/>
        <v>-612.8808502390541</v>
      </c>
      <c r="Z121" s="26">
        <f t="shared" ca="1" si="76"/>
        <v>-631.50374596265442</v>
      </c>
      <c r="AA121" s="26">
        <f t="shared" ca="1" si="76"/>
        <v>-650.25941097410634</v>
      </c>
      <c r="AB121" s="26">
        <f t="shared" ca="1" si="76"/>
        <v>-666.93160903945329</v>
      </c>
      <c r="AC121" s="26">
        <f t="shared" ca="1" si="76"/>
        <v>-700.38774983782503</v>
      </c>
      <c r="AD121" s="26">
        <f t="shared" ca="1" si="76"/>
        <v>-719.45368225894174</v>
      </c>
      <c r="AE121" s="26">
        <f t="shared" ca="1" si="76"/>
        <v>-739.32578372028593</v>
      </c>
      <c r="AF121" s="26">
        <f t="shared" ca="1" si="76"/>
        <v>-759.54292296180597</v>
      </c>
      <c r="AG121" s="26">
        <f t="shared" ca="1" si="76"/>
        <v>-780.47368296263016</v>
      </c>
      <c r="AH121" s="26">
        <f t="shared" ca="1" si="76"/>
        <v>0</v>
      </c>
      <c r="AI121" s="26">
        <f t="shared" ca="1" si="76"/>
        <v>0</v>
      </c>
      <c r="AJ121" s="26">
        <f t="shared" ca="1" si="76"/>
        <v>0</v>
      </c>
      <c r="AK121" s="26">
        <f t="shared" ca="1" si="76"/>
        <v>0</v>
      </c>
      <c r="AL121" s="26">
        <f t="shared" ca="1" si="76"/>
        <v>0</v>
      </c>
    </row>
    <row r="122" spans="1:38" ht="21" customHeight="1" outlineLevel="1" thickBot="1" x14ac:dyDescent="0.4">
      <c r="E122" s="29" t="s">
        <v>375</v>
      </c>
      <c r="F122" s="26">
        <f t="shared" ref="F122:AL122" ca="1" si="77">F120+F119</f>
        <v>-127.72980938838545</v>
      </c>
      <c r="G122" s="26">
        <f t="shared" ca="1" si="77"/>
        <v>-126.94025590195612</v>
      </c>
      <c r="H122" s="26">
        <f t="shared" ca="1" si="77"/>
        <v>-123.30531040896339</v>
      </c>
      <c r="I122" s="26">
        <f t="shared" ca="1" si="77"/>
        <v>-117.60228127374744</v>
      </c>
      <c r="J122" s="26">
        <f t="shared" ca="1" si="77"/>
        <v>-113.25727877080136</v>
      </c>
      <c r="K122" s="26">
        <f t="shared" ca="1" si="77"/>
        <v>-111.49137658692878</v>
      </c>
      <c r="L122" s="26">
        <f t="shared" ca="1" si="77"/>
        <v>-111.10381537633951</v>
      </c>
      <c r="M122" s="26">
        <f t="shared" ca="1" si="77"/>
        <v>-110.6994403553054</v>
      </c>
      <c r="N122" s="26">
        <f t="shared" ca="1" si="77"/>
        <v>-109.02161891066613</v>
      </c>
      <c r="O122" s="26">
        <f t="shared" ca="1" si="77"/>
        <v>-91.164705886194014</v>
      </c>
      <c r="P122" s="26">
        <f t="shared" ca="1" si="77"/>
        <v>-89.598872950954089</v>
      </c>
      <c r="Q122" s="26">
        <f t="shared" ca="1" si="77"/>
        <v>-89.32236602355411</v>
      </c>
      <c r="R122" s="26">
        <f t="shared" ca="1" si="77"/>
        <v>-89.649271317024002</v>
      </c>
      <c r="S122" s="26">
        <f t="shared" ca="1" si="77"/>
        <v>-90.310005610526645</v>
      </c>
      <c r="T122" s="26">
        <f t="shared" ca="1" si="77"/>
        <v>-91.02216429083164</v>
      </c>
      <c r="U122" s="26">
        <f t="shared" ca="1" si="77"/>
        <v>-91.310631367277878</v>
      </c>
      <c r="V122" s="26">
        <f t="shared" ca="1" si="77"/>
        <v>-89.322051798251678</v>
      </c>
      <c r="W122" s="26">
        <f t="shared" ca="1" si="77"/>
        <v>-79.078182443534573</v>
      </c>
      <c r="X122" s="26">
        <f t="shared" ca="1" si="77"/>
        <v>-2.4254321263765961</v>
      </c>
      <c r="Y122" s="26">
        <f t="shared" ca="1" si="77"/>
        <v>-0.71654106880575974</v>
      </c>
      <c r="Z122" s="26">
        <f t="shared" ca="1" si="77"/>
        <v>-0.21573193249299669</v>
      </c>
      <c r="AA122" s="26">
        <f t="shared" ca="1" si="77"/>
        <v>-6.6472728492537589E-2</v>
      </c>
      <c r="AB122" s="26">
        <f t="shared" ca="1" si="77"/>
        <v>-2.4448328213708646</v>
      </c>
      <c r="AC122" s="26">
        <f t="shared" ca="1" si="77"/>
        <v>-55.686025221637927</v>
      </c>
      <c r="AD122" s="26">
        <f t="shared" ca="1" si="77"/>
        <v>-59.789677928439104</v>
      </c>
      <c r="AE122" s="26">
        <f t="shared" ca="1" si="77"/>
        <v>-63.363805732080813</v>
      </c>
      <c r="AF122" s="26">
        <f t="shared" ca="1" si="77"/>
        <v>-66.598066096363766</v>
      </c>
      <c r="AG122" s="26">
        <f t="shared" ca="1" si="77"/>
        <v>-69.622857112027276</v>
      </c>
      <c r="AH122" s="26">
        <f t="shared" ca="1" si="77"/>
        <v>0</v>
      </c>
      <c r="AI122" s="26">
        <f t="shared" ca="1" si="77"/>
        <v>0</v>
      </c>
      <c r="AJ122" s="26">
        <f t="shared" ca="1" si="77"/>
        <v>0</v>
      </c>
      <c r="AK122" s="26">
        <f t="shared" ca="1" si="77"/>
        <v>0</v>
      </c>
      <c r="AL122" s="26">
        <f t="shared" ca="1" si="77"/>
        <v>0</v>
      </c>
    </row>
    <row r="123" spans="1:38" ht="21" customHeight="1" outlineLevel="1" thickBot="1" x14ac:dyDescent="0.4">
      <c r="E123" s="29" t="s">
        <v>376</v>
      </c>
      <c r="F123" s="26">
        <f t="shared" ref="F123:AL123" ca="1" si="78">F122+F121-F120</f>
        <v>-350.07194131189181</v>
      </c>
      <c r="G123" s="26">
        <f t="shared" ca="1" si="78"/>
        <v>-354.11207906665254</v>
      </c>
      <c r="H123" s="26">
        <f t="shared" ca="1" si="78"/>
        <v>-358.56454546463971</v>
      </c>
      <c r="I123" s="26">
        <f t="shared" ca="1" si="78"/>
        <v>-363.57739584230364</v>
      </c>
      <c r="J123" s="26">
        <f t="shared" ca="1" si="78"/>
        <v>-369.16492684801818</v>
      </c>
      <c r="K123" s="26">
        <f t="shared" ca="1" si="78"/>
        <v>-375.30803230655374</v>
      </c>
      <c r="L123" s="26">
        <f t="shared" ca="1" si="78"/>
        <v>-381.77301357113049</v>
      </c>
      <c r="M123" s="26">
        <f t="shared" ca="1" si="78"/>
        <v>-388.47253474253262</v>
      </c>
      <c r="N123" s="26">
        <f t="shared" ca="1" si="78"/>
        <v>-395.60171115413908</v>
      </c>
      <c r="O123" s="26">
        <f t="shared" ca="1" si="78"/>
        <v>-431.86894842756556</v>
      </c>
      <c r="P123" s="26">
        <f t="shared" ca="1" si="78"/>
        <v>-442.92763362864508</v>
      </c>
      <c r="Q123" s="26">
        <f t="shared" ca="1" si="78"/>
        <v>-454.65953114261242</v>
      </c>
      <c r="R123" s="26">
        <f t="shared" ca="1" si="78"/>
        <v>-466.45213557164294</v>
      </c>
      <c r="S123" s="26">
        <f t="shared" ca="1" si="78"/>
        <v>-478.66186588937944</v>
      </c>
      <c r="T123" s="26">
        <f t="shared" ca="1" si="78"/>
        <v>-491.07160281255329</v>
      </c>
      <c r="U123" s="26">
        <f t="shared" ca="1" si="78"/>
        <v>-503.61343826575251</v>
      </c>
      <c r="V123" s="26">
        <f t="shared" ca="1" si="78"/>
        <v>-516.48851618923516</v>
      </c>
      <c r="W123" s="26">
        <f t="shared" ca="1" si="78"/>
        <v>-529.82221792238749</v>
      </c>
      <c r="X123" s="26">
        <f t="shared" ca="1" si="78"/>
        <v>-594.78128637402608</v>
      </c>
      <c r="Y123" s="26">
        <f t="shared" ca="1" si="78"/>
        <v>-612.8808502390541</v>
      </c>
      <c r="Z123" s="26">
        <f t="shared" ca="1" si="78"/>
        <v>-631.50374596265681</v>
      </c>
      <c r="AA123" s="26">
        <f t="shared" ca="1" si="78"/>
        <v>-650.25942447462967</v>
      </c>
      <c r="AB123" s="26">
        <f t="shared" ca="1" si="78"/>
        <v>-669.356105720149</v>
      </c>
      <c r="AC123" s="26">
        <f t="shared" ca="1" si="78"/>
        <v>-756.07366833208232</v>
      </c>
      <c r="AD123" s="26">
        <f t="shared" ca="1" si="78"/>
        <v>-779.24326349435967</v>
      </c>
      <c r="AE123" s="26">
        <f t="shared" ca="1" si="78"/>
        <v>-802.68949308918002</v>
      </c>
      <c r="AF123" s="26">
        <f t="shared" ca="1" si="78"/>
        <v>-826.14089203749904</v>
      </c>
      <c r="AG123" s="26">
        <f t="shared" ca="1" si="78"/>
        <v>-850.09644276062397</v>
      </c>
      <c r="AH123" s="26">
        <f t="shared" ca="1" si="78"/>
        <v>0</v>
      </c>
      <c r="AI123" s="26">
        <f t="shared" ca="1" si="78"/>
        <v>0</v>
      </c>
      <c r="AJ123" s="26">
        <f t="shared" ca="1" si="78"/>
        <v>0</v>
      </c>
      <c r="AK123" s="26">
        <f t="shared" ca="1" si="78"/>
        <v>0</v>
      </c>
      <c r="AL123" s="26">
        <f t="shared" ca="1" si="78"/>
        <v>0</v>
      </c>
    </row>
    <row r="124" spans="1:38" ht="21" customHeight="1" outlineLevel="1" thickBot="1" x14ac:dyDescent="0.4">
      <c r="E124" s="30"/>
    </row>
    <row r="125" spans="1:38" ht="21" customHeight="1" outlineLevel="1" thickBot="1" x14ac:dyDescent="0.4">
      <c r="E125" s="30"/>
    </row>
    <row r="126" spans="1:38" s="81" customFormat="1" ht="21" customHeight="1" outlineLevel="1" thickBot="1" x14ac:dyDescent="0.4">
      <c r="E126" s="29"/>
    </row>
    <row r="127" spans="1:38" ht="21" customHeight="1" outlineLevel="1" thickTop="1" thickBot="1" x14ac:dyDescent="0.4">
      <c r="E127" s="9">
        <f t="array" aca="1" ref="E127:AL140" ca="1">OFFSET(E117,0,0,C118,C119+1)</f>
        <v>0</v>
      </c>
      <c r="F127" s="9">
        <f ca="1"/>
        <v>273.10000000000002</v>
      </c>
      <c r="G127" s="9">
        <f ca="1"/>
        <v>293.3</v>
      </c>
      <c r="H127" s="9">
        <f ca="1"/>
        <v>313.5</v>
      </c>
      <c r="I127" s="9">
        <f ca="1"/>
        <v>333.7</v>
      </c>
      <c r="J127" s="9">
        <f ca="1"/>
        <v>353.9</v>
      </c>
      <c r="K127" s="9">
        <f ca="1"/>
        <v>374.1</v>
      </c>
      <c r="L127" s="9">
        <f ca="1"/>
        <v>394.3</v>
      </c>
      <c r="M127" s="9">
        <f ca="1"/>
        <v>414.5</v>
      </c>
      <c r="N127" s="9">
        <f ca="1"/>
        <v>434.7</v>
      </c>
      <c r="O127" s="9">
        <f ca="1"/>
        <v>515.4</v>
      </c>
      <c r="P127" s="9">
        <f ca="1"/>
        <v>535.6</v>
      </c>
      <c r="Q127" s="9">
        <f ca="1"/>
        <v>555.79999999999995</v>
      </c>
      <c r="R127" s="9">
        <f ca="1"/>
        <v>576</v>
      </c>
      <c r="S127" s="9">
        <f ca="1"/>
        <v>596.20000000000005</v>
      </c>
      <c r="T127" s="40">
        <f ca="1"/>
        <v>616.4</v>
      </c>
      <c r="U127" s="156">
        <f ca="1"/>
        <v>636.6</v>
      </c>
      <c r="V127" s="157">
        <f ca="1"/>
        <v>656.8</v>
      </c>
      <c r="W127" s="162">
        <f ca="1"/>
        <v>677</v>
      </c>
      <c r="X127" s="149">
        <f ca="1"/>
        <v>757.7</v>
      </c>
      <c r="Y127" s="9">
        <f ca="1"/>
        <v>777.9</v>
      </c>
      <c r="Z127" s="9">
        <f ca="1"/>
        <v>798.1</v>
      </c>
      <c r="AA127" s="9">
        <f ca="1"/>
        <v>818.3</v>
      </c>
      <c r="AB127" s="9">
        <f ca="1"/>
        <v>838.5</v>
      </c>
      <c r="AC127" s="9">
        <f ca="1"/>
        <v>919.2</v>
      </c>
      <c r="AD127" s="9">
        <f ca="1"/>
        <v>939.4</v>
      </c>
      <c r="AE127" s="9">
        <f ca="1"/>
        <v>959.6</v>
      </c>
      <c r="AF127" s="9">
        <f ca="1"/>
        <v>979.8</v>
      </c>
      <c r="AG127" s="9">
        <f ca="1"/>
        <v>1000</v>
      </c>
      <c r="AH127" s="9" t="e">
        <f ca="1"/>
        <v>#N/A</v>
      </c>
      <c r="AI127" s="9" t="e">
        <f ca="1"/>
        <v>#N/A</v>
      </c>
      <c r="AJ127" s="9" t="e">
        <f ca="1"/>
        <v>#N/A</v>
      </c>
      <c r="AK127" s="9" t="e">
        <f ca="1"/>
        <v>#N/A</v>
      </c>
      <c r="AL127" s="9" t="e">
        <f ca="1"/>
        <v>#N/A</v>
      </c>
    </row>
    <row r="128" spans="1:38" ht="21" customHeight="1" outlineLevel="1" thickTop="1" thickBot="1" x14ac:dyDescent="0.4">
      <c r="E128" s="29" t="str">
        <f ca="1"/>
        <v xml:space="preserve">Раствор 1(тв): </v>
      </c>
      <c r="F128">
        <f ca="1"/>
        <v>-222.34213192350634</v>
      </c>
      <c r="G128">
        <f ca="1"/>
        <v>-227.17182316469641</v>
      </c>
      <c r="H128">
        <f ca="1"/>
        <v>-235.25923505567633</v>
      </c>
      <c r="I128">
        <f ca="1"/>
        <v>-245.97511456855622</v>
      </c>
      <c r="J128">
        <f ca="1"/>
        <v>-255.90764807721681</v>
      </c>
      <c r="K128">
        <f ca="1"/>
        <v>-263.81665571962498</v>
      </c>
      <c r="L128">
        <f ca="1"/>
        <v>-270.66919819479097</v>
      </c>
      <c r="M128">
        <f ca="1"/>
        <v>-277.77309438722722</v>
      </c>
      <c r="N128">
        <f ca="1"/>
        <v>-286.58009224347296</v>
      </c>
      <c r="O128">
        <f ca="1"/>
        <v>-340.70424254137157</v>
      </c>
      <c r="P128">
        <f ca="1"/>
        <v>-353.32876067769098</v>
      </c>
      <c r="Q128">
        <f ca="1"/>
        <v>-365.33716511905828</v>
      </c>
      <c r="R128">
        <f ca="1"/>
        <v>-376.80286425461895</v>
      </c>
      <c r="S128">
        <f ca="1"/>
        <v>-388.35186027885283</v>
      </c>
      <c r="T128">
        <f ca="1"/>
        <v>-400.0494385217217</v>
      </c>
      <c r="U128" s="50">
        <f ca="1"/>
        <v>-412.30280689847461</v>
      </c>
      <c r="V128" s="51">
        <f ca="1"/>
        <v>-427.16646439098344</v>
      </c>
      <c r="W128" s="161">
        <f ca="1"/>
        <v>-450.74403547885288</v>
      </c>
      <c r="X128">
        <f ca="1"/>
        <v>-592.35585424764952</v>
      </c>
      <c r="Y128">
        <f ca="1"/>
        <v>-612.16430917024832</v>
      </c>
      <c r="Z128">
        <f ca="1"/>
        <v>-631.28801403016382</v>
      </c>
      <c r="AA128">
        <f ca="1"/>
        <v>-650.19295174613717</v>
      </c>
      <c r="AB128">
        <f ca="1"/>
        <v>-666.91127289877818</v>
      </c>
      <c r="AC128">
        <f ca="1"/>
        <v>-700.3876431104444</v>
      </c>
      <c r="AD128">
        <f ca="1"/>
        <v>-719.45358556592055</v>
      </c>
      <c r="AE128">
        <f ca="1"/>
        <v>-739.32568735709924</v>
      </c>
      <c r="AF128">
        <f ca="1"/>
        <v>-759.54282594113533</v>
      </c>
      <c r="AG128">
        <f ca="1"/>
        <v>-780.47358564859667</v>
      </c>
      <c r="AH128" t="e">
        <f ca="1"/>
        <v>#N/A</v>
      </c>
      <c r="AI128" t="e">
        <f ca="1"/>
        <v>#N/A</v>
      </c>
      <c r="AJ128" t="e">
        <f ca="1"/>
        <v>#N/A</v>
      </c>
      <c r="AK128" t="e">
        <f ca="1"/>
        <v>#N/A</v>
      </c>
      <c r="AL128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3 (жид): </v>
      </c>
      <c r="F129">
        <f ca="1"/>
        <v>0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>
        <f ca="1"/>
        <v>0</v>
      </c>
      <c r="L129">
        <f ca="1"/>
        <v>0</v>
      </c>
      <c r="M129">
        <f ca="1"/>
        <v>0</v>
      </c>
      <c r="N129">
        <f ca="1"/>
        <v>0</v>
      </c>
      <c r="O129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 s="50">
        <f ca="1"/>
        <v>0</v>
      </c>
      <c r="V129" s="51">
        <f ca="1"/>
        <v>0</v>
      </c>
      <c r="W129" s="161">
        <f ca="1"/>
        <v>0</v>
      </c>
      <c r="X129">
        <f ca="1"/>
        <v>-3.3799117967233617E-27</v>
      </c>
      <c r="Y129">
        <f ca="1"/>
        <v>-2.2355626871861579E-19</v>
      </c>
      <c r="Z129">
        <f ca="1"/>
        <v>-2.4049675080628164E-12</v>
      </c>
      <c r="AA129">
        <f ca="1"/>
        <v>-1.3500523407592949E-5</v>
      </c>
      <c r="AB129">
        <f ca="1"/>
        <v>-2.4244966806957224</v>
      </c>
      <c r="AC129">
        <f ca="1"/>
        <v>-55.685918494257329</v>
      </c>
      <c r="AD129">
        <f ca="1"/>
        <v>-59.789581235417884</v>
      </c>
      <c r="AE129">
        <f ca="1"/>
        <v>-63.363709368894135</v>
      </c>
      <c r="AF129">
        <f ca="1"/>
        <v>-66.597969075693086</v>
      </c>
      <c r="AG129">
        <f ca="1"/>
        <v>-69.622759797993751</v>
      </c>
      <c r="AH129" t="e">
        <f ca="1"/>
        <v>#N/A</v>
      </c>
      <c r="AI129" t="e">
        <f ca="1"/>
        <v>#N/A</v>
      </c>
      <c r="AJ129" t="e">
        <f ca="1"/>
        <v>#N/A</v>
      </c>
      <c r="AK129" t="e">
        <f ca="1"/>
        <v>#N/A</v>
      </c>
      <c r="AL129" t="e">
        <f ca="1"/>
        <v>#N/A</v>
      </c>
    </row>
    <row r="130" spans="1:38" ht="21" customHeight="1" outlineLevel="1" thickBot="1" x14ac:dyDescent="0.4">
      <c r="E130" s="29" t="str">
        <f ca="1"/>
        <v xml:space="preserve">Газовая без Ar: </v>
      </c>
      <c r="F130">
        <f ca="1"/>
        <v>-127.72980938838545</v>
      </c>
      <c r="G130">
        <f ca="1"/>
        <v>-126.94025590195612</v>
      </c>
      <c r="H130">
        <f ca="1"/>
        <v>-123.30531040896339</v>
      </c>
      <c r="I130">
        <f ca="1"/>
        <v>-117.60228127374744</v>
      </c>
      <c r="J130">
        <f ca="1"/>
        <v>-113.25727877080136</v>
      </c>
      <c r="K130">
        <f ca="1"/>
        <v>-111.49137658692878</v>
      </c>
      <c r="L130">
        <f ca="1"/>
        <v>-111.10381537633951</v>
      </c>
      <c r="M130">
        <f ca="1"/>
        <v>-110.6994403553054</v>
      </c>
      <c r="N130">
        <f ca="1"/>
        <v>-109.02161891066613</v>
      </c>
      <c r="O130">
        <f ca="1"/>
        <v>-91.164705886194014</v>
      </c>
      <c r="P130">
        <f ca="1"/>
        <v>-89.598872950954089</v>
      </c>
      <c r="Q130">
        <f ca="1"/>
        <v>-89.32236602355411</v>
      </c>
      <c r="R130">
        <f ca="1"/>
        <v>-89.649271317024002</v>
      </c>
      <c r="S130">
        <f ca="1"/>
        <v>-90.310005610526645</v>
      </c>
      <c r="T130">
        <f ca="1"/>
        <v>-91.02216429083164</v>
      </c>
      <c r="U130" s="50">
        <f ca="1"/>
        <v>-91.310631367277878</v>
      </c>
      <c r="V130" s="51">
        <f ca="1"/>
        <v>-89.322051798251678</v>
      </c>
      <c r="W130" s="161">
        <f ca="1"/>
        <v>-79.078182443534573</v>
      </c>
      <c r="X130">
        <f ca="1"/>
        <v>-2.4254321263765961</v>
      </c>
      <c r="Y130">
        <f ca="1"/>
        <v>-0.71654106880575974</v>
      </c>
      <c r="Z130">
        <f ca="1"/>
        <v>-0.21573193249059172</v>
      </c>
      <c r="AA130">
        <f ca="1"/>
        <v>-6.6459227969129994E-2</v>
      </c>
      <c r="AB130">
        <f ca="1"/>
        <v>-2.0336140675142132E-2</v>
      </c>
      <c r="AC130">
        <f ca="1"/>
        <v>-1.0672738059528041E-4</v>
      </c>
      <c r="AD130">
        <f ca="1"/>
        <v>-9.6693021223534666E-5</v>
      </c>
      <c r="AE130">
        <f ca="1"/>
        <v>-9.6363186681201177E-5</v>
      </c>
      <c r="AF130">
        <f ca="1"/>
        <v>-9.7020670674761878E-5</v>
      </c>
      <c r="AG130">
        <f ca="1"/>
        <v>-9.7314033531121222E-5</v>
      </c>
      <c r="AH130" t="e">
        <f ca="1"/>
        <v>#N/A</v>
      </c>
      <c r="AI130" t="e">
        <f ca="1"/>
        <v>#N/A</v>
      </c>
      <c r="AJ130" t="e">
        <f ca="1"/>
        <v>#N/A</v>
      </c>
      <c r="AK130" t="e">
        <f ca="1"/>
        <v>#N/A</v>
      </c>
      <c r="AL130" t="e">
        <f ca="1"/>
        <v>#N/A</v>
      </c>
    </row>
    <row r="131" spans="1:38" ht="21" customHeight="1" outlineLevel="1" thickBot="1" x14ac:dyDescent="0.4">
      <c r="E131" s="29" t="str">
        <f ca="1"/>
        <v xml:space="preserve">Раствор 1 + газовая без Ar: </v>
      </c>
      <c r="F131">
        <f ca="1"/>
        <v>-350.07194131189181</v>
      </c>
      <c r="G131">
        <f ca="1"/>
        <v>-354.11207906665254</v>
      </c>
      <c r="H131">
        <f ca="1"/>
        <v>-358.56454546463971</v>
      </c>
      <c r="I131">
        <f ca="1"/>
        <v>-363.57739584230364</v>
      </c>
      <c r="J131">
        <f ca="1"/>
        <v>-369.16492684801818</v>
      </c>
      <c r="K131">
        <f ca="1"/>
        <v>-375.30803230655374</v>
      </c>
      <c r="L131">
        <f ca="1"/>
        <v>-381.77301357113049</v>
      </c>
      <c r="M131">
        <f ca="1"/>
        <v>-388.47253474253262</v>
      </c>
      <c r="N131">
        <f ca="1"/>
        <v>-395.60171115413908</v>
      </c>
      <c r="O131">
        <f ca="1"/>
        <v>-431.86894842756556</v>
      </c>
      <c r="P131">
        <f ca="1"/>
        <v>-442.92763362864508</v>
      </c>
      <c r="Q131">
        <f ca="1"/>
        <v>-454.65953114261242</v>
      </c>
      <c r="R131">
        <f ca="1"/>
        <v>-466.45213557164294</v>
      </c>
      <c r="S131">
        <f ca="1"/>
        <v>-478.66186588937944</v>
      </c>
      <c r="T131">
        <f ca="1"/>
        <v>-491.07160281255335</v>
      </c>
      <c r="U131" s="50">
        <f ca="1"/>
        <v>-503.61343826575251</v>
      </c>
      <c r="V131" s="51">
        <f ca="1"/>
        <v>-516.48851618923516</v>
      </c>
      <c r="W131" s="161">
        <f ca="1"/>
        <v>-529.82221792238749</v>
      </c>
      <c r="X131">
        <f ca="1"/>
        <v>-594.78128637402608</v>
      </c>
      <c r="Y131">
        <f ca="1"/>
        <v>-612.8808502390541</v>
      </c>
      <c r="Z131">
        <f ca="1"/>
        <v>-631.50374596265442</v>
      </c>
      <c r="AA131">
        <f ca="1"/>
        <v>-650.25941097410634</v>
      </c>
      <c r="AB131">
        <f ca="1"/>
        <v>-666.93160903945329</v>
      </c>
      <c r="AC131">
        <f ca="1"/>
        <v>-700.38774983782503</v>
      </c>
      <c r="AD131">
        <f ca="1"/>
        <v>-719.45368225894174</v>
      </c>
      <c r="AE131">
        <f ca="1"/>
        <v>-739.32578372028593</v>
      </c>
      <c r="AF131">
        <f ca="1"/>
        <v>-759.54292296180597</v>
      </c>
      <c r="AG131">
        <f ca="1"/>
        <v>-780.47368296263016</v>
      </c>
      <c r="AH131" t="e">
        <f ca="1"/>
        <v>#N/A</v>
      </c>
      <c r="AI131" t="e">
        <f ca="1"/>
        <v>#N/A</v>
      </c>
      <c r="AJ131" t="e">
        <f ca="1"/>
        <v>#N/A</v>
      </c>
      <c r="AK131" t="e">
        <f ca="1"/>
        <v>#N/A</v>
      </c>
      <c r="AL131" t="e">
        <f ca="1"/>
        <v>#N/A</v>
      </c>
    </row>
    <row r="132" spans="1:38" ht="21" customHeight="1" outlineLevel="1" thickBot="1" x14ac:dyDescent="0.4">
      <c r="E132" s="29" t="str">
        <f ca="1"/>
        <v xml:space="preserve">Раствор 3 + газовая без Ar: </v>
      </c>
      <c r="F132">
        <f ca="1"/>
        <v>-127.72980938838545</v>
      </c>
      <c r="G132">
        <f ca="1"/>
        <v>-126.94025590195612</v>
      </c>
      <c r="H132">
        <f ca="1"/>
        <v>-123.30531040896339</v>
      </c>
      <c r="I132">
        <f ca="1"/>
        <v>-117.60228127374744</v>
      </c>
      <c r="J132">
        <f ca="1"/>
        <v>-113.25727877080136</v>
      </c>
      <c r="K132">
        <f ca="1"/>
        <v>-111.49137658692878</v>
      </c>
      <c r="L132">
        <f ca="1"/>
        <v>-111.10381537633951</v>
      </c>
      <c r="M132">
        <f ca="1"/>
        <v>-110.6994403553054</v>
      </c>
      <c r="N132">
        <f ca="1"/>
        <v>-109.02161891066613</v>
      </c>
      <c r="O132">
        <f ca="1"/>
        <v>-91.164705886194014</v>
      </c>
      <c r="P132">
        <f ca="1"/>
        <v>-89.598872950954089</v>
      </c>
      <c r="Q132">
        <f ca="1"/>
        <v>-89.32236602355411</v>
      </c>
      <c r="R132">
        <f ca="1"/>
        <v>-89.649271317024002</v>
      </c>
      <c r="S132">
        <f ca="1"/>
        <v>-90.310005610526645</v>
      </c>
      <c r="T132">
        <f ca="1"/>
        <v>-91.02216429083164</v>
      </c>
      <c r="U132" s="50">
        <f ca="1"/>
        <v>-91.310631367277878</v>
      </c>
      <c r="V132" s="51">
        <f ca="1"/>
        <v>-89.322051798251678</v>
      </c>
      <c r="W132" s="161">
        <f ca="1"/>
        <v>-79.078182443534573</v>
      </c>
      <c r="X132">
        <f ca="1"/>
        <v>-2.4254321263765961</v>
      </c>
      <c r="Y132">
        <f ca="1"/>
        <v>-0.71654106880575974</v>
      </c>
      <c r="Z132">
        <f ca="1"/>
        <v>-0.21573193249299669</v>
      </c>
      <c r="AA132">
        <f ca="1"/>
        <v>-6.6472728492537589E-2</v>
      </c>
      <c r="AB132">
        <f ca="1"/>
        <v>-2.4448328213708646</v>
      </c>
      <c r="AC132">
        <f ca="1"/>
        <v>-55.686025221637927</v>
      </c>
      <c r="AD132">
        <f ca="1"/>
        <v>-59.789677928439104</v>
      </c>
      <c r="AE132">
        <f ca="1"/>
        <v>-63.363805732080813</v>
      </c>
      <c r="AF132">
        <f ca="1"/>
        <v>-66.598066096363766</v>
      </c>
      <c r="AG132">
        <f ca="1"/>
        <v>-69.622857112027276</v>
      </c>
      <c r="AH132" t="e">
        <f ca="1"/>
        <v>#N/A</v>
      </c>
      <c r="AI132" t="e">
        <f ca="1"/>
        <v>#N/A</v>
      </c>
      <c r="AJ132" t="e">
        <f ca="1"/>
        <v>#N/A</v>
      </c>
      <c r="AK132" t="e">
        <f ca="1"/>
        <v>#N/A</v>
      </c>
      <c r="AL132" t="e">
        <f ca="1"/>
        <v>#N/A</v>
      </c>
    </row>
    <row r="133" spans="1:38" ht="21" customHeight="1" outlineLevel="1" thickBot="1" x14ac:dyDescent="0.4">
      <c r="E133" s="29" t="str">
        <f ca="1"/>
        <v>Р1+Р3+газ без Ar</v>
      </c>
      <c r="F133">
        <f ca="1"/>
        <v>-350.07194131189181</v>
      </c>
      <c r="G133">
        <f ca="1"/>
        <v>-354.11207906665254</v>
      </c>
      <c r="H133">
        <f ca="1"/>
        <v>-358.56454546463971</v>
      </c>
      <c r="I133">
        <f ca="1"/>
        <v>-363.57739584230364</v>
      </c>
      <c r="J133">
        <f ca="1"/>
        <v>-369.16492684801818</v>
      </c>
      <c r="K133">
        <f ca="1"/>
        <v>-375.30803230655374</v>
      </c>
      <c r="L133">
        <f ca="1"/>
        <v>-381.77301357113049</v>
      </c>
      <c r="M133">
        <f ca="1"/>
        <v>-388.47253474253262</v>
      </c>
      <c r="N133">
        <f ca="1"/>
        <v>-395.60171115413908</v>
      </c>
      <c r="O133">
        <f ca="1"/>
        <v>-431.86894842756556</v>
      </c>
      <c r="P133">
        <f ca="1"/>
        <v>-442.92763362864508</v>
      </c>
      <c r="Q133">
        <f ca="1"/>
        <v>-454.65953114261242</v>
      </c>
      <c r="R133">
        <f ca="1"/>
        <v>-466.45213557164294</v>
      </c>
      <c r="S133">
        <f ca="1"/>
        <v>-478.66186588937944</v>
      </c>
      <c r="T133">
        <f ca="1"/>
        <v>-491.07160281255329</v>
      </c>
      <c r="U133" s="50">
        <f ca="1"/>
        <v>-503.61343826575251</v>
      </c>
      <c r="V133" s="51">
        <f ca="1"/>
        <v>-516.48851618923516</v>
      </c>
      <c r="W133" s="161">
        <f ca="1"/>
        <v>-529.82221792238749</v>
      </c>
      <c r="X133">
        <f ca="1"/>
        <v>-594.78128637402608</v>
      </c>
      <c r="Y133">
        <f ca="1"/>
        <v>-612.8808502390541</v>
      </c>
      <c r="Z133">
        <f ca="1"/>
        <v>-631.50374596265681</v>
      </c>
      <c r="AA133">
        <f ca="1"/>
        <v>-650.25942447462967</v>
      </c>
      <c r="AB133">
        <f ca="1"/>
        <v>-669.356105720149</v>
      </c>
      <c r="AC133">
        <f ca="1"/>
        <v>-756.07366833208232</v>
      </c>
      <c r="AD133">
        <f ca="1"/>
        <v>-779.24326349435967</v>
      </c>
      <c r="AE133">
        <f ca="1"/>
        <v>-802.68949308918002</v>
      </c>
      <c r="AF133">
        <f ca="1"/>
        <v>-826.14089203749904</v>
      </c>
      <c r="AG133">
        <f ca="1"/>
        <v>-850.09644276062397</v>
      </c>
      <c r="AH133" t="e">
        <f ca="1"/>
        <v>#N/A</v>
      </c>
      <c r="AI133" t="e">
        <f ca="1"/>
        <v>#N/A</v>
      </c>
      <c r="AJ133" t="e">
        <f ca="1"/>
        <v>#N/A</v>
      </c>
      <c r="AK133" t="e">
        <f ca="1"/>
        <v>#N/A</v>
      </c>
      <c r="AL133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t="e">
        <f ca="1"/>
        <v>#N/A</v>
      </c>
      <c r="G134" t="e">
        <f ca="1"/>
        <v>#N/A</v>
      </c>
      <c r="H134" t="e">
        <f ca="1"/>
        <v>#N/A</v>
      </c>
      <c r="I134" t="e">
        <f ca="1"/>
        <v>#N/A</v>
      </c>
      <c r="J134" t="e">
        <f ca="1"/>
        <v>#N/A</v>
      </c>
      <c r="K134" t="e">
        <f ca="1"/>
        <v>#N/A</v>
      </c>
      <c r="L134" t="e">
        <f ca="1"/>
        <v>#N/A</v>
      </c>
      <c r="M134" t="e">
        <f ca="1"/>
        <v>#N/A</v>
      </c>
      <c r="N134" t="e">
        <f ca="1"/>
        <v>#N/A</v>
      </c>
      <c r="O134" t="e">
        <f ca="1"/>
        <v>#N/A</v>
      </c>
      <c r="P134" t="e">
        <f ca="1"/>
        <v>#N/A</v>
      </c>
      <c r="Q134" t="e">
        <f ca="1"/>
        <v>#N/A</v>
      </c>
      <c r="R134" t="e">
        <f ca="1"/>
        <v>#N/A</v>
      </c>
      <c r="S134" t="e">
        <f ca="1"/>
        <v>#N/A</v>
      </c>
      <c r="T134" t="e">
        <f ca="1"/>
        <v>#N/A</v>
      </c>
      <c r="U134" s="50" t="e">
        <f ca="1"/>
        <v>#N/A</v>
      </c>
      <c r="V134" s="51" t="e">
        <f ca="1"/>
        <v>#N/A</v>
      </c>
      <c r="W134" s="161" t="e">
        <f ca="1"/>
        <v>#N/A</v>
      </c>
      <c r="X134" t="e">
        <f ca="1"/>
        <v>#N/A</v>
      </c>
      <c r="Y134" t="e">
        <f ca="1"/>
        <v>#N/A</v>
      </c>
      <c r="Z134" t="e">
        <f ca="1"/>
        <v>#N/A</v>
      </c>
      <c r="AA134" t="e">
        <f ca="1"/>
        <v>#N/A</v>
      </c>
      <c r="AB134" t="e">
        <f ca="1"/>
        <v>#N/A</v>
      </c>
      <c r="AC134" t="e">
        <f ca="1"/>
        <v>#N/A</v>
      </c>
      <c r="AD134" t="e">
        <f ca="1"/>
        <v>#N/A</v>
      </c>
      <c r="AE134" t="e">
        <f ca="1"/>
        <v>#N/A</v>
      </c>
      <c r="AF134" t="e">
        <f ca="1"/>
        <v>#N/A</v>
      </c>
      <c r="AG134" t="e">
        <f ca="1"/>
        <v>#N/A</v>
      </c>
      <c r="AH134" t="e">
        <f ca="1"/>
        <v>#N/A</v>
      </c>
      <c r="AI134" t="e">
        <f ca="1"/>
        <v>#N/A</v>
      </c>
      <c r="AJ134" t="e">
        <f ca="1"/>
        <v>#N/A</v>
      </c>
      <c r="AK134" t="e">
        <f ca="1"/>
        <v>#N/A</v>
      </c>
      <c r="AL134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t="e">
        <f ca="1"/>
        <v>#N/A</v>
      </c>
      <c r="G135" t="e">
        <f ca="1"/>
        <v>#N/A</v>
      </c>
      <c r="H135" t="e">
        <f ca="1"/>
        <v>#N/A</v>
      </c>
      <c r="I135" t="e">
        <f ca="1"/>
        <v>#N/A</v>
      </c>
      <c r="J135" t="e">
        <f ca="1"/>
        <v>#N/A</v>
      </c>
      <c r="K135" t="e">
        <f ca="1"/>
        <v>#N/A</v>
      </c>
      <c r="L135" t="e">
        <f ca="1"/>
        <v>#N/A</v>
      </c>
      <c r="M135" t="e">
        <f ca="1"/>
        <v>#N/A</v>
      </c>
      <c r="N135" t="e">
        <f ca="1"/>
        <v>#N/A</v>
      </c>
      <c r="O135" t="e">
        <f ca="1"/>
        <v>#N/A</v>
      </c>
      <c r="P135" t="e">
        <f ca="1"/>
        <v>#N/A</v>
      </c>
      <c r="Q135" t="e">
        <f ca="1"/>
        <v>#N/A</v>
      </c>
      <c r="R135" t="e">
        <f ca="1"/>
        <v>#N/A</v>
      </c>
      <c r="S135" t="e">
        <f ca="1"/>
        <v>#N/A</v>
      </c>
      <c r="T135" t="e">
        <f ca="1"/>
        <v>#N/A</v>
      </c>
      <c r="U135" s="50" t="e">
        <f ca="1"/>
        <v>#N/A</v>
      </c>
      <c r="V135" s="51" t="e">
        <f ca="1"/>
        <v>#N/A</v>
      </c>
      <c r="W135" s="161" t="e">
        <f ca="1"/>
        <v>#N/A</v>
      </c>
      <c r="X135" t="e">
        <f ca="1"/>
        <v>#N/A</v>
      </c>
      <c r="Y135" t="e">
        <f ca="1"/>
        <v>#N/A</v>
      </c>
      <c r="Z135" t="e">
        <f ca="1"/>
        <v>#N/A</v>
      </c>
      <c r="AA135" t="e">
        <f ca="1"/>
        <v>#N/A</v>
      </c>
      <c r="AB135" t="e">
        <f ca="1"/>
        <v>#N/A</v>
      </c>
      <c r="AC135" t="e">
        <f ca="1"/>
        <v>#N/A</v>
      </c>
      <c r="AD135" t="e">
        <f ca="1"/>
        <v>#N/A</v>
      </c>
      <c r="AE135" t="e">
        <f ca="1"/>
        <v>#N/A</v>
      </c>
      <c r="AF135" t="e">
        <f ca="1"/>
        <v>#N/A</v>
      </c>
      <c r="AG135" t="e">
        <f ca="1"/>
        <v>#N/A</v>
      </c>
      <c r="AH135" t="e">
        <f ca="1"/>
        <v>#N/A</v>
      </c>
      <c r="AI135" t="e">
        <f ca="1"/>
        <v>#N/A</v>
      </c>
      <c r="AJ135" t="e">
        <f ca="1"/>
        <v>#N/A</v>
      </c>
      <c r="AK135" t="e">
        <f ca="1"/>
        <v>#N/A</v>
      </c>
      <c r="AL135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t="e">
        <f ca="1"/>
        <v>#N/A</v>
      </c>
      <c r="G136" t="e">
        <f ca="1"/>
        <v>#N/A</v>
      </c>
      <c r="H136" t="e">
        <f ca="1"/>
        <v>#N/A</v>
      </c>
      <c r="I136" t="e">
        <f ca="1"/>
        <v>#N/A</v>
      </c>
      <c r="J136" t="e">
        <f ca="1"/>
        <v>#N/A</v>
      </c>
      <c r="K136" t="e">
        <f ca="1"/>
        <v>#N/A</v>
      </c>
      <c r="L136" t="e">
        <f ca="1"/>
        <v>#N/A</v>
      </c>
      <c r="M136" t="e">
        <f ca="1"/>
        <v>#N/A</v>
      </c>
      <c r="N136" t="e">
        <f ca="1"/>
        <v>#N/A</v>
      </c>
      <c r="O136" t="e">
        <f ca="1"/>
        <v>#N/A</v>
      </c>
      <c r="P136" t="e">
        <f ca="1"/>
        <v>#N/A</v>
      </c>
      <c r="Q136" t="e">
        <f ca="1"/>
        <v>#N/A</v>
      </c>
      <c r="R136" t="e">
        <f ca="1"/>
        <v>#N/A</v>
      </c>
      <c r="S136" t="e">
        <f ca="1"/>
        <v>#N/A</v>
      </c>
      <c r="T136" t="e">
        <f ca="1"/>
        <v>#N/A</v>
      </c>
      <c r="U136" s="50" t="e">
        <f ca="1"/>
        <v>#N/A</v>
      </c>
      <c r="V136" s="51" t="e">
        <f ca="1"/>
        <v>#N/A</v>
      </c>
      <c r="W136" s="161" t="e">
        <f ca="1"/>
        <v>#N/A</v>
      </c>
      <c r="X136" t="e">
        <f ca="1"/>
        <v>#N/A</v>
      </c>
      <c r="Y136" t="e">
        <f ca="1"/>
        <v>#N/A</v>
      </c>
      <c r="Z136" t="e">
        <f ca="1"/>
        <v>#N/A</v>
      </c>
      <c r="AA136" t="e">
        <f ca="1"/>
        <v>#N/A</v>
      </c>
      <c r="AB136" t="e">
        <f ca="1"/>
        <v>#N/A</v>
      </c>
      <c r="AC136" t="e">
        <f ca="1"/>
        <v>#N/A</v>
      </c>
      <c r="AD136" t="e">
        <f ca="1"/>
        <v>#N/A</v>
      </c>
      <c r="AE136" t="e">
        <f ca="1"/>
        <v>#N/A</v>
      </c>
      <c r="AF136" t="e">
        <f ca="1"/>
        <v>#N/A</v>
      </c>
      <c r="AG136" t="e">
        <f ca="1"/>
        <v>#N/A</v>
      </c>
      <c r="AH136" t="e">
        <f ca="1"/>
        <v>#N/A</v>
      </c>
      <c r="AI136" t="e">
        <f ca="1"/>
        <v>#N/A</v>
      </c>
      <c r="AJ136" t="e">
        <f ca="1"/>
        <v>#N/A</v>
      </c>
      <c r="AK136" t="e">
        <f ca="1"/>
        <v>#N/A</v>
      </c>
      <c r="AL136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t="e">
        <f ca="1"/>
        <v>#N/A</v>
      </c>
      <c r="G137" t="e">
        <f ca="1"/>
        <v>#N/A</v>
      </c>
      <c r="H137" t="e">
        <f ca="1"/>
        <v>#N/A</v>
      </c>
      <c r="I137" t="e">
        <f ca="1"/>
        <v>#N/A</v>
      </c>
      <c r="J137" t="e">
        <f ca="1"/>
        <v>#N/A</v>
      </c>
      <c r="K137" t="e">
        <f ca="1"/>
        <v>#N/A</v>
      </c>
      <c r="L137" t="e">
        <f ca="1"/>
        <v>#N/A</v>
      </c>
      <c r="M137" t="e">
        <f ca="1"/>
        <v>#N/A</v>
      </c>
      <c r="N137" t="e">
        <f ca="1"/>
        <v>#N/A</v>
      </c>
      <c r="O137" t="e">
        <f ca="1"/>
        <v>#N/A</v>
      </c>
      <c r="P137" t="e">
        <f ca="1"/>
        <v>#N/A</v>
      </c>
      <c r="Q137" t="e">
        <f ca="1"/>
        <v>#N/A</v>
      </c>
      <c r="R137" t="e">
        <f ca="1"/>
        <v>#N/A</v>
      </c>
      <c r="S137" t="e">
        <f ca="1"/>
        <v>#N/A</v>
      </c>
      <c r="T137" t="e">
        <f ca="1"/>
        <v>#N/A</v>
      </c>
      <c r="U137" s="50" t="e">
        <f ca="1"/>
        <v>#N/A</v>
      </c>
      <c r="V137" s="51" t="e">
        <f ca="1"/>
        <v>#N/A</v>
      </c>
      <c r="W137" s="161" t="e">
        <f ca="1"/>
        <v>#N/A</v>
      </c>
      <c r="X137" t="e">
        <f ca="1"/>
        <v>#N/A</v>
      </c>
      <c r="Y137" t="e">
        <f ca="1"/>
        <v>#N/A</v>
      </c>
      <c r="Z137" t="e">
        <f ca="1"/>
        <v>#N/A</v>
      </c>
      <c r="AA137" t="e">
        <f ca="1"/>
        <v>#N/A</v>
      </c>
      <c r="AB137" t="e">
        <f ca="1"/>
        <v>#N/A</v>
      </c>
      <c r="AC137" t="e">
        <f ca="1"/>
        <v>#N/A</v>
      </c>
      <c r="AD137" t="e">
        <f ca="1"/>
        <v>#N/A</v>
      </c>
      <c r="AE137" t="e">
        <f ca="1"/>
        <v>#N/A</v>
      </c>
      <c r="AF137" t="e">
        <f ca="1"/>
        <v>#N/A</v>
      </c>
      <c r="AG137" t="e">
        <f ca="1"/>
        <v>#N/A</v>
      </c>
      <c r="AH137" t="e">
        <f ca="1"/>
        <v>#N/A</v>
      </c>
      <c r="AI137" t="e">
        <f ca="1"/>
        <v>#N/A</v>
      </c>
      <c r="AJ137" t="e">
        <f ca="1"/>
        <v>#N/A</v>
      </c>
      <c r="AK137" t="e">
        <f ca="1"/>
        <v>#N/A</v>
      </c>
      <c r="AL137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t="e">
        <f ca="1"/>
        <v>#N/A</v>
      </c>
      <c r="G138" t="e">
        <f ca="1"/>
        <v>#N/A</v>
      </c>
      <c r="H138" t="e">
        <f ca="1"/>
        <v>#N/A</v>
      </c>
      <c r="I138" t="e">
        <f ca="1"/>
        <v>#N/A</v>
      </c>
      <c r="J138" t="e">
        <f ca="1"/>
        <v>#N/A</v>
      </c>
      <c r="K138" t="e">
        <f ca="1"/>
        <v>#N/A</v>
      </c>
      <c r="L138" t="e">
        <f ca="1"/>
        <v>#N/A</v>
      </c>
      <c r="M138" t="e">
        <f ca="1"/>
        <v>#N/A</v>
      </c>
      <c r="N138" t="e">
        <f ca="1"/>
        <v>#N/A</v>
      </c>
      <c r="O138" t="e">
        <f ca="1"/>
        <v>#N/A</v>
      </c>
      <c r="P138" t="e">
        <f ca="1"/>
        <v>#N/A</v>
      </c>
      <c r="Q138" t="e">
        <f ca="1"/>
        <v>#N/A</v>
      </c>
      <c r="R138" t="e">
        <f ca="1"/>
        <v>#N/A</v>
      </c>
      <c r="S138" t="e">
        <f ca="1"/>
        <v>#N/A</v>
      </c>
      <c r="T138" t="e">
        <f ca="1"/>
        <v>#N/A</v>
      </c>
      <c r="U138" s="50" t="e">
        <f ca="1"/>
        <v>#N/A</v>
      </c>
      <c r="V138" s="51" t="e">
        <f ca="1"/>
        <v>#N/A</v>
      </c>
      <c r="W138" s="161" t="e">
        <f ca="1"/>
        <v>#N/A</v>
      </c>
      <c r="X138" t="e">
        <f ca="1"/>
        <v>#N/A</v>
      </c>
      <c r="Y138" t="e">
        <f ca="1"/>
        <v>#N/A</v>
      </c>
      <c r="Z138" t="e">
        <f ca="1"/>
        <v>#N/A</v>
      </c>
      <c r="AA138" t="e">
        <f ca="1"/>
        <v>#N/A</v>
      </c>
      <c r="AB138" t="e">
        <f ca="1"/>
        <v>#N/A</v>
      </c>
      <c r="AC138" t="e">
        <f ca="1"/>
        <v>#N/A</v>
      </c>
      <c r="AD138" t="e">
        <f ca="1"/>
        <v>#N/A</v>
      </c>
      <c r="AE138" t="e">
        <f ca="1"/>
        <v>#N/A</v>
      </c>
      <c r="AF138" t="e">
        <f ca="1"/>
        <v>#N/A</v>
      </c>
      <c r="AG138" t="e">
        <f ca="1"/>
        <v>#N/A</v>
      </c>
      <c r="AH138" t="e">
        <f ca="1"/>
        <v>#N/A</v>
      </c>
      <c r="AI138" t="e">
        <f ca="1"/>
        <v>#N/A</v>
      </c>
      <c r="AJ138" t="e">
        <f ca="1"/>
        <v>#N/A</v>
      </c>
      <c r="AK138" t="e">
        <f ca="1"/>
        <v>#N/A</v>
      </c>
      <c r="AL138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t="e">
        <f ca="1"/>
        <v>#N/A</v>
      </c>
      <c r="G139" t="e">
        <f ca="1"/>
        <v>#N/A</v>
      </c>
      <c r="H139" t="e">
        <f ca="1"/>
        <v>#N/A</v>
      </c>
      <c r="I139" t="e">
        <f ca="1"/>
        <v>#N/A</v>
      </c>
      <c r="J139" t="e">
        <f ca="1"/>
        <v>#N/A</v>
      </c>
      <c r="K139" t="e">
        <f ca="1"/>
        <v>#N/A</v>
      </c>
      <c r="L139" t="e">
        <f ca="1"/>
        <v>#N/A</v>
      </c>
      <c r="M139" t="e">
        <f ca="1"/>
        <v>#N/A</v>
      </c>
      <c r="N139" t="e">
        <f ca="1"/>
        <v>#N/A</v>
      </c>
      <c r="O139" t="e">
        <f ca="1"/>
        <v>#N/A</v>
      </c>
      <c r="P139" t="e">
        <f ca="1"/>
        <v>#N/A</v>
      </c>
      <c r="Q139" t="e">
        <f ca="1"/>
        <v>#N/A</v>
      </c>
      <c r="R139" t="e">
        <f ca="1"/>
        <v>#N/A</v>
      </c>
      <c r="S139" t="e">
        <f ca="1"/>
        <v>#N/A</v>
      </c>
      <c r="T139" t="e">
        <f ca="1"/>
        <v>#N/A</v>
      </c>
      <c r="U139" s="50" t="e">
        <f ca="1"/>
        <v>#N/A</v>
      </c>
      <c r="V139" s="51" t="e">
        <f ca="1"/>
        <v>#N/A</v>
      </c>
      <c r="W139" s="161" t="e">
        <f ca="1"/>
        <v>#N/A</v>
      </c>
      <c r="X139" t="e">
        <f ca="1"/>
        <v>#N/A</v>
      </c>
      <c r="Y139" t="e">
        <f ca="1"/>
        <v>#N/A</v>
      </c>
      <c r="Z139" t="e">
        <f ca="1"/>
        <v>#N/A</v>
      </c>
      <c r="AA139" t="e">
        <f ca="1"/>
        <v>#N/A</v>
      </c>
      <c r="AB139" t="e">
        <f ca="1"/>
        <v>#N/A</v>
      </c>
      <c r="AC139" t="e">
        <f ca="1"/>
        <v>#N/A</v>
      </c>
      <c r="AD139" t="e">
        <f ca="1"/>
        <v>#N/A</v>
      </c>
      <c r="AE139" t="e">
        <f ca="1"/>
        <v>#N/A</v>
      </c>
      <c r="AF139" t="e">
        <f ca="1"/>
        <v>#N/A</v>
      </c>
      <c r="AG139" t="e">
        <f ca="1"/>
        <v>#N/A</v>
      </c>
      <c r="AH139" t="e">
        <f ca="1"/>
        <v>#N/A</v>
      </c>
      <c r="AI139" t="e">
        <f ca="1"/>
        <v>#N/A</v>
      </c>
      <c r="AJ139" t="e">
        <f ca="1"/>
        <v>#N/A</v>
      </c>
      <c r="AK139" t="e">
        <f ca="1"/>
        <v>#N/A</v>
      </c>
      <c r="AL139" t="e">
        <f ca="1"/>
        <v>#N/A</v>
      </c>
    </row>
    <row r="140" spans="1:38" ht="21" customHeight="1" outlineLevel="1" thickBot="1" x14ac:dyDescent="0.4">
      <c r="E140" s="29" t="e">
        <f ca="1"/>
        <v>#N/A</v>
      </c>
      <c r="F140" t="e">
        <f ca="1"/>
        <v>#N/A</v>
      </c>
      <c r="G140" t="e">
        <f ca="1"/>
        <v>#N/A</v>
      </c>
      <c r="H140" t="e">
        <f ca="1"/>
        <v>#N/A</v>
      </c>
      <c r="I140" t="e">
        <f ca="1"/>
        <v>#N/A</v>
      </c>
      <c r="J140" t="e">
        <f ca="1"/>
        <v>#N/A</v>
      </c>
      <c r="K140" t="e">
        <f ca="1"/>
        <v>#N/A</v>
      </c>
      <c r="L140" t="e">
        <f ca="1"/>
        <v>#N/A</v>
      </c>
      <c r="M140" t="e">
        <f ca="1"/>
        <v>#N/A</v>
      </c>
      <c r="N140" t="e">
        <f ca="1"/>
        <v>#N/A</v>
      </c>
      <c r="O140" t="e">
        <f ca="1"/>
        <v>#N/A</v>
      </c>
      <c r="P140" t="e">
        <f ca="1"/>
        <v>#N/A</v>
      </c>
      <c r="Q140" t="e">
        <f ca="1"/>
        <v>#N/A</v>
      </c>
      <c r="R140" t="e">
        <f ca="1"/>
        <v>#N/A</v>
      </c>
      <c r="S140" t="e">
        <f ca="1"/>
        <v>#N/A</v>
      </c>
      <c r="T140" t="e">
        <f ca="1"/>
        <v>#N/A</v>
      </c>
      <c r="U140" s="50" t="e">
        <f ca="1"/>
        <v>#N/A</v>
      </c>
      <c r="V140" s="51" t="e">
        <f ca="1"/>
        <v>#N/A</v>
      </c>
      <c r="W140" s="161" t="e">
        <f ca="1"/>
        <v>#N/A</v>
      </c>
      <c r="X140" t="e">
        <f ca="1"/>
        <v>#N/A</v>
      </c>
      <c r="Y140" t="e">
        <f ca="1"/>
        <v>#N/A</v>
      </c>
      <c r="Z140" t="e">
        <f ca="1"/>
        <v>#N/A</v>
      </c>
      <c r="AA140" t="e">
        <f ca="1"/>
        <v>#N/A</v>
      </c>
      <c r="AB140" t="e">
        <f ca="1"/>
        <v>#N/A</v>
      </c>
      <c r="AC140" t="e">
        <f ca="1"/>
        <v>#N/A</v>
      </c>
      <c r="AD140" t="e">
        <f ca="1"/>
        <v>#N/A</v>
      </c>
      <c r="AE140" t="e">
        <f ca="1"/>
        <v>#N/A</v>
      </c>
      <c r="AF140" t="e">
        <f ca="1"/>
        <v>#N/A</v>
      </c>
      <c r="AG140" t="e">
        <f ca="1"/>
        <v>#N/A</v>
      </c>
      <c r="AH140" t="e">
        <f ca="1"/>
        <v>#N/A</v>
      </c>
      <c r="AI140" t="e">
        <f ca="1"/>
        <v>#N/A</v>
      </c>
      <c r="AJ140" t="e">
        <f ca="1"/>
        <v>#N/A</v>
      </c>
      <c r="AK140" t="e">
        <f ca="1"/>
        <v>#N/A</v>
      </c>
      <c r="AL140" t="e">
        <f ca="1"/>
        <v>#N/A</v>
      </c>
    </row>
    <row r="141" spans="1:38" ht="21" customHeight="1" outlineLevel="1" thickBot="1" x14ac:dyDescent="0.4">
      <c r="E141" s="30"/>
    </row>
    <row r="142" spans="1:38" ht="21" customHeight="1" thickBot="1" x14ac:dyDescent="0.4"/>
    <row r="143" spans="1:38" ht="21" customHeight="1" thickBot="1" x14ac:dyDescent="0.45">
      <c r="A143" s="3"/>
      <c r="B143" s="3"/>
      <c r="C143" s="3"/>
      <c r="D143" s="3"/>
      <c r="E143" s="4" t="s">
        <v>18</v>
      </c>
      <c r="F143" s="5"/>
      <c r="G143" s="4"/>
      <c r="H143" s="4"/>
      <c r="I143" s="4"/>
      <c r="J143" s="4"/>
      <c r="K143" s="31"/>
      <c r="L143" s="31"/>
      <c r="M143" s="31"/>
      <c r="N143" s="31"/>
      <c r="O143" s="31"/>
      <c r="P143" s="31"/>
      <c r="Q143" s="31"/>
      <c r="R143" s="31"/>
      <c r="S143" s="32"/>
      <c r="T143" s="5"/>
      <c r="U143" s="158"/>
      <c r="V143" s="159"/>
      <c r="W143" s="163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</row>
    <row r="144" spans="1:38" ht="21" hidden="1" customHeight="1" outlineLevel="1" thickBot="1" x14ac:dyDescent="0.4">
      <c r="A144" s="33" t="s">
        <v>19</v>
      </c>
      <c r="B144" s="34" t="s">
        <v>20</v>
      </c>
      <c r="C144">
        <v>298.14999999999998</v>
      </c>
    </row>
    <row r="145" spans="1:19" ht="21" hidden="1" customHeight="1" outlineLevel="1" x14ac:dyDescent="0.35">
      <c r="A145">
        <v>8</v>
      </c>
      <c r="B145" s="35" t="s">
        <v>21</v>
      </c>
      <c r="C145">
        <v>5</v>
      </c>
    </row>
    <row r="146" spans="1:19" ht="21" hidden="1" customHeight="1" outlineLevel="1" x14ac:dyDescent="0.35">
      <c r="B146" s="36" t="s">
        <v>22</v>
      </c>
      <c r="C146" s="37">
        <f>C145-$C$145</f>
        <v>0</v>
      </c>
      <c r="D146" s="37">
        <f>D145-$C$145</f>
        <v>-5</v>
      </c>
      <c r="E146" s="37">
        <f t="shared" ref="E146:F146" si="79">E145-$C$145</f>
        <v>-5</v>
      </c>
      <c r="F146" s="37">
        <f t="shared" si="79"/>
        <v>-5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hidden="1" customHeight="1" outlineLevel="1" x14ac:dyDescent="0.35">
      <c r="B147" s="34" t="s">
        <v>23</v>
      </c>
      <c r="C147" s="37">
        <f>C146+$A$145</f>
        <v>8</v>
      </c>
      <c r="D147" s="37">
        <f t="shared" ref="D147:F147" si="80">D146+$A$145</f>
        <v>3</v>
      </c>
      <c r="E147" s="37">
        <f t="shared" si="80"/>
        <v>3</v>
      </c>
      <c r="F147" s="37">
        <f t="shared" si="80"/>
        <v>3</v>
      </c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</row>
    <row r="148" spans="1:19" ht="21" hidden="1" customHeight="1" outlineLevel="1" x14ac:dyDescent="0.35"/>
    <row r="149" spans="1:19" ht="21" customHeight="1" collapsed="1" x14ac:dyDescent="0.35"/>
  </sheetData>
  <mergeCells count="2">
    <mergeCell ref="A117:B117"/>
    <mergeCell ref="A1:BB1"/>
  </mergeCells>
  <conditionalFormatting sqref="A4:D33">
    <cfRule type="cellIs" dxfId="12" priority="65" operator="equal">
      <formula>0</formula>
    </cfRule>
  </conditionalFormatting>
  <conditionalFormatting sqref="A50:D80">
    <cfRule type="cellIs" dxfId="11" priority="64" operator="equal">
      <formula>0</formula>
    </cfRule>
  </conditionalFormatting>
  <conditionalFormatting sqref="A84:D113">
    <cfRule type="cellIs" dxfId="10" priority="63" operator="equal">
      <formula>0</formula>
    </cfRule>
  </conditionalFormatting>
  <conditionalFormatting sqref="F32:AL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L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L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AL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AL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AL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AL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AL25">
    <cfRule type="colorScale" priority="1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AL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AL7">
    <cfRule type="colorScale" priority="19">
      <colorScale>
        <cfvo type="min"/>
        <cfvo type="max"/>
        <color rgb="FFFFEF9C"/>
        <color rgb="FF63BE7B"/>
      </colorScale>
    </cfRule>
  </conditionalFormatting>
  <conditionalFormatting sqref="F5:AL5">
    <cfRule type="colorScale" priority="21">
      <colorScale>
        <cfvo type="min"/>
        <cfvo type="max"/>
        <color rgb="FFFFEF9C"/>
        <color rgb="FF63BE7B"/>
      </colorScale>
    </cfRule>
  </conditionalFormatting>
  <conditionalFormatting sqref="F6:AL6">
    <cfRule type="colorScale" priority="20">
      <colorScale>
        <cfvo type="min"/>
        <cfvo type="max"/>
        <color rgb="FFFFEF9C"/>
        <color rgb="FF63BE7B"/>
      </colorScale>
    </cfRule>
  </conditionalFormatting>
  <conditionalFormatting sqref="F8:AL8">
    <cfRule type="colorScale" priority="18">
      <colorScale>
        <cfvo type="min"/>
        <cfvo type="max"/>
        <color rgb="FFFFEF9C"/>
        <color rgb="FF63BE7B"/>
      </colorScale>
    </cfRule>
  </conditionalFormatting>
  <conditionalFormatting sqref="F9:AL9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0:AL10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1:AL11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2:AL12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3:AL13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4:AL14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5:AL15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6:AL16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7:AL17">
    <cfRule type="colorScale" priority="9">
      <colorScale>
        <cfvo type="min"/>
        <cfvo type="max"/>
        <color rgb="FFFFEF9C"/>
        <color rgb="FF63BE7B"/>
      </colorScale>
    </cfRule>
  </conditionalFormatting>
  <conditionalFormatting sqref="F18:AL18">
    <cfRule type="colorScale" priority="8">
      <colorScale>
        <cfvo type="min"/>
        <cfvo type="max"/>
        <color rgb="FFFFEF9C"/>
        <color rgb="FF63BE7B"/>
      </colorScale>
    </cfRule>
  </conditionalFormatting>
  <conditionalFormatting sqref="F19:AL19">
    <cfRule type="colorScale" priority="7">
      <colorScale>
        <cfvo type="min"/>
        <cfvo type="max"/>
        <color rgb="FFFFEF9C"/>
        <color rgb="FF63BE7B"/>
      </colorScale>
    </cfRule>
  </conditionalFormatting>
  <conditionalFormatting sqref="F20:AL20">
    <cfRule type="colorScale" priority="6">
      <colorScale>
        <cfvo type="min"/>
        <cfvo type="max"/>
        <color rgb="FFFFEF9C"/>
        <color rgb="FF63BE7B"/>
      </colorScale>
    </cfRule>
  </conditionalFormatting>
  <conditionalFormatting sqref="F21:AL21">
    <cfRule type="colorScale" priority="5">
      <colorScale>
        <cfvo type="min"/>
        <cfvo type="max"/>
        <color rgb="FFFFEF9C"/>
        <color rgb="FF63BE7B"/>
      </colorScale>
    </cfRule>
  </conditionalFormatting>
  <conditionalFormatting sqref="F22:AL22">
    <cfRule type="colorScale" priority="4">
      <colorScale>
        <cfvo type="min"/>
        <cfvo type="max"/>
        <color rgb="FFFFEF9C"/>
        <color rgb="FF63BE7B"/>
      </colorScale>
    </cfRule>
  </conditionalFormatting>
  <conditionalFormatting sqref="F23:AL23">
    <cfRule type="colorScale" priority="3">
      <colorScale>
        <cfvo type="min"/>
        <cfvo type="max"/>
        <color rgb="FFFFEF9C"/>
        <color rgb="FF63BE7B"/>
      </colorScale>
    </cfRule>
  </conditionalFormatting>
  <conditionalFormatting sqref="F24:AL24">
    <cfRule type="colorScale" priority="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81F96-7441-4360-A226-D16DEDF5EDC0}">
  <sheetPr codeName="Лист8">
    <tabColor rgb="FF00B050"/>
  </sheetPr>
  <dimension ref="A1:BB148"/>
  <sheetViews>
    <sheetView topLeftCell="A81" zoomScaleNormal="100" zoomScaleSheetLayoutView="25" workbookViewId="0">
      <selection activeCell="AX82" sqref="AX82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32.25" customHeight="1" thickBot="1" x14ac:dyDescent="0.4">
      <c r="A1" s="173" t="s">
        <v>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/>
      <c r="F3" s="8">
        <v>273.10000000000002</v>
      </c>
      <c r="G3" s="8">
        <v>353.9</v>
      </c>
      <c r="H3" s="8">
        <v>434.7</v>
      </c>
      <c r="I3" s="8">
        <v>515.4</v>
      </c>
      <c r="J3" s="8">
        <v>596.20000000000005</v>
      </c>
      <c r="K3" s="8">
        <v>677</v>
      </c>
      <c r="L3" s="8">
        <v>757.7</v>
      </c>
      <c r="M3" s="8">
        <v>838.5</v>
      </c>
      <c r="N3" s="8">
        <v>919.2</v>
      </c>
      <c r="O3" s="8">
        <v>1000</v>
      </c>
      <c r="P3" s="8"/>
      <c r="Q3" s="8"/>
      <c r="R3" s="8"/>
      <c r="S3" s="8"/>
      <c r="T3" s="8"/>
      <c r="U3" s="8"/>
      <c r="V3" s="8"/>
      <c r="W3" s="8"/>
      <c r="X3" s="8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1</v>
      </c>
      <c r="C4" s="66">
        <f t="shared" si="0"/>
        <v>0</v>
      </c>
      <c r="D4" s="66">
        <f t="shared" si="0"/>
        <v>0</v>
      </c>
      <c r="E4" s="11" t="s">
        <v>230</v>
      </c>
      <c r="F4" s="73">
        <v>2.2147E-8</v>
      </c>
      <c r="G4" s="73">
        <v>3.2389E-8</v>
      </c>
      <c r="H4" s="73">
        <v>3.2389E-8</v>
      </c>
      <c r="I4" s="73">
        <v>2.0759000000000001E-8</v>
      </c>
      <c r="J4" s="73">
        <v>3.1200000000000001E-8</v>
      </c>
      <c r="K4" s="73">
        <v>2.8153000000000001E-8</v>
      </c>
      <c r="L4" s="73">
        <v>4.8602000000000001E-8</v>
      </c>
      <c r="M4" s="73">
        <v>5.9068000000000003E-8</v>
      </c>
      <c r="N4" s="73">
        <v>2.9824999999999997E-8</v>
      </c>
      <c r="O4" s="73">
        <v>1.3049E-8</v>
      </c>
      <c r="P4" s="73"/>
      <c r="Q4" s="73"/>
      <c r="R4" s="73"/>
      <c r="S4" s="73"/>
      <c r="T4" s="73"/>
      <c r="U4" s="73"/>
      <c r="V4" s="73"/>
      <c r="W4" s="73"/>
      <c r="X4" s="73"/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3</v>
      </c>
      <c r="C5" s="66">
        <f t="shared" si="0"/>
        <v>0</v>
      </c>
      <c r="D5" s="66">
        <f t="shared" si="0"/>
        <v>0</v>
      </c>
      <c r="E5" s="11" t="s">
        <v>362</v>
      </c>
      <c r="F5" s="73">
        <v>2.7272000000000002E-25</v>
      </c>
      <c r="G5" s="73">
        <v>1.1460000000000001E-13</v>
      </c>
      <c r="H5" s="73">
        <v>1.1460000000000001E-13</v>
      </c>
      <c r="I5" s="73">
        <v>1.0018E-10</v>
      </c>
      <c r="J5" s="73">
        <v>1.3125E-8</v>
      </c>
      <c r="K5" s="73">
        <v>5.7566999999999997E-7</v>
      </c>
      <c r="L5" s="73">
        <v>1.1068E-5</v>
      </c>
      <c r="M5" s="73">
        <v>1.0688000000000001E-4</v>
      </c>
      <c r="N5" s="73">
        <v>5.9057999999999995E-4</v>
      </c>
      <c r="O5" s="73">
        <v>1.7849000000000001E-3</v>
      </c>
      <c r="P5" s="73"/>
      <c r="Q5" s="73"/>
      <c r="R5" s="73"/>
      <c r="S5" s="73"/>
      <c r="T5" s="73"/>
      <c r="U5" s="73"/>
      <c r="V5" s="73"/>
      <c r="W5" s="73"/>
      <c r="X5" s="73"/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4</v>
      </c>
      <c r="C6" s="66">
        <f t="shared" si="0"/>
        <v>0</v>
      </c>
      <c r="D6" s="66">
        <f t="shared" si="0"/>
        <v>0</v>
      </c>
      <c r="E6" s="11" t="s">
        <v>363</v>
      </c>
      <c r="F6" s="73">
        <v>2.8659000000000002E-23</v>
      </c>
      <c r="G6" s="73">
        <v>7.6970999999999996E-13</v>
      </c>
      <c r="H6" s="73">
        <v>7.6970999999999996E-13</v>
      </c>
      <c r="I6" s="73">
        <v>2.9947999999999998E-10</v>
      </c>
      <c r="J6" s="73">
        <v>2.1346000000000001E-8</v>
      </c>
      <c r="K6" s="73">
        <v>5.9467999999999998E-7</v>
      </c>
      <c r="L6" s="73">
        <v>7.9702000000000004E-6</v>
      </c>
      <c r="M6" s="73">
        <v>5.5643999999999998E-5</v>
      </c>
      <c r="N6" s="73">
        <v>2.2064E-4</v>
      </c>
      <c r="O6" s="73">
        <v>4.4403999999999998E-4</v>
      </c>
      <c r="P6" s="73"/>
      <c r="Q6" s="73"/>
      <c r="R6" s="73"/>
      <c r="S6" s="73"/>
      <c r="T6" s="73"/>
      <c r="U6" s="73"/>
      <c r="V6" s="73"/>
      <c r="W6" s="73"/>
      <c r="X6" s="73"/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5</v>
      </c>
      <c r="C7" s="66">
        <f t="shared" si="0"/>
        <v>0</v>
      </c>
      <c r="D7" s="66">
        <f t="shared" si="0"/>
        <v>0</v>
      </c>
      <c r="E7" s="11" t="s">
        <v>364</v>
      </c>
      <c r="F7" s="73">
        <v>8.2633000000000005E-20</v>
      </c>
      <c r="G7" s="73">
        <v>2.4217999999999998E-10</v>
      </c>
      <c r="H7" s="73">
        <v>2.4217999999999998E-10</v>
      </c>
      <c r="I7" s="73">
        <v>4.8894000000000001E-8</v>
      </c>
      <c r="J7" s="73">
        <v>2.1272999999999999E-6</v>
      </c>
      <c r="K7" s="73">
        <v>4.1170000000000001E-5</v>
      </c>
      <c r="L7" s="73">
        <v>4.1320000000000001E-4</v>
      </c>
      <c r="M7" s="73">
        <v>2.2114999999999999E-3</v>
      </c>
      <c r="N7" s="73">
        <v>6.6071000000000003E-3</v>
      </c>
      <c r="O7" s="73">
        <v>9.2271000000000002E-3</v>
      </c>
      <c r="P7" s="73"/>
      <c r="Q7" s="73"/>
      <c r="R7" s="73"/>
      <c r="S7" s="73"/>
      <c r="T7" s="73"/>
      <c r="U7" s="73"/>
      <c r="V7" s="73"/>
      <c r="W7" s="73"/>
      <c r="X7" s="73"/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6</v>
      </c>
      <c r="C8" s="66">
        <f t="shared" si="0"/>
        <v>0</v>
      </c>
      <c r="D8" s="66">
        <f t="shared" si="0"/>
        <v>0</v>
      </c>
      <c r="E8" s="11" t="s">
        <v>365</v>
      </c>
      <c r="F8" s="73">
        <v>3.1684999999999997E-17</v>
      </c>
      <c r="G8" s="73">
        <v>2.1029999999999999E-9</v>
      </c>
      <c r="H8" s="73">
        <v>2.1029999999999999E-9</v>
      </c>
      <c r="I8" s="73">
        <v>1.445E-7</v>
      </c>
      <c r="J8" s="73">
        <v>2.8177999999999999E-6</v>
      </c>
      <c r="K8" s="73">
        <v>2.9918000000000001E-5</v>
      </c>
      <c r="L8" s="73">
        <v>1.8665000000000001E-4</v>
      </c>
      <c r="M8" s="73">
        <v>6.5868000000000003E-4</v>
      </c>
      <c r="N8" s="73">
        <v>1.3093E-3</v>
      </c>
      <c r="O8" s="73">
        <v>1.1429999999999999E-3</v>
      </c>
      <c r="P8" s="73"/>
      <c r="Q8" s="73"/>
      <c r="R8" s="73"/>
      <c r="S8" s="73"/>
      <c r="T8" s="73"/>
      <c r="U8" s="73"/>
      <c r="V8" s="73"/>
      <c r="W8" s="73"/>
      <c r="X8" s="73"/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7</v>
      </c>
      <c r="C9" s="66">
        <f t="shared" si="0"/>
        <v>0</v>
      </c>
      <c r="D9" s="66">
        <f t="shared" si="0"/>
        <v>0</v>
      </c>
      <c r="E9" s="11" t="s">
        <v>368</v>
      </c>
      <c r="F9" s="73">
        <v>2.7152E-18</v>
      </c>
      <c r="G9" s="73">
        <v>4.7633000000000005E-10</v>
      </c>
      <c r="H9" s="73">
        <v>4.7633000000000005E-10</v>
      </c>
      <c r="I9" s="73">
        <v>3.9207000000000002E-8</v>
      </c>
      <c r="J9" s="73">
        <v>8.5699000000000005E-7</v>
      </c>
      <c r="K9" s="73">
        <v>1.0027000000000001E-5</v>
      </c>
      <c r="L9" s="73">
        <v>6.7297000000000003E-5</v>
      </c>
      <c r="M9" s="73">
        <v>2.4379999999999999E-4</v>
      </c>
      <c r="N9" s="73">
        <v>4.6434999999999998E-4</v>
      </c>
      <c r="O9" s="73">
        <v>3.4402E-4</v>
      </c>
      <c r="P9" s="73"/>
      <c r="Q9" s="73"/>
      <c r="R9" s="73"/>
      <c r="S9" s="73"/>
      <c r="T9" s="73"/>
      <c r="U9" s="73"/>
      <c r="V9" s="73"/>
      <c r="W9" s="73"/>
      <c r="X9" s="73"/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8</v>
      </c>
      <c r="C10" s="66">
        <f t="shared" si="0"/>
        <v>0</v>
      </c>
      <c r="D10" s="66">
        <f t="shared" si="0"/>
        <v>0</v>
      </c>
      <c r="E10" s="11" t="s">
        <v>366</v>
      </c>
      <c r="F10" s="73">
        <v>4.8741E-20</v>
      </c>
      <c r="G10" s="73">
        <v>1.8283999999999999E-11</v>
      </c>
      <c r="H10" s="73">
        <v>1.8283999999999999E-11</v>
      </c>
      <c r="I10" s="73">
        <v>1.7059000000000001E-9</v>
      </c>
      <c r="J10" s="73">
        <v>4.0159000000000002E-8</v>
      </c>
      <c r="K10" s="73">
        <v>5.0236000000000001E-7</v>
      </c>
      <c r="L10" s="73">
        <v>3.5420000000000001E-6</v>
      </c>
      <c r="M10" s="73">
        <v>1.2923E-5</v>
      </c>
      <c r="N10" s="73">
        <v>2.3217000000000001E-5</v>
      </c>
      <c r="O10" s="73">
        <v>1.4406000000000001E-5</v>
      </c>
      <c r="P10" s="73"/>
      <c r="Q10" s="73"/>
      <c r="R10" s="73"/>
      <c r="S10" s="73"/>
      <c r="T10" s="73"/>
      <c r="U10" s="73"/>
      <c r="V10" s="73"/>
      <c r="W10" s="73"/>
      <c r="X10" s="73"/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2</v>
      </c>
      <c r="C11" s="66">
        <f t="shared" si="0"/>
        <v>0</v>
      </c>
      <c r="D11" s="66">
        <f t="shared" si="0"/>
        <v>0</v>
      </c>
      <c r="E11" s="11" t="s">
        <v>367</v>
      </c>
      <c r="F11" s="73">
        <v>3.8015999999999999E-20</v>
      </c>
      <c r="G11" s="73">
        <v>1.4398E-10</v>
      </c>
      <c r="H11" s="73">
        <v>1.4398E-10</v>
      </c>
      <c r="I11" s="73">
        <v>4.1182999999999999E-8</v>
      </c>
      <c r="J11" s="73">
        <v>2.4831E-6</v>
      </c>
      <c r="K11" s="73">
        <v>6.0578999999999997E-5</v>
      </c>
      <c r="L11" s="73">
        <v>7.4443999999999997E-4</v>
      </c>
      <c r="M11" s="73">
        <v>5.2170999999999997E-3</v>
      </c>
      <c r="N11" s="73">
        <v>2.3754000000000001E-2</v>
      </c>
      <c r="O11" s="73">
        <v>6.9757E-2</v>
      </c>
      <c r="P11" s="73"/>
      <c r="Q11" s="73"/>
      <c r="R11" s="73"/>
      <c r="S11" s="73"/>
      <c r="T11" s="73"/>
      <c r="U11" s="73"/>
      <c r="V11" s="73"/>
      <c r="W11" s="73"/>
      <c r="X11" s="73"/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0</v>
      </c>
      <c r="E12" s="11" t="s">
        <v>2</v>
      </c>
      <c r="F12" s="73">
        <v>0</v>
      </c>
      <c r="G12" s="73">
        <v>4.0376999999999999E-23</v>
      </c>
      <c r="H12" s="73">
        <v>4.0376999999999999E-23</v>
      </c>
      <c r="I12" s="73">
        <v>8.9678000000000005E-19</v>
      </c>
      <c r="J12" s="73">
        <v>1.3319E-15</v>
      </c>
      <c r="K12" s="73">
        <v>3.7343000000000001E-13</v>
      </c>
      <c r="L12" s="73">
        <v>3.1794999999999999E-11</v>
      </c>
      <c r="M12" s="73">
        <v>1.1096E-9</v>
      </c>
      <c r="N12" s="73">
        <v>2.0412999999999999E-8</v>
      </c>
      <c r="O12" s="73">
        <v>2.2142000000000001E-7</v>
      </c>
      <c r="P12" s="73"/>
      <c r="Q12" s="73"/>
      <c r="R12" s="73"/>
      <c r="S12" s="73"/>
      <c r="T12" s="73"/>
      <c r="U12" s="73"/>
      <c r="V12" s="73"/>
      <c r="W12" s="73"/>
      <c r="X12" s="73"/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0</v>
      </c>
      <c r="B13" s="66">
        <f t="shared" si="0"/>
        <v>1</v>
      </c>
      <c r="C13" s="66">
        <f t="shared" si="0"/>
        <v>0</v>
      </c>
      <c r="D13" s="66">
        <f t="shared" si="0"/>
        <v>2</v>
      </c>
      <c r="E13" s="11" t="s">
        <v>361</v>
      </c>
      <c r="F13" s="73">
        <v>8.0028000000000003E-11</v>
      </c>
      <c r="G13" s="73">
        <v>3.5305999999999997E-5</v>
      </c>
      <c r="H13" s="73">
        <v>3.5305999999999997E-5</v>
      </c>
      <c r="I13" s="73">
        <v>8.8887999999999999E-4</v>
      </c>
      <c r="J13" s="73">
        <v>7.9401000000000003E-3</v>
      </c>
      <c r="K13" s="73">
        <v>2.8901E-2</v>
      </c>
      <c r="L13" s="73">
        <v>4.9835999999999998E-2</v>
      </c>
      <c r="M13" s="73">
        <v>6.2155000000000002E-2</v>
      </c>
      <c r="N13" s="73">
        <v>6.9550000000000001E-2</v>
      </c>
      <c r="O13" s="73">
        <v>7.4087E-2</v>
      </c>
      <c r="P13" s="73"/>
      <c r="Q13" s="73"/>
      <c r="R13" s="73"/>
      <c r="S13" s="73"/>
      <c r="T13" s="73"/>
      <c r="U13" s="73"/>
      <c r="V13" s="73"/>
      <c r="W13" s="73"/>
      <c r="X13" s="73"/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1</v>
      </c>
      <c r="B14" s="66">
        <f t="shared" si="0"/>
        <v>0</v>
      </c>
      <c r="C14" s="66">
        <f t="shared" si="0"/>
        <v>0</v>
      </c>
      <c r="D14" s="66">
        <f t="shared" si="0"/>
        <v>0</v>
      </c>
      <c r="E14" s="11" t="s">
        <v>1</v>
      </c>
      <c r="F14" s="73">
        <v>0.2</v>
      </c>
      <c r="G14" s="73">
        <v>0.2</v>
      </c>
      <c r="H14" s="73">
        <v>0.2</v>
      </c>
      <c r="I14" s="73">
        <v>0.2</v>
      </c>
      <c r="J14" s="73">
        <v>0.2</v>
      </c>
      <c r="K14" s="73">
        <v>0.2</v>
      </c>
      <c r="L14" s="73">
        <v>0.2</v>
      </c>
      <c r="M14" s="73">
        <v>0.2</v>
      </c>
      <c r="N14" s="73">
        <v>0.2</v>
      </c>
      <c r="O14" s="73">
        <v>0.2</v>
      </c>
      <c r="P14" s="73"/>
      <c r="Q14" s="73"/>
      <c r="R14" s="73"/>
      <c r="S14" s="73"/>
      <c r="T14" s="73"/>
      <c r="U14" s="73"/>
      <c r="V14" s="73"/>
      <c r="W14" s="73"/>
      <c r="X14" s="73"/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0</v>
      </c>
      <c r="D15" s="66">
        <f t="shared" si="0"/>
        <v>1</v>
      </c>
      <c r="E15" s="11" t="s">
        <v>50</v>
      </c>
      <c r="F15" s="73">
        <v>0.16</v>
      </c>
      <c r="G15" s="73">
        <v>0.15992999999999999</v>
      </c>
      <c r="H15" s="73">
        <v>0.15992999999999999</v>
      </c>
      <c r="I15" s="73">
        <v>0.15822</v>
      </c>
      <c r="J15" s="73">
        <v>0.14412</v>
      </c>
      <c r="K15" s="73">
        <v>0.1022</v>
      </c>
      <c r="L15" s="73">
        <v>6.0328E-2</v>
      </c>
      <c r="M15" s="73">
        <v>3.569E-2</v>
      </c>
      <c r="N15" s="73">
        <v>2.0899000000000001E-2</v>
      </c>
      <c r="O15" s="73">
        <v>1.1825E-2</v>
      </c>
      <c r="P15" s="73"/>
      <c r="Q15" s="73"/>
      <c r="R15" s="73"/>
      <c r="S15" s="73"/>
      <c r="T15" s="73"/>
      <c r="U15" s="73"/>
      <c r="V15" s="73"/>
      <c r="W15" s="73"/>
      <c r="X15" s="73"/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0</v>
      </c>
      <c r="B16" s="66">
        <f t="shared" si="0"/>
        <v>0</v>
      </c>
      <c r="C16" s="66">
        <f t="shared" si="0"/>
        <v>1</v>
      </c>
      <c r="D16" s="66">
        <f t="shared" si="0"/>
        <v>0</v>
      </c>
      <c r="E16" s="11" t="s">
        <v>49</v>
      </c>
      <c r="F16" s="73">
        <v>0.16</v>
      </c>
      <c r="G16" s="73">
        <v>0.16</v>
      </c>
      <c r="H16" s="73">
        <v>0.16</v>
      </c>
      <c r="I16" s="73">
        <v>0.16</v>
      </c>
      <c r="J16" s="73">
        <v>0.16</v>
      </c>
      <c r="K16" s="73">
        <v>0.16</v>
      </c>
      <c r="L16" s="73">
        <v>0.16</v>
      </c>
      <c r="M16" s="73">
        <v>0.16</v>
      </c>
      <c r="N16" s="73">
        <v>0.16</v>
      </c>
      <c r="O16" s="73">
        <v>0.16</v>
      </c>
      <c r="P16" s="73"/>
      <c r="Q16" s="73"/>
      <c r="R16" s="73"/>
      <c r="S16" s="73"/>
      <c r="T16" s="73"/>
      <c r="U16" s="73"/>
      <c r="V16" s="73"/>
      <c r="W16" s="73"/>
      <c r="X16" s="73"/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1</v>
      </c>
      <c r="C17" s="66">
        <f t="shared" si="0"/>
        <v>0</v>
      </c>
      <c r="D17" s="66">
        <f t="shared" si="0"/>
        <v>0</v>
      </c>
      <c r="E17" s="11" t="s">
        <v>369</v>
      </c>
      <c r="F17" s="73">
        <v>0.48</v>
      </c>
      <c r="G17" s="73">
        <v>0.47996</v>
      </c>
      <c r="H17" s="73">
        <v>0.47996</v>
      </c>
      <c r="I17" s="73">
        <v>0.47910999999999998</v>
      </c>
      <c r="J17" s="73">
        <v>0.47202</v>
      </c>
      <c r="K17" s="73">
        <v>0.45051000000000002</v>
      </c>
      <c r="L17" s="73">
        <v>0.42492000000000002</v>
      </c>
      <c r="M17" s="73">
        <v>0.39005000000000001</v>
      </c>
      <c r="N17" s="73">
        <v>0.31596000000000002</v>
      </c>
      <c r="O17" s="73">
        <v>0.20374999999999999</v>
      </c>
      <c r="P17" s="73"/>
      <c r="Q17" s="73"/>
      <c r="R17" s="73"/>
      <c r="S17" s="73"/>
      <c r="T17" s="73"/>
      <c r="U17" s="73"/>
      <c r="V17" s="73"/>
      <c r="W17" s="73"/>
      <c r="X17" s="73"/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1</v>
      </c>
      <c r="B18" s="66">
        <f t="shared" si="0"/>
        <v>0</v>
      </c>
      <c r="C18" s="66">
        <f t="shared" si="0"/>
        <v>0</v>
      </c>
      <c r="D18" s="66">
        <f t="shared" si="0"/>
        <v>0</v>
      </c>
      <c r="E18" s="11" t="s">
        <v>35</v>
      </c>
      <c r="F18" s="73">
        <v>-18.62</v>
      </c>
      <c r="G18" s="73">
        <v>-18.77</v>
      </c>
      <c r="H18" s="73">
        <v>-18.77</v>
      </c>
      <c r="I18" s="73">
        <v>-18.93</v>
      </c>
      <c r="J18" s="73">
        <v>-19.13</v>
      </c>
      <c r="K18" s="73">
        <v>-19.399999999999999</v>
      </c>
      <c r="L18" s="73">
        <v>-19.649999999999999</v>
      </c>
      <c r="M18" s="73">
        <v>-19.89</v>
      </c>
      <c r="N18" s="73">
        <v>-20.149999999999999</v>
      </c>
      <c r="O18" s="73">
        <v>-20.46</v>
      </c>
      <c r="P18" s="73"/>
      <c r="Q18" s="73"/>
      <c r="R18" s="73"/>
      <c r="S18" s="73"/>
      <c r="T18" s="73"/>
      <c r="U18" s="73"/>
      <c r="V18" s="73"/>
      <c r="W18" s="73"/>
      <c r="X18" s="73"/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0</v>
      </c>
      <c r="C19" s="66">
        <f t="shared" si="0"/>
        <v>0</v>
      </c>
      <c r="D19" s="66">
        <f t="shared" si="0"/>
        <v>1</v>
      </c>
      <c r="E19" s="11" t="s">
        <v>5</v>
      </c>
      <c r="F19" s="73">
        <v>-6.2770000000000001</v>
      </c>
      <c r="G19" s="73">
        <v>-7.3890000000000002</v>
      </c>
      <c r="H19" s="73">
        <v>-7.3890000000000002</v>
      </c>
      <c r="I19" s="73">
        <v>-7.8479999999999999</v>
      </c>
      <c r="J19" s="73">
        <v>-8.3119999999999994</v>
      </c>
      <c r="K19" s="73">
        <v>-8.9250000000000007</v>
      </c>
      <c r="L19" s="73">
        <v>-9.6760000000000002</v>
      </c>
      <c r="M19" s="73">
        <v>-10.39</v>
      </c>
      <c r="N19" s="73">
        <v>-11.03</v>
      </c>
      <c r="O19" s="73">
        <v>-11.57</v>
      </c>
      <c r="P19" s="73"/>
      <c r="Q19" s="73"/>
      <c r="R19" s="73"/>
      <c r="S19" s="73"/>
      <c r="T19" s="73"/>
      <c r="U19" s="73"/>
      <c r="V19" s="73"/>
      <c r="W19" s="73"/>
      <c r="X19" s="73"/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1</v>
      </c>
      <c r="D20" s="66">
        <f t="shared" si="1"/>
        <v>0</v>
      </c>
      <c r="E20" s="11" t="s">
        <v>6</v>
      </c>
      <c r="F20" s="73">
        <v>6.952</v>
      </c>
      <c r="G20" s="73">
        <v>0.94920000000000004</v>
      </c>
      <c r="H20" s="73">
        <v>0.94920000000000004</v>
      </c>
      <c r="I20" s="73">
        <v>-0.79530000000000001</v>
      </c>
      <c r="J20" s="73">
        <v>-2.113</v>
      </c>
      <c r="K20" s="73">
        <v>-3.1059999999999999</v>
      </c>
      <c r="L20" s="73">
        <v>-3.8969999999999998</v>
      </c>
      <c r="M20" s="73">
        <v>-4.5529999999999999</v>
      </c>
      <c r="N20" s="73">
        <v>-5.0380000000000003</v>
      </c>
      <c r="O20" s="73">
        <v>-5.3250000000000002</v>
      </c>
      <c r="P20" s="73">
        <v>0.28000000000000003</v>
      </c>
      <c r="Q20" s="73">
        <v>0.28000000000000003</v>
      </c>
      <c r="R20" s="73">
        <v>0.28000000000000003</v>
      </c>
      <c r="S20" s="73">
        <v>0.28000000000000003</v>
      </c>
      <c r="T20" s="73">
        <v>0.28000000000000003</v>
      </c>
      <c r="U20" s="73">
        <v>0.28000000000000003</v>
      </c>
      <c r="V20" s="73">
        <v>0.28000000000000003</v>
      </c>
      <c r="W20" s="73">
        <v>0.27079999999999999</v>
      </c>
      <c r="X20" s="73">
        <v>0.21576000000000001</v>
      </c>
      <c r="Y20" s="59">
        <v>0.20441000000000001</v>
      </c>
      <c r="Z20" s="59">
        <v>0.20115</v>
      </c>
      <c r="AA20" s="59">
        <v>0.20011999999999999</v>
      </c>
      <c r="AB20" s="59">
        <v>0.20000999999999999</v>
      </c>
      <c r="AC20" s="59">
        <v>0.2</v>
      </c>
      <c r="AD20" s="59">
        <v>0.2</v>
      </c>
      <c r="AE20" s="59">
        <v>0.2</v>
      </c>
      <c r="AF20" s="59">
        <v>0.2</v>
      </c>
      <c r="AG20" s="59">
        <v>0.2</v>
      </c>
      <c r="AH20" s="59">
        <v>0.2</v>
      </c>
      <c r="AI20" s="59">
        <v>0.2</v>
      </c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1</v>
      </c>
      <c r="C21" s="66">
        <f t="shared" si="1"/>
        <v>0</v>
      </c>
      <c r="D21" s="66">
        <f t="shared" si="1"/>
        <v>0</v>
      </c>
      <c r="E21" s="63" t="s">
        <v>7</v>
      </c>
      <c r="F21" s="12">
        <v>-4.7</v>
      </c>
      <c r="G21" s="12">
        <v>-5.6130000000000004</v>
      </c>
      <c r="H21" s="12">
        <v>-5.6130000000000004</v>
      </c>
      <c r="I21" s="12">
        <v>-6.0679999999999996</v>
      </c>
      <c r="J21" s="12">
        <v>-6.4809999999999999</v>
      </c>
      <c r="K21" s="12">
        <v>-6.8319999999999999</v>
      </c>
      <c r="L21" s="12">
        <v>-7.15</v>
      </c>
      <c r="M21" s="12">
        <v>-7.47</v>
      </c>
      <c r="N21" s="12">
        <v>-7.8230000000000004</v>
      </c>
      <c r="O21" s="12">
        <v>-8.2680000000000007</v>
      </c>
      <c r="P21" s="12">
        <v>7.8265000000000004E-41</v>
      </c>
      <c r="Q21" s="12">
        <v>1.4296E-24</v>
      </c>
      <c r="R21" s="12">
        <v>2.5993E-17</v>
      </c>
      <c r="S21" s="12">
        <v>1.953E-14</v>
      </c>
      <c r="T21" s="12">
        <v>1.4264000000000001E-10</v>
      </c>
      <c r="U21" s="12">
        <v>1.2626000000000001E-10</v>
      </c>
      <c r="V21" s="12">
        <v>1.0119E-9</v>
      </c>
      <c r="W21" s="12">
        <v>0</v>
      </c>
      <c r="X21" s="12">
        <v>9.7267000000000003E-9</v>
      </c>
      <c r="Y21" s="59">
        <v>7.2993999999999998E-8</v>
      </c>
      <c r="Z21" s="59">
        <v>0.18548000000000001</v>
      </c>
      <c r="AA21" s="59">
        <v>0.19289000000000001</v>
      </c>
      <c r="AB21" s="59">
        <v>0.19889000000000001</v>
      </c>
      <c r="AC21" s="59">
        <v>0.23233000000000001</v>
      </c>
      <c r="AD21" s="59">
        <v>0.24440999999999999</v>
      </c>
      <c r="AE21" s="59">
        <v>0.25866</v>
      </c>
      <c r="AF21" s="59">
        <v>0.27559</v>
      </c>
      <c r="AG21" s="59">
        <v>0.25866</v>
      </c>
      <c r="AH21" s="59">
        <v>0.27559</v>
      </c>
      <c r="AI21" s="59">
        <v>0.29603000000000002</v>
      </c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>
        <v>5.3992999999999997E-9</v>
      </c>
      <c r="H22" s="12">
        <v>2.8524999999999998E-9</v>
      </c>
      <c r="I22" s="12">
        <v>7.1092999999999998E-9</v>
      </c>
      <c r="J22" s="12">
        <v>6.5676000000000004E-9</v>
      </c>
      <c r="K22" s="12">
        <v>3.5764999999999998E-9</v>
      </c>
      <c r="L22" s="12">
        <v>7.1643000000000002E-9</v>
      </c>
      <c r="M22" s="12">
        <v>5.2841E-9</v>
      </c>
      <c r="N22" s="12">
        <v>8.1865000000000002E-9</v>
      </c>
      <c r="O22" s="12">
        <v>3.7150000000000001E-7</v>
      </c>
      <c r="P22" s="12">
        <v>5.8954000000000001E-9</v>
      </c>
      <c r="Q22" s="12">
        <v>2.8117000000000001E-9</v>
      </c>
      <c r="R22" s="12">
        <v>5.0099999999999999E-9</v>
      </c>
      <c r="S22" s="12">
        <v>1.2273999999999999E-9</v>
      </c>
      <c r="T22" s="12">
        <v>5.3845000000000002E-9</v>
      </c>
      <c r="U22" s="12">
        <v>2.5708999999999999E-9</v>
      </c>
      <c r="V22" s="12">
        <v>7.2542999999999997E-9</v>
      </c>
      <c r="W22" s="12">
        <v>9.4418000000000002E-9</v>
      </c>
      <c r="X22" s="12">
        <v>5.4284999999999996E-9</v>
      </c>
      <c r="Y22" s="59">
        <v>7.0450000000000004E-9</v>
      </c>
      <c r="Z22" s="59">
        <v>9.7436999999999998E-9</v>
      </c>
      <c r="AA22" s="59">
        <v>9.2729999999999997E-9</v>
      </c>
      <c r="AB22" s="59">
        <v>8.7954999999999993E-9</v>
      </c>
      <c r="AC22" s="59">
        <v>7.3713999999999996E-9</v>
      </c>
      <c r="AD22" s="59">
        <v>8.4123999999999996E-9</v>
      </c>
      <c r="AE22" s="59">
        <v>7.8887999999999995E-9</v>
      </c>
      <c r="AF22" s="59">
        <v>7.2149999999999996E-9</v>
      </c>
      <c r="AG22" s="59">
        <v>7.8887999999999995E-9</v>
      </c>
      <c r="AH22" s="59">
        <v>7.2149999999999996E-9</v>
      </c>
      <c r="AI22" s="59">
        <v>9.1939999999999995E-9</v>
      </c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49">
        <v>0</v>
      </c>
      <c r="C34" s="23" t="s">
        <v>35</v>
      </c>
      <c r="D34" s="71">
        <f t="shared" ref="D34:D37" si="3">MATCH(C34,$E$4:$E$33)</f>
        <v>15</v>
      </c>
      <c r="E34" s="23" t="str">
        <f ca="1">OFFSET($E$3:$AL$3,$D34,0)</f>
        <v>H (Ar)</v>
      </c>
      <c r="F34" s="26">
        <f t="shared" ref="F34:AL37" ca="1" si="4">OFFSET($E$3:$AL$3,$D34,0)</f>
        <v>-18.62</v>
      </c>
      <c r="G34" s="26">
        <f t="shared" ca="1" si="4"/>
        <v>-18.77</v>
      </c>
      <c r="H34" s="26">
        <f t="shared" ca="1" si="4"/>
        <v>-18.77</v>
      </c>
      <c r="I34" s="26">
        <f t="shared" ca="1" si="4"/>
        <v>-18.93</v>
      </c>
      <c r="J34" s="26">
        <f t="shared" ca="1" si="4"/>
        <v>-19.13</v>
      </c>
      <c r="K34" s="26">
        <f t="shared" ca="1" si="4"/>
        <v>-19.399999999999999</v>
      </c>
      <c r="L34" s="26">
        <f t="shared" ca="1" si="4"/>
        <v>-19.649999999999999</v>
      </c>
      <c r="M34" s="26">
        <f t="shared" ca="1" si="4"/>
        <v>-19.89</v>
      </c>
      <c r="N34" s="26">
        <f t="shared" ca="1" si="4"/>
        <v>-20.149999999999999</v>
      </c>
      <c r="O34" s="26">
        <f t="shared" ca="1" si="4"/>
        <v>-20.46</v>
      </c>
      <c r="P34" s="26">
        <f t="shared" ca="1" si="4"/>
        <v>0</v>
      </c>
      <c r="Q34" s="26">
        <f t="shared" ca="1" si="4"/>
        <v>0</v>
      </c>
      <c r="R34" s="26">
        <f t="shared" ca="1" si="4"/>
        <v>0</v>
      </c>
      <c r="S34" s="26">
        <f t="shared" ca="1" si="4"/>
        <v>0</v>
      </c>
      <c r="T34" s="26">
        <f t="shared" ca="1" si="4"/>
        <v>0</v>
      </c>
      <c r="U34" s="26">
        <f t="shared" ca="1" si="4"/>
        <v>0</v>
      </c>
      <c r="V34" s="26">
        <f t="shared" ca="1" si="4"/>
        <v>0</v>
      </c>
      <c r="W34" s="26">
        <f t="shared" ca="1" si="4"/>
        <v>0</v>
      </c>
      <c r="X34" s="26">
        <f t="shared" ca="1" si="4"/>
        <v>0</v>
      </c>
      <c r="Y34" s="26">
        <f t="shared" ca="1" si="4"/>
        <v>0</v>
      </c>
      <c r="Z34" s="26">
        <f t="shared" ca="1" si="4"/>
        <v>0</v>
      </c>
      <c r="AA34" s="26">
        <f t="shared" ca="1" si="4"/>
        <v>0</v>
      </c>
      <c r="AB34" s="26">
        <f t="shared" ca="1" si="4"/>
        <v>0</v>
      </c>
      <c r="AC34" s="26">
        <f t="shared" ca="1" si="4"/>
        <v>0</v>
      </c>
      <c r="AD34" s="26">
        <f t="shared" ca="1" si="4"/>
        <v>0</v>
      </c>
      <c r="AE34" s="26">
        <f t="shared" ca="1" si="4"/>
        <v>0</v>
      </c>
      <c r="AF34" s="26">
        <f t="shared" ca="1" si="4"/>
        <v>0</v>
      </c>
      <c r="AG34" s="26">
        <f t="shared" ca="1" si="4"/>
        <v>0</v>
      </c>
      <c r="AH34" s="26">
        <f t="shared" ca="1" si="4"/>
        <v>0</v>
      </c>
      <c r="AI34" s="26">
        <f t="shared" ca="1" si="4"/>
        <v>0</v>
      </c>
      <c r="AJ34" s="26">
        <f t="shared" ca="1" si="4"/>
        <v>0</v>
      </c>
      <c r="AK34" s="26">
        <f t="shared" ca="1" si="4"/>
        <v>0</v>
      </c>
      <c r="AL34" s="26">
        <f t="shared" ca="1" si="4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125">
        <v>1</v>
      </c>
      <c r="C35" s="23" t="s">
        <v>5</v>
      </c>
      <c r="D35" s="71">
        <f t="shared" si="3"/>
        <v>16</v>
      </c>
      <c r="E35" s="23" t="str">
        <f t="shared" ref="E35:E37" ca="1" si="5">OFFSET($E$3:$AL$3,$D35,0)</f>
        <v>H (Ga)</v>
      </c>
      <c r="F35" s="26">
        <f t="shared" ca="1" si="4"/>
        <v>-6.2770000000000001</v>
      </c>
      <c r="G35" s="26">
        <f t="shared" ca="1" si="4"/>
        <v>-7.3890000000000002</v>
      </c>
      <c r="H35" s="26">
        <f t="shared" ca="1" si="4"/>
        <v>-7.3890000000000002</v>
      </c>
      <c r="I35" s="26">
        <f t="shared" ca="1" si="4"/>
        <v>-7.8479999999999999</v>
      </c>
      <c r="J35" s="26">
        <f t="shared" ca="1" si="4"/>
        <v>-8.3119999999999994</v>
      </c>
      <c r="K35" s="26">
        <f t="shared" ca="1" si="4"/>
        <v>-8.9250000000000007</v>
      </c>
      <c r="L35" s="26">
        <f t="shared" ca="1" si="4"/>
        <v>-9.6760000000000002</v>
      </c>
      <c r="M35" s="26">
        <f t="shared" ca="1" si="4"/>
        <v>-10.39</v>
      </c>
      <c r="N35" s="26">
        <f t="shared" ca="1" si="4"/>
        <v>-11.03</v>
      </c>
      <c r="O35" s="26">
        <f t="shared" ca="1" si="4"/>
        <v>-11.57</v>
      </c>
      <c r="P35" s="26">
        <f t="shared" ca="1" si="4"/>
        <v>0</v>
      </c>
      <c r="Q35" s="26">
        <f t="shared" ca="1" si="4"/>
        <v>0</v>
      </c>
      <c r="R35" s="26">
        <f t="shared" ca="1" si="4"/>
        <v>0</v>
      </c>
      <c r="S35" s="26">
        <f t="shared" ca="1" si="4"/>
        <v>0</v>
      </c>
      <c r="T35" s="26">
        <f t="shared" ca="1" si="4"/>
        <v>0</v>
      </c>
      <c r="U35" s="26">
        <f t="shared" ca="1" si="4"/>
        <v>0</v>
      </c>
      <c r="V35" s="26">
        <f t="shared" ca="1" si="4"/>
        <v>0</v>
      </c>
      <c r="W35" s="26">
        <f t="shared" ca="1" si="4"/>
        <v>0</v>
      </c>
      <c r="X35" s="26">
        <f t="shared" ca="1" si="4"/>
        <v>0</v>
      </c>
      <c r="Y35" s="26">
        <f t="shared" ca="1" si="4"/>
        <v>0</v>
      </c>
      <c r="Z35" s="26">
        <f t="shared" ca="1" si="4"/>
        <v>0</v>
      </c>
      <c r="AA35" s="26">
        <f t="shared" ca="1" si="4"/>
        <v>0</v>
      </c>
      <c r="AB35" s="26">
        <f t="shared" ca="1" si="4"/>
        <v>0</v>
      </c>
      <c r="AC35" s="26">
        <f t="shared" ca="1" si="4"/>
        <v>0</v>
      </c>
      <c r="AD35" s="26">
        <f t="shared" ca="1" si="4"/>
        <v>0</v>
      </c>
      <c r="AE35" s="26">
        <f t="shared" ca="1" si="4"/>
        <v>0</v>
      </c>
      <c r="AF35" s="26">
        <f t="shared" ca="1" si="4"/>
        <v>0</v>
      </c>
      <c r="AG35" s="26">
        <f t="shared" ca="1" si="4"/>
        <v>0</v>
      </c>
      <c r="AH35" s="26">
        <f t="shared" ca="1" si="4"/>
        <v>0</v>
      </c>
      <c r="AI35" s="26">
        <f t="shared" ca="1" si="4"/>
        <v>0</v>
      </c>
      <c r="AJ35" s="26">
        <f t="shared" ca="1" si="4"/>
        <v>0</v>
      </c>
      <c r="AK35" s="26">
        <f t="shared" ca="1" si="4"/>
        <v>0</v>
      </c>
      <c r="AL35" s="26">
        <f t="shared" ca="1" si="4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3"/>
        <v>17</v>
      </c>
      <c r="E36" s="23" t="str">
        <f t="shared" ca="1" si="5"/>
        <v>H (Ge)</v>
      </c>
      <c r="F36" s="26">
        <f t="shared" ca="1" si="4"/>
        <v>6.952</v>
      </c>
      <c r="G36" s="26">
        <f t="shared" ca="1" si="4"/>
        <v>0.94920000000000004</v>
      </c>
      <c r="H36" s="26">
        <f t="shared" ca="1" si="4"/>
        <v>0.94920000000000004</v>
      </c>
      <c r="I36" s="26">
        <f t="shared" ca="1" si="4"/>
        <v>-0.79530000000000001</v>
      </c>
      <c r="J36" s="26">
        <f t="shared" ca="1" si="4"/>
        <v>-2.113</v>
      </c>
      <c r="K36" s="26">
        <f t="shared" ca="1" si="4"/>
        <v>-3.1059999999999999</v>
      </c>
      <c r="L36" s="26">
        <f t="shared" ca="1" si="4"/>
        <v>-3.8969999999999998</v>
      </c>
      <c r="M36" s="26">
        <f t="shared" ca="1" si="4"/>
        <v>-4.5529999999999999</v>
      </c>
      <c r="N36" s="26">
        <f t="shared" ca="1" si="4"/>
        <v>-5.0380000000000003</v>
      </c>
      <c r="O36" s="26">
        <f t="shared" ca="1" si="4"/>
        <v>-5.3250000000000002</v>
      </c>
      <c r="P36" s="26">
        <f t="shared" ca="1" si="4"/>
        <v>0.28000000000000003</v>
      </c>
      <c r="Q36" s="26">
        <f t="shared" ca="1" si="4"/>
        <v>0.28000000000000003</v>
      </c>
      <c r="R36" s="26">
        <f t="shared" ca="1" si="4"/>
        <v>0.28000000000000003</v>
      </c>
      <c r="S36" s="26">
        <f t="shared" ca="1" si="4"/>
        <v>0.28000000000000003</v>
      </c>
      <c r="T36" s="26">
        <f t="shared" ca="1" si="4"/>
        <v>0.28000000000000003</v>
      </c>
      <c r="U36" s="26">
        <f t="shared" ca="1" si="4"/>
        <v>0.28000000000000003</v>
      </c>
      <c r="V36" s="26">
        <f t="shared" ca="1" si="4"/>
        <v>0.28000000000000003</v>
      </c>
      <c r="W36" s="26">
        <f t="shared" ca="1" si="4"/>
        <v>0.27079999999999999</v>
      </c>
      <c r="X36" s="26">
        <f t="shared" ca="1" si="4"/>
        <v>0.21576000000000001</v>
      </c>
      <c r="Y36" s="26">
        <f t="shared" ca="1" si="4"/>
        <v>0.20441000000000001</v>
      </c>
      <c r="Z36" s="26">
        <f t="shared" ca="1" si="4"/>
        <v>0.20115</v>
      </c>
      <c r="AA36" s="26">
        <f t="shared" ca="1" si="4"/>
        <v>0.20011999999999999</v>
      </c>
      <c r="AB36" s="26">
        <f t="shared" ca="1" si="4"/>
        <v>0.20000999999999999</v>
      </c>
      <c r="AC36" s="26">
        <f t="shared" ca="1" si="4"/>
        <v>0.2</v>
      </c>
      <c r="AD36" s="26">
        <f t="shared" ca="1" si="4"/>
        <v>0.2</v>
      </c>
      <c r="AE36" s="26">
        <f t="shared" ca="1" si="4"/>
        <v>0.2</v>
      </c>
      <c r="AF36" s="26">
        <f t="shared" ca="1" si="4"/>
        <v>0.2</v>
      </c>
      <c r="AG36" s="26">
        <f t="shared" ca="1" si="4"/>
        <v>0.2</v>
      </c>
      <c r="AH36" s="26">
        <f t="shared" ca="1" si="4"/>
        <v>0.2</v>
      </c>
      <c r="AI36" s="26">
        <f t="shared" ca="1" si="4"/>
        <v>0.2</v>
      </c>
      <c r="AJ36" s="26">
        <f t="shared" ca="1" si="4"/>
        <v>0</v>
      </c>
      <c r="AK36" s="26">
        <f t="shared" ca="1" si="4"/>
        <v>0</v>
      </c>
      <c r="AL36" s="26">
        <f t="shared" ca="1" si="4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3"/>
        <v>18</v>
      </c>
      <c r="E37" s="23" t="str">
        <f t="shared" ca="1" si="5"/>
        <v>H (Se)</v>
      </c>
      <c r="F37" s="26">
        <f t="shared" ca="1" si="4"/>
        <v>-4.7</v>
      </c>
      <c r="G37" s="26">
        <f t="shared" ca="1" si="4"/>
        <v>-5.6130000000000004</v>
      </c>
      <c r="H37" s="26">
        <f t="shared" ca="1" si="4"/>
        <v>-5.6130000000000004</v>
      </c>
      <c r="I37" s="26">
        <f t="shared" ca="1" si="4"/>
        <v>-6.0679999999999996</v>
      </c>
      <c r="J37" s="26">
        <f t="shared" ca="1" si="4"/>
        <v>-6.4809999999999999</v>
      </c>
      <c r="K37" s="26">
        <f t="shared" ca="1" si="4"/>
        <v>-6.8319999999999999</v>
      </c>
      <c r="L37" s="26">
        <f t="shared" ca="1" si="4"/>
        <v>-7.15</v>
      </c>
      <c r="M37" s="26">
        <f t="shared" ca="1" si="4"/>
        <v>-7.47</v>
      </c>
      <c r="N37" s="26">
        <f t="shared" ca="1" si="4"/>
        <v>-7.8230000000000004</v>
      </c>
      <c r="O37" s="26">
        <f t="shared" ca="1" si="4"/>
        <v>-8.2680000000000007</v>
      </c>
      <c r="P37" s="26">
        <f t="shared" ca="1" si="4"/>
        <v>7.8265000000000004E-41</v>
      </c>
      <c r="Q37" s="26">
        <f t="shared" ca="1" si="4"/>
        <v>1.4296E-24</v>
      </c>
      <c r="R37" s="26">
        <f t="shared" ca="1" si="4"/>
        <v>2.5993E-17</v>
      </c>
      <c r="S37" s="26">
        <f t="shared" ca="1" si="4"/>
        <v>1.953E-14</v>
      </c>
      <c r="T37" s="26">
        <f t="shared" ca="1" si="4"/>
        <v>1.4264000000000001E-10</v>
      </c>
      <c r="U37" s="26">
        <f t="shared" ca="1" si="4"/>
        <v>1.2626000000000001E-10</v>
      </c>
      <c r="V37" s="26">
        <f t="shared" ca="1" si="4"/>
        <v>1.0119E-9</v>
      </c>
      <c r="W37" s="26">
        <f t="shared" ca="1" si="4"/>
        <v>0</v>
      </c>
      <c r="X37" s="26">
        <f t="shared" ca="1" si="4"/>
        <v>9.7267000000000003E-9</v>
      </c>
      <c r="Y37" s="26">
        <f t="shared" ca="1" si="4"/>
        <v>7.2993999999999998E-8</v>
      </c>
      <c r="Z37" s="26">
        <f t="shared" ca="1" si="4"/>
        <v>0.18548000000000001</v>
      </c>
      <c r="AA37" s="26">
        <f t="shared" ca="1" si="4"/>
        <v>0.19289000000000001</v>
      </c>
      <c r="AB37" s="26">
        <f t="shared" ca="1" si="4"/>
        <v>0.19889000000000001</v>
      </c>
      <c r="AC37" s="26">
        <f t="shared" ca="1" si="4"/>
        <v>0.23233000000000001</v>
      </c>
      <c r="AD37" s="26">
        <f t="shared" ca="1" si="4"/>
        <v>0.24440999999999999</v>
      </c>
      <c r="AE37" s="26">
        <f t="shared" ca="1" si="4"/>
        <v>0.25866</v>
      </c>
      <c r="AF37" s="26">
        <f t="shared" ca="1" si="4"/>
        <v>0.27559</v>
      </c>
      <c r="AG37" s="26">
        <f t="shared" ca="1" si="4"/>
        <v>0.25866</v>
      </c>
      <c r="AH37" s="26">
        <f t="shared" ca="1" si="4"/>
        <v>0.27559</v>
      </c>
      <c r="AI37" s="26">
        <f t="shared" ca="1" si="4"/>
        <v>0.29603000000000002</v>
      </c>
      <c r="AJ37" s="26">
        <f t="shared" ca="1" si="4"/>
        <v>0</v>
      </c>
      <c r="AK37" s="26">
        <f t="shared" ca="1" si="4"/>
        <v>0</v>
      </c>
      <c r="AL37" s="26">
        <f t="shared" ca="1" si="4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353.9</v>
      </c>
      <c r="H40" s="19">
        <f t="shared" si="6"/>
        <v>434.7</v>
      </c>
      <c r="I40" s="19">
        <f t="shared" si="6"/>
        <v>515.4</v>
      </c>
      <c r="J40" s="19">
        <f t="shared" si="6"/>
        <v>596.20000000000005</v>
      </c>
      <c r="K40" s="19">
        <f t="shared" si="6"/>
        <v>677</v>
      </c>
      <c r="L40" s="19">
        <f t="shared" si="6"/>
        <v>757.7</v>
      </c>
      <c r="M40" s="19">
        <f t="shared" si="6"/>
        <v>838.5</v>
      </c>
      <c r="N40" s="19">
        <f t="shared" si="6"/>
        <v>919.2</v>
      </c>
      <c r="O40" s="19">
        <f t="shared" si="6"/>
        <v>1000</v>
      </c>
      <c r="P40" s="19">
        <f t="shared" si="6"/>
        <v>0</v>
      </c>
      <c r="Q40" s="19">
        <f t="shared" si="6"/>
        <v>0</v>
      </c>
      <c r="R40" s="19">
        <f t="shared" si="6"/>
        <v>0</v>
      </c>
      <c r="S40" s="19">
        <f t="shared" si="6"/>
        <v>0</v>
      </c>
      <c r="T40" s="19">
        <f t="shared" si="6"/>
        <v>0</v>
      </c>
      <c r="U40" s="19">
        <f t="shared" si="6"/>
        <v>0</v>
      </c>
      <c r="V40" s="19">
        <f t="shared" si="6"/>
        <v>0</v>
      </c>
      <c r="W40" s="19">
        <f t="shared" si="6"/>
        <v>0</v>
      </c>
      <c r="X40" s="19">
        <f t="shared" si="6"/>
        <v>0</v>
      </c>
      <c r="Y40" s="19">
        <f t="shared" si="6"/>
        <v>0</v>
      </c>
      <c r="Z40" s="19">
        <f t="shared" si="6"/>
        <v>0</v>
      </c>
      <c r="AA40" s="19">
        <f t="shared" si="6"/>
        <v>0</v>
      </c>
      <c r="AB40" s="19">
        <f t="shared" si="6"/>
        <v>0</v>
      </c>
      <c r="AC40" s="19">
        <f t="shared" si="6"/>
        <v>0</v>
      </c>
      <c r="AD40" s="19">
        <f t="shared" si="6"/>
        <v>0</v>
      </c>
      <c r="AE40" s="19">
        <f t="shared" si="6"/>
        <v>0</v>
      </c>
      <c r="AF40" s="19">
        <f t="shared" si="6"/>
        <v>0</v>
      </c>
      <c r="AG40" s="19">
        <f t="shared" si="6"/>
        <v>0</v>
      </c>
      <c r="AH40" s="19">
        <f t="shared" si="6"/>
        <v>0</v>
      </c>
      <c r="AI40" s="19">
        <f t="shared" si="6"/>
        <v>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7">($B$41*H.Ge+$C$41*H.Ga+$D$41*H.Se)*F$40*$B$2/1000</f>
        <v>-30.484012578750004</v>
      </c>
      <c r="G41" s="21">
        <f t="shared" ca="1" si="7"/>
        <v>-68.497905082140022</v>
      </c>
      <c r="H41" s="21">
        <f t="shared" ca="1" si="7"/>
        <v>-84.136872956220017</v>
      </c>
      <c r="I41" s="21">
        <f t="shared" ca="1" si="7"/>
        <v>-115.04855481309001</v>
      </c>
      <c r="J41" s="21">
        <f t="shared" ca="1" si="7"/>
        <v>-148.0588091532</v>
      </c>
      <c r="K41" s="21">
        <f t="shared" ca="1" si="7"/>
        <v>-183.09176699550005</v>
      </c>
      <c r="L41" s="21">
        <f t="shared" ca="1" si="7"/>
        <v>-220.64128037295004</v>
      </c>
      <c r="M41" s="21">
        <f t="shared" ca="1" si="7"/>
        <v>-260.41421826225002</v>
      </c>
      <c r="N41" s="21">
        <f t="shared" ca="1" si="7"/>
        <v>-302.16897127080006</v>
      </c>
      <c r="O41" s="21">
        <f t="shared" ca="1" si="7"/>
        <v>-346.70633550000002</v>
      </c>
      <c r="P41" s="21">
        <f t="shared" ca="1" si="7"/>
        <v>0</v>
      </c>
      <c r="Q41" s="21">
        <f t="shared" ca="1" si="7"/>
        <v>0</v>
      </c>
      <c r="R41" s="21">
        <f t="shared" ca="1" si="7"/>
        <v>0</v>
      </c>
      <c r="S41" s="21">
        <f t="shared" ca="1" si="7"/>
        <v>0</v>
      </c>
      <c r="T41" s="21">
        <f t="shared" ca="1" si="7"/>
        <v>0</v>
      </c>
      <c r="U41" s="21">
        <f t="shared" ca="1" si="7"/>
        <v>0</v>
      </c>
      <c r="V41" s="21">
        <f t="shared" ca="1" si="7"/>
        <v>0</v>
      </c>
      <c r="W41" s="21">
        <f t="shared" ca="1" si="7"/>
        <v>0</v>
      </c>
      <c r="X41" s="21">
        <f t="shared" ca="1" si="7"/>
        <v>0</v>
      </c>
      <c r="Y41" s="21">
        <f t="shared" ca="1" si="7"/>
        <v>0</v>
      </c>
      <c r="Z41" s="21">
        <f t="shared" ca="1" si="7"/>
        <v>0</v>
      </c>
      <c r="AA41" s="21">
        <f t="shared" ca="1" si="7"/>
        <v>0</v>
      </c>
      <c r="AB41" s="21">
        <f t="shared" ca="1" si="7"/>
        <v>0</v>
      </c>
      <c r="AC41" s="21">
        <f t="shared" ca="1" si="7"/>
        <v>0</v>
      </c>
      <c r="AD41" s="21">
        <f t="shared" ca="1" si="7"/>
        <v>0</v>
      </c>
      <c r="AE41" s="21">
        <f t="shared" ca="1" si="7"/>
        <v>0</v>
      </c>
      <c r="AF41" s="21">
        <f t="shared" ca="1" si="7"/>
        <v>0</v>
      </c>
      <c r="AG41" s="21">
        <f t="shared" ca="1" si="7"/>
        <v>0</v>
      </c>
      <c r="AH41" s="21">
        <f t="shared" ca="1" si="7"/>
        <v>0</v>
      </c>
      <c r="AI41" s="21">
        <f t="shared" ca="1" si="7"/>
        <v>0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>
        <f t="shared" ref="E49:F49" si="8">E3</f>
        <v>0</v>
      </c>
      <c r="F49" s="8">
        <f t="shared" si="8"/>
        <v>273.10000000000002</v>
      </c>
      <c r="G49" s="8">
        <f t="shared" ref="G49:AL49" si="9">G3</f>
        <v>353.9</v>
      </c>
      <c r="H49" s="8">
        <f t="shared" si="9"/>
        <v>434.7</v>
      </c>
      <c r="I49" s="8">
        <f t="shared" si="9"/>
        <v>515.4</v>
      </c>
      <c r="J49" s="8">
        <f t="shared" si="9"/>
        <v>596.20000000000005</v>
      </c>
      <c r="K49" s="8">
        <f t="shared" si="9"/>
        <v>677</v>
      </c>
      <c r="L49" s="8">
        <f t="shared" si="9"/>
        <v>757.7</v>
      </c>
      <c r="M49" s="8">
        <f t="shared" si="9"/>
        <v>838.5</v>
      </c>
      <c r="N49" s="8">
        <f t="shared" si="9"/>
        <v>919.2</v>
      </c>
      <c r="O49" s="8">
        <f t="shared" si="9"/>
        <v>1000</v>
      </c>
      <c r="P49" s="8">
        <f t="shared" si="9"/>
        <v>0</v>
      </c>
      <c r="Q49" s="8">
        <f t="shared" si="9"/>
        <v>0</v>
      </c>
      <c r="R49" s="8">
        <f t="shared" si="9"/>
        <v>0</v>
      </c>
      <c r="S49" s="8">
        <f t="shared" si="9"/>
        <v>0</v>
      </c>
      <c r="T49" s="8">
        <f t="shared" si="9"/>
        <v>0</v>
      </c>
      <c r="U49" s="8">
        <f t="shared" si="9"/>
        <v>0</v>
      </c>
      <c r="V49" s="8">
        <f t="shared" si="9"/>
        <v>0</v>
      </c>
      <c r="W49" s="8">
        <f t="shared" si="9"/>
        <v>0</v>
      </c>
      <c r="X49" s="8">
        <f t="shared" si="9"/>
        <v>0</v>
      </c>
      <c r="Y49" s="8">
        <f t="shared" si="9"/>
        <v>0</v>
      </c>
      <c r="Z49" s="8">
        <f t="shared" si="9"/>
        <v>0</v>
      </c>
      <c r="AA49" s="8">
        <f t="shared" si="9"/>
        <v>0</v>
      </c>
      <c r="AB49" s="8">
        <f t="shared" si="9"/>
        <v>0</v>
      </c>
      <c r="AC49" s="8">
        <f t="shared" si="9"/>
        <v>0</v>
      </c>
      <c r="AD49" s="8">
        <f t="shared" si="9"/>
        <v>0</v>
      </c>
      <c r="AE49" s="8">
        <f t="shared" si="9"/>
        <v>0</v>
      </c>
      <c r="AF49" s="8">
        <f t="shared" si="9"/>
        <v>0</v>
      </c>
      <c r="AG49" s="8">
        <f t="shared" si="9"/>
        <v>0</v>
      </c>
      <c r="AH49" s="8">
        <f t="shared" si="9"/>
        <v>0</v>
      </c>
      <c r="AI49" s="8">
        <f t="shared" si="9"/>
        <v>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1</v>
      </c>
      <c r="C50" s="10">
        <f t="shared" si="10"/>
        <v>0</v>
      </c>
      <c r="D50" s="10">
        <f t="shared" si="10"/>
        <v>0</v>
      </c>
      <c r="E50" s="11" t="str">
        <f t="shared" si="10"/>
        <v>*Se[l]</v>
      </c>
      <c r="F50" s="26">
        <f t="shared" ref="F50:U59" ca="1" si="11">$A50*H.Ar + $B50*H.Se + $C50*H.Ge + $D50*H.Ga</f>
        <v>-4.7</v>
      </c>
      <c r="G50" s="26">
        <f t="shared" ca="1" si="11"/>
        <v>-5.6130000000000004</v>
      </c>
      <c r="H50" s="26">
        <f t="shared" ca="1" si="11"/>
        <v>-5.6130000000000004</v>
      </c>
      <c r="I50" s="26">
        <f t="shared" ca="1" si="11"/>
        <v>-6.0679999999999996</v>
      </c>
      <c r="J50" s="26">
        <f t="shared" ca="1" si="11"/>
        <v>-6.4809999999999999</v>
      </c>
      <c r="K50" s="26">
        <f t="shared" ca="1" si="11"/>
        <v>-6.8319999999999999</v>
      </c>
      <c r="L50" s="26">
        <f t="shared" ca="1" si="11"/>
        <v>-7.15</v>
      </c>
      <c r="M50" s="26">
        <f t="shared" ca="1" si="11"/>
        <v>-7.47</v>
      </c>
      <c r="N50" s="26">
        <f t="shared" ca="1" si="11"/>
        <v>-7.8230000000000004</v>
      </c>
      <c r="O50" s="26">
        <f t="shared" ca="1" si="11"/>
        <v>-8.2680000000000007</v>
      </c>
      <c r="P50" s="26">
        <f t="shared" ca="1" si="11"/>
        <v>7.8265000000000004E-41</v>
      </c>
      <c r="Q50" s="26">
        <f t="shared" ca="1" si="11"/>
        <v>1.4296E-24</v>
      </c>
      <c r="R50" s="26">
        <f t="shared" ca="1" si="11"/>
        <v>2.5993E-17</v>
      </c>
      <c r="S50" s="26">
        <f t="shared" ca="1" si="11"/>
        <v>1.953E-14</v>
      </c>
      <c r="T50" s="26">
        <f t="shared" ca="1" si="11"/>
        <v>1.4264000000000001E-10</v>
      </c>
      <c r="U50" s="26">
        <f t="shared" ca="1" si="11"/>
        <v>1.2626000000000001E-10</v>
      </c>
      <c r="V50" s="26">
        <f t="shared" ref="G50:AL58" ca="1" si="12">$A50*H.Ar + $B50*H.Se + $C50*H.Ge + $D50*H.Ga</f>
        <v>1.0119E-9</v>
      </c>
      <c r="W50" s="26">
        <f t="shared" ca="1" si="12"/>
        <v>0</v>
      </c>
      <c r="X50" s="26">
        <f t="shared" ca="1" si="12"/>
        <v>9.7267000000000003E-9</v>
      </c>
      <c r="Y50" s="26">
        <f t="shared" ca="1" si="12"/>
        <v>7.2993999999999998E-8</v>
      </c>
      <c r="Z50" s="26">
        <f t="shared" ca="1" si="12"/>
        <v>0.18548000000000001</v>
      </c>
      <c r="AA50" s="26">
        <f t="shared" ca="1" si="12"/>
        <v>0.19289000000000001</v>
      </c>
      <c r="AB50" s="26">
        <f t="shared" ca="1" si="12"/>
        <v>0.19889000000000001</v>
      </c>
      <c r="AC50" s="26">
        <f t="shared" ca="1" si="12"/>
        <v>0.23233000000000001</v>
      </c>
      <c r="AD50" s="26">
        <f t="shared" ca="1" si="12"/>
        <v>0.24440999999999999</v>
      </c>
      <c r="AE50" s="26">
        <f t="shared" ca="1" si="12"/>
        <v>0.25866</v>
      </c>
      <c r="AF50" s="26">
        <f t="shared" ca="1" si="12"/>
        <v>0.27559</v>
      </c>
      <c r="AG50" s="26">
        <f t="shared" ca="1" si="12"/>
        <v>0.25866</v>
      </c>
      <c r="AH50" s="26">
        <f t="shared" ca="1" si="12"/>
        <v>0.27559</v>
      </c>
      <c r="AI50" s="26">
        <f t="shared" ca="1" si="12"/>
        <v>0.29603000000000002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3</v>
      </c>
      <c r="C51" s="10">
        <f t="shared" si="10"/>
        <v>0</v>
      </c>
      <c r="D51" s="10">
        <f t="shared" si="10"/>
        <v>0</v>
      </c>
      <c r="E51" s="11" t="str">
        <f t="shared" si="10"/>
        <v>Se3</v>
      </c>
      <c r="F51" s="26">
        <f t="shared" ca="1" si="11"/>
        <v>-14.100000000000001</v>
      </c>
      <c r="G51" s="26">
        <f t="shared" ca="1" si="12"/>
        <v>-16.839000000000002</v>
      </c>
      <c r="H51" s="26">
        <f t="shared" ca="1" si="12"/>
        <v>-16.839000000000002</v>
      </c>
      <c r="I51" s="26">
        <f t="shared" ca="1" si="12"/>
        <v>-18.204000000000001</v>
      </c>
      <c r="J51" s="26">
        <f t="shared" ca="1" si="12"/>
        <v>-19.442999999999998</v>
      </c>
      <c r="K51" s="26">
        <f t="shared" ca="1" si="12"/>
        <v>-20.495999999999999</v>
      </c>
      <c r="L51" s="26">
        <f t="shared" ca="1" si="12"/>
        <v>-21.450000000000003</v>
      </c>
      <c r="M51" s="26">
        <f t="shared" ca="1" si="12"/>
        <v>-22.41</v>
      </c>
      <c r="N51" s="26">
        <f t="shared" ca="1" si="12"/>
        <v>-23.469000000000001</v>
      </c>
      <c r="O51" s="26">
        <f t="shared" ca="1" si="12"/>
        <v>-24.804000000000002</v>
      </c>
      <c r="P51" s="26">
        <f t="shared" ca="1" si="12"/>
        <v>2.34795E-40</v>
      </c>
      <c r="Q51" s="26">
        <f t="shared" ca="1" si="12"/>
        <v>4.2888000000000003E-24</v>
      </c>
      <c r="R51" s="26">
        <f t="shared" ca="1" si="12"/>
        <v>7.7978999999999995E-17</v>
      </c>
      <c r="S51" s="26">
        <f t="shared" ca="1" si="12"/>
        <v>5.8590000000000006E-14</v>
      </c>
      <c r="T51" s="26">
        <f t="shared" ca="1" si="12"/>
        <v>4.2792000000000001E-10</v>
      </c>
      <c r="U51" s="26">
        <f t="shared" ca="1" si="12"/>
        <v>3.7878000000000001E-10</v>
      </c>
      <c r="V51" s="26">
        <f t="shared" ca="1" si="12"/>
        <v>3.0357000000000002E-9</v>
      </c>
      <c r="W51" s="26">
        <f t="shared" ca="1" si="12"/>
        <v>0</v>
      </c>
      <c r="X51" s="26">
        <f t="shared" ca="1" si="12"/>
        <v>2.9180099999999999E-8</v>
      </c>
      <c r="Y51" s="26">
        <f t="shared" ca="1" si="12"/>
        <v>2.18982E-7</v>
      </c>
      <c r="Z51" s="26">
        <f t="shared" ca="1" si="12"/>
        <v>0.55644000000000005</v>
      </c>
      <c r="AA51" s="26">
        <f t="shared" ca="1" si="12"/>
        <v>0.57867000000000002</v>
      </c>
      <c r="AB51" s="26">
        <f t="shared" ca="1" si="12"/>
        <v>0.59667000000000003</v>
      </c>
      <c r="AC51" s="26">
        <f t="shared" ca="1" si="12"/>
        <v>0.69699</v>
      </c>
      <c r="AD51" s="26">
        <f t="shared" ca="1" si="12"/>
        <v>0.73322999999999994</v>
      </c>
      <c r="AE51" s="26">
        <f t="shared" ca="1" si="12"/>
        <v>0.77598</v>
      </c>
      <c r="AF51" s="26">
        <f t="shared" ca="1" si="12"/>
        <v>0.82677</v>
      </c>
      <c r="AG51" s="26">
        <f t="shared" ca="1" si="12"/>
        <v>0.77598</v>
      </c>
      <c r="AH51" s="26">
        <f t="shared" ca="1" si="12"/>
        <v>0.82677</v>
      </c>
      <c r="AI51" s="26">
        <f t="shared" ca="1" si="12"/>
        <v>0.88809000000000005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4</v>
      </c>
      <c r="C52" s="10">
        <f t="shared" si="10"/>
        <v>0</v>
      </c>
      <c r="D52" s="10">
        <f t="shared" si="10"/>
        <v>0</v>
      </c>
      <c r="E52" s="11" t="str">
        <f t="shared" si="10"/>
        <v>Se4</v>
      </c>
      <c r="F52" s="26">
        <f t="shared" ca="1" si="11"/>
        <v>-18.8</v>
      </c>
      <c r="G52" s="26">
        <f t="shared" ca="1" si="12"/>
        <v>-22.452000000000002</v>
      </c>
      <c r="H52" s="26">
        <f t="shared" ca="1" si="12"/>
        <v>-22.452000000000002</v>
      </c>
      <c r="I52" s="26">
        <f t="shared" ca="1" si="12"/>
        <v>-24.271999999999998</v>
      </c>
      <c r="J52" s="26">
        <f t="shared" ca="1" si="12"/>
        <v>-25.923999999999999</v>
      </c>
      <c r="K52" s="26">
        <f t="shared" ca="1" si="12"/>
        <v>-27.327999999999999</v>
      </c>
      <c r="L52" s="26">
        <f t="shared" ca="1" si="12"/>
        <v>-28.6</v>
      </c>
      <c r="M52" s="26">
        <f t="shared" ca="1" si="12"/>
        <v>-29.88</v>
      </c>
      <c r="N52" s="26">
        <f t="shared" ca="1" si="12"/>
        <v>-31.292000000000002</v>
      </c>
      <c r="O52" s="26">
        <f t="shared" ca="1" si="12"/>
        <v>-33.072000000000003</v>
      </c>
      <c r="P52" s="26">
        <f t="shared" ca="1" si="12"/>
        <v>3.1306000000000001E-40</v>
      </c>
      <c r="Q52" s="26">
        <f t="shared" ca="1" si="12"/>
        <v>5.7184E-24</v>
      </c>
      <c r="R52" s="26">
        <f t="shared" ca="1" si="12"/>
        <v>1.03972E-16</v>
      </c>
      <c r="S52" s="26">
        <f t="shared" ca="1" si="12"/>
        <v>7.8119999999999999E-14</v>
      </c>
      <c r="T52" s="26">
        <f t="shared" ca="1" si="12"/>
        <v>5.7056000000000004E-10</v>
      </c>
      <c r="U52" s="26">
        <f t="shared" ca="1" si="12"/>
        <v>5.0504000000000005E-10</v>
      </c>
      <c r="V52" s="26">
        <f t="shared" ca="1" si="12"/>
        <v>4.0476E-9</v>
      </c>
      <c r="W52" s="26">
        <f t="shared" ca="1" si="12"/>
        <v>0</v>
      </c>
      <c r="X52" s="26">
        <f t="shared" ca="1" si="12"/>
        <v>3.8906800000000001E-8</v>
      </c>
      <c r="Y52" s="26">
        <f t="shared" ca="1" si="12"/>
        <v>2.9197599999999999E-7</v>
      </c>
      <c r="Z52" s="26">
        <f t="shared" ca="1" si="12"/>
        <v>0.74192000000000002</v>
      </c>
      <c r="AA52" s="26">
        <f t="shared" ca="1" si="12"/>
        <v>0.77156000000000002</v>
      </c>
      <c r="AB52" s="26">
        <f t="shared" ca="1" si="12"/>
        <v>0.79556000000000004</v>
      </c>
      <c r="AC52" s="26">
        <f t="shared" ca="1" si="12"/>
        <v>0.92932000000000003</v>
      </c>
      <c r="AD52" s="26">
        <f t="shared" ca="1" si="12"/>
        <v>0.97763999999999995</v>
      </c>
      <c r="AE52" s="26">
        <f t="shared" ca="1" si="12"/>
        <v>1.03464</v>
      </c>
      <c r="AF52" s="26">
        <f t="shared" ca="1" si="12"/>
        <v>1.10236</v>
      </c>
      <c r="AG52" s="26">
        <f t="shared" ca="1" si="12"/>
        <v>1.03464</v>
      </c>
      <c r="AH52" s="26">
        <f t="shared" ca="1" si="12"/>
        <v>1.10236</v>
      </c>
      <c r="AI52" s="26">
        <f t="shared" ca="1" si="12"/>
        <v>1.1841200000000001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5</v>
      </c>
      <c r="C53" s="10">
        <f t="shared" si="10"/>
        <v>0</v>
      </c>
      <c r="D53" s="10">
        <f t="shared" si="10"/>
        <v>0</v>
      </c>
      <c r="E53" s="11" t="str">
        <f t="shared" si="10"/>
        <v>Se5</v>
      </c>
      <c r="F53" s="26">
        <f t="shared" ca="1" si="11"/>
        <v>-23.5</v>
      </c>
      <c r="G53" s="26">
        <f t="shared" ca="1" si="12"/>
        <v>-28.065000000000001</v>
      </c>
      <c r="H53" s="26">
        <f t="shared" ca="1" si="12"/>
        <v>-28.065000000000001</v>
      </c>
      <c r="I53" s="26">
        <f t="shared" ca="1" si="12"/>
        <v>-30.339999999999996</v>
      </c>
      <c r="J53" s="26">
        <f t="shared" ca="1" si="12"/>
        <v>-32.405000000000001</v>
      </c>
      <c r="K53" s="26">
        <f t="shared" ca="1" si="12"/>
        <v>-34.159999999999997</v>
      </c>
      <c r="L53" s="26">
        <f t="shared" ca="1" si="12"/>
        <v>-35.75</v>
      </c>
      <c r="M53" s="26">
        <f t="shared" ca="1" si="12"/>
        <v>-37.35</v>
      </c>
      <c r="N53" s="26">
        <f t="shared" ca="1" si="12"/>
        <v>-39.115000000000002</v>
      </c>
      <c r="O53" s="26">
        <f t="shared" ca="1" si="12"/>
        <v>-41.34</v>
      </c>
      <c r="P53" s="26">
        <f t="shared" ca="1" si="12"/>
        <v>3.9132500000000003E-40</v>
      </c>
      <c r="Q53" s="26">
        <f t="shared" ca="1" si="12"/>
        <v>7.1479999999999996E-24</v>
      </c>
      <c r="R53" s="26">
        <f t="shared" ca="1" si="12"/>
        <v>1.2996500000000001E-16</v>
      </c>
      <c r="S53" s="26">
        <f t="shared" ca="1" si="12"/>
        <v>9.7649999999999993E-14</v>
      </c>
      <c r="T53" s="26">
        <f t="shared" ca="1" si="12"/>
        <v>7.1320000000000008E-10</v>
      </c>
      <c r="U53" s="26">
        <f t="shared" ca="1" si="12"/>
        <v>6.3130000000000008E-10</v>
      </c>
      <c r="V53" s="26">
        <f t="shared" ca="1" si="12"/>
        <v>5.0594999999999997E-9</v>
      </c>
      <c r="W53" s="26">
        <f t="shared" ca="1" si="12"/>
        <v>0</v>
      </c>
      <c r="X53" s="26">
        <f t="shared" ca="1" si="12"/>
        <v>4.8633500000000003E-8</v>
      </c>
      <c r="Y53" s="26">
        <f t="shared" ca="1" si="12"/>
        <v>3.6497000000000002E-7</v>
      </c>
      <c r="Z53" s="26">
        <f t="shared" ca="1" si="12"/>
        <v>0.9274</v>
      </c>
      <c r="AA53" s="26">
        <f t="shared" ca="1" si="12"/>
        <v>0.96445000000000003</v>
      </c>
      <c r="AB53" s="26">
        <f t="shared" ca="1" si="12"/>
        <v>0.99445000000000006</v>
      </c>
      <c r="AC53" s="26">
        <f t="shared" ca="1" si="12"/>
        <v>1.1616500000000001</v>
      </c>
      <c r="AD53" s="26">
        <f t="shared" ca="1" si="12"/>
        <v>1.2220499999999999</v>
      </c>
      <c r="AE53" s="26">
        <f t="shared" ca="1" si="12"/>
        <v>1.2932999999999999</v>
      </c>
      <c r="AF53" s="26">
        <f t="shared" ca="1" si="12"/>
        <v>1.37795</v>
      </c>
      <c r="AG53" s="26">
        <f t="shared" ca="1" si="12"/>
        <v>1.2932999999999999</v>
      </c>
      <c r="AH53" s="26">
        <f t="shared" ca="1" si="12"/>
        <v>1.37795</v>
      </c>
      <c r="AI53" s="26">
        <f t="shared" ca="1" si="12"/>
        <v>1.4801500000000001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6</v>
      </c>
      <c r="C54" s="10">
        <f t="shared" si="10"/>
        <v>0</v>
      </c>
      <c r="D54" s="10">
        <f t="shared" si="10"/>
        <v>0</v>
      </c>
      <c r="E54" s="11" t="str">
        <f t="shared" si="10"/>
        <v>Se6</v>
      </c>
      <c r="F54" s="26">
        <f t="shared" ca="1" si="11"/>
        <v>-28.200000000000003</v>
      </c>
      <c r="G54" s="26">
        <f t="shared" ca="1" si="12"/>
        <v>-33.678000000000004</v>
      </c>
      <c r="H54" s="26">
        <f t="shared" ca="1" si="12"/>
        <v>-33.678000000000004</v>
      </c>
      <c r="I54" s="26">
        <f t="shared" ca="1" si="12"/>
        <v>-36.408000000000001</v>
      </c>
      <c r="J54" s="26">
        <f t="shared" ca="1" si="12"/>
        <v>-38.885999999999996</v>
      </c>
      <c r="K54" s="26">
        <f t="shared" ca="1" si="12"/>
        <v>-40.991999999999997</v>
      </c>
      <c r="L54" s="26">
        <f t="shared" ca="1" si="12"/>
        <v>-42.900000000000006</v>
      </c>
      <c r="M54" s="26">
        <f t="shared" ca="1" si="12"/>
        <v>-44.82</v>
      </c>
      <c r="N54" s="26">
        <f t="shared" ca="1" si="12"/>
        <v>-46.938000000000002</v>
      </c>
      <c r="O54" s="26">
        <f t="shared" ca="1" si="12"/>
        <v>-49.608000000000004</v>
      </c>
      <c r="P54" s="26">
        <f t="shared" ca="1" si="12"/>
        <v>4.6959E-40</v>
      </c>
      <c r="Q54" s="26">
        <f t="shared" ca="1" si="12"/>
        <v>8.5776000000000007E-24</v>
      </c>
      <c r="R54" s="26">
        <f t="shared" ca="1" si="12"/>
        <v>1.5595799999999999E-16</v>
      </c>
      <c r="S54" s="26">
        <f t="shared" ca="1" si="12"/>
        <v>1.1718000000000001E-13</v>
      </c>
      <c r="T54" s="26">
        <f t="shared" ca="1" si="12"/>
        <v>8.5584000000000001E-10</v>
      </c>
      <c r="U54" s="26">
        <f t="shared" ca="1" si="12"/>
        <v>7.5756000000000002E-10</v>
      </c>
      <c r="V54" s="26">
        <f t="shared" ca="1" si="12"/>
        <v>6.0714000000000004E-9</v>
      </c>
      <c r="W54" s="26">
        <f t="shared" ca="1" si="12"/>
        <v>0</v>
      </c>
      <c r="X54" s="26">
        <f t="shared" ca="1" si="12"/>
        <v>5.8360199999999999E-8</v>
      </c>
      <c r="Y54" s="26">
        <f t="shared" ca="1" si="12"/>
        <v>4.3796399999999999E-7</v>
      </c>
      <c r="Z54" s="26">
        <f t="shared" ca="1" si="12"/>
        <v>1.1128800000000001</v>
      </c>
      <c r="AA54" s="26">
        <f t="shared" ca="1" si="12"/>
        <v>1.15734</v>
      </c>
      <c r="AB54" s="26">
        <f t="shared" ca="1" si="12"/>
        <v>1.1933400000000001</v>
      </c>
      <c r="AC54" s="26">
        <f t="shared" ca="1" si="12"/>
        <v>1.39398</v>
      </c>
      <c r="AD54" s="26">
        <f t="shared" ca="1" si="12"/>
        <v>1.4664599999999999</v>
      </c>
      <c r="AE54" s="26">
        <f t="shared" ca="1" si="12"/>
        <v>1.55196</v>
      </c>
      <c r="AF54" s="26">
        <f t="shared" ca="1" si="12"/>
        <v>1.65354</v>
      </c>
      <c r="AG54" s="26">
        <f t="shared" ca="1" si="12"/>
        <v>1.55196</v>
      </c>
      <c r="AH54" s="26">
        <f t="shared" ca="1" si="12"/>
        <v>1.65354</v>
      </c>
      <c r="AI54" s="26">
        <f t="shared" ca="1" si="12"/>
        <v>1.7761800000000001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7</v>
      </c>
      <c r="C55" s="10">
        <f t="shared" si="10"/>
        <v>0</v>
      </c>
      <c r="D55" s="10">
        <f t="shared" si="10"/>
        <v>0</v>
      </c>
      <c r="E55" s="11" t="str">
        <f t="shared" si="10"/>
        <v>Se7</v>
      </c>
      <c r="F55" s="26">
        <f t="shared" ca="1" si="11"/>
        <v>-32.9</v>
      </c>
      <c r="G55" s="26">
        <f t="shared" ca="1" si="12"/>
        <v>-39.291000000000004</v>
      </c>
      <c r="H55" s="26">
        <f t="shared" ca="1" si="12"/>
        <v>-39.291000000000004</v>
      </c>
      <c r="I55" s="26">
        <f t="shared" ca="1" si="12"/>
        <v>-42.475999999999999</v>
      </c>
      <c r="J55" s="26">
        <f t="shared" ca="1" si="12"/>
        <v>-45.366999999999997</v>
      </c>
      <c r="K55" s="26">
        <f t="shared" ca="1" si="12"/>
        <v>-47.823999999999998</v>
      </c>
      <c r="L55" s="26">
        <f t="shared" ca="1" si="12"/>
        <v>-50.050000000000004</v>
      </c>
      <c r="M55" s="26">
        <f t="shared" ca="1" si="12"/>
        <v>-52.29</v>
      </c>
      <c r="N55" s="26">
        <f t="shared" ca="1" si="12"/>
        <v>-54.761000000000003</v>
      </c>
      <c r="O55" s="26">
        <f t="shared" ca="1" si="12"/>
        <v>-57.876000000000005</v>
      </c>
      <c r="P55" s="26">
        <f t="shared" ca="1" si="12"/>
        <v>5.4785500000000006E-40</v>
      </c>
      <c r="Q55" s="26">
        <f t="shared" ca="1" si="12"/>
        <v>1.00072E-23</v>
      </c>
      <c r="R55" s="26">
        <f t="shared" ca="1" si="12"/>
        <v>1.81951E-16</v>
      </c>
      <c r="S55" s="26">
        <f t="shared" ca="1" si="12"/>
        <v>1.3671000000000001E-13</v>
      </c>
      <c r="T55" s="26">
        <f t="shared" ca="1" si="12"/>
        <v>9.9848000000000005E-10</v>
      </c>
      <c r="U55" s="26">
        <f t="shared" ca="1" si="12"/>
        <v>8.8382000000000006E-10</v>
      </c>
      <c r="V55" s="26">
        <f t="shared" ca="1" si="12"/>
        <v>7.0833000000000001E-9</v>
      </c>
      <c r="W55" s="26">
        <f t="shared" ca="1" si="12"/>
        <v>0</v>
      </c>
      <c r="X55" s="26">
        <f t="shared" ca="1" si="12"/>
        <v>6.8086900000000001E-8</v>
      </c>
      <c r="Y55" s="26">
        <f t="shared" ca="1" si="12"/>
        <v>5.1095799999999996E-7</v>
      </c>
      <c r="Z55" s="26">
        <f t="shared" ca="1" si="12"/>
        <v>1.29836</v>
      </c>
      <c r="AA55" s="26">
        <f t="shared" ca="1" si="12"/>
        <v>1.35023</v>
      </c>
      <c r="AB55" s="26">
        <f t="shared" ca="1" si="12"/>
        <v>1.3922300000000001</v>
      </c>
      <c r="AC55" s="26">
        <f t="shared" ca="1" si="12"/>
        <v>1.6263100000000001</v>
      </c>
      <c r="AD55" s="26">
        <f t="shared" ca="1" si="12"/>
        <v>1.7108699999999999</v>
      </c>
      <c r="AE55" s="26">
        <f t="shared" ca="1" si="12"/>
        <v>1.8106200000000001</v>
      </c>
      <c r="AF55" s="26">
        <f t="shared" ca="1" si="12"/>
        <v>1.92913</v>
      </c>
      <c r="AG55" s="26">
        <f t="shared" ca="1" si="12"/>
        <v>1.8106200000000001</v>
      </c>
      <c r="AH55" s="26">
        <f t="shared" ca="1" si="12"/>
        <v>1.92913</v>
      </c>
      <c r="AI55" s="26">
        <f t="shared" ca="1" si="12"/>
        <v>2.0722100000000001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8</v>
      </c>
      <c r="C56" s="10">
        <f t="shared" si="10"/>
        <v>0</v>
      </c>
      <c r="D56" s="10">
        <f t="shared" si="10"/>
        <v>0</v>
      </c>
      <c r="E56" s="11" t="str">
        <f t="shared" si="10"/>
        <v>Se8</v>
      </c>
      <c r="F56" s="26">
        <f t="shared" ca="1" si="11"/>
        <v>-37.6</v>
      </c>
      <c r="G56" s="26">
        <f t="shared" ca="1" si="12"/>
        <v>-44.904000000000003</v>
      </c>
      <c r="H56" s="26">
        <f t="shared" ca="1" si="12"/>
        <v>-44.904000000000003</v>
      </c>
      <c r="I56" s="26">
        <f t="shared" ca="1" si="12"/>
        <v>-48.543999999999997</v>
      </c>
      <c r="J56" s="26">
        <f t="shared" ca="1" si="12"/>
        <v>-51.847999999999999</v>
      </c>
      <c r="K56" s="26">
        <f t="shared" ca="1" si="12"/>
        <v>-54.655999999999999</v>
      </c>
      <c r="L56" s="26">
        <f t="shared" ca="1" si="12"/>
        <v>-57.2</v>
      </c>
      <c r="M56" s="26">
        <f t="shared" ca="1" si="12"/>
        <v>-59.76</v>
      </c>
      <c r="N56" s="26">
        <f t="shared" ca="1" si="12"/>
        <v>-62.584000000000003</v>
      </c>
      <c r="O56" s="26">
        <f t="shared" ca="1" si="12"/>
        <v>-66.144000000000005</v>
      </c>
      <c r="P56" s="26">
        <f t="shared" ca="1" si="12"/>
        <v>6.2612000000000003E-40</v>
      </c>
      <c r="Q56" s="26">
        <f t="shared" ca="1" si="12"/>
        <v>1.14368E-23</v>
      </c>
      <c r="R56" s="26">
        <f t="shared" ca="1" si="12"/>
        <v>2.07944E-16</v>
      </c>
      <c r="S56" s="26">
        <f t="shared" ca="1" si="12"/>
        <v>1.5624E-13</v>
      </c>
      <c r="T56" s="26">
        <f t="shared" ca="1" si="12"/>
        <v>1.1411200000000001E-9</v>
      </c>
      <c r="U56" s="26">
        <f t="shared" ca="1" si="12"/>
        <v>1.0100800000000001E-9</v>
      </c>
      <c r="V56" s="26">
        <f t="shared" ca="1" si="12"/>
        <v>8.0951999999999999E-9</v>
      </c>
      <c r="W56" s="26">
        <f t="shared" ca="1" si="12"/>
        <v>0</v>
      </c>
      <c r="X56" s="26">
        <f t="shared" ca="1" si="12"/>
        <v>7.7813600000000003E-8</v>
      </c>
      <c r="Y56" s="26">
        <f t="shared" ca="1" si="12"/>
        <v>5.8395199999999999E-7</v>
      </c>
      <c r="Z56" s="26">
        <f t="shared" ca="1" si="12"/>
        <v>1.48384</v>
      </c>
      <c r="AA56" s="26">
        <f t="shared" ca="1" si="12"/>
        <v>1.54312</v>
      </c>
      <c r="AB56" s="26">
        <f t="shared" ca="1" si="12"/>
        <v>1.5911200000000001</v>
      </c>
      <c r="AC56" s="26">
        <f t="shared" ca="1" si="12"/>
        <v>1.8586400000000001</v>
      </c>
      <c r="AD56" s="26">
        <f t="shared" ca="1" si="12"/>
        <v>1.9552799999999999</v>
      </c>
      <c r="AE56" s="26">
        <f t="shared" ca="1" si="12"/>
        <v>2.06928</v>
      </c>
      <c r="AF56" s="26">
        <f t="shared" ca="1" si="12"/>
        <v>2.20472</v>
      </c>
      <c r="AG56" s="26">
        <f t="shared" ca="1" si="12"/>
        <v>2.06928</v>
      </c>
      <c r="AH56" s="26">
        <f t="shared" ca="1" si="12"/>
        <v>2.20472</v>
      </c>
      <c r="AI56" s="26">
        <f t="shared" ca="1" si="12"/>
        <v>2.3682400000000001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2</v>
      </c>
      <c r="C57" s="10">
        <f t="shared" si="10"/>
        <v>0</v>
      </c>
      <c r="D57" s="10">
        <f t="shared" si="10"/>
        <v>0</v>
      </c>
      <c r="E57" s="11" t="str">
        <f t="shared" si="10"/>
        <v>Se2</v>
      </c>
      <c r="F57" s="26">
        <f t="shared" ca="1" si="11"/>
        <v>-9.4</v>
      </c>
      <c r="G57" s="26">
        <f t="shared" ca="1" si="12"/>
        <v>-11.226000000000001</v>
      </c>
      <c r="H57" s="26">
        <f t="shared" ca="1" si="12"/>
        <v>-11.226000000000001</v>
      </c>
      <c r="I57" s="26">
        <f t="shared" ca="1" si="12"/>
        <v>-12.135999999999999</v>
      </c>
      <c r="J57" s="26">
        <f t="shared" ca="1" si="12"/>
        <v>-12.962</v>
      </c>
      <c r="K57" s="26">
        <f t="shared" ca="1" si="12"/>
        <v>-13.664</v>
      </c>
      <c r="L57" s="26">
        <f t="shared" ca="1" si="12"/>
        <v>-14.3</v>
      </c>
      <c r="M57" s="26">
        <f t="shared" ca="1" si="12"/>
        <v>-14.94</v>
      </c>
      <c r="N57" s="26">
        <f t="shared" ca="1" si="12"/>
        <v>-15.646000000000001</v>
      </c>
      <c r="O57" s="26">
        <f t="shared" ca="1" si="12"/>
        <v>-16.536000000000001</v>
      </c>
      <c r="P57" s="26">
        <f t="shared" ca="1" si="12"/>
        <v>1.5653000000000001E-40</v>
      </c>
      <c r="Q57" s="26">
        <f t="shared" ca="1" si="12"/>
        <v>2.8592E-24</v>
      </c>
      <c r="R57" s="26">
        <f t="shared" ca="1" si="12"/>
        <v>5.1986000000000001E-17</v>
      </c>
      <c r="S57" s="26">
        <f t="shared" ca="1" si="12"/>
        <v>3.906E-14</v>
      </c>
      <c r="T57" s="26">
        <f t="shared" ca="1" si="12"/>
        <v>2.8528000000000002E-10</v>
      </c>
      <c r="U57" s="26">
        <f t="shared" ca="1" si="12"/>
        <v>2.5252000000000002E-10</v>
      </c>
      <c r="V57" s="26">
        <f t="shared" ca="1" si="12"/>
        <v>2.0238E-9</v>
      </c>
      <c r="W57" s="26">
        <f t="shared" ca="1" si="12"/>
        <v>0</v>
      </c>
      <c r="X57" s="26">
        <f t="shared" ca="1" si="12"/>
        <v>1.9453400000000001E-8</v>
      </c>
      <c r="Y57" s="26">
        <f t="shared" ca="1" si="12"/>
        <v>1.45988E-7</v>
      </c>
      <c r="Z57" s="26">
        <f t="shared" ca="1" si="12"/>
        <v>0.37096000000000001</v>
      </c>
      <c r="AA57" s="26">
        <f t="shared" ca="1" si="12"/>
        <v>0.38578000000000001</v>
      </c>
      <c r="AB57" s="26">
        <f t="shared" ca="1" si="12"/>
        <v>0.39778000000000002</v>
      </c>
      <c r="AC57" s="26">
        <f t="shared" ca="1" si="12"/>
        <v>0.46466000000000002</v>
      </c>
      <c r="AD57" s="26">
        <f t="shared" ca="1" si="12"/>
        <v>0.48881999999999998</v>
      </c>
      <c r="AE57" s="26">
        <f t="shared" ca="1" si="12"/>
        <v>0.51732</v>
      </c>
      <c r="AF57" s="26">
        <f t="shared" ca="1" si="12"/>
        <v>0.55118</v>
      </c>
      <c r="AG57" s="26">
        <f t="shared" ca="1" si="12"/>
        <v>0.51732</v>
      </c>
      <c r="AH57" s="26">
        <f t="shared" ca="1" si="12"/>
        <v>0.55118</v>
      </c>
      <c r="AI57" s="26">
        <f t="shared" ca="1" si="12"/>
        <v>0.59206000000000003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0</v>
      </c>
      <c r="E58" s="11" t="str">
        <f t="shared" si="10"/>
        <v>Se</v>
      </c>
      <c r="F58" s="26">
        <f t="shared" ca="1" si="11"/>
        <v>-4.7</v>
      </c>
      <c r="G58" s="26">
        <f t="shared" ca="1" si="12"/>
        <v>-5.6130000000000004</v>
      </c>
      <c r="H58" s="26">
        <f t="shared" ca="1" si="12"/>
        <v>-5.6130000000000004</v>
      </c>
      <c r="I58" s="26">
        <f t="shared" ca="1" si="12"/>
        <v>-6.0679999999999996</v>
      </c>
      <c r="J58" s="26">
        <f t="shared" ca="1" si="12"/>
        <v>-6.4809999999999999</v>
      </c>
      <c r="K58" s="26">
        <f t="shared" ca="1" si="12"/>
        <v>-6.8319999999999999</v>
      </c>
      <c r="L58" s="26">
        <f t="shared" ca="1" si="12"/>
        <v>-7.15</v>
      </c>
      <c r="M58" s="26">
        <f t="shared" ca="1" si="12"/>
        <v>-7.47</v>
      </c>
      <c r="N58" s="26">
        <f t="shared" ca="1" si="12"/>
        <v>-7.8230000000000004</v>
      </c>
      <c r="O58" s="26">
        <f t="shared" ca="1" si="12"/>
        <v>-8.2680000000000007</v>
      </c>
      <c r="P58" s="26">
        <f t="shared" ca="1" si="12"/>
        <v>7.8265000000000004E-41</v>
      </c>
      <c r="Q58" s="26">
        <f t="shared" ca="1" si="12"/>
        <v>1.4296E-24</v>
      </c>
      <c r="R58" s="26">
        <f t="shared" ca="1" si="12"/>
        <v>2.5993E-17</v>
      </c>
      <c r="S58" s="26">
        <f t="shared" ca="1" si="12"/>
        <v>1.953E-14</v>
      </c>
      <c r="T58" s="26">
        <f t="shared" ca="1" si="12"/>
        <v>1.4264000000000001E-10</v>
      </c>
      <c r="U58" s="26">
        <f t="shared" ref="G58:AL66" ca="1" si="13">$A58*H.Ar + $B58*H.Se + $C58*H.Ge + $D58*H.Ga</f>
        <v>1.2626000000000001E-10</v>
      </c>
      <c r="V58" s="26">
        <f t="shared" ca="1" si="13"/>
        <v>1.0119E-9</v>
      </c>
      <c r="W58" s="26">
        <f t="shared" ca="1" si="13"/>
        <v>0</v>
      </c>
      <c r="X58" s="26">
        <f t="shared" ca="1" si="13"/>
        <v>9.7267000000000003E-9</v>
      </c>
      <c r="Y58" s="26">
        <f t="shared" ca="1" si="13"/>
        <v>7.2993999999999998E-8</v>
      </c>
      <c r="Z58" s="26">
        <f t="shared" ca="1" si="13"/>
        <v>0.18548000000000001</v>
      </c>
      <c r="AA58" s="26">
        <f t="shared" ca="1" si="13"/>
        <v>0.19289000000000001</v>
      </c>
      <c r="AB58" s="26">
        <f t="shared" ca="1" si="13"/>
        <v>0.19889000000000001</v>
      </c>
      <c r="AC58" s="26">
        <f t="shared" ca="1" si="13"/>
        <v>0.23233000000000001</v>
      </c>
      <c r="AD58" s="26">
        <f t="shared" ca="1" si="13"/>
        <v>0.24440999999999999</v>
      </c>
      <c r="AE58" s="26">
        <f t="shared" ca="1" si="13"/>
        <v>0.25866</v>
      </c>
      <c r="AF58" s="26">
        <f t="shared" ca="1" si="13"/>
        <v>0.27559</v>
      </c>
      <c r="AG58" s="26">
        <f t="shared" ca="1" si="13"/>
        <v>0.25866</v>
      </c>
      <c r="AH58" s="26">
        <f t="shared" ca="1" si="13"/>
        <v>0.27559</v>
      </c>
      <c r="AI58" s="26">
        <f t="shared" ca="1" si="13"/>
        <v>0.29603000000000002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0</v>
      </c>
      <c r="B59" s="10">
        <f t="shared" si="10"/>
        <v>1</v>
      </c>
      <c r="C59" s="10">
        <f t="shared" si="10"/>
        <v>0</v>
      </c>
      <c r="D59" s="10">
        <f t="shared" si="10"/>
        <v>2</v>
      </c>
      <c r="E59" s="11" t="str">
        <f t="shared" si="10"/>
        <v>Ga2Se</v>
      </c>
      <c r="F59" s="26">
        <f t="shared" ca="1" si="11"/>
        <v>-17.254000000000001</v>
      </c>
      <c r="G59" s="26">
        <f t="shared" ca="1" si="13"/>
        <v>-20.391000000000002</v>
      </c>
      <c r="H59" s="26">
        <f t="shared" ca="1" si="13"/>
        <v>-20.391000000000002</v>
      </c>
      <c r="I59" s="26">
        <f t="shared" ca="1" si="13"/>
        <v>-21.763999999999999</v>
      </c>
      <c r="J59" s="26">
        <f t="shared" ca="1" si="13"/>
        <v>-23.104999999999997</v>
      </c>
      <c r="K59" s="26">
        <f t="shared" ca="1" si="13"/>
        <v>-24.682000000000002</v>
      </c>
      <c r="L59" s="26">
        <f t="shared" ca="1" si="13"/>
        <v>-26.502000000000002</v>
      </c>
      <c r="M59" s="26">
        <f t="shared" ca="1" si="13"/>
        <v>-28.25</v>
      </c>
      <c r="N59" s="26">
        <f t="shared" ca="1" si="13"/>
        <v>-29.882999999999999</v>
      </c>
      <c r="O59" s="26">
        <f t="shared" ca="1" si="13"/>
        <v>-31.408000000000001</v>
      </c>
      <c r="P59" s="26">
        <f t="shared" ca="1" si="13"/>
        <v>7.8265000000000004E-41</v>
      </c>
      <c r="Q59" s="26">
        <f t="shared" ca="1" si="13"/>
        <v>1.4296E-24</v>
      </c>
      <c r="R59" s="26">
        <f t="shared" ca="1" si="13"/>
        <v>2.5993E-17</v>
      </c>
      <c r="S59" s="26">
        <f t="shared" ca="1" si="13"/>
        <v>1.953E-14</v>
      </c>
      <c r="T59" s="26">
        <f t="shared" ca="1" si="13"/>
        <v>1.4264000000000001E-10</v>
      </c>
      <c r="U59" s="26">
        <f t="shared" ca="1" si="13"/>
        <v>1.2626000000000001E-10</v>
      </c>
      <c r="V59" s="26">
        <f t="shared" ca="1" si="13"/>
        <v>1.0119E-9</v>
      </c>
      <c r="W59" s="26">
        <f t="shared" ca="1" si="13"/>
        <v>0</v>
      </c>
      <c r="X59" s="26">
        <f t="shared" ca="1" si="13"/>
        <v>9.7267000000000003E-9</v>
      </c>
      <c r="Y59" s="26">
        <f t="shared" ca="1" si="13"/>
        <v>7.2993999999999998E-8</v>
      </c>
      <c r="Z59" s="26">
        <f t="shared" ca="1" si="13"/>
        <v>0.18548000000000001</v>
      </c>
      <c r="AA59" s="26">
        <f t="shared" ca="1" si="13"/>
        <v>0.19289000000000001</v>
      </c>
      <c r="AB59" s="26">
        <f t="shared" ca="1" si="13"/>
        <v>0.19889000000000001</v>
      </c>
      <c r="AC59" s="26">
        <f t="shared" ca="1" si="13"/>
        <v>0.23233000000000001</v>
      </c>
      <c r="AD59" s="26">
        <f t="shared" ca="1" si="13"/>
        <v>0.24440999999999999</v>
      </c>
      <c r="AE59" s="26">
        <f t="shared" ca="1" si="13"/>
        <v>0.25866</v>
      </c>
      <c r="AF59" s="26">
        <f t="shared" ca="1" si="13"/>
        <v>0.27559</v>
      </c>
      <c r="AG59" s="26">
        <f t="shared" ca="1" si="13"/>
        <v>0.25866</v>
      </c>
      <c r="AH59" s="26">
        <f t="shared" ca="1" si="13"/>
        <v>0.27559</v>
      </c>
      <c r="AI59" s="26">
        <f t="shared" ca="1" si="13"/>
        <v>0.29603000000000002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1</v>
      </c>
      <c r="B60" s="10">
        <f t="shared" si="10"/>
        <v>0</v>
      </c>
      <c r="C60" s="10">
        <f t="shared" si="10"/>
        <v>0</v>
      </c>
      <c r="D60" s="10">
        <f t="shared" si="10"/>
        <v>0</v>
      </c>
      <c r="E60" s="11" t="str">
        <f t="shared" si="10"/>
        <v>Ar</v>
      </c>
      <c r="F60" s="26">
        <f t="shared" ref="F60:U69" ca="1" si="14">$A60*H.Ar + $B60*H.Se + $C60*H.Ge + $D60*H.Ga</f>
        <v>-18.62</v>
      </c>
      <c r="G60" s="26">
        <f t="shared" ca="1" si="14"/>
        <v>-18.77</v>
      </c>
      <c r="H60" s="26">
        <f t="shared" ca="1" si="14"/>
        <v>-18.77</v>
      </c>
      <c r="I60" s="26">
        <f t="shared" ca="1" si="14"/>
        <v>-18.93</v>
      </c>
      <c r="J60" s="26">
        <f t="shared" ca="1" si="14"/>
        <v>-19.13</v>
      </c>
      <c r="K60" s="26">
        <f t="shared" ca="1" si="14"/>
        <v>-19.399999999999999</v>
      </c>
      <c r="L60" s="26">
        <f t="shared" ca="1" si="14"/>
        <v>-19.649999999999999</v>
      </c>
      <c r="M60" s="26">
        <f t="shared" ca="1" si="14"/>
        <v>-19.89</v>
      </c>
      <c r="N60" s="26">
        <f t="shared" ca="1" si="14"/>
        <v>-20.149999999999999</v>
      </c>
      <c r="O60" s="26">
        <f t="shared" ca="1" si="14"/>
        <v>-20.46</v>
      </c>
      <c r="P60" s="26">
        <f t="shared" ca="1" si="14"/>
        <v>0</v>
      </c>
      <c r="Q60" s="26">
        <f t="shared" ca="1" si="14"/>
        <v>0</v>
      </c>
      <c r="R60" s="26">
        <f t="shared" ca="1" si="14"/>
        <v>0</v>
      </c>
      <c r="S60" s="26">
        <f t="shared" ca="1" si="14"/>
        <v>0</v>
      </c>
      <c r="T60" s="26">
        <f t="shared" ca="1" si="14"/>
        <v>0</v>
      </c>
      <c r="U60" s="26">
        <f t="shared" ca="1" si="14"/>
        <v>0</v>
      </c>
      <c r="V60" s="26">
        <f t="shared" ca="1" si="13"/>
        <v>0</v>
      </c>
      <c r="W60" s="26">
        <f t="shared" ca="1" si="13"/>
        <v>0</v>
      </c>
      <c r="X60" s="26">
        <f t="shared" ca="1" si="13"/>
        <v>0</v>
      </c>
      <c r="Y60" s="26">
        <f t="shared" ca="1" si="13"/>
        <v>0</v>
      </c>
      <c r="Z60" s="26">
        <f t="shared" ca="1" si="13"/>
        <v>0</v>
      </c>
      <c r="AA60" s="26">
        <f t="shared" ca="1" si="13"/>
        <v>0</v>
      </c>
      <c r="AB60" s="26">
        <f t="shared" ca="1" si="13"/>
        <v>0</v>
      </c>
      <c r="AC60" s="26">
        <f t="shared" ca="1" si="13"/>
        <v>0</v>
      </c>
      <c r="AD60" s="26">
        <f t="shared" ca="1" si="13"/>
        <v>0</v>
      </c>
      <c r="AE60" s="26">
        <f t="shared" ca="1" si="13"/>
        <v>0</v>
      </c>
      <c r="AF60" s="26">
        <f t="shared" ca="1" si="13"/>
        <v>0</v>
      </c>
      <c r="AG60" s="26">
        <f t="shared" ca="1" si="13"/>
        <v>0</v>
      </c>
      <c r="AH60" s="26">
        <f t="shared" ca="1" si="13"/>
        <v>0</v>
      </c>
      <c r="AI60" s="26">
        <f t="shared" ca="1" si="13"/>
        <v>0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0</v>
      </c>
      <c r="D61" s="10">
        <f t="shared" si="10"/>
        <v>1</v>
      </c>
      <c r="E61" s="11" t="str">
        <f t="shared" si="10"/>
        <v>(l)Ga[l]</v>
      </c>
      <c r="F61" s="26">
        <f t="shared" ca="1" si="14"/>
        <v>-6.2770000000000001</v>
      </c>
      <c r="G61" s="26">
        <f t="shared" ca="1" si="13"/>
        <v>-7.3890000000000002</v>
      </c>
      <c r="H61" s="26">
        <f t="shared" ca="1" si="13"/>
        <v>-7.3890000000000002</v>
      </c>
      <c r="I61" s="26">
        <f t="shared" ca="1" si="13"/>
        <v>-7.8479999999999999</v>
      </c>
      <c r="J61" s="26">
        <f t="shared" ca="1" si="13"/>
        <v>-8.3119999999999994</v>
      </c>
      <c r="K61" s="26">
        <f t="shared" ca="1" si="13"/>
        <v>-8.9250000000000007</v>
      </c>
      <c r="L61" s="26">
        <f t="shared" ca="1" si="13"/>
        <v>-9.6760000000000002</v>
      </c>
      <c r="M61" s="26">
        <f t="shared" ca="1" si="13"/>
        <v>-10.39</v>
      </c>
      <c r="N61" s="26">
        <f t="shared" ca="1" si="13"/>
        <v>-11.03</v>
      </c>
      <c r="O61" s="26">
        <f t="shared" ca="1" si="13"/>
        <v>-11.57</v>
      </c>
      <c r="P61" s="26">
        <f t="shared" ca="1" si="13"/>
        <v>0</v>
      </c>
      <c r="Q61" s="26">
        <f t="shared" ca="1" si="13"/>
        <v>0</v>
      </c>
      <c r="R61" s="26">
        <f t="shared" ca="1" si="13"/>
        <v>0</v>
      </c>
      <c r="S61" s="26">
        <f t="shared" ca="1" si="13"/>
        <v>0</v>
      </c>
      <c r="T61" s="26">
        <f t="shared" ca="1" si="13"/>
        <v>0</v>
      </c>
      <c r="U61" s="26">
        <f t="shared" ca="1" si="13"/>
        <v>0</v>
      </c>
      <c r="V61" s="26">
        <f t="shared" ca="1" si="13"/>
        <v>0</v>
      </c>
      <c r="W61" s="26">
        <f t="shared" ca="1" si="13"/>
        <v>0</v>
      </c>
      <c r="X61" s="26">
        <f t="shared" ca="1" si="13"/>
        <v>0</v>
      </c>
      <c r="Y61" s="26">
        <f t="shared" ca="1" si="13"/>
        <v>0</v>
      </c>
      <c r="Z61" s="26">
        <f t="shared" ca="1" si="13"/>
        <v>0</v>
      </c>
      <c r="AA61" s="26">
        <f t="shared" ca="1" si="13"/>
        <v>0</v>
      </c>
      <c r="AB61" s="26">
        <f t="shared" ca="1" si="13"/>
        <v>0</v>
      </c>
      <c r="AC61" s="26">
        <f t="shared" ca="1" si="13"/>
        <v>0</v>
      </c>
      <c r="AD61" s="26">
        <f t="shared" ca="1" si="13"/>
        <v>0</v>
      </c>
      <c r="AE61" s="26">
        <f t="shared" ca="1" si="13"/>
        <v>0</v>
      </c>
      <c r="AF61" s="26">
        <f t="shared" ca="1" si="13"/>
        <v>0</v>
      </c>
      <c r="AG61" s="26">
        <f t="shared" ca="1" si="13"/>
        <v>0</v>
      </c>
      <c r="AH61" s="26">
        <f t="shared" ca="1" si="13"/>
        <v>0</v>
      </c>
      <c r="AI61" s="26">
        <f t="shared" ca="1" si="13"/>
        <v>0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0</v>
      </c>
      <c r="B62" s="10">
        <f t="shared" si="10"/>
        <v>0</v>
      </c>
      <c r="C62" s="10">
        <f t="shared" si="10"/>
        <v>1</v>
      </c>
      <c r="D62" s="10">
        <f t="shared" si="10"/>
        <v>0</v>
      </c>
      <c r="E62" s="11" t="str">
        <f t="shared" si="10"/>
        <v>(l)Ge[l]</v>
      </c>
      <c r="F62" s="26">
        <f t="shared" ca="1" si="14"/>
        <v>6.952</v>
      </c>
      <c r="G62" s="26">
        <f t="shared" ca="1" si="13"/>
        <v>0.94920000000000004</v>
      </c>
      <c r="H62" s="26">
        <f t="shared" ca="1" si="13"/>
        <v>0.94920000000000004</v>
      </c>
      <c r="I62" s="26">
        <f t="shared" ca="1" si="13"/>
        <v>-0.79530000000000001</v>
      </c>
      <c r="J62" s="26">
        <f t="shared" ca="1" si="13"/>
        <v>-2.113</v>
      </c>
      <c r="K62" s="26">
        <f t="shared" ca="1" si="13"/>
        <v>-3.1059999999999999</v>
      </c>
      <c r="L62" s="26">
        <f t="shared" ca="1" si="13"/>
        <v>-3.8969999999999998</v>
      </c>
      <c r="M62" s="26">
        <f t="shared" ca="1" si="13"/>
        <v>-4.5529999999999999</v>
      </c>
      <c r="N62" s="26">
        <f t="shared" ca="1" si="13"/>
        <v>-5.0380000000000003</v>
      </c>
      <c r="O62" s="26">
        <f t="shared" ca="1" si="13"/>
        <v>-5.3250000000000002</v>
      </c>
      <c r="P62" s="26">
        <f t="shared" ca="1" si="13"/>
        <v>0.28000000000000003</v>
      </c>
      <c r="Q62" s="26">
        <f t="shared" ca="1" si="13"/>
        <v>0.28000000000000003</v>
      </c>
      <c r="R62" s="26">
        <f t="shared" ca="1" si="13"/>
        <v>0.28000000000000003</v>
      </c>
      <c r="S62" s="26">
        <f t="shared" ca="1" si="13"/>
        <v>0.28000000000000003</v>
      </c>
      <c r="T62" s="26">
        <f t="shared" ca="1" si="13"/>
        <v>0.28000000000000003</v>
      </c>
      <c r="U62" s="26">
        <f t="shared" ca="1" si="13"/>
        <v>0.28000000000000003</v>
      </c>
      <c r="V62" s="26">
        <f t="shared" ca="1" si="13"/>
        <v>0.28000000000000003</v>
      </c>
      <c r="W62" s="26">
        <f t="shared" ca="1" si="13"/>
        <v>0.27079999999999999</v>
      </c>
      <c r="X62" s="26">
        <f t="shared" ca="1" si="13"/>
        <v>0.21576000000000001</v>
      </c>
      <c r="Y62" s="26">
        <f t="shared" ca="1" si="13"/>
        <v>0.20441000000000001</v>
      </c>
      <c r="Z62" s="26">
        <f t="shared" ca="1" si="13"/>
        <v>0.20115</v>
      </c>
      <c r="AA62" s="26">
        <f t="shared" ca="1" si="13"/>
        <v>0.20011999999999999</v>
      </c>
      <c r="AB62" s="26">
        <f t="shared" ca="1" si="13"/>
        <v>0.20000999999999999</v>
      </c>
      <c r="AC62" s="26">
        <f t="shared" ca="1" si="13"/>
        <v>0.2</v>
      </c>
      <c r="AD62" s="26">
        <f t="shared" ca="1" si="13"/>
        <v>0.2</v>
      </c>
      <c r="AE62" s="26">
        <f t="shared" ca="1" si="13"/>
        <v>0.2</v>
      </c>
      <c r="AF62" s="26">
        <f t="shared" ca="1" si="13"/>
        <v>0.2</v>
      </c>
      <c r="AG62" s="26">
        <f t="shared" ca="1" si="13"/>
        <v>0.2</v>
      </c>
      <c r="AH62" s="26">
        <f t="shared" ca="1" si="13"/>
        <v>0.2</v>
      </c>
      <c r="AI62" s="26">
        <f t="shared" ca="1" si="13"/>
        <v>0.2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1</v>
      </c>
      <c r="C63" s="10">
        <f t="shared" si="10"/>
        <v>0</v>
      </c>
      <c r="D63" s="10">
        <f t="shared" si="10"/>
        <v>0</v>
      </c>
      <c r="E63" s="11" t="str">
        <f t="shared" si="10"/>
        <v>(l)Se[l]</v>
      </c>
      <c r="F63" s="26">
        <f t="shared" ca="1" si="14"/>
        <v>-4.7</v>
      </c>
      <c r="G63" s="26">
        <f t="shared" ca="1" si="13"/>
        <v>-5.6130000000000004</v>
      </c>
      <c r="H63" s="26">
        <f t="shared" ca="1" si="13"/>
        <v>-5.6130000000000004</v>
      </c>
      <c r="I63" s="26">
        <f t="shared" ca="1" si="13"/>
        <v>-6.0679999999999996</v>
      </c>
      <c r="J63" s="26">
        <f t="shared" ca="1" si="13"/>
        <v>-6.4809999999999999</v>
      </c>
      <c r="K63" s="26">
        <f t="shared" ca="1" si="13"/>
        <v>-6.8319999999999999</v>
      </c>
      <c r="L63" s="26">
        <f t="shared" ca="1" si="13"/>
        <v>-7.15</v>
      </c>
      <c r="M63" s="26">
        <f t="shared" ca="1" si="13"/>
        <v>-7.47</v>
      </c>
      <c r="N63" s="26">
        <f t="shared" ca="1" si="13"/>
        <v>-7.8230000000000004</v>
      </c>
      <c r="O63" s="26">
        <f t="shared" ca="1" si="13"/>
        <v>-8.2680000000000007</v>
      </c>
      <c r="P63" s="26">
        <f t="shared" ca="1" si="13"/>
        <v>7.8265000000000004E-41</v>
      </c>
      <c r="Q63" s="26">
        <f t="shared" ca="1" si="13"/>
        <v>1.4296E-24</v>
      </c>
      <c r="R63" s="26">
        <f t="shared" ca="1" si="13"/>
        <v>2.5993E-17</v>
      </c>
      <c r="S63" s="26">
        <f t="shared" ca="1" si="13"/>
        <v>1.953E-14</v>
      </c>
      <c r="T63" s="26">
        <f t="shared" ca="1" si="13"/>
        <v>1.4264000000000001E-10</v>
      </c>
      <c r="U63" s="26">
        <f t="shared" ca="1" si="13"/>
        <v>1.2626000000000001E-10</v>
      </c>
      <c r="V63" s="26">
        <f t="shared" ca="1" si="13"/>
        <v>1.0119E-9</v>
      </c>
      <c r="W63" s="26">
        <f t="shared" ca="1" si="13"/>
        <v>0</v>
      </c>
      <c r="X63" s="26">
        <f t="shared" ca="1" si="13"/>
        <v>9.7267000000000003E-9</v>
      </c>
      <c r="Y63" s="26">
        <f t="shared" ca="1" si="13"/>
        <v>7.2993999999999998E-8</v>
      </c>
      <c r="Z63" s="26">
        <f t="shared" ca="1" si="13"/>
        <v>0.18548000000000001</v>
      </c>
      <c r="AA63" s="26">
        <f t="shared" ca="1" si="13"/>
        <v>0.19289000000000001</v>
      </c>
      <c r="AB63" s="26">
        <f t="shared" ca="1" si="13"/>
        <v>0.19889000000000001</v>
      </c>
      <c r="AC63" s="26">
        <f t="shared" ca="1" si="13"/>
        <v>0.23233000000000001</v>
      </c>
      <c r="AD63" s="26">
        <f t="shared" ca="1" si="13"/>
        <v>0.24440999999999999</v>
      </c>
      <c r="AE63" s="26">
        <f t="shared" ca="1" si="13"/>
        <v>0.25866</v>
      </c>
      <c r="AF63" s="26">
        <f t="shared" ca="1" si="13"/>
        <v>0.27559</v>
      </c>
      <c r="AG63" s="26">
        <f t="shared" ca="1" si="13"/>
        <v>0.25866</v>
      </c>
      <c r="AH63" s="26">
        <f t="shared" ca="1" si="13"/>
        <v>0.27559</v>
      </c>
      <c r="AI63" s="26">
        <f t="shared" ca="1" si="13"/>
        <v>0.29603000000000002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1</v>
      </c>
      <c r="B64" s="10">
        <f t="shared" si="10"/>
        <v>0</v>
      </c>
      <c r="C64" s="10">
        <f t="shared" si="10"/>
        <v>0</v>
      </c>
      <c r="D64" s="10">
        <f t="shared" si="10"/>
        <v>0</v>
      </c>
      <c r="E64" s="11" t="str">
        <f t="shared" si="10"/>
        <v>H (Ar)</v>
      </c>
      <c r="F64" s="26">
        <f t="shared" ca="1" si="14"/>
        <v>-18.62</v>
      </c>
      <c r="G64" s="26">
        <f t="shared" ca="1" si="13"/>
        <v>-18.77</v>
      </c>
      <c r="H64" s="26">
        <f t="shared" ca="1" si="13"/>
        <v>-18.77</v>
      </c>
      <c r="I64" s="26">
        <f t="shared" ca="1" si="13"/>
        <v>-18.93</v>
      </c>
      <c r="J64" s="26">
        <f t="shared" ca="1" si="13"/>
        <v>-19.13</v>
      </c>
      <c r="K64" s="26">
        <f t="shared" ca="1" si="13"/>
        <v>-19.399999999999999</v>
      </c>
      <c r="L64" s="26">
        <f t="shared" ca="1" si="13"/>
        <v>-19.649999999999999</v>
      </c>
      <c r="M64" s="26">
        <f t="shared" ca="1" si="13"/>
        <v>-19.89</v>
      </c>
      <c r="N64" s="26">
        <f t="shared" ca="1" si="13"/>
        <v>-20.149999999999999</v>
      </c>
      <c r="O64" s="26">
        <f t="shared" ca="1" si="13"/>
        <v>-20.46</v>
      </c>
      <c r="P64" s="26">
        <f t="shared" ca="1" si="13"/>
        <v>0</v>
      </c>
      <c r="Q64" s="26">
        <f t="shared" ca="1" si="13"/>
        <v>0</v>
      </c>
      <c r="R64" s="26">
        <f t="shared" ca="1" si="13"/>
        <v>0</v>
      </c>
      <c r="S64" s="26">
        <f t="shared" ca="1" si="13"/>
        <v>0</v>
      </c>
      <c r="T64" s="26">
        <f t="shared" ca="1" si="13"/>
        <v>0</v>
      </c>
      <c r="U64" s="26">
        <f t="shared" ca="1" si="13"/>
        <v>0</v>
      </c>
      <c r="V64" s="26">
        <f t="shared" ca="1" si="13"/>
        <v>0</v>
      </c>
      <c r="W64" s="26">
        <f t="shared" ca="1" si="13"/>
        <v>0</v>
      </c>
      <c r="X64" s="26">
        <f t="shared" ca="1" si="13"/>
        <v>0</v>
      </c>
      <c r="Y64" s="26">
        <f t="shared" ca="1" si="13"/>
        <v>0</v>
      </c>
      <c r="Z64" s="26">
        <f t="shared" ca="1" si="13"/>
        <v>0</v>
      </c>
      <c r="AA64" s="26">
        <f t="shared" ca="1" si="13"/>
        <v>0</v>
      </c>
      <c r="AB64" s="26">
        <f t="shared" ca="1" si="13"/>
        <v>0</v>
      </c>
      <c r="AC64" s="26">
        <f t="shared" ca="1" si="13"/>
        <v>0</v>
      </c>
      <c r="AD64" s="26">
        <f t="shared" ca="1" si="13"/>
        <v>0</v>
      </c>
      <c r="AE64" s="26">
        <f t="shared" ca="1" si="13"/>
        <v>0</v>
      </c>
      <c r="AF64" s="26">
        <f t="shared" ca="1" si="13"/>
        <v>0</v>
      </c>
      <c r="AG64" s="26">
        <f t="shared" ca="1" si="13"/>
        <v>0</v>
      </c>
      <c r="AH64" s="26">
        <f t="shared" ca="1" si="13"/>
        <v>0</v>
      </c>
      <c r="AI64" s="26">
        <f t="shared" ca="1" si="13"/>
        <v>0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0</v>
      </c>
      <c r="C65" s="10">
        <f t="shared" si="10"/>
        <v>0</v>
      </c>
      <c r="D65" s="10">
        <f t="shared" si="10"/>
        <v>1</v>
      </c>
      <c r="E65" s="11" t="str">
        <f t="shared" si="10"/>
        <v>H (Ga)</v>
      </c>
      <c r="F65" s="26">
        <f t="shared" ca="1" si="14"/>
        <v>-6.2770000000000001</v>
      </c>
      <c r="G65" s="26">
        <f t="shared" ca="1" si="13"/>
        <v>-7.3890000000000002</v>
      </c>
      <c r="H65" s="26">
        <f t="shared" ca="1" si="13"/>
        <v>-7.3890000000000002</v>
      </c>
      <c r="I65" s="26">
        <f t="shared" ca="1" si="13"/>
        <v>-7.8479999999999999</v>
      </c>
      <c r="J65" s="26">
        <f t="shared" ca="1" si="13"/>
        <v>-8.3119999999999994</v>
      </c>
      <c r="K65" s="26">
        <f t="shared" ca="1" si="13"/>
        <v>-8.9250000000000007</v>
      </c>
      <c r="L65" s="26">
        <f t="shared" ca="1" si="13"/>
        <v>-9.6760000000000002</v>
      </c>
      <c r="M65" s="26">
        <f t="shared" ca="1" si="13"/>
        <v>-10.39</v>
      </c>
      <c r="N65" s="26">
        <f t="shared" ca="1" si="13"/>
        <v>-11.03</v>
      </c>
      <c r="O65" s="26">
        <f t="shared" ca="1" si="13"/>
        <v>-11.57</v>
      </c>
      <c r="P65" s="26">
        <f t="shared" ca="1" si="13"/>
        <v>0</v>
      </c>
      <c r="Q65" s="26">
        <f t="shared" ca="1" si="13"/>
        <v>0</v>
      </c>
      <c r="R65" s="26">
        <f t="shared" ca="1" si="13"/>
        <v>0</v>
      </c>
      <c r="S65" s="26">
        <f t="shared" ca="1" si="13"/>
        <v>0</v>
      </c>
      <c r="T65" s="26">
        <f t="shared" ca="1" si="13"/>
        <v>0</v>
      </c>
      <c r="U65" s="26">
        <f t="shared" ca="1" si="13"/>
        <v>0</v>
      </c>
      <c r="V65" s="26">
        <f t="shared" ca="1" si="13"/>
        <v>0</v>
      </c>
      <c r="W65" s="26">
        <f t="shared" ca="1" si="13"/>
        <v>0</v>
      </c>
      <c r="X65" s="26">
        <f t="shared" ca="1" si="13"/>
        <v>0</v>
      </c>
      <c r="Y65" s="26">
        <f t="shared" ca="1" si="13"/>
        <v>0</v>
      </c>
      <c r="Z65" s="26">
        <f t="shared" ca="1" si="13"/>
        <v>0</v>
      </c>
      <c r="AA65" s="26">
        <f t="shared" ca="1" si="13"/>
        <v>0</v>
      </c>
      <c r="AB65" s="26">
        <f t="shared" ca="1" si="13"/>
        <v>0</v>
      </c>
      <c r="AC65" s="26">
        <f t="shared" ca="1" si="13"/>
        <v>0</v>
      </c>
      <c r="AD65" s="26">
        <f t="shared" ca="1" si="13"/>
        <v>0</v>
      </c>
      <c r="AE65" s="26">
        <f t="shared" ca="1" si="13"/>
        <v>0</v>
      </c>
      <c r="AF65" s="26">
        <f t="shared" ca="1" si="13"/>
        <v>0</v>
      </c>
      <c r="AG65" s="26">
        <f t="shared" ca="1" si="13"/>
        <v>0</v>
      </c>
      <c r="AH65" s="26">
        <f t="shared" ca="1" si="13"/>
        <v>0</v>
      </c>
      <c r="AI65" s="26">
        <f t="shared" ca="1" si="13"/>
        <v>0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1</v>
      </c>
      <c r="D66" s="10">
        <f t="shared" si="15"/>
        <v>0</v>
      </c>
      <c r="E66" s="11" t="str">
        <f t="shared" si="15"/>
        <v>H (Ge)</v>
      </c>
      <c r="F66" s="26">
        <f t="shared" ca="1" si="14"/>
        <v>6.952</v>
      </c>
      <c r="G66" s="26">
        <f t="shared" ca="1" si="13"/>
        <v>0.94920000000000004</v>
      </c>
      <c r="H66" s="26">
        <f t="shared" ca="1" si="13"/>
        <v>0.94920000000000004</v>
      </c>
      <c r="I66" s="26">
        <f t="shared" ca="1" si="13"/>
        <v>-0.79530000000000001</v>
      </c>
      <c r="J66" s="26">
        <f t="shared" ca="1" si="13"/>
        <v>-2.113</v>
      </c>
      <c r="K66" s="26">
        <f t="shared" ca="1" si="13"/>
        <v>-3.1059999999999999</v>
      </c>
      <c r="L66" s="26">
        <f t="shared" ca="1" si="13"/>
        <v>-3.8969999999999998</v>
      </c>
      <c r="M66" s="26">
        <f t="shared" ca="1" si="13"/>
        <v>-4.5529999999999999</v>
      </c>
      <c r="N66" s="26">
        <f t="shared" ca="1" si="13"/>
        <v>-5.0380000000000003</v>
      </c>
      <c r="O66" s="26">
        <f t="shared" ca="1" si="13"/>
        <v>-5.3250000000000002</v>
      </c>
      <c r="P66" s="26">
        <f t="shared" ca="1" si="13"/>
        <v>0.28000000000000003</v>
      </c>
      <c r="Q66" s="26">
        <f t="shared" ca="1" si="13"/>
        <v>0.28000000000000003</v>
      </c>
      <c r="R66" s="26">
        <f t="shared" ca="1" si="13"/>
        <v>0.28000000000000003</v>
      </c>
      <c r="S66" s="26">
        <f t="shared" ca="1" si="13"/>
        <v>0.28000000000000003</v>
      </c>
      <c r="T66" s="26">
        <f t="shared" ca="1" si="13"/>
        <v>0.28000000000000003</v>
      </c>
      <c r="U66" s="26">
        <f t="shared" ca="1" si="13"/>
        <v>0.28000000000000003</v>
      </c>
      <c r="V66" s="26">
        <f t="shared" ca="1" si="13"/>
        <v>0.28000000000000003</v>
      </c>
      <c r="W66" s="26">
        <f t="shared" ca="1" si="13"/>
        <v>0.27079999999999999</v>
      </c>
      <c r="X66" s="26">
        <f t="shared" ca="1" si="13"/>
        <v>0.21576000000000001</v>
      </c>
      <c r="Y66" s="26">
        <f t="shared" ca="1" si="13"/>
        <v>0.20441000000000001</v>
      </c>
      <c r="Z66" s="26">
        <f t="shared" ca="1" si="13"/>
        <v>0.20115</v>
      </c>
      <c r="AA66" s="26">
        <f t="shared" ca="1" si="13"/>
        <v>0.20011999999999999</v>
      </c>
      <c r="AB66" s="26">
        <f t="shared" ca="1" si="13"/>
        <v>0.20000999999999999</v>
      </c>
      <c r="AC66" s="26">
        <f t="shared" ca="1" si="13"/>
        <v>0.2</v>
      </c>
      <c r="AD66" s="26">
        <f t="shared" ca="1" si="13"/>
        <v>0.2</v>
      </c>
      <c r="AE66" s="26">
        <f t="shared" ca="1" si="13"/>
        <v>0.2</v>
      </c>
      <c r="AF66" s="26">
        <f t="shared" ca="1" si="13"/>
        <v>0.2</v>
      </c>
      <c r="AG66" s="26">
        <f t="shared" ca="1" si="13"/>
        <v>0.2</v>
      </c>
      <c r="AH66" s="26">
        <f t="shared" ca="1" si="13"/>
        <v>0.2</v>
      </c>
      <c r="AI66" s="26">
        <f t="shared" ref="G66:AL75" ca="1" si="16">$A66*H.Ar + $B66*H.Se + $C66*H.Ge + $D66*H.Ga</f>
        <v>0.2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1</v>
      </c>
      <c r="C67" s="10">
        <f t="shared" si="15"/>
        <v>0</v>
      </c>
      <c r="D67" s="10">
        <f t="shared" si="15"/>
        <v>0</v>
      </c>
      <c r="E67" s="11" t="str">
        <f t="shared" si="15"/>
        <v>H (Se)</v>
      </c>
      <c r="F67" s="26">
        <f t="shared" ca="1" si="14"/>
        <v>-4.7</v>
      </c>
      <c r="G67" s="26">
        <f t="shared" ca="1" si="16"/>
        <v>-5.6130000000000004</v>
      </c>
      <c r="H67" s="26">
        <f t="shared" ca="1" si="16"/>
        <v>-5.6130000000000004</v>
      </c>
      <c r="I67" s="26">
        <f t="shared" ca="1" si="16"/>
        <v>-6.0679999999999996</v>
      </c>
      <c r="J67" s="26">
        <f t="shared" ca="1" si="16"/>
        <v>-6.4809999999999999</v>
      </c>
      <c r="K67" s="26">
        <f t="shared" ca="1" si="16"/>
        <v>-6.8319999999999999</v>
      </c>
      <c r="L67" s="26">
        <f t="shared" ca="1" si="16"/>
        <v>-7.15</v>
      </c>
      <c r="M67" s="26">
        <f t="shared" ca="1" si="16"/>
        <v>-7.47</v>
      </c>
      <c r="N67" s="26">
        <f t="shared" ca="1" si="16"/>
        <v>-7.8230000000000004</v>
      </c>
      <c r="O67" s="26">
        <f t="shared" ca="1" si="16"/>
        <v>-8.2680000000000007</v>
      </c>
      <c r="P67" s="26">
        <f t="shared" ca="1" si="16"/>
        <v>7.8265000000000004E-41</v>
      </c>
      <c r="Q67" s="26">
        <f t="shared" ca="1" si="16"/>
        <v>1.4296E-24</v>
      </c>
      <c r="R67" s="26">
        <f t="shared" ca="1" si="16"/>
        <v>2.5993E-17</v>
      </c>
      <c r="S67" s="26">
        <f t="shared" ca="1" si="16"/>
        <v>1.953E-14</v>
      </c>
      <c r="T67" s="26">
        <f t="shared" ca="1" si="16"/>
        <v>1.4264000000000001E-10</v>
      </c>
      <c r="U67" s="26">
        <f t="shared" ca="1" si="16"/>
        <v>1.2626000000000001E-10</v>
      </c>
      <c r="V67" s="26">
        <f t="shared" ca="1" si="16"/>
        <v>1.0119E-9</v>
      </c>
      <c r="W67" s="26">
        <f t="shared" ca="1" si="16"/>
        <v>0</v>
      </c>
      <c r="X67" s="26">
        <f t="shared" ca="1" si="16"/>
        <v>9.7267000000000003E-9</v>
      </c>
      <c r="Y67" s="26">
        <f t="shared" ca="1" si="16"/>
        <v>7.2993999999999998E-8</v>
      </c>
      <c r="Z67" s="26">
        <f t="shared" ca="1" si="16"/>
        <v>0.18548000000000001</v>
      </c>
      <c r="AA67" s="26">
        <f t="shared" ca="1" si="16"/>
        <v>0.19289000000000001</v>
      </c>
      <c r="AB67" s="26">
        <f t="shared" ca="1" si="16"/>
        <v>0.19889000000000001</v>
      </c>
      <c r="AC67" s="26">
        <f t="shared" ca="1" si="16"/>
        <v>0.23233000000000001</v>
      </c>
      <c r="AD67" s="26">
        <f t="shared" ca="1" si="16"/>
        <v>0.24440999999999999</v>
      </c>
      <c r="AE67" s="26">
        <f t="shared" ca="1" si="16"/>
        <v>0.25866</v>
      </c>
      <c r="AF67" s="26">
        <f t="shared" ca="1" si="16"/>
        <v>0.27559</v>
      </c>
      <c r="AG67" s="26">
        <f t="shared" ca="1" si="16"/>
        <v>0.25866</v>
      </c>
      <c r="AH67" s="26">
        <f t="shared" ca="1" si="16"/>
        <v>0.27559</v>
      </c>
      <c r="AI67" s="26">
        <f t="shared" ca="1" si="16"/>
        <v>0.29603000000000002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38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38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</row>
    <row r="83" spans="1:38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>
        <f t="shared" ref="E83:E113" si="19">E49</f>
        <v>0</v>
      </c>
      <c r="F83" s="8">
        <f t="shared" ref="F83" si="20">F3</f>
        <v>273.10000000000002</v>
      </c>
      <c r="G83" s="8">
        <f t="shared" ref="G83:AL83" si="21">G3</f>
        <v>353.9</v>
      </c>
      <c r="H83" s="8">
        <f t="shared" si="21"/>
        <v>434.7</v>
      </c>
      <c r="I83" s="8">
        <f t="shared" si="21"/>
        <v>515.4</v>
      </c>
      <c r="J83" s="8">
        <f t="shared" si="21"/>
        <v>596.20000000000005</v>
      </c>
      <c r="K83" s="8">
        <f t="shared" si="21"/>
        <v>677</v>
      </c>
      <c r="L83" s="8">
        <f t="shared" si="21"/>
        <v>757.7</v>
      </c>
      <c r="M83" s="8">
        <f t="shared" si="21"/>
        <v>838.5</v>
      </c>
      <c r="N83" s="8">
        <f t="shared" si="21"/>
        <v>919.2</v>
      </c>
      <c r="O83" s="8">
        <f t="shared" si="21"/>
        <v>1000</v>
      </c>
      <c r="P83" s="8">
        <f t="shared" si="21"/>
        <v>0</v>
      </c>
      <c r="Q83" s="8">
        <f t="shared" si="21"/>
        <v>0</v>
      </c>
      <c r="R83" s="8">
        <f t="shared" si="21"/>
        <v>0</v>
      </c>
      <c r="S83" s="8">
        <f t="shared" si="21"/>
        <v>0</v>
      </c>
      <c r="T83" s="8">
        <f t="shared" si="21"/>
        <v>0</v>
      </c>
      <c r="U83" s="8">
        <f t="shared" si="21"/>
        <v>0</v>
      </c>
      <c r="V83" s="8">
        <f t="shared" si="21"/>
        <v>0</v>
      </c>
      <c r="W83" s="8">
        <f t="shared" si="21"/>
        <v>0</v>
      </c>
      <c r="X83" s="8">
        <f t="shared" si="21"/>
        <v>0</v>
      </c>
      <c r="Y83" s="8">
        <f t="shared" si="21"/>
        <v>0</v>
      </c>
      <c r="Z83" s="8">
        <f t="shared" si="21"/>
        <v>0</v>
      </c>
      <c r="AA83" s="8">
        <f t="shared" si="21"/>
        <v>0</v>
      </c>
      <c r="AB83" s="8">
        <f t="shared" si="21"/>
        <v>0</v>
      </c>
      <c r="AC83" s="8">
        <f t="shared" si="21"/>
        <v>0</v>
      </c>
      <c r="AD83" s="8">
        <f t="shared" si="21"/>
        <v>0</v>
      </c>
      <c r="AE83" s="8">
        <f t="shared" si="21"/>
        <v>0</v>
      </c>
      <c r="AF83" s="8">
        <f t="shared" si="21"/>
        <v>0</v>
      </c>
      <c r="AG83" s="8">
        <f t="shared" si="21"/>
        <v>0</v>
      </c>
      <c r="AH83" s="8">
        <f t="shared" si="21"/>
        <v>0</v>
      </c>
      <c r="AI83" s="8">
        <f t="shared" si="21"/>
        <v>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38" ht="21" hidden="1" customHeight="1" outlineLevel="1" thickTop="1" thickBot="1" x14ac:dyDescent="0.4">
      <c r="A84" s="10">
        <f>A50</f>
        <v>0</v>
      </c>
      <c r="B84" s="10">
        <f t="shared" ref="B84:D84" si="22">B50</f>
        <v>1</v>
      </c>
      <c r="C84" s="10">
        <f t="shared" si="22"/>
        <v>0</v>
      </c>
      <c r="D84" s="10">
        <f t="shared" si="22"/>
        <v>0</v>
      </c>
      <c r="E84" s="11" t="str">
        <f t="shared" si="19"/>
        <v>*Se[l]</v>
      </c>
      <c r="F84" s="26">
        <f t="shared" ref="F84:F91" si="23">F4*$C$82</f>
        <v>1.3841875000000001E-7</v>
      </c>
      <c r="G84" s="26">
        <f t="shared" ref="G84:AL91" si="24">G4*$C$82</f>
        <v>2.0243125E-7</v>
      </c>
      <c r="H84" s="26">
        <f t="shared" si="24"/>
        <v>2.0243125E-7</v>
      </c>
      <c r="I84" s="26">
        <f t="shared" si="24"/>
        <v>1.2974374999999999E-7</v>
      </c>
      <c r="J84" s="26">
        <f t="shared" si="24"/>
        <v>1.9500000000000001E-7</v>
      </c>
      <c r="K84" s="26">
        <f t="shared" si="24"/>
        <v>1.7595625E-7</v>
      </c>
      <c r="L84" s="26">
        <f t="shared" si="24"/>
        <v>3.0376249999999998E-7</v>
      </c>
      <c r="M84" s="26">
        <f t="shared" si="24"/>
        <v>3.69175E-7</v>
      </c>
      <c r="N84" s="26">
        <f t="shared" si="24"/>
        <v>1.8640624999999999E-7</v>
      </c>
      <c r="O84" s="26">
        <f t="shared" si="24"/>
        <v>8.1556249999999999E-8</v>
      </c>
      <c r="P84" s="26">
        <f t="shared" si="24"/>
        <v>0</v>
      </c>
      <c r="Q84" s="26">
        <f t="shared" si="24"/>
        <v>0</v>
      </c>
      <c r="R84" s="26">
        <f t="shared" si="24"/>
        <v>0</v>
      </c>
      <c r="S84" s="26">
        <f t="shared" si="24"/>
        <v>0</v>
      </c>
      <c r="T84" s="26">
        <f t="shared" si="24"/>
        <v>0</v>
      </c>
      <c r="U84" s="26">
        <f t="shared" si="24"/>
        <v>0</v>
      </c>
      <c r="V84" s="26">
        <f t="shared" si="24"/>
        <v>0</v>
      </c>
      <c r="W84" s="26">
        <f t="shared" si="24"/>
        <v>0</v>
      </c>
      <c r="X84" s="26">
        <f t="shared" si="24"/>
        <v>0</v>
      </c>
      <c r="Y84" s="26">
        <f t="shared" si="24"/>
        <v>0</v>
      </c>
      <c r="Z84" s="26">
        <f t="shared" si="24"/>
        <v>0</v>
      </c>
      <c r="AA84" s="26">
        <f t="shared" si="24"/>
        <v>0</v>
      </c>
      <c r="AB84" s="26">
        <f t="shared" si="24"/>
        <v>0</v>
      </c>
      <c r="AC84" s="26">
        <f t="shared" si="24"/>
        <v>0</v>
      </c>
      <c r="AD84" s="26">
        <f t="shared" si="24"/>
        <v>0</v>
      </c>
      <c r="AE84" s="26">
        <f t="shared" si="24"/>
        <v>0</v>
      </c>
      <c r="AF84" s="26">
        <f t="shared" si="24"/>
        <v>0</v>
      </c>
      <c r="AG84" s="26">
        <f t="shared" si="24"/>
        <v>0</v>
      </c>
      <c r="AH84" s="26">
        <f t="shared" si="24"/>
        <v>0</v>
      </c>
      <c r="AI84" s="26">
        <f t="shared" si="24"/>
        <v>0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38" ht="21" hidden="1" customHeight="1" outlineLevel="1" thickBot="1" x14ac:dyDescent="0.4">
      <c r="A85" s="10">
        <f t="shared" ref="A85:D100" si="25">A51</f>
        <v>0</v>
      </c>
      <c r="B85" s="10">
        <f t="shared" si="25"/>
        <v>3</v>
      </c>
      <c r="C85" s="10">
        <f t="shared" si="25"/>
        <v>0</v>
      </c>
      <c r="D85" s="10">
        <f t="shared" si="25"/>
        <v>0</v>
      </c>
      <c r="E85" s="11" t="str">
        <f t="shared" si="19"/>
        <v>Se3</v>
      </c>
      <c r="F85" s="26">
        <f t="shared" si="23"/>
        <v>1.7045E-24</v>
      </c>
      <c r="G85" s="26">
        <f t="shared" si="24"/>
        <v>7.162500000000001E-13</v>
      </c>
      <c r="H85" s="26">
        <f t="shared" si="24"/>
        <v>7.162500000000001E-13</v>
      </c>
      <c r="I85" s="26">
        <f t="shared" si="24"/>
        <v>6.2612499999999994E-10</v>
      </c>
      <c r="J85" s="26">
        <f t="shared" si="24"/>
        <v>8.2031249999999995E-8</v>
      </c>
      <c r="K85" s="26">
        <f t="shared" si="24"/>
        <v>3.5979375E-6</v>
      </c>
      <c r="L85" s="26">
        <f t="shared" si="24"/>
        <v>6.9175000000000001E-5</v>
      </c>
      <c r="M85" s="26">
        <f t="shared" si="24"/>
        <v>6.6800000000000008E-4</v>
      </c>
      <c r="N85" s="26">
        <f t="shared" si="24"/>
        <v>3.6911249999999995E-3</v>
      </c>
      <c r="O85" s="26">
        <f t="shared" si="24"/>
        <v>1.1155625000000001E-2</v>
      </c>
      <c r="P85" s="26">
        <f t="shared" si="24"/>
        <v>0</v>
      </c>
      <c r="Q85" s="26">
        <f t="shared" si="24"/>
        <v>0</v>
      </c>
      <c r="R85" s="26">
        <f t="shared" si="24"/>
        <v>0</v>
      </c>
      <c r="S85" s="26">
        <f t="shared" si="24"/>
        <v>0</v>
      </c>
      <c r="T85" s="26">
        <f t="shared" si="24"/>
        <v>0</v>
      </c>
      <c r="U85" s="26">
        <f t="shared" si="24"/>
        <v>0</v>
      </c>
      <c r="V85" s="26">
        <f t="shared" si="24"/>
        <v>0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38" ht="21" hidden="1" customHeight="1" outlineLevel="1" thickBot="1" x14ac:dyDescent="0.4">
      <c r="A86" s="10">
        <f t="shared" si="25"/>
        <v>0</v>
      </c>
      <c r="B86" s="10">
        <f t="shared" si="25"/>
        <v>4</v>
      </c>
      <c r="C86" s="10">
        <f t="shared" si="25"/>
        <v>0</v>
      </c>
      <c r="D86" s="10">
        <f t="shared" si="25"/>
        <v>0</v>
      </c>
      <c r="E86" s="11" t="str">
        <f t="shared" si="19"/>
        <v>Se4</v>
      </c>
      <c r="F86" s="26">
        <f t="shared" si="23"/>
        <v>1.7911875E-22</v>
      </c>
      <c r="G86" s="26">
        <f t="shared" si="24"/>
        <v>4.8106875000000001E-12</v>
      </c>
      <c r="H86" s="26">
        <f t="shared" si="24"/>
        <v>4.8106875000000001E-12</v>
      </c>
      <c r="I86" s="26">
        <f t="shared" si="24"/>
        <v>1.8717499999999999E-9</v>
      </c>
      <c r="J86" s="26">
        <f t="shared" si="24"/>
        <v>1.3341250000000002E-7</v>
      </c>
      <c r="K86" s="26">
        <f t="shared" si="24"/>
        <v>3.71675E-6</v>
      </c>
      <c r="L86" s="26">
        <f t="shared" si="24"/>
        <v>4.9813750000000004E-5</v>
      </c>
      <c r="M86" s="26">
        <f t="shared" si="24"/>
        <v>3.4777499999999998E-4</v>
      </c>
      <c r="N86" s="26">
        <f t="shared" si="24"/>
        <v>1.379E-3</v>
      </c>
      <c r="O86" s="26">
        <f t="shared" si="24"/>
        <v>2.7752499999999999E-3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0</v>
      </c>
      <c r="U86" s="26">
        <f t="shared" si="24"/>
        <v>0</v>
      </c>
      <c r="V86" s="26">
        <f t="shared" si="24"/>
        <v>0</v>
      </c>
      <c r="W86" s="26">
        <f t="shared" si="24"/>
        <v>0</v>
      </c>
      <c r="X86" s="26">
        <f t="shared" si="24"/>
        <v>0</v>
      </c>
      <c r="Y86" s="26">
        <f t="shared" si="24"/>
        <v>0</v>
      </c>
      <c r="Z86" s="26">
        <f t="shared" si="24"/>
        <v>0</v>
      </c>
      <c r="AA86" s="26">
        <f t="shared" si="24"/>
        <v>0</v>
      </c>
      <c r="AB86" s="26">
        <f t="shared" si="24"/>
        <v>0</v>
      </c>
      <c r="AC86" s="26">
        <f t="shared" si="24"/>
        <v>0</v>
      </c>
      <c r="AD86" s="26">
        <f t="shared" si="24"/>
        <v>0</v>
      </c>
      <c r="AE86" s="26">
        <f t="shared" si="24"/>
        <v>0</v>
      </c>
      <c r="AF86" s="26">
        <f t="shared" si="24"/>
        <v>0</v>
      </c>
      <c r="AG86" s="26">
        <f t="shared" si="24"/>
        <v>0</v>
      </c>
      <c r="AH86" s="26">
        <f t="shared" si="24"/>
        <v>0</v>
      </c>
      <c r="AI86" s="26">
        <f t="shared" si="24"/>
        <v>0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38" ht="21" hidden="1" customHeight="1" outlineLevel="1" thickBot="1" x14ac:dyDescent="0.4">
      <c r="A87" s="10">
        <f t="shared" si="25"/>
        <v>0</v>
      </c>
      <c r="B87" s="10">
        <f t="shared" si="25"/>
        <v>5</v>
      </c>
      <c r="C87" s="10">
        <f t="shared" si="25"/>
        <v>0</v>
      </c>
      <c r="D87" s="10">
        <f t="shared" si="25"/>
        <v>0</v>
      </c>
      <c r="E87" s="11" t="str">
        <f t="shared" si="19"/>
        <v>Se5</v>
      </c>
      <c r="F87" s="26">
        <f t="shared" si="23"/>
        <v>5.1645624999999999E-19</v>
      </c>
      <c r="G87" s="26">
        <f t="shared" si="24"/>
        <v>1.5136249999999999E-9</v>
      </c>
      <c r="H87" s="26">
        <f t="shared" si="24"/>
        <v>1.5136249999999999E-9</v>
      </c>
      <c r="I87" s="26">
        <f t="shared" si="24"/>
        <v>3.0558750000000001E-7</v>
      </c>
      <c r="J87" s="26">
        <f t="shared" si="24"/>
        <v>1.3295625E-5</v>
      </c>
      <c r="K87" s="26">
        <f t="shared" si="24"/>
        <v>2.573125E-4</v>
      </c>
      <c r="L87" s="26">
        <f t="shared" si="24"/>
        <v>2.5825000000000002E-3</v>
      </c>
      <c r="M87" s="26">
        <f t="shared" si="24"/>
        <v>1.3821874999999999E-2</v>
      </c>
      <c r="N87" s="26">
        <f t="shared" si="24"/>
        <v>4.1294375000000001E-2</v>
      </c>
      <c r="O87" s="26">
        <f t="shared" si="24"/>
        <v>5.7669375000000002E-2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0</v>
      </c>
      <c r="U87" s="26">
        <f t="shared" si="24"/>
        <v>0</v>
      </c>
      <c r="V87" s="26">
        <f t="shared" si="24"/>
        <v>0</v>
      </c>
      <c r="W87" s="26">
        <f t="shared" si="24"/>
        <v>0</v>
      </c>
      <c r="X87" s="26">
        <f t="shared" si="24"/>
        <v>0</v>
      </c>
      <c r="Y87" s="26">
        <f t="shared" si="24"/>
        <v>0</v>
      </c>
      <c r="Z87" s="26">
        <f t="shared" si="24"/>
        <v>0</v>
      </c>
      <c r="AA87" s="26">
        <f t="shared" si="24"/>
        <v>0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38" ht="21" hidden="1" customHeight="1" outlineLevel="1" thickBot="1" x14ac:dyDescent="0.4">
      <c r="A88" s="10">
        <f t="shared" si="25"/>
        <v>0</v>
      </c>
      <c r="B88" s="10">
        <f t="shared" si="25"/>
        <v>6</v>
      </c>
      <c r="C88" s="10">
        <f t="shared" si="25"/>
        <v>0</v>
      </c>
      <c r="D88" s="10">
        <f t="shared" si="25"/>
        <v>0</v>
      </c>
      <c r="E88" s="11" t="str">
        <f t="shared" si="19"/>
        <v>Se6</v>
      </c>
      <c r="F88" s="26">
        <f t="shared" si="23"/>
        <v>1.9803124999999998E-16</v>
      </c>
      <c r="G88" s="26">
        <f t="shared" si="24"/>
        <v>1.314375E-8</v>
      </c>
      <c r="H88" s="26">
        <f t="shared" si="24"/>
        <v>1.314375E-8</v>
      </c>
      <c r="I88" s="26">
        <f t="shared" si="24"/>
        <v>9.0312500000000004E-7</v>
      </c>
      <c r="J88" s="26">
        <f t="shared" si="24"/>
        <v>1.7611249999999998E-5</v>
      </c>
      <c r="K88" s="26">
        <f t="shared" si="24"/>
        <v>1.8698750000000001E-4</v>
      </c>
      <c r="L88" s="26">
        <f t="shared" si="24"/>
        <v>1.1665625000000001E-3</v>
      </c>
      <c r="M88" s="26">
        <f t="shared" si="24"/>
        <v>4.1167500000000006E-3</v>
      </c>
      <c r="N88" s="26">
        <f t="shared" si="24"/>
        <v>8.1831249999999994E-3</v>
      </c>
      <c r="O88" s="26">
        <f t="shared" si="24"/>
        <v>7.1437499999999991E-3</v>
      </c>
      <c r="P88" s="26">
        <f t="shared" si="24"/>
        <v>0</v>
      </c>
      <c r="Q88" s="26">
        <f t="shared" si="24"/>
        <v>0</v>
      </c>
      <c r="R88" s="26">
        <f t="shared" si="24"/>
        <v>0</v>
      </c>
      <c r="S88" s="26">
        <f t="shared" si="24"/>
        <v>0</v>
      </c>
      <c r="T88" s="26">
        <f t="shared" si="24"/>
        <v>0</v>
      </c>
      <c r="U88" s="26">
        <f t="shared" si="24"/>
        <v>0</v>
      </c>
      <c r="V88" s="26">
        <f t="shared" si="24"/>
        <v>0</v>
      </c>
      <c r="W88" s="26">
        <f t="shared" si="24"/>
        <v>0</v>
      </c>
      <c r="X88" s="26">
        <f t="shared" si="24"/>
        <v>0</v>
      </c>
      <c r="Y88" s="26">
        <f t="shared" si="24"/>
        <v>0</v>
      </c>
      <c r="Z88" s="26">
        <f t="shared" si="24"/>
        <v>0</v>
      </c>
      <c r="AA88" s="26">
        <f t="shared" si="24"/>
        <v>0</v>
      </c>
      <c r="AB88" s="26">
        <f t="shared" si="24"/>
        <v>0</v>
      </c>
      <c r="AC88" s="26">
        <f t="shared" si="24"/>
        <v>0</v>
      </c>
      <c r="AD88" s="26">
        <f t="shared" si="24"/>
        <v>0</v>
      </c>
      <c r="AE88" s="26">
        <f t="shared" si="24"/>
        <v>0</v>
      </c>
      <c r="AF88" s="26">
        <f t="shared" si="24"/>
        <v>0</v>
      </c>
      <c r="AG88" s="26">
        <f t="shared" si="24"/>
        <v>0</v>
      </c>
      <c r="AH88" s="26">
        <f t="shared" si="24"/>
        <v>0</v>
      </c>
      <c r="AI88" s="26">
        <f t="shared" si="24"/>
        <v>0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38" ht="21" hidden="1" customHeight="1" outlineLevel="1" thickBot="1" x14ac:dyDescent="0.4">
      <c r="A89" s="10">
        <f t="shared" si="25"/>
        <v>0</v>
      </c>
      <c r="B89" s="10">
        <f t="shared" si="25"/>
        <v>7</v>
      </c>
      <c r="C89" s="10">
        <f t="shared" si="25"/>
        <v>0</v>
      </c>
      <c r="D89" s="10">
        <f t="shared" si="25"/>
        <v>0</v>
      </c>
      <c r="E89" s="11" t="str">
        <f t="shared" si="19"/>
        <v>Se7</v>
      </c>
      <c r="F89" s="26">
        <f t="shared" si="23"/>
        <v>1.6970000000000001E-17</v>
      </c>
      <c r="G89" s="26">
        <f t="shared" si="24"/>
        <v>2.9770625000000004E-9</v>
      </c>
      <c r="H89" s="26">
        <f t="shared" si="24"/>
        <v>2.9770625000000004E-9</v>
      </c>
      <c r="I89" s="26">
        <f t="shared" si="24"/>
        <v>2.4504375000000003E-7</v>
      </c>
      <c r="J89" s="26">
        <f t="shared" si="24"/>
        <v>5.3561875000000005E-6</v>
      </c>
      <c r="K89" s="26">
        <f t="shared" si="24"/>
        <v>6.2668750000000002E-5</v>
      </c>
      <c r="L89" s="26">
        <f t="shared" si="24"/>
        <v>4.2060624999999999E-4</v>
      </c>
      <c r="M89" s="26">
        <f t="shared" si="24"/>
        <v>1.5237499999999999E-3</v>
      </c>
      <c r="N89" s="26">
        <f t="shared" si="24"/>
        <v>2.9021874999999998E-3</v>
      </c>
      <c r="O89" s="26">
        <f t="shared" si="24"/>
        <v>2.1501250000000001E-3</v>
      </c>
      <c r="P89" s="26">
        <f t="shared" si="24"/>
        <v>0</v>
      </c>
      <c r="Q89" s="26">
        <f t="shared" si="24"/>
        <v>0</v>
      </c>
      <c r="R89" s="26">
        <f t="shared" si="24"/>
        <v>0</v>
      </c>
      <c r="S89" s="26">
        <f t="shared" si="24"/>
        <v>0</v>
      </c>
      <c r="T89" s="26">
        <f t="shared" si="24"/>
        <v>0</v>
      </c>
      <c r="U89" s="26">
        <f t="shared" si="24"/>
        <v>0</v>
      </c>
      <c r="V89" s="26">
        <f t="shared" si="24"/>
        <v>0</v>
      </c>
      <c r="W89" s="26">
        <f t="shared" si="24"/>
        <v>0</v>
      </c>
      <c r="X89" s="26">
        <f t="shared" si="24"/>
        <v>0</v>
      </c>
      <c r="Y89" s="26">
        <f t="shared" si="24"/>
        <v>0</v>
      </c>
      <c r="Z89" s="26">
        <f t="shared" si="24"/>
        <v>0</v>
      </c>
      <c r="AA89" s="26">
        <f t="shared" si="24"/>
        <v>0</v>
      </c>
      <c r="AB89" s="26">
        <f t="shared" si="24"/>
        <v>0</v>
      </c>
      <c r="AC89" s="26">
        <f t="shared" si="24"/>
        <v>0</v>
      </c>
      <c r="AD89" s="26">
        <f t="shared" si="24"/>
        <v>0</v>
      </c>
      <c r="AE89" s="26">
        <f t="shared" si="24"/>
        <v>0</v>
      </c>
      <c r="AF89" s="26">
        <f t="shared" si="24"/>
        <v>0</v>
      </c>
      <c r="AG89" s="26">
        <f t="shared" si="24"/>
        <v>0</v>
      </c>
      <c r="AH89" s="26">
        <f t="shared" si="24"/>
        <v>0</v>
      </c>
      <c r="AI89" s="26">
        <f t="shared" si="24"/>
        <v>0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38" ht="21" hidden="1" customHeight="1" outlineLevel="1" thickBot="1" x14ac:dyDescent="0.4">
      <c r="A90" s="10">
        <f t="shared" si="25"/>
        <v>0</v>
      </c>
      <c r="B90" s="10">
        <f t="shared" si="25"/>
        <v>8</v>
      </c>
      <c r="C90" s="10">
        <f t="shared" si="25"/>
        <v>0</v>
      </c>
      <c r="D90" s="10">
        <f t="shared" si="25"/>
        <v>0</v>
      </c>
      <c r="E90" s="11" t="str">
        <f t="shared" si="19"/>
        <v>Se8</v>
      </c>
      <c r="F90" s="26">
        <f t="shared" si="23"/>
        <v>3.0463125000000001E-19</v>
      </c>
      <c r="G90" s="26">
        <f t="shared" si="24"/>
        <v>1.14275E-10</v>
      </c>
      <c r="H90" s="26">
        <f t="shared" si="24"/>
        <v>1.14275E-10</v>
      </c>
      <c r="I90" s="26">
        <f t="shared" si="24"/>
        <v>1.0661875E-8</v>
      </c>
      <c r="J90" s="26">
        <f t="shared" si="24"/>
        <v>2.5099375E-7</v>
      </c>
      <c r="K90" s="26">
        <f t="shared" si="24"/>
        <v>3.1397499999999999E-6</v>
      </c>
      <c r="L90" s="26">
        <f t="shared" si="24"/>
        <v>2.2137499999999999E-5</v>
      </c>
      <c r="M90" s="26">
        <f t="shared" si="24"/>
        <v>8.0768749999999995E-5</v>
      </c>
      <c r="N90" s="26">
        <f t="shared" si="24"/>
        <v>1.4510625000000002E-4</v>
      </c>
      <c r="O90" s="26">
        <f t="shared" si="24"/>
        <v>9.00375E-5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38" ht="21" hidden="1" customHeight="1" outlineLevel="1" thickBot="1" x14ac:dyDescent="0.4">
      <c r="A91" s="10">
        <f t="shared" si="25"/>
        <v>0</v>
      </c>
      <c r="B91" s="10">
        <f t="shared" si="25"/>
        <v>2</v>
      </c>
      <c r="C91" s="10">
        <f t="shared" si="25"/>
        <v>0</v>
      </c>
      <c r="D91" s="10">
        <f t="shared" si="25"/>
        <v>0</v>
      </c>
      <c r="E91" s="11" t="str">
        <f t="shared" si="19"/>
        <v>Se2</v>
      </c>
      <c r="F91" s="26">
        <f t="shared" si="23"/>
        <v>2.3759999999999999E-19</v>
      </c>
      <c r="G91" s="26">
        <f t="shared" si="24"/>
        <v>8.9987500000000006E-10</v>
      </c>
      <c r="H91" s="26">
        <f t="shared" si="24"/>
        <v>8.9987500000000006E-10</v>
      </c>
      <c r="I91" s="26">
        <f t="shared" si="24"/>
        <v>2.5739375E-7</v>
      </c>
      <c r="J91" s="26">
        <f t="shared" si="24"/>
        <v>1.5519375000000001E-5</v>
      </c>
      <c r="K91" s="26">
        <f t="shared" si="24"/>
        <v>3.7861874999999998E-4</v>
      </c>
      <c r="L91" s="26">
        <f t="shared" si="24"/>
        <v>4.6527499999999998E-3</v>
      </c>
      <c r="M91" s="26">
        <f t="shared" si="24"/>
        <v>3.2606875E-2</v>
      </c>
      <c r="N91" s="26">
        <f t="shared" si="24"/>
        <v>0.1484625</v>
      </c>
      <c r="O91" s="26">
        <f t="shared" si="24"/>
        <v>0.43598124999999999</v>
      </c>
      <c r="P91" s="26">
        <f t="shared" si="24"/>
        <v>0</v>
      </c>
      <c r="Q91" s="26">
        <f t="shared" si="24"/>
        <v>0</v>
      </c>
      <c r="R91" s="26">
        <f t="shared" si="24"/>
        <v>0</v>
      </c>
      <c r="S91" s="26">
        <f t="shared" si="24"/>
        <v>0</v>
      </c>
      <c r="T91" s="26">
        <f t="shared" si="24"/>
        <v>0</v>
      </c>
      <c r="U91" s="26">
        <f t="shared" si="24"/>
        <v>0</v>
      </c>
      <c r="V91" s="26">
        <f t="shared" si="24"/>
        <v>0</v>
      </c>
      <c r="W91" s="26">
        <f t="shared" si="24"/>
        <v>0</v>
      </c>
      <c r="X91" s="26">
        <f t="shared" si="24"/>
        <v>0</v>
      </c>
      <c r="Y91" s="26">
        <f t="shared" si="24"/>
        <v>0</v>
      </c>
      <c r="Z91" s="26">
        <f t="shared" si="24"/>
        <v>0</v>
      </c>
      <c r="AA91" s="26">
        <f t="shared" si="24"/>
        <v>0</v>
      </c>
      <c r="AB91" s="26">
        <f t="shared" si="24"/>
        <v>0</v>
      </c>
      <c r="AC91" s="26">
        <f t="shared" si="24"/>
        <v>0</v>
      </c>
      <c r="AD91" s="26">
        <f t="shared" si="24"/>
        <v>0</v>
      </c>
      <c r="AE91" s="26">
        <f t="shared" si="24"/>
        <v>0</v>
      </c>
      <c r="AF91" s="26">
        <f t="shared" si="24"/>
        <v>0</v>
      </c>
      <c r="AG91" s="26">
        <f t="shared" si="24"/>
        <v>0</v>
      </c>
      <c r="AH91" s="26">
        <f t="shared" si="24"/>
        <v>0</v>
      </c>
      <c r="AI91" s="26">
        <f t="shared" si="24"/>
        <v>0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38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0</v>
      </c>
      <c r="E92" s="11" t="str">
        <f t="shared" si="19"/>
        <v>Se</v>
      </c>
      <c r="F92" s="26">
        <f t="shared" ref="F92:F99" si="27">F12*$C$82</f>
        <v>0</v>
      </c>
      <c r="G92" s="26">
        <f t="shared" ref="G92:AL99" si="28">G12*$C$82</f>
        <v>2.5235625000000001E-22</v>
      </c>
      <c r="H92" s="26">
        <f t="shared" si="28"/>
        <v>2.5235625000000001E-22</v>
      </c>
      <c r="I92" s="26">
        <f t="shared" si="28"/>
        <v>5.604875E-18</v>
      </c>
      <c r="J92" s="26">
        <f t="shared" si="28"/>
        <v>8.3243750000000007E-15</v>
      </c>
      <c r="K92" s="26">
        <f t="shared" si="28"/>
        <v>2.3339375000000002E-12</v>
      </c>
      <c r="L92" s="26">
        <f t="shared" si="28"/>
        <v>1.9871875E-10</v>
      </c>
      <c r="M92" s="26">
        <f t="shared" si="28"/>
        <v>6.9349999999999997E-9</v>
      </c>
      <c r="N92" s="26">
        <f t="shared" si="28"/>
        <v>1.2758124999999999E-7</v>
      </c>
      <c r="O92" s="26">
        <f t="shared" si="28"/>
        <v>1.3838749999999999E-6</v>
      </c>
      <c r="P92" s="26">
        <f t="shared" si="28"/>
        <v>0</v>
      </c>
      <c r="Q92" s="26">
        <f t="shared" si="28"/>
        <v>0</v>
      </c>
      <c r="R92" s="26">
        <f t="shared" si="28"/>
        <v>0</v>
      </c>
      <c r="S92" s="26">
        <f t="shared" si="28"/>
        <v>0</v>
      </c>
      <c r="T92" s="26">
        <f t="shared" si="28"/>
        <v>0</v>
      </c>
      <c r="U92" s="26">
        <f t="shared" si="28"/>
        <v>0</v>
      </c>
      <c r="V92" s="26">
        <f t="shared" si="28"/>
        <v>0</v>
      </c>
      <c r="W92" s="26">
        <f t="shared" si="28"/>
        <v>0</v>
      </c>
      <c r="X92" s="26">
        <f t="shared" si="28"/>
        <v>0</v>
      </c>
      <c r="Y92" s="26">
        <f t="shared" si="28"/>
        <v>0</v>
      </c>
      <c r="Z92" s="26">
        <f t="shared" si="28"/>
        <v>0</v>
      </c>
      <c r="AA92" s="26">
        <f t="shared" si="28"/>
        <v>0</v>
      </c>
      <c r="AB92" s="26">
        <f t="shared" si="28"/>
        <v>0</v>
      </c>
      <c r="AC92" s="26">
        <f t="shared" si="28"/>
        <v>0</v>
      </c>
      <c r="AD92" s="26">
        <f t="shared" si="28"/>
        <v>0</v>
      </c>
      <c r="AE92" s="26">
        <f t="shared" si="28"/>
        <v>0</v>
      </c>
      <c r="AF92" s="26">
        <f t="shared" si="28"/>
        <v>0</v>
      </c>
      <c r="AG92" s="26">
        <f t="shared" si="28"/>
        <v>0</v>
      </c>
      <c r="AH92" s="26">
        <f t="shared" si="28"/>
        <v>0</v>
      </c>
      <c r="AI92" s="26">
        <f t="shared" si="28"/>
        <v>0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38" ht="21" hidden="1" customHeight="1" outlineLevel="1" thickBot="1" x14ac:dyDescent="0.4">
      <c r="A93" s="10">
        <f t="shared" si="25"/>
        <v>0</v>
      </c>
      <c r="B93" s="10">
        <f t="shared" si="25"/>
        <v>1</v>
      </c>
      <c r="C93" s="10">
        <f t="shared" si="25"/>
        <v>0</v>
      </c>
      <c r="D93" s="10">
        <f t="shared" si="25"/>
        <v>2</v>
      </c>
      <c r="E93" s="11" t="str">
        <f t="shared" si="19"/>
        <v>Ga2Se</v>
      </c>
      <c r="F93" s="26">
        <f t="shared" si="27"/>
        <v>5.0017499999999998E-10</v>
      </c>
      <c r="G93" s="26">
        <f t="shared" si="28"/>
        <v>2.2066249999999998E-4</v>
      </c>
      <c r="H93" s="26">
        <f t="shared" si="28"/>
        <v>2.2066249999999998E-4</v>
      </c>
      <c r="I93" s="26">
        <f t="shared" si="28"/>
        <v>5.5554999999999997E-3</v>
      </c>
      <c r="J93" s="26">
        <f t="shared" si="28"/>
        <v>4.9625625E-2</v>
      </c>
      <c r="K93" s="26">
        <f t="shared" si="28"/>
        <v>0.18063124999999999</v>
      </c>
      <c r="L93" s="26">
        <f t="shared" si="28"/>
        <v>0.311475</v>
      </c>
      <c r="M93" s="26">
        <f t="shared" si="28"/>
        <v>0.38846875000000003</v>
      </c>
      <c r="N93" s="26">
        <f t="shared" si="28"/>
        <v>0.4346875</v>
      </c>
      <c r="O93" s="26">
        <f t="shared" si="28"/>
        <v>0.46304374999999998</v>
      </c>
      <c r="P93" s="26">
        <f t="shared" si="28"/>
        <v>0</v>
      </c>
      <c r="Q93" s="26">
        <f t="shared" si="28"/>
        <v>0</v>
      </c>
      <c r="R93" s="26">
        <f t="shared" si="28"/>
        <v>0</v>
      </c>
      <c r="S93" s="26">
        <f t="shared" si="28"/>
        <v>0</v>
      </c>
      <c r="T93" s="26">
        <f t="shared" si="28"/>
        <v>0</v>
      </c>
      <c r="U93" s="26">
        <f t="shared" si="28"/>
        <v>0</v>
      </c>
      <c r="V93" s="26">
        <f t="shared" si="28"/>
        <v>0</v>
      </c>
      <c r="W93" s="26">
        <f t="shared" si="28"/>
        <v>0</v>
      </c>
      <c r="X93" s="26">
        <f t="shared" si="28"/>
        <v>0</v>
      </c>
      <c r="Y93" s="26">
        <f t="shared" si="28"/>
        <v>0</v>
      </c>
      <c r="Z93" s="26">
        <f t="shared" si="28"/>
        <v>0</v>
      </c>
      <c r="AA93" s="26">
        <f t="shared" si="28"/>
        <v>0</v>
      </c>
      <c r="AB93" s="26">
        <f t="shared" si="28"/>
        <v>0</v>
      </c>
      <c r="AC93" s="26">
        <f t="shared" si="28"/>
        <v>0</v>
      </c>
      <c r="AD93" s="26">
        <f t="shared" si="28"/>
        <v>0</v>
      </c>
      <c r="AE93" s="26">
        <f t="shared" si="28"/>
        <v>0</v>
      </c>
      <c r="AF93" s="26">
        <f t="shared" si="28"/>
        <v>0</v>
      </c>
      <c r="AG93" s="26">
        <f t="shared" si="28"/>
        <v>0</v>
      </c>
      <c r="AH93" s="26">
        <f t="shared" si="28"/>
        <v>0</v>
      </c>
      <c r="AI93" s="26">
        <f t="shared" si="28"/>
        <v>0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38" ht="21" hidden="1" customHeight="1" outlineLevel="1" thickBot="1" x14ac:dyDescent="0.4">
      <c r="A94" s="10">
        <f t="shared" si="25"/>
        <v>1</v>
      </c>
      <c r="B94" s="10">
        <f t="shared" si="25"/>
        <v>0</v>
      </c>
      <c r="C94" s="10">
        <f t="shared" si="25"/>
        <v>0</v>
      </c>
      <c r="D94" s="10">
        <f t="shared" si="25"/>
        <v>0</v>
      </c>
      <c r="E94" s="11" t="str">
        <f t="shared" si="19"/>
        <v>Ar</v>
      </c>
      <c r="F94" s="26">
        <f t="shared" si="27"/>
        <v>1.25</v>
      </c>
      <c r="G94" s="26">
        <f t="shared" si="28"/>
        <v>1.25</v>
      </c>
      <c r="H94" s="26">
        <f t="shared" si="28"/>
        <v>1.25</v>
      </c>
      <c r="I94" s="26">
        <f t="shared" si="28"/>
        <v>1.25</v>
      </c>
      <c r="J94" s="26">
        <f t="shared" si="28"/>
        <v>1.25</v>
      </c>
      <c r="K94" s="26">
        <f t="shared" si="28"/>
        <v>1.25</v>
      </c>
      <c r="L94" s="26">
        <f t="shared" si="28"/>
        <v>1.25</v>
      </c>
      <c r="M94" s="26">
        <f t="shared" si="28"/>
        <v>1.25</v>
      </c>
      <c r="N94" s="26">
        <f t="shared" si="28"/>
        <v>1.25</v>
      </c>
      <c r="O94" s="26">
        <f t="shared" si="28"/>
        <v>1.25</v>
      </c>
      <c r="P94" s="26">
        <f t="shared" si="28"/>
        <v>0</v>
      </c>
      <c r="Q94" s="26">
        <f t="shared" si="28"/>
        <v>0</v>
      </c>
      <c r="R94" s="26">
        <f t="shared" si="28"/>
        <v>0</v>
      </c>
      <c r="S94" s="26">
        <f t="shared" si="28"/>
        <v>0</v>
      </c>
      <c r="T94" s="26">
        <f t="shared" si="28"/>
        <v>0</v>
      </c>
      <c r="U94" s="26">
        <f t="shared" si="28"/>
        <v>0</v>
      </c>
      <c r="V94" s="26">
        <f t="shared" si="28"/>
        <v>0</v>
      </c>
      <c r="W94" s="26">
        <f t="shared" si="28"/>
        <v>0</v>
      </c>
      <c r="X94" s="26">
        <f t="shared" si="28"/>
        <v>0</v>
      </c>
      <c r="Y94" s="26">
        <f t="shared" si="28"/>
        <v>0</v>
      </c>
      <c r="Z94" s="26">
        <f t="shared" si="28"/>
        <v>0</v>
      </c>
      <c r="AA94" s="26">
        <f t="shared" si="28"/>
        <v>0</v>
      </c>
      <c r="AB94" s="26">
        <f t="shared" si="28"/>
        <v>0</v>
      </c>
      <c r="AC94" s="26">
        <f t="shared" si="28"/>
        <v>0</v>
      </c>
      <c r="AD94" s="26">
        <f t="shared" si="28"/>
        <v>0</v>
      </c>
      <c r="AE94" s="26">
        <f t="shared" si="28"/>
        <v>0</v>
      </c>
      <c r="AF94" s="26">
        <f t="shared" si="28"/>
        <v>0</v>
      </c>
      <c r="AG94" s="26">
        <f t="shared" si="28"/>
        <v>0</v>
      </c>
      <c r="AH94" s="26">
        <f t="shared" si="28"/>
        <v>0</v>
      </c>
      <c r="AI94" s="26">
        <f t="shared" si="28"/>
        <v>0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38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0</v>
      </c>
      <c r="D95" s="10">
        <f t="shared" si="25"/>
        <v>1</v>
      </c>
      <c r="E95" s="11" t="str">
        <f t="shared" si="19"/>
        <v>(l)Ga[l]</v>
      </c>
      <c r="F95" s="26">
        <f t="shared" si="27"/>
        <v>1</v>
      </c>
      <c r="G95" s="26">
        <f t="shared" si="28"/>
        <v>0.99956249999999991</v>
      </c>
      <c r="H95" s="26">
        <f t="shared" si="28"/>
        <v>0.99956249999999991</v>
      </c>
      <c r="I95" s="26">
        <f t="shared" si="28"/>
        <v>0.98887499999999995</v>
      </c>
      <c r="J95" s="26">
        <f t="shared" si="28"/>
        <v>0.90074999999999994</v>
      </c>
      <c r="K95" s="26">
        <f t="shared" si="28"/>
        <v>0.63875000000000004</v>
      </c>
      <c r="L95" s="26">
        <f t="shared" si="28"/>
        <v>0.37705</v>
      </c>
      <c r="M95" s="26">
        <f t="shared" si="28"/>
        <v>0.2230625</v>
      </c>
      <c r="N95" s="26">
        <f t="shared" si="28"/>
        <v>0.13061875000000001</v>
      </c>
      <c r="O95" s="26">
        <f t="shared" si="28"/>
        <v>7.3906250000000007E-2</v>
      </c>
      <c r="P95" s="26">
        <f t="shared" si="28"/>
        <v>0</v>
      </c>
      <c r="Q95" s="26">
        <f t="shared" si="28"/>
        <v>0</v>
      </c>
      <c r="R95" s="26">
        <f t="shared" si="28"/>
        <v>0</v>
      </c>
      <c r="S95" s="26">
        <f t="shared" si="28"/>
        <v>0</v>
      </c>
      <c r="T95" s="26">
        <f t="shared" si="28"/>
        <v>0</v>
      </c>
      <c r="U95" s="26">
        <f t="shared" si="28"/>
        <v>0</v>
      </c>
      <c r="V95" s="26">
        <f t="shared" si="28"/>
        <v>0</v>
      </c>
      <c r="W95" s="26">
        <f t="shared" si="28"/>
        <v>0</v>
      </c>
      <c r="X95" s="26">
        <f t="shared" si="28"/>
        <v>0</v>
      </c>
      <c r="Y95" s="26">
        <f t="shared" si="28"/>
        <v>0</v>
      </c>
      <c r="Z95" s="26">
        <f t="shared" si="28"/>
        <v>0</v>
      </c>
      <c r="AA95" s="26">
        <f t="shared" si="28"/>
        <v>0</v>
      </c>
      <c r="AB95" s="26">
        <f t="shared" si="28"/>
        <v>0</v>
      </c>
      <c r="AC95" s="26">
        <f t="shared" si="28"/>
        <v>0</v>
      </c>
      <c r="AD95" s="26">
        <f t="shared" si="28"/>
        <v>0</v>
      </c>
      <c r="AE95" s="26">
        <f t="shared" si="28"/>
        <v>0</v>
      </c>
      <c r="AF95" s="26">
        <f t="shared" si="28"/>
        <v>0</v>
      </c>
      <c r="AG95" s="26">
        <f t="shared" si="28"/>
        <v>0</v>
      </c>
      <c r="AH95" s="26">
        <f t="shared" si="28"/>
        <v>0</v>
      </c>
      <c r="AI95" s="26">
        <f t="shared" si="28"/>
        <v>0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38" ht="21" hidden="1" customHeight="1" outlineLevel="1" thickBot="1" x14ac:dyDescent="0.4">
      <c r="A96" s="10">
        <f t="shared" si="25"/>
        <v>0</v>
      </c>
      <c r="B96" s="10">
        <f t="shared" si="25"/>
        <v>0</v>
      </c>
      <c r="C96" s="10">
        <f t="shared" si="25"/>
        <v>1</v>
      </c>
      <c r="D96" s="10">
        <f t="shared" si="25"/>
        <v>0</v>
      </c>
      <c r="E96" s="11" t="str">
        <f t="shared" si="19"/>
        <v>(l)Ge[l]</v>
      </c>
      <c r="F96" s="26">
        <f t="shared" si="27"/>
        <v>1</v>
      </c>
      <c r="G96" s="26">
        <f t="shared" si="28"/>
        <v>1</v>
      </c>
      <c r="H96" s="26">
        <f t="shared" si="28"/>
        <v>1</v>
      </c>
      <c r="I96" s="26">
        <f t="shared" si="28"/>
        <v>1</v>
      </c>
      <c r="J96" s="26">
        <f t="shared" si="28"/>
        <v>1</v>
      </c>
      <c r="K96" s="26">
        <f t="shared" si="28"/>
        <v>1</v>
      </c>
      <c r="L96" s="26">
        <f t="shared" si="28"/>
        <v>1</v>
      </c>
      <c r="M96" s="26">
        <f t="shared" si="28"/>
        <v>1</v>
      </c>
      <c r="N96" s="26">
        <f t="shared" si="28"/>
        <v>1</v>
      </c>
      <c r="O96" s="26">
        <f t="shared" si="28"/>
        <v>1</v>
      </c>
      <c r="P96" s="26">
        <f t="shared" si="28"/>
        <v>0</v>
      </c>
      <c r="Q96" s="26">
        <f t="shared" si="28"/>
        <v>0</v>
      </c>
      <c r="R96" s="26">
        <f t="shared" si="28"/>
        <v>0</v>
      </c>
      <c r="S96" s="26">
        <f t="shared" si="28"/>
        <v>0</v>
      </c>
      <c r="T96" s="26">
        <f t="shared" si="28"/>
        <v>0</v>
      </c>
      <c r="U96" s="26">
        <f t="shared" si="28"/>
        <v>0</v>
      </c>
      <c r="V96" s="26">
        <f t="shared" si="28"/>
        <v>0</v>
      </c>
      <c r="W96" s="26">
        <f t="shared" si="28"/>
        <v>0</v>
      </c>
      <c r="X96" s="26">
        <f t="shared" si="28"/>
        <v>0</v>
      </c>
      <c r="Y96" s="26">
        <f t="shared" si="28"/>
        <v>0</v>
      </c>
      <c r="Z96" s="26">
        <f t="shared" si="28"/>
        <v>0</v>
      </c>
      <c r="AA96" s="26">
        <f t="shared" si="28"/>
        <v>0</v>
      </c>
      <c r="AB96" s="26">
        <f t="shared" si="28"/>
        <v>0</v>
      </c>
      <c r="AC96" s="26">
        <f t="shared" si="28"/>
        <v>0</v>
      </c>
      <c r="AD96" s="26">
        <f t="shared" si="28"/>
        <v>0</v>
      </c>
      <c r="AE96" s="26">
        <f t="shared" si="28"/>
        <v>0</v>
      </c>
      <c r="AF96" s="26">
        <f t="shared" si="28"/>
        <v>0</v>
      </c>
      <c r="AG96" s="26">
        <f t="shared" si="28"/>
        <v>0</v>
      </c>
      <c r="AH96" s="26">
        <f t="shared" si="28"/>
        <v>0</v>
      </c>
      <c r="AI96" s="26">
        <f t="shared" si="28"/>
        <v>0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1</v>
      </c>
      <c r="C97" s="10">
        <f t="shared" si="25"/>
        <v>0</v>
      </c>
      <c r="D97" s="10">
        <f t="shared" si="25"/>
        <v>0</v>
      </c>
      <c r="E97" s="11" t="str">
        <f t="shared" si="19"/>
        <v>(l)Se[l]</v>
      </c>
      <c r="F97" s="26">
        <f t="shared" si="27"/>
        <v>3</v>
      </c>
      <c r="G97" s="26">
        <f t="shared" si="28"/>
        <v>2.9997500000000001</v>
      </c>
      <c r="H97" s="26">
        <f t="shared" si="28"/>
        <v>2.9997500000000001</v>
      </c>
      <c r="I97" s="26">
        <f t="shared" si="28"/>
        <v>2.9944375000000001</v>
      </c>
      <c r="J97" s="26">
        <f t="shared" si="28"/>
        <v>2.9501249999999999</v>
      </c>
      <c r="K97" s="26">
        <f t="shared" si="28"/>
        <v>2.8156875000000001</v>
      </c>
      <c r="L97" s="26">
        <f t="shared" si="28"/>
        <v>2.6557500000000003</v>
      </c>
      <c r="M97" s="26">
        <f t="shared" si="28"/>
        <v>2.4378125000000002</v>
      </c>
      <c r="N97" s="26">
        <f t="shared" si="28"/>
        <v>1.9747500000000002</v>
      </c>
      <c r="O97" s="26">
        <f t="shared" si="28"/>
        <v>1.2734375</v>
      </c>
      <c r="P97" s="26">
        <f t="shared" si="28"/>
        <v>0</v>
      </c>
      <c r="Q97" s="26">
        <f t="shared" si="28"/>
        <v>0</v>
      </c>
      <c r="R97" s="26">
        <f t="shared" si="28"/>
        <v>0</v>
      </c>
      <c r="S97" s="26">
        <f t="shared" si="28"/>
        <v>0</v>
      </c>
      <c r="T97" s="26">
        <f t="shared" si="28"/>
        <v>0</v>
      </c>
      <c r="U97" s="26">
        <f t="shared" si="28"/>
        <v>0</v>
      </c>
      <c r="V97" s="26">
        <f t="shared" si="28"/>
        <v>0</v>
      </c>
      <c r="W97" s="26">
        <f t="shared" si="28"/>
        <v>0</v>
      </c>
      <c r="X97" s="26">
        <f t="shared" si="28"/>
        <v>0</v>
      </c>
      <c r="Y97" s="26">
        <f t="shared" si="28"/>
        <v>0</v>
      </c>
      <c r="Z97" s="26">
        <f t="shared" si="28"/>
        <v>0</v>
      </c>
      <c r="AA97" s="26">
        <f t="shared" si="28"/>
        <v>0</v>
      </c>
      <c r="AB97" s="26">
        <f t="shared" si="28"/>
        <v>0</v>
      </c>
      <c r="AC97" s="26">
        <f t="shared" si="28"/>
        <v>0</v>
      </c>
      <c r="AD97" s="26">
        <f t="shared" si="28"/>
        <v>0</v>
      </c>
      <c r="AE97" s="26">
        <f t="shared" si="28"/>
        <v>0</v>
      </c>
      <c r="AF97" s="26">
        <f t="shared" si="28"/>
        <v>0</v>
      </c>
      <c r="AG97" s="26">
        <f t="shared" si="28"/>
        <v>0</v>
      </c>
      <c r="AH97" s="26">
        <f t="shared" si="28"/>
        <v>0</v>
      </c>
      <c r="AI97" s="26">
        <f t="shared" si="28"/>
        <v>0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1</v>
      </c>
      <c r="B98" s="10">
        <f t="shared" si="25"/>
        <v>0</v>
      </c>
      <c r="C98" s="10">
        <f t="shared" si="25"/>
        <v>0</v>
      </c>
      <c r="D98" s="10">
        <f t="shared" si="25"/>
        <v>0</v>
      </c>
      <c r="E98" s="11" t="str">
        <f t="shared" si="19"/>
        <v>H (Ar)</v>
      </c>
      <c r="F98" s="26">
        <f t="shared" si="27"/>
        <v>-116.375</v>
      </c>
      <c r="G98" s="26">
        <f t="shared" si="28"/>
        <v>-117.3125</v>
      </c>
      <c r="H98" s="26">
        <f t="shared" si="28"/>
        <v>-117.3125</v>
      </c>
      <c r="I98" s="26">
        <f t="shared" si="28"/>
        <v>-118.3125</v>
      </c>
      <c r="J98" s="26">
        <f t="shared" si="28"/>
        <v>-119.5625</v>
      </c>
      <c r="K98" s="26">
        <f t="shared" si="28"/>
        <v>-121.24999999999999</v>
      </c>
      <c r="L98" s="26">
        <f t="shared" si="28"/>
        <v>-122.81249999999999</v>
      </c>
      <c r="M98" s="26">
        <f t="shared" si="28"/>
        <v>-124.3125</v>
      </c>
      <c r="N98" s="26">
        <f t="shared" si="28"/>
        <v>-125.93749999999999</v>
      </c>
      <c r="O98" s="26">
        <f t="shared" si="28"/>
        <v>-127.875</v>
      </c>
      <c r="P98" s="26">
        <f t="shared" si="28"/>
        <v>0</v>
      </c>
      <c r="Q98" s="26">
        <f t="shared" si="28"/>
        <v>0</v>
      </c>
      <c r="R98" s="26">
        <f t="shared" si="28"/>
        <v>0</v>
      </c>
      <c r="S98" s="26">
        <f t="shared" si="28"/>
        <v>0</v>
      </c>
      <c r="T98" s="26">
        <f t="shared" si="28"/>
        <v>0</v>
      </c>
      <c r="U98" s="26">
        <f t="shared" si="28"/>
        <v>0</v>
      </c>
      <c r="V98" s="26">
        <f t="shared" si="28"/>
        <v>0</v>
      </c>
      <c r="W98" s="26">
        <f t="shared" si="28"/>
        <v>0</v>
      </c>
      <c r="X98" s="26">
        <f t="shared" si="28"/>
        <v>0</v>
      </c>
      <c r="Y98" s="26">
        <f t="shared" si="28"/>
        <v>0</v>
      </c>
      <c r="Z98" s="26">
        <f t="shared" si="28"/>
        <v>0</v>
      </c>
      <c r="AA98" s="26">
        <f t="shared" si="28"/>
        <v>0</v>
      </c>
      <c r="AB98" s="26">
        <f t="shared" si="28"/>
        <v>0</v>
      </c>
      <c r="AC98" s="26">
        <f t="shared" si="28"/>
        <v>0</v>
      </c>
      <c r="AD98" s="26">
        <f t="shared" si="28"/>
        <v>0</v>
      </c>
      <c r="AE98" s="26">
        <f t="shared" si="28"/>
        <v>0</v>
      </c>
      <c r="AF98" s="26">
        <f t="shared" si="28"/>
        <v>0</v>
      </c>
      <c r="AG98" s="26">
        <f t="shared" si="28"/>
        <v>0</v>
      </c>
      <c r="AH98" s="26">
        <f t="shared" si="28"/>
        <v>0</v>
      </c>
      <c r="AI98" s="26">
        <f t="shared" si="28"/>
        <v>0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0</v>
      </c>
      <c r="C99" s="10">
        <f t="shared" si="25"/>
        <v>0</v>
      </c>
      <c r="D99" s="10">
        <f t="shared" si="25"/>
        <v>1</v>
      </c>
      <c r="E99" s="11" t="str">
        <f t="shared" si="19"/>
        <v>H (Ga)</v>
      </c>
      <c r="F99" s="26">
        <f t="shared" si="27"/>
        <v>-39.231250000000003</v>
      </c>
      <c r="G99" s="26">
        <f t="shared" si="28"/>
        <v>-46.181249999999999</v>
      </c>
      <c r="H99" s="26">
        <f t="shared" si="28"/>
        <v>-46.181249999999999</v>
      </c>
      <c r="I99" s="26">
        <f t="shared" si="28"/>
        <v>-49.05</v>
      </c>
      <c r="J99" s="26">
        <f t="shared" si="28"/>
        <v>-51.949999999999996</v>
      </c>
      <c r="K99" s="26">
        <f t="shared" si="28"/>
        <v>-55.781250000000007</v>
      </c>
      <c r="L99" s="26">
        <f t="shared" si="28"/>
        <v>-60.475000000000001</v>
      </c>
      <c r="M99" s="26">
        <f t="shared" si="28"/>
        <v>-64.9375</v>
      </c>
      <c r="N99" s="26">
        <f t="shared" si="28"/>
        <v>-68.9375</v>
      </c>
      <c r="O99" s="26">
        <f t="shared" si="28"/>
        <v>-72.3125</v>
      </c>
      <c r="P99" s="26">
        <f t="shared" si="28"/>
        <v>0</v>
      </c>
      <c r="Q99" s="26">
        <f t="shared" si="28"/>
        <v>0</v>
      </c>
      <c r="R99" s="26">
        <f t="shared" si="28"/>
        <v>0</v>
      </c>
      <c r="S99" s="26">
        <f t="shared" si="28"/>
        <v>0</v>
      </c>
      <c r="T99" s="26">
        <f t="shared" si="28"/>
        <v>0</v>
      </c>
      <c r="U99" s="26">
        <f t="shared" si="28"/>
        <v>0</v>
      </c>
      <c r="V99" s="26">
        <f t="shared" si="28"/>
        <v>0</v>
      </c>
      <c r="W99" s="26">
        <f t="shared" si="28"/>
        <v>0</v>
      </c>
      <c r="X99" s="26">
        <f t="shared" si="28"/>
        <v>0</v>
      </c>
      <c r="Y99" s="26">
        <f t="shared" si="28"/>
        <v>0</v>
      </c>
      <c r="Z99" s="26">
        <f t="shared" si="28"/>
        <v>0</v>
      </c>
      <c r="AA99" s="26">
        <f t="shared" si="28"/>
        <v>0</v>
      </c>
      <c r="AB99" s="26">
        <f t="shared" si="28"/>
        <v>0</v>
      </c>
      <c r="AC99" s="26">
        <f t="shared" si="28"/>
        <v>0</v>
      </c>
      <c r="AD99" s="26">
        <f t="shared" si="28"/>
        <v>0</v>
      </c>
      <c r="AE99" s="26">
        <f t="shared" si="28"/>
        <v>0</v>
      </c>
      <c r="AF99" s="26">
        <f t="shared" si="28"/>
        <v>0</v>
      </c>
      <c r="AG99" s="26">
        <f t="shared" si="28"/>
        <v>0</v>
      </c>
      <c r="AH99" s="26">
        <f t="shared" si="28"/>
        <v>0</v>
      </c>
      <c r="AI99" s="26">
        <f t="shared" si="28"/>
        <v>0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1</v>
      </c>
      <c r="D100" s="10">
        <f t="shared" si="25"/>
        <v>0</v>
      </c>
      <c r="E100" s="11" t="str">
        <f t="shared" si="19"/>
        <v>H (Ge)</v>
      </c>
      <c r="F100" s="26">
        <f t="shared" ref="F100:F107" si="30">F20*$C$82</f>
        <v>43.45</v>
      </c>
      <c r="G100" s="26">
        <f t="shared" ref="G100:AL107" si="31">G20*$C$82</f>
        <v>5.9325000000000001</v>
      </c>
      <c r="H100" s="26">
        <f t="shared" si="31"/>
        <v>5.9325000000000001</v>
      </c>
      <c r="I100" s="26">
        <f t="shared" si="31"/>
        <v>-4.9706250000000001</v>
      </c>
      <c r="J100" s="26">
        <f t="shared" si="31"/>
        <v>-13.206250000000001</v>
      </c>
      <c r="K100" s="26">
        <f t="shared" si="31"/>
        <v>-19.412499999999998</v>
      </c>
      <c r="L100" s="26">
        <f t="shared" si="31"/>
        <v>-24.356249999999999</v>
      </c>
      <c r="M100" s="26">
        <f t="shared" si="31"/>
        <v>-28.456250000000001</v>
      </c>
      <c r="N100" s="26">
        <f t="shared" si="31"/>
        <v>-31.487500000000001</v>
      </c>
      <c r="O100" s="26">
        <f t="shared" si="31"/>
        <v>-33.28125</v>
      </c>
      <c r="P100" s="26">
        <f t="shared" si="31"/>
        <v>1.7500000000000002</v>
      </c>
      <c r="Q100" s="26">
        <f t="shared" si="31"/>
        <v>1.7500000000000002</v>
      </c>
      <c r="R100" s="26">
        <f t="shared" si="31"/>
        <v>1.7500000000000002</v>
      </c>
      <c r="S100" s="26">
        <f t="shared" si="31"/>
        <v>1.7500000000000002</v>
      </c>
      <c r="T100" s="26">
        <f t="shared" si="31"/>
        <v>1.7500000000000002</v>
      </c>
      <c r="U100" s="26">
        <f t="shared" si="31"/>
        <v>1.7500000000000002</v>
      </c>
      <c r="V100" s="26">
        <f t="shared" si="31"/>
        <v>1.7500000000000002</v>
      </c>
      <c r="W100" s="26">
        <f t="shared" si="31"/>
        <v>1.6924999999999999</v>
      </c>
      <c r="X100" s="26">
        <f t="shared" si="31"/>
        <v>1.3485</v>
      </c>
      <c r="Y100" s="26">
        <f t="shared" si="31"/>
        <v>1.2775625000000002</v>
      </c>
      <c r="Z100" s="26">
        <f t="shared" si="31"/>
        <v>1.2571874999999999</v>
      </c>
      <c r="AA100" s="26">
        <f t="shared" si="31"/>
        <v>1.25075</v>
      </c>
      <c r="AB100" s="26">
        <f t="shared" si="31"/>
        <v>1.2500624999999999</v>
      </c>
      <c r="AC100" s="26">
        <f t="shared" si="31"/>
        <v>1.25</v>
      </c>
      <c r="AD100" s="26">
        <f t="shared" si="31"/>
        <v>1.25</v>
      </c>
      <c r="AE100" s="26">
        <f t="shared" si="31"/>
        <v>1.25</v>
      </c>
      <c r="AF100" s="26">
        <f t="shared" si="31"/>
        <v>1.25</v>
      </c>
      <c r="AG100" s="26">
        <f t="shared" si="31"/>
        <v>1.25</v>
      </c>
      <c r="AH100" s="26">
        <f t="shared" si="31"/>
        <v>1.25</v>
      </c>
      <c r="AI100" s="26">
        <f t="shared" si="31"/>
        <v>1.25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1</v>
      </c>
      <c r="C101" s="10">
        <f t="shared" si="32"/>
        <v>0</v>
      </c>
      <c r="D101" s="10">
        <f t="shared" si="32"/>
        <v>0</v>
      </c>
      <c r="E101" s="11" t="str">
        <f t="shared" si="19"/>
        <v>H (Se)</v>
      </c>
      <c r="F101" s="26">
        <f t="shared" si="30"/>
        <v>-29.375</v>
      </c>
      <c r="G101" s="26">
        <f t="shared" si="31"/>
        <v>-35.081250000000004</v>
      </c>
      <c r="H101" s="26">
        <f t="shared" si="31"/>
        <v>-35.081250000000004</v>
      </c>
      <c r="I101" s="26">
        <f t="shared" si="31"/>
        <v>-37.924999999999997</v>
      </c>
      <c r="J101" s="26">
        <f t="shared" si="31"/>
        <v>-40.506250000000001</v>
      </c>
      <c r="K101" s="26">
        <f t="shared" si="31"/>
        <v>-42.699999999999996</v>
      </c>
      <c r="L101" s="26">
        <f t="shared" si="31"/>
        <v>-44.6875</v>
      </c>
      <c r="M101" s="26">
        <f t="shared" si="31"/>
        <v>-46.6875</v>
      </c>
      <c r="N101" s="26">
        <f t="shared" si="31"/>
        <v>-48.893750000000004</v>
      </c>
      <c r="O101" s="26">
        <f t="shared" si="31"/>
        <v>-51.675000000000004</v>
      </c>
      <c r="P101" s="26">
        <f t="shared" si="31"/>
        <v>4.8915625000000003E-40</v>
      </c>
      <c r="Q101" s="26">
        <f t="shared" si="31"/>
        <v>8.9349999999999995E-24</v>
      </c>
      <c r="R101" s="26">
        <f t="shared" si="31"/>
        <v>1.6245624999999999E-16</v>
      </c>
      <c r="S101" s="26">
        <f t="shared" si="31"/>
        <v>1.2206249999999999E-13</v>
      </c>
      <c r="T101" s="26">
        <f t="shared" si="31"/>
        <v>8.9150000000000008E-10</v>
      </c>
      <c r="U101" s="26">
        <f t="shared" si="31"/>
        <v>7.8912500000000011E-10</v>
      </c>
      <c r="V101" s="26">
        <f t="shared" si="31"/>
        <v>6.3243749999999997E-9</v>
      </c>
      <c r="W101" s="26">
        <f t="shared" si="31"/>
        <v>0</v>
      </c>
      <c r="X101" s="26">
        <f t="shared" si="31"/>
        <v>6.0791875000000003E-8</v>
      </c>
      <c r="Y101" s="26">
        <f t="shared" si="31"/>
        <v>4.562125E-7</v>
      </c>
      <c r="Z101" s="26">
        <f t="shared" si="31"/>
        <v>1.1592500000000001</v>
      </c>
      <c r="AA101" s="26">
        <f t="shared" si="31"/>
        <v>1.2055625000000001</v>
      </c>
      <c r="AB101" s="26">
        <f t="shared" si="31"/>
        <v>1.2430625000000002</v>
      </c>
      <c r="AC101" s="26">
        <f t="shared" si="31"/>
        <v>1.4520625</v>
      </c>
      <c r="AD101" s="26">
        <f t="shared" si="31"/>
        <v>1.5275624999999999</v>
      </c>
      <c r="AE101" s="26">
        <f t="shared" si="31"/>
        <v>1.616625</v>
      </c>
      <c r="AF101" s="26">
        <f t="shared" si="31"/>
        <v>1.7224375000000001</v>
      </c>
      <c r="AG101" s="26">
        <f t="shared" si="31"/>
        <v>1.616625</v>
      </c>
      <c r="AH101" s="26">
        <f t="shared" si="31"/>
        <v>1.7224375000000001</v>
      </c>
      <c r="AI101" s="26">
        <f t="shared" si="31"/>
        <v>1.8501875000000001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3.3745624999999999E-8</v>
      </c>
      <c r="H102" s="26">
        <f t="shared" si="31"/>
        <v>1.7828124999999999E-8</v>
      </c>
      <c r="I102" s="26">
        <f t="shared" si="31"/>
        <v>4.4433125000000002E-8</v>
      </c>
      <c r="J102" s="26">
        <f t="shared" si="31"/>
        <v>4.1047500000000004E-8</v>
      </c>
      <c r="K102" s="26">
        <f t="shared" si="31"/>
        <v>2.2353124999999999E-8</v>
      </c>
      <c r="L102" s="26">
        <f t="shared" si="31"/>
        <v>4.4776875000000001E-8</v>
      </c>
      <c r="M102" s="26">
        <f t="shared" si="31"/>
        <v>3.3025624999999997E-8</v>
      </c>
      <c r="N102" s="26">
        <f t="shared" si="31"/>
        <v>5.1165624999999999E-8</v>
      </c>
      <c r="O102" s="26">
        <f t="shared" si="31"/>
        <v>2.3218750000000001E-6</v>
      </c>
      <c r="P102" s="26">
        <f t="shared" si="31"/>
        <v>3.6846249999999998E-8</v>
      </c>
      <c r="Q102" s="26">
        <f t="shared" si="31"/>
        <v>1.7573125000000001E-8</v>
      </c>
      <c r="R102" s="26">
        <f t="shared" si="31"/>
        <v>3.1312499999999997E-8</v>
      </c>
      <c r="S102" s="26">
        <f t="shared" si="31"/>
        <v>7.67125E-9</v>
      </c>
      <c r="T102" s="26">
        <f t="shared" si="31"/>
        <v>3.3653125E-8</v>
      </c>
      <c r="U102" s="26">
        <f t="shared" si="31"/>
        <v>1.6068124999999999E-8</v>
      </c>
      <c r="V102" s="26">
        <f t="shared" si="31"/>
        <v>4.5339374999999997E-8</v>
      </c>
      <c r="W102" s="26">
        <f t="shared" si="31"/>
        <v>5.9011249999999998E-8</v>
      </c>
      <c r="X102" s="26">
        <f t="shared" si="31"/>
        <v>3.3928124999999995E-8</v>
      </c>
      <c r="Y102" s="26">
        <f t="shared" si="31"/>
        <v>4.4031249999999999E-8</v>
      </c>
      <c r="Z102" s="26">
        <f t="shared" si="31"/>
        <v>6.0898124999999997E-8</v>
      </c>
      <c r="AA102" s="26">
        <f t="shared" si="31"/>
        <v>5.795625E-8</v>
      </c>
      <c r="AB102" s="26">
        <f t="shared" si="31"/>
        <v>5.4971874999999994E-8</v>
      </c>
      <c r="AC102" s="26">
        <f t="shared" si="31"/>
        <v>4.6071249999999996E-8</v>
      </c>
      <c r="AD102" s="26">
        <f t="shared" si="31"/>
        <v>5.2577499999999996E-8</v>
      </c>
      <c r="AE102" s="26">
        <f t="shared" si="31"/>
        <v>4.9304999999999997E-8</v>
      </c>
      <c r="AF102" s="26">
        <f t="shared" si="31"/>
        <v>4.509375E-8</v>
      </c>
      <c r="AG102" s="26">
        <f t="shared" si="31"/>
        <v>4.9304999999999997E-8</v>
      </c>
      <c r="AH102" s="26">
        <f t="shared" si="31"/>
        <v>4.509375E-8</v>
      </c>
      <c r="AI102" s="26">
        <f t="shared" si="31"/>
        <v>5.7462499999999996E-8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thickBot="1" x14ac:dyDescent="0.4"/>
    <row r="116" spans="1:38" ht="21" customHeight="1" thickTop="1" thickBot="1" x14ac:dyDescent="0.45">
      <c r="A116" s="3"/>
      <c r="B116" s="3"/>
      <c r="C116" s="3"/>
      <c r="D116" s="3"/>
      <c r="E116" s="4" t="s">
        <v>31</v>
      </c>
      <c r="F116" s="5"/>
      <c r="G116" s="4"/>
      <c r="H116" s="4"/>
      <c r="I116" s="4"/>
      <c r="J116" s="4"/>
      <c r="K116" s="4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:AL117" si="40">F3</f>
        <v>273.10000000000002</v>
      </c>
      <c r="G117" s="9">
        <f t="shared" si="40"/>
        <v>353.9</v>
      </c>
      <c r="H117" s="9">
        <f t="shared" si="40"/>
        <v>434.7</v>
      </c>
      <c r="I117" s="9">
        <f t="shared" si="40"/>
        <v>515.4</v>
      </c>
      <c r="J117" s="9">
        <f t="shared" si="40"/>
        <v>596.20000000000005</v>
      </c>
      <c r="K117" s="9">
        <f t="shared" si="40"/>
        <v>677</v>
      </c>
      <c r="L117" s="9">
        <f t="shared" si="40"/>
        <v>757.7</v>
      </c>
      <c r="M117" s="9">
        <f t="shared" si="40"/>
        <v>838.5</v>
      </c>
      <c r="N117" s="9">
        <f t="shared" si="40"/>
        <v>919.2</v>
      </c>
      <c r="O117" s="9">
        <f t="shared" si="40"/>
        <v>1000</v>
      </c>
      <c r="P117" s="9">
        <f t="shared" si="40"/>
        <v>0</v>
      </c>
      <c r="Q117" s="9">
        <f t="shared" si="40"/>
        <v>0</v>
      </c>
      <c r="R117" s="9">
        <f t="shared" si="40"/>
        <v>0</v>
      </c>
      <c r="S117" s="9">
        <f t="shared" si="40"/>
        <v>0</v>
      </c>
      <c r="T117" s="9">
        <f t="shared" si="40"/>
        <v>0</v>
      </c>
      <c r="U117" s="9">
        <f t="shared" si="40"/>
        <v>0</v>
      </c>
      <c r="V117" s="9">
        <f t="shared" si="40"/>
        <v>0</v>
      </c>
      <c r="W117" s="9">
        <f t="shared" si="40"/>
        <v>0</v>
      </c>
      <c r="X117" s="9">
        <f t="shared" si="40"/>
        <v>0</v>
      </c>
      <c r="Y117" s="9">
        <f t="shared" si="40"/>
        <v>0</v>
      </c>
      <c r="Z117" s="9">
        <f t="shared" si="40"/>
        <v>0</v>
      </c>
      <c r="AA117" s="9">
        <f t="shared" si="40"/>
        <v>0</v>
      </c>
      <c r="AB117" s="9">
        <f t="shared" si="40"/>
        <v>0</v>
      </c>
      <c r="AC117" s="9">
        <f t="shared" si="40"/>
        <v>0</v>
      </c>
      <c r="AD117" s="9">
        <f t="shared" si="40"/>
        <v>0</v>
      </c>
      <c r="AE117" s="9">
        <f t="shared" si="40"/>
        <v>0</v>
      </c>
      <c r="AF117" s="9">
        <f t="shared" si="40"/>
        <v>0</v>
      </c>
      <c r="AG117" s="9">
        <f t="shared" si="40"/>
        <v>0</v>
      </c>
      <c r="AH117" s="9">
        <f t="shared" si="40"/>
        <v>0</v>
      </c>
      <c r="AI117" s="9">
        <f t="shared" si="40"/>
        <v>0</v>
      </c>
      <c r="AJ117" s="9">
        <f t="shared" si="40"/>
        <v>0</v>
      </c>
      <c r="AK117" s="9">
        <f t="shared" si="40"/>
        <v>0</v>
      </c>
      <c r="AL117" s="9">
        <f t="shared" si="40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-346.70633550000002</v>
      </c>
      <c r="C118" s="45">
        <f>COUNTA(E118:E125)+1</f>
        <v>5</v>
      </c>
      <c r="E118" s="29" t="s">
        <v>14</v>
      </c>
      <c r="F118" s="26">
        <f ca="1">F$117*$B$2*SUMPRODUCT(F$95:F$97,F$61:F$63)/1000</f>
        <v>-30.484012578750008</v>
      </c>
      <c r="G118" s="26">
        <f t="shared" ref="G118:AL118" ca="1" si="41">G$117*$B$2*SUMPRODUCT(G$95:G$97,G$61:G$63)/1000</f>
        <v>-68.484263828860549</v>
      </c>
      <c r="H118" s="26">
        <f t="shared" ca="1" si="41"/>
        <v>-84.120117226351184</v>
      </c>
      <c r="I118" s="26">
        <f t="shared" ca="1" si="41"/>
        <v>-114.52976756428208</v>
      </c>
      <c r="J118" s="26">
        <f t="shared" ca="1" si="41"/>
        <v>-142.36703218402874</v>
      </c>
      <c r="K118" s="26">
        <f t="shared" ca="1" si="41"/>
        <v>-157.8551995594174</v>
      </c>
      <c r="L118" s="26">
        <f t="shared" ca="1" si="41"/>
        <v>-167.16113200644321</v>
      </c>
      <c r="M118" s="26">
        <f t="shared" ca="1" si="41"/>
        <v>-174.8579636402747</v>
      </c>
      <c r="N118" s="26">
        <f t="shared" ca="1" si="41"/>
        <v>-167.58271170601768</v>
      </c>
      <c r="O118" s="26">
        <f t="shared" ca="1" si="41"/>
        <v>-138.92595417890627</v>
      </c>
      <c r="P118" s="26">
        <f t="shared" ca="1" si="41"/>
        <v>0</v>
      </c>
      <c r="Q118" s="26">
        <f t="shared" ca="1" si="41"/>
        <v>0</v>
      </c>
      <c r="R118" s="26">
        <f t="shared" ca="1" si="41"/>
        <v>0</v>
      </c>
      <c r="S118" s="26">
        <f t="shared" ca="1" si="41"/>
        <v>0</v>
      </c>
      <c r="T118" s="26">
        <f t="shared" ca="1" si="41"/>
        <v>0</v>
      </c>
      <c r="U118" s="26">
        <f t="shared" ca="1" si="41"/>
        <v>0</v>
      </c>
      <c r="V118" s="26">
        <f t="shared" ca="1" si="41"/>
        <v>0</v>
      </c>
      <c r="W118" s="26">
        <f t="shared" ca="1" si="41"/>
        <v>0</v>
      </c>
      <c r="X118" s="26">
        <f t="shared" ca="1" si="41"/>
        <v>0</v>
      </c>
      <c r="Y118" s="26">
        <f t="shared" ca="1" si="41"/>
        <v>0</v>
      </c>
      <c r="Z118" s="26">
        <f t="shared" ca="1" si="41"/>
        <v>0</v>
      </c>
      <c r="AA118" s="26">
        <f t="shared" ca="1" si="41"/>
        <v>0</v>
      </c>
      <c r="AB118" s="26">
        <f t="shared" ca="1" si="41"/>
        <v>0</v>
      </c>
      <c r="AC118" s="26">
        <f t="shared" ca="1" si="41"/>
        <v>0</v>
      </c>
      <c r="AD118" s="26">
        <f t="shared" ca="1" si="41"/>
        <v>0</v>
      </c>
      <c r="AE118" s="26">
        <f t="shared" ca="1" si="41"/>
        <v>0</v>
      </c>
      <c r="AF118" s="26">
        <f t="shared" ca="1" si="41"/>
        <v>0</v>
      </c>
      <c r="AG118" s="26">
        <f t="shared" ca="1" si="41"/>
        <v>0</v>
      </c>
      <c r="AH118" s="26">
        <f t="shared" ca="1" si="41"/>
        <v>0</v>
      </c>
      <c r="AI118" s="26">
        <f t="shared" ca="1" si="41"/>
        <v>0</v>
      </c>
      <c r="AJ118" s="26">
        <f t="shared" ca="1" si="41"/>
        <v>0</v>
      </c>
      <c r="AK118" s="26">
        <f t="shared" ca="1" si="41"/>
        <v>0</v>
      </c>
      <c r="AL118" s="26">
        <f t="shared" ca="1" si="41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10</v>
      </c>
      <c r="E119" s="29" t="s">
        <v>15</v>
      </c>
      <c r="F119" s="26">
        <f ca="1">F$117*$B$2*SUMPRODUCT(F$85:F$93,F$51:F$59)/1000</f>
        <v>-1.959611244044737E-8</v>
      </c>
      <c r="G119" s="26">
        <f t="shared" ref="G119:AL119" ca="1" si="42">G$117*$B$2*SUMPRODUCT(G$85:G$93,G$51:G$59)/1000</f>
        <v>-1.3241688045099649E-2</v>
      </c>
      <c r="H119" s="26">
        <f t="shared" ca="1" si="42"/>
        <v>-1.6264938664043001E-2</v>
      </c>
      <c r="I119" s="26">
        <f t="shared" ca="1" si="42"/>
        <v>-0.51837547972189246</v>
      </c>
      <c r="J119" s="26">
        <f t="shared" ca="1" si="42"/>
        <v>-5.6916386151884595</v>
      </c>
      <c r="K119" s="26">
        <f t="shared" ca="1" si="42"/>
        <v>-25.236193039187995</v>
      </c>
      <c r="L119" s="26">
        <f t="shared" ca="1" si="42"/>
        <v>-53.478819513451732</v>
      </c>
      <c r="M119" s="26">
        <f t="shared" ca="1" si="42"/>
        <v>-85.5568994565661</v>
      </c>
      <c r="N119" s="26">
        <f t="shared" ca="1" si="42"/>
        <v>-134.58566035741953</v>
      </c>
      <c r="O119" s="26">
        <f t="shared" ca="1" si="42"/>
        <v>-207.77933728827335</v>
      </c>
      <c r="P119" s="26">
        <f t="shared" ca="1" si="42"/>
        <v>0</v>
      </c>
      <c r="Q119" s="26">
        <f t="shared" ca="1" si="42"/>
        <v>0</v>
      </c>
      <c r="R119" s="26">
        <f t="shared" ca="1" si="42"/>
        <v>0</v>
      </c>
      <c r="S119" s="26">
        <f t="shared" ca="1" si="42"/>
        <v>0</v>
      </c>
      <c r="T119" s="26">
        <f t="shared" ca="1" si="42"/>
        <v>0</v>
      </c>
      <c r="U119" s="26">
        <f t="shared" ca="1" si="42"/>
        <v>0</v>
      </c>
      <c r="V119" s="26">
        <f t="shared" ca="1" si="42"/>
        <v>0</v>
      </c>
      <c r="W119" s="26">
        <f t="shared" ca="1" si="42"/>
        <v>0</v>
      </c>
      <c r="X119" s="26">
        <f t="shared" ca="1" si="42"/>
        <v>0</v>
      </c>
      <c r="Y119" s="26">
        <f t="shared" ca="1" si="42"/>
        <v>0</v>
      </c>
      <c r="Z119" s="26">
        <f t="shared" ca="1" si="42"/>
        <v>0</v>
      </c>
      <c r="AA119" s="26">
        <f t="shared" ca="1" si="42"/>
        <v>0</v>
      </c>
      <c r="AB119" s="26">
        <f t="shared" ca="1" si="42"/>
        <v>0</v>
      </c>
      <c r="AC119" s="26">
        <f t="shared" ca="1" si="42"/>
        <v>0</v>
      </c>
      <c r="AD119" s="26">
        <f t="shared" ca="1" si="42"/>
        <v>0</v>
      </c>
      <c r="AE119" s="26">
        <f t="shared" ca="1" si="42"/>
        <v>0</v>
      </c>
      <c r="AF119" s="26">
        <f t="shared" ca="1" si="42"/>
        <v>0</v>
      </c>
      <c r="AG119" s="26">
        <f t="shared" ca="1" si="42"/>
        <v>0</v>
      </c>
      <c r="AH119" s="26">
        <f t="shared" ca="1" si="42"/>
        <v>0</v>
      </c>
      <c r="AI119" s="26">
        <f t="shared" ca="1" si="42"/>
        <v>0</v>
      </c>
      <c r="AJ119" s="26">
        <f t="shared" ca="1" si="42"/>
        <v>0</v>
      </c>
      <c r="AK119" s="26">
        <f t="shared" ca="1" si="42"/>
        <v>0</v>
      </c>
      <c r="AL119" s="26">
        <f t="shared" ca="1" si="42"/>
        <v>0</v>
      </c>
    </row>
    <row r="120" spans="1:38" ht="21" customHeight="1" outlineLevel="1" thickBot="1" x14ac:dyDescent="0.4">
      <c r="E120" s="29" t="s">
        <v>16</v>
      </c>
      <c r="F120" s="26">
        <f t="shared" ref="F120:AL120" ca="1" si="43">F119+F118</f>
        <v>-30.484012598346119</v>
      </c>
      <c r="G120" s="26">
        <f t="shared" ca="1" si="43"/>
        <v>-68.497505516905647</v>
      </c>
      <c r="H120" s="26">
        <f t="shared" ca="1" si="43"/>
        <v>-84.13638216501522</v>
      </c>
      <c r="I120" s="26">
        <f t="shared" ca="1" si="43"/>
        <v>-115.04814304400398</v>
      </c>
      <c r="J120" s="26">
        <f t="shared" ca="1" si="43"/>
        <v>-148.0586707992172</v>
      </c>
      <c r="K120" s="26">
        <f t="shared" ca="1" si="43"/>
        <v>-183.09139259860541</v>
      </c>
      <c r="L120" s="26">
        <f t="shared" ca="1" si="43"/>
        <v>-220.63995151989494</v>
      </c>
      <c r="M120" s="26">
        <f t="shared" ca="1" si="43"/>
        <v>-260.4148630968408</v>
      </c>
      <c r="N120" s="26">
        <f t="shared" ca="1" si="43"/>
        <v>-302.16837206343723</v>
      </c>
      <c r="O120" s="26">
        <f t="shared" ca="1" si="43"/>
        <v>-346.70529146717962</v>
      </c>
      <c r="P120" s="26">
        <f t="shared" ca="1" si="43"/>
        <v>0</v>
      </c>
      <c r="Q120" s="26">
        <f t="shared" ca="1" si="43"/>
        <v>0</v>
      </c>
      <c r="R120" s="26">
        <f t="shared" ca="1" si="43"/>
        <v>0</v>
      </c>
      <c r="S120" s="26">
        <f t="shared" ca="1" si="43"/>
        <v>0</v>
      </c>
      <c r="T120" s="26">
        <f t="shared" ca="1" si="43"/>
        <v>0</v>
      </c>
      <c r="U120" s="26">
        <f t="shared" ca="1" si="43"/>
        <v>0</v>
      </c>
      <c r="V120" s="26">
        <f t="shared" ca="1" si="43"/>
        <v>0</v>
      </c>
      <c r="W120" s="26">
        <f t="shared" ca="1" si="43"/>
        <v>0</v>
      </c>
      <c r="X120" s="26">
        <f t="shared" ca="1" si="43"/>
        <v>0</v>
      </c>
      <c r="Y120" s="26">
        <f t="shared" ca="1" si="43"/>
        <v>0</v>
      </c>
      <c r="Z120" s="26">
        <f t="shared" ca="1" si="43"/>
        <v>0</v>
      </c>
      <c r="AA120" s="26">
        <f t="shared" ca="1" si="43"/>
        <v>0</v>
      </c>
      <c r="AB120" s="26">
        <f t="shared" ca="1" si="43"/>
        <v>0</v>
      </c>
      <c r="AC120" s="26">
        <f t="shared" ca="1" si="43"/>
        <v>0</v>
      </c>
      <c r="AD120" s="26">
        <f t="shared" ca="1" si="43"/>
        <v>0</v>
      </c>
      <c r="AE120" s="26">
        <f t="shared" ca="1" si="43"/>
        <v>0</v>
      </c>
      <c r="AF120" s="26">
        <f t="shared" ca="1" si="43"/>
        <v>0</v>
      </c>
      <c r="AG120" s="26">
        <f t="shared" ca="1" si="43"/>
        <v>0</v>
      </c>
      <c r="AH120" s="26">
        <f t="shared" ca="1" si="43"/>
        <v>0</v>
      </c>
      <c r="AI120" s="26">
        <f t="shared" ca="1" si="43"/>
        <v>0</v>
      </c>
      <c r="AJ120" s="26">
        <f t="shared" ca="1" si="43"/>
        <v>0</v>
      </c>
      <c r="AK120" s="26">
        <f t="shared" ca="1" si="43"/>
        <v>0</v>
      </c>
      <c r="AL120" s="26">
        <f t="shared" ca="1" si="43"/>
        <v>0</v>
      </c>
    </row>
    <row r="121" spans="1:38" ht="21" customHeight="1" outlineLevel="1" thickBot="1" x14ac:dyDescent="0.4">
      <c r="E121" s="29" t="s">
        <v>17</v>
      </c>
      <c r="F121" s="26">
        <f t="shared" ref="F121:AL121" ca="1" si="44">F119+F118</f>
        <v>-30.484012598346119</v>
      </c>
      <c r="G121" s="26">
        <f t="shared" ca="1" si="44"/>
        <v>-68.497505516905647</v>
      </c>
      <c r="H121" s="26">
        <f t="shared" ca="1" si="44"/>
        <v>-84.13638216501522</v>
      </c>
      <c r="I121" s="26">
        <f t="shared" ca="1" si="44"/>
        <v>-115.04814304400398</v>
      </c>
      <c r="J121" s="26">
        <f t="shared" ca="1" si="44"/>
        <v>-148.0586707992172</v>
      </c>
      <c r="K121" s="26">
        <f t="shared" ca="1" si="44"/>
        <v>-183.09139259860541</v>
      </c>
      <c r="L121" s="26">
        <f t="shared" ca="1" si="44"/>
        <v>-220.63995151989494</v>
      </c>
      <c r="M121" s="26">
        <f t="shared" ca="1" si="44"/>
        <v>-260.4148630968408</v>
      </c>
      <c r="N121" s="26">
        <f t="shared" ca="1" si="44"/>
        <v>-302.16837206343723</v>
      </c>
      <c r="O121" s="26">
        <f t="shared" ca="1" si="44"/>
        <v>-346.70529146717962</v>
      </c>
      <c r="P121" s="26">
        <f t="shared" ca="1" si="44"/>
        <v>0</v>
      </c>
      <c r="Q121" s="26">
        <f t="shared" ca="1" si="44"/>
        <v>0</v>
      </c>
      <c r="R121" s="26">
        <f t="shared" ca="1" si="44"/>
        <v>0</v>
      </c>
      <c r="S121" s="26">
        <f t="shared" ca="1" si="44"/>
        <v>0</v>
      </c>
      <c r="T121" s="26">
        <f t="shared" ca="1" si="44"/>
        <v>0</v>
      </c>
      <c r="U121" s="26">
        <f t="shared" ca="1" si="44"/>
        <v>0</v>
      </c>
      <c r="V121" s="26">
        <f t="shared" ca="1" si="44"/>
        <v>0</v>
      </c>
      <c r="W121" s="26">
        <f t="shared" ca="1" si="44"/>
        <v>0</v>
      </c>
      <c r="X121" s="26">
        <f t="shared" ca="1" si="44"/>
        <v>0</v>
      </c>
      <c r="Y121" s="26">
        <f t="shared" ca="1" si="44"/>
        <v>0</v>
      </c>
      <c r="Z121" s="26">
        <f t="shared" ca="1" si="44"/>
        <v>0</v>
      </c>
      <c r="AA121" s="26">
        <f t="shared" ca="1" si="44"/>
        <v>0</v>
      </c>
      <c r="AB121" s="26">
        <f t="shared" ca="1" si="44"/>
        <v>0</v>
      </c>
      <c r="AC121" s="26">
        <f t="shared" ca="1" si="44"/>
        <v>0</v>
      </c>
      <c r="AD121" s="26">
        <f t="shared" ca="1" si="44"/>
        <v>0</v>
      </c>
      <c r="AE121" s="26">
        <f t="shared" ca="1" si="44"/>
        <v>0</v>
      </c>
      <c r="AF121" s="26">
        <f t="shared" ca="1" si="44"/>
        <v>0</v>
      </c>
      <c r="AG121" s="26">
        <f t="shared" ca="1" si="44"/>
        <v>0</v>
      </c>
      <c r="AH121" s="26">
        <f t="shared" ca="1" si="44"/>
        <v>0</v>
      </c>
      <c r="AI121" s="26">
        <f t="shared" ca="1" si="44"/>
        <v>0</v>
      </c>
      <c r="AJ121" s="26">
        <f t="shared" ca="1" si="44"/>
        <v>0</v>
      </c>
      <c r="AK121" s="26">
        <f t="shared" ca="1" si="44"/>
        <v>0</v>
      </c>
      <c r="AL121" s="26">
        <f t="shared" ca="1" si="44"/>
        <v>0</v>
      </c>
    </row>
    <row r="122" spans="1:38" ht="21" customHeight="1" outlineLevel="1" thickBot="1" x14ac:dyDescent="0.4">
      <c r="E122" s="57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L124" s="59">
        <v>5</v>
      </c>
    </row>
    <row r="125" spans="1:38" ht="21" customHeight="1" outlineLevel="1" thickBot="1" x14ac:dyDescent="0.4">
      <c r="E125" s="30"/>
      <c r="L125" s="59">
        <v>3</v>
      </c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353.9</v>
      </c>
      <c r="H126" s="9">
        <f ca="1"/>
        <v>434.7</v>
      </c>
      <c r="I126" s="9">
        <f ca="1"/>
        <v>515.4</v>
      </c>
      <c r="J126" s="9">
        <f ca="1"/>
        <v>596.20000000000005</v>
      </c>
      <c r="K126" s="9">
        <f ca="1"/>
        <v>677</v>
      </c>
      <c r="L126" s="9">
        <f ca="1"/>
        <v>757.7</v>
      </c>
      <c r="M126" s="9">
        <f ca="1"/>
        <v>838.5</v>
      </c>
      <c r="N126" s="9">
        <f ca="1"/>
        <v>919.2</v>
      </c>
      <c r="O126" s="9">
        <f ca="1"/>
        <v>1000</v>
      </c>
      <c r="P126" s="9" t="e">
        <f ca="1"/>
        <v>#N/A</v>
      </c>
      <c r="Q126" s="9" t="e">
        <f ca="1"/>
        <v>#N/A</v>
      </c>
      <c r="R126" s="9" t="e">
        <f ca="1"/>
        <v>#N/A</v>
      </c>
      <c r="S126" s="9" t="e">
        <f ca="1"/>
        <v>#N/A</v>
      </c>
      <c r="T126" s="9" t="e">
        <f ca="1"/>
        <v>#N/A</v>
      </c>
      <c r="U126" s="9" t="e">
        <f ca="1"/>
        <v>#N/A</v>
      </c>
      <c r="V126" s="9" t="e">
        <f ca="1"/>
        <v>#N/A</v>
      </c>
      <c r="W126" s="9" t="e">
        <f ca="1"/>
        <v>#N/A</v>
      </c>
      <c r="X126" s="9" t="e">
        <f ca="1"/>
        <v>#N/A</v>
      </c>
      <c r="Y126" s="9" t="e">
        <f ca="1"/>
        <v>#N/A</v>
      </c>
      <c r="Z126" s="9" t="e">
        <f ca="1"/>
        <v>#N/A</v>
      </c>
      <c r="AA126" s="9" t="e">
        <f ca="1"/>
        <v>#N/A</v>
      </c>
      <c r="AB126" s="9" t="e">
        <f ca="1"/>
        <v>#N/A</v>
      </c>
      <c r="AC126" s="9" t="e">
        <f ca="1"/>
        <v>#N/A</v>
      </c>
      <c r="AD126" s="9" t="e">
        <f ca="1"/>
        <v>#N/A</v>
      </c>
      <c r="AE126" s="9" t="e">
        <f ca="1"/>
        <v>#N/A</v>
      </c>
      <c r="AF126" s="9" t="e">
        <f ca="1"/>
        <v>#N/A</v>
      </c>
      <c r="AG126" s="9" t="e">
        <f ca="1"/>
        <v>#N/A</v>
      </c>
      <c r="AH126" s="9" t="e">
        <f ca="1"/>
        <v>#N/A</v>
      </c>
      <c r="AI126" s="9" t="e">
        <f ca="1"/>
        <v>#N/A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Раствор (жид): </v>
      </c>
      <c r="F127" s="59">
        <f ca="1"/>
        <v>-30.484012578750008</v>
      </c>
      <c r="G127" s="59">
        <f ca="1"/>
        <v>-68.484263828860549</v>
      </c>
      <c r="H127" s="59">
        <f ca="1"/>
        <v>-84.120117226351184</v>
      </c>
      <c r="I127" s="59">
        <f ca="1"/>
        <v>-114.52976756428208</v>
      </c>
      <c r="J127" s="59">
        <f ca="1"/>
        <v>-142.36703218402874</v>
      </c>
      <c r="K127" s="59">
        <f ca="1"/>
        <v>-157.8551995594174</v>
      </c>
      <c r="L127" s="59">
        <f ca="1"/>
        <v>-167.16113200644321</v>
      </c>
      <c r="M127" s="59">
        <f ca="1"/>
        <v>-174.8579636402747</v>
      </c>
      <c r="N127" s="59">
        <f ca="1"/>
        <v>-167.58271170601768</v>
      </c>
      <c r="O127" s="59">
        <f ca="1"/>
        <v>-138.92595417890627</v>
      </c>
      <c r="P127" s="59" t="e">
        <f ca="1"/>
        <v>#N/A</v>
      </c>
      <c r="Q127" s="59" t="e">
        <f ca="1"/>
        <v>#N/A</v>
      </c>
      <c r="R127" s="59" t="e">
        <f ca="1"/>
        <v>#N/A</v>
      </c>
      <c r="S127" s="59" t="e">
        <f ca="1"/>
        <v>#N/A</v>
      </c>
      <c r="T127" s="59" t="e">
        <f ca="1"/>
        <v>#N/A</v>
      </c>
      <c r="U127" s="59" t="e">
        <f ca="1"/>
        <v>#N/A</v>
      </c>
      <c r="V127" s="59" t="e">
        <f ca="1"/>
        <v>#N/A</v>
      </c>
      <c r="W127" s="59" t="e">
        <f ca="1"/>
        <v>#N/A</v>
      </c>
      <c r="X127" s="59" t="e">
        <f ca="1"/>
        <v>#N/A</v>
      </c>
      <c r="Y127" s="59" t="e">
        <f ca="1"/>
        <v>#N/A</v>
      </c>
      <c r="Z127" s="59" t="e">
        <f ca="1"/>
        <v>#N/A</v>
      </c>
      <c r="AA127" s="59" t="e">
        <f ca="1"/>
        <v>#N/A</v>
      </c>
      <c r="AB127" s="59" t="e">
        <f ca="1"/>
        <v>#N/A</v>
      </c>
      <c r="AC127" s="59" t="e">
        <f ca="1"/>
        <v>#N/A</v>
      </c>
      <c r="AD127" s="59" t="e">
        <f ca="1"/>
        <v>#N/A</v>
      </c>
      <c r="AE127" s="59" t="e">
        <f ca="1"/>
        <v>#N/A</v>
      </c>
      <c r="AF127" s="59" t="e">
        <f ca="1"/>
        <v>#N/A</v>
      </c>
      <c r="AG127" s="59" t="e">
        <f ca="1"/>
        <v>#N/A</v>
      </c>
      <c r="AH127" s="59" t="e">
        <f ca="1"/>
        <v>#N/A</v>
      </c>
      <c r="AI127" s="59" t="e">
        <f ca="1"/>
        <v>#N/A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-1.959611244044737E-8</v>
      </c>
      <c r="G128" s="59">
        <f ca="1"/>
        <v>-1.3241688045099649E-2</v>
      </c>
      <c r="H128" s="59">
        <f ca="1"/>
        <v>-1.6264938664043001E-2</v>
      </c>
      <c r="I128" s="59">
        <f ca="1"/>
        <v>-0.51837547972189246</v>
      </c>
      <c r="J128" s="59">
        <f ca="1"/>
        <v>-5.6916386151884595</v>
      </c>
      <c r="K128" s="59">
        <f ca="1"/>
        <v>-25.236193039187995</v>
      </c>
      <c r="L128" s="59">
        <f ca="1"/>
        <v>-53.478819513451732</v>
      </c>
      <c r="M128" s="59">
        <f ca="1"/>
        <v>-85.5568994565661</v>
      </c>
      <c r="N128" s="59">
        <f ca="1"/>
        <v>-134.58566035741953</v>
      </c>
      <c r="O128" s="59">
        <f ca="1"/>
        <v>-207.77933728827335</v>
      </c>
      <c r="P128" s="59" t="e">
        <f ca="1"/>
        <v>#N/A</v>
      </c>
      <c r="Q128" s="59" t="e">
        <f ca="1"/>
        <v>#N/A</v>
      </c>
      <c r="R128" s="59" t="e">
        <f ca="1"/>
        <v>#N/A</v>
      </c>
      <c r="S128" s="59" t="e">
        <f ca="1"/>
        <v>#N/A</v>
      </c>
      <c r="T128" s="59" t="e">
        <f ca="1"/>
        <v>#N/A</v>
      </c>
      <c r="U128" s="59" t="e">
        <f ca="1"/>
        <v>#N/A</v>
      </c>
      <c r="V128" s="59" t="e">
        <f ca="1"/>
        <v>#N/A</v>
      </c>
      <c r="W128" s="59" t="e">
        <f ca="1"/>
        <v>#N/A</v>
      </c>
      <c r="X128" s="59" t="e">
        <f ca="1"/>
        <v>#N/A</v>
      </c>
      <c r="Y128" s="59" t="e">
        <f ca="1"/>
        <v>#N/A</v>
      </c>
      <c r="Z128" s="59" t="e">
        <f ca="1"/>
        <v>#N/A</v>
      </c>
      <c r="AA128" s="59" t="e">
        <f ca="1"/>
        <v>#N/A</v>
      </c>
      <c r="AB128" s="59" t="e">
        <f ca="1"/>
        <v>#N/A</v>
      </c>
      <c r="AC128" s="59" t="e">
        <f ca="1"/>
        <v>#N/A</v>
      </c>
      <c r="AD128" s="59" t="e">
        <f ca="1"/>
        <v>#N/A</v>
      </c>
      <c r="AE128" s="59" t="e">
        <f ca="1"/>
        <v>#N/A</v>
      </c>
      <c r="AF128" s="59" t="e">
        <f ca="1"/>
        <v>#N/A</v>
      </c>
      <c r="AG128" s="59" t="e">
        <f ca="1"/>
        <v>#N/A</v>
      </c>
      <c r="AH128" s="59" t="e">
        <f ca="1"/>
        <v>#N/A</v>
      </c>
      <c r="AI128" s="59" t="e">
        <f ca="1"/>
        <v>#N/A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 xml:space="preserve">Раствор + газовая без Ar: </v>
      </c>
      <c r="F129" s="59">
        <f ca="1"/>
        <v>-30.484012598346119</v>
      </c>
      <c r="G129" s="59">
        <f ca="1"/>
        <v>-68.497505516905647</v>
      </c>
      <c r="H129" s="59">
        <f ca="1"/>
        <v>-84.13638216501522</v>
      </c>
      <c r="I129" s="59">
        <f ca="1"/>
        <v>-115.04814304400398</v>
      </c>
      <c r="J129" s="59">
        <f ca="1"/>
        <v>-148.0586707992172</v>
      </c>
      <c r="K129" s="59">
        <f ca="1"/>
        <v>-183.09139259860541</v>
      </c>
      <c r="L129" s="59">
        <f ca="1"/>
        <v>-220.63995151989494</v>
      </c>
      <c r="M129" s="59">
        <f ca="1"/>
        <v>-260.4148630968408</v>
      </c>
      <c r="N129" s="59">
        <f ca="1"/>
        <v>-302.16837206343723</v>
      </c>
      <c r="O129" s="59">
        <f ca="1"/>
        <v>-346.70529146717962</v>
      </c>
      <c r="P129" s="59" t="e">
        <f ca="1"/>
        <v>#N/A</v>
      </c>
      <c r="Q129" s="59" t="e">
        <f ca="1"/>
        <v>#N/A</v>
      </c>
      <c r="R129" s="59" t="e">
        <f ca="1"/>
        <v>#N/A</v>
      </c>
      <c r="S129" s="59" t="e">
        <f ca="1"/>
        <v>#N/A</v>
      </c>
      <c r="T129" s="59" t="e">
        <f ca="1"/>
        <v>#N/A</v>
      </c>
      <c r="U129" s="59" t="e">
        <f ca="1"/>
        <v>#N/A</v>
      </c>
      <c r="V129" s="59" t="e">
        <f ca="1"/>
        <v>#N/A</v>
      </c>
      <c r="W129" s="59" t="e">
        <f ca="1"/>
        <v>#N/A</v>
      </c>
      <c r="X129" s="59" t="e">
        <f ca="1"/>
        <v>#N/A</v>
      </c>
      <c r="Y129" s="59" t="e">
        <f ca="1"/>
        <v>#N/A</v>
      </c>
      <c r="Z129" s="59" t="e">
        <f ca="1"/>
        <v>#N/A</v>
      </c>
      <c r="AA129" s="59" t="e">
        <f ca="1"/>
        <v>#N/A</v>
      </c>
      <c r="AB129" s="59" t="e">
        <f ca="1"/>
        <v>#N/A</v>
      </c>
      <c r="AC129" s="59" t="e">
        <f ca="1"/>
        <v>#N/A</v>
      </c>
      <c r="AD129" s="59" t="e">
        <f ca="1"/>
        <v>#N/A</v>
      </c>
      <c r="AE129" s="59" t="e">
        <f ca="1"/>
        <v>#N/A</v>
      </c>
      <c r="AF129" s="59" t="e">
        <f ca="1"/>
        <v>#N/A</v>
      </c>
      <c r="AG129" s="59" t="e">
        <f ca="1"/>
        <v>#N/A</v>
      </c>
      <c r="AH129" s="59" t="e">
        <f ca="1"/>
        <v>#N/A</v>
      </c>
      <c r="AI129" s="59" t="e">
        <f ca="1"/>
        <v>#N/A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str">
        <f ca="1"/>
        <v xml:space="preserve">Раствор + газовая: </v>
      </c>
      <c r="F130" s="59">
        <f ca="1"/>
        <v>-30.484012598346119</v>
      </c>
      <c r="G130" s="59">
        <f ca="1"/>
        <v>-68.497505516905647</v>
      </c>
      <c r="H130" s="59">
        <f ca="1"/>
        <v>-84.13638216501522</v>
      </c>
      <c r="I130" s="59">
        <f ca="1"/>
        <v>-115.04814304400398</v>
      </c>
      <c r="J130" s="59">
        <f ca="1"/>
        <v>-148.0586707992172</v>
      </c>
      <c r="K130" s="59">
        <f ca="1"/>
        <v>-183.09139259860541</v>
      </c>
      <c r="L130" s="59">
        <f ca="1"/>
        <v>-220.63995151989494</v>
      </c>
      <c r="M130" s="59">
        <f ca="1"/>
        <v>-260.4148630968408</v>
      </c>
      <c r="N130" s="59">
        <f ca="1"/>
        <v>-302.16837206343723</v>
      </c>
      <c r="O130" s="59">
        <f ca="1"/>
        <v>-346.70529146717962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18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hidden="1" customHeight="1" outlineLevel="1" thickBot="1" x14ac:dyDescent="0.4">
      <c r="A143" s="33" t="s">
        <v>19</v>
      </c>
      <c r="B143" s="34" t="s">
        <v>20</v>
      </c>
      <c r="C143" s="59">
        <v>298.14999999999998</v>
      </c>
    </row>
    <row r="144" spans="1:38" ht="21" hidden="1" customHeight="1" outlineLevel="1" x14ac:dyDescent="0.35">
      <c r="A144" s="59">
        <v>8</v>
      </c>
      <c r="B144" s="35" t="s">
        <v>21</v>
      </c>
      <c r="C144" s="59">
        <v>5</v>
      </c>
    </row>
    <row r="145" spans="2:19" ht="21" hidden="1" customHeight="1" outlineLevel="1" x14ac:dyDescent="0.35">
      <c r="B145" s="36" t="s">
        <v>22</v>
      </c>
      <c r="C145" s="37">
        <f>C144-$C$144</f>
        <v>0</v>
      </c>
      <c r="D145" s="37">
        <f>D144-$C$144</f>
        <v>-5</v>
      </c>
      <c r="E145" s="37">
        <f t="shared" ref="E145:F145" si="45">E144-$C$144</f>
        <v>-5</v>
      </c>
      <c r="F145" s="37">
        <f t="shared" si="45"/>
        <v>-5</v>
      </c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2:19" ht="21" hidden="1" customHeight="1" outlineLevel="1" thickBot="1" x14ac:dyDescent="0.4">
      <c r="B146" s="34" t="s">
        <v>23</v>
      </c>
      <c r="C146" s="37">
        <f>C145+$A$144</f>
        <v>8</v>
      </c>
      <c r="D146" s="37">
        <f t="shared" ref="D146:F146" si="46">D145+$A$144</f>
        <v>3</v>
      </c>
      <c r="E146" s="37">
        <f t="shared" si="46"/>
        <v>3</v>
      </c>
      <c r="F146" s="37">
        <f t="shared" si="46"/>
        <v>3</v>
      </c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2:19" ht="21" hidden="1" customHeight="1" outlineLevel="1" x14ac:dyDescent="0.35"/>
    <row r="148" spans="2:19" ht="21" customHeight="1" collapsed="1" x14ac:dyDescent="0.35"/>
  </sheetData>
  <mergeCells count="2">
    <mergeCell ref="A1:BB1"/>
    <mergeCell ref="A117:B117"/>
  </mergeCells>
  <conditionalFormatting sqref="A4:D33">
    <cfRule type="cellIs" dxfId="9" priority="3" operator="equal">
      <formula>0</formula>
    </cfRule>
  </conditionalFormatting>
  <conditionalFormatting sqref="A50:D79">
    <cfRule type="cellIs" dxfId="8" priority="2" operator="equal">
      <formula>0</formula>
    </cfRule>
  </conditionalFormatting>
  <conditionalFormatting sqref="A84:D11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C4602-7949-4CF8-A91D-3E3FFA532598}">
  <sheetPr codeName="Лист7">
    <tabColor rgb="FF0070C0"/>
  </sheetPr>
  <dimension ref="A1:BB147"/>
  <sheetViews>
    <sheetView tabSelected="1" topLeftCell="A19" zoomScale="85" zoomScaleNormal="85" zoomScaleSheetLayoutView="25" workbookViewId="0">
      <selection activeCell="AY82" sqref="AY82"/>
    </sheetView>
  </sheetViews>
  <sheetFormatPr defaultRowHeight="21" customHeight="1" outlineLevelRow="1" x14ac:dyDescent="0.35"/>
  <cols>
    <col min="1" max="4" width="5.6328125" style="59" customWidth="1"/>
    <col min="5" max="5" width="11.6328125" style="59" customWidth="1"/>
    <col min="6" max="6" width="8.90625" style="59" customWidth="1"/>
    <col min="7" max="37" width="8.6328125" style="59" hidden="1" customWidth="1"/>
    <col min="38" max="38" width="8.6328125" style="59" customWidth="1"/>
    <col min="39" max="16384" width="8.7265625" style="59"/>
  </cols>
  <sheetData>
    <row r="1" spans="1:54" ht="42.75" customHeight="1" thickBot="1" x14ac:dyDescent="0.4">
      <c r="A1" s="174" t="s">
        <v>33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4"/>
      <c r="AZ1" s="174"/>
      <c r="BA1" s="174"/>
      <c r="BB1" s="174"/>
    </row>
    <row r="2" spans="1:54" ht="21" customHeight="1" thickBot="1" x14ac:dyDescent="0.45">
      <c r="A2" s="28">
        <f>Values!B1</f>
        <v>700</v>
      </c>
      <c r="B2" s="41">
        <v>8.3145000000000007</v>
      </c>
      <c r="C2" s="3"/>
      <c r="D2" s="3"/>
      <c r="E2" s="4" t="s">
        <v>27</v>
      </c>
      <c r="F2" s="5"/>
      <c r="G2" s="4"/>
      <c r="H2" s="4"/>
      <c r="I2" s="4"/>
      <c r="J2" s="4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47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9"/>
    </row>
    <row r="3" spans="1:54" ht="21" customHeight="1" outlineLevel="1" thickTop="1" thickBot="1" x14ac:dyDescent="0.4">
      <c r="A3" s="64" t="s">
        <v>1</v>
      </c>
      <c r="B3" s="64" t="s">
        <v>2</v>
      </c>
      <c r="C3" s="64" t="s">
        <v>3</v>
      </c>
      <c r="D3" s="65" t="s">
        <v>4</v>
      </c>
      <c r="E3" s="8" t="s">
        <v>359</v>
      </c>
      <c r="F3" s="8">
        <v>273.10000000000002</v>
      </c>
      <c r="G3" s="8">
        <v>293.3</v>
      </c>
      <c r="H3" s="8">
        <v>313.5</v>
      </c>
      <c r="I3" s="8">
        <v>333.7</v>
      </c>
      <c r="J3" s="8">
        <v>353.9</v>
      </c>
      <c r="K3" s="8">
        <v>434.7</v>
      </c>
      <c r="L3" s="8">
        <v>454.9</v>
      </c>
      <c r="M3" s="8">
        <v>475.1</v>
      </c>
      <c r="N3" s="8">
        <v>495.2</v>
      </c>
      <c r="O3" s="8">
        <v>515.4</v>
      </c>
      <c r="P3" s="8">
        <v>535.6</v>
      </c>
      <c r="Q3" s="8">
        <v>555.79999999999995</v>
      </c>
      <c r="R3" s="8">
        <v>576</v>
      </c>
      <c r="S3" s="8">
        <v>596.20000000000005</v>
      </c>
      <c r="T3" s="8">
        <v>677</v>
      </c>
      <c r="U3" s="8">
        <v>697.1</v>
      </c>
      <c r="V3" s="8">
        <v>717.3</v>
      </c>
      <c r="W3" s="8">
        <v>737.5</v>
      </c>
      <c r="X3" s="8">
        <v>757.7</v>
      </c>
      <c r="Y3" s="9">
        <v>777.9</v>
      </c>
      <c r="Z3" s="9">
        <v>798.1</v>
      </c>
      <c r="AA3" s="9">
        <v>818.3</v>
      </c>
      <c r="AB3" s="9">
        <v>838.5</v>
      </c>
      <c r="AC3" s="9">
        <v>919.2</v>
      </c>
      <c r="AD3" s="9">
        <v>939.4</v>
      </c>
      <c r="AE3" s="9">
        <v>959.6</v>
      </c>
      <c r="AF3" s="9">
        <v>979.8</v>
      </c>
      <c r="AG3" s="9">
        <v>959.6</v>
      </c>
      <c r="AH3" s="9">
        <v>979.8</v>
      </c>
      <c r="AI3" s="9">
        <v>1000</v>
      </c>
      <c r="AJ3" s="9"/>
      <c r="AK3" s="9"/>
      <c r="AL3" s="40"/>
      <c r="AM3" s="50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/>
      <c r="BB3" s="52"/>
    </row>
    <row r="4" spans="1:54" ht="21" customHeight="1" outlineLevel="1" thickTop="1" thickBot="1" x14ac:dyDescent="0.4">
      <c r="A4" s="66">
        <f>IF( ISNUMBER( FIND(A$3,$E4,1)),   IF( ISNUMBER( VALUE(MID($E4,FIND(A$3,$E4,1)+2,1)) ), VALUE( MID($E4,FIND(A$3,$E4,1)+2,1) ),1),0)</f>
        <v>0</v>
      </c>
      <c r="B4" s="66">
        <f t="shared" ref="B4:D19" si="0">IF( ISNUMBER( FIND(B$3,$E4,1)),   IF( ISNUMBER( VALUE(MID($E4,FIND(B$3,$E4,1)+2,1)) ), VALUE( MID($E4,FIND(B$3,$E4,1)+2,1) ),1),0)</f>
        <v>0</v>
      </c>
      <c r="C4" s="66">
        <f t="shared" si="0"/>
        <v>1</v>
      </c>
      <c r="D4" s="66">
        <f t="shared" si="0"/>
        <v>0</v>
      </c>
      <c r="E4" s="11" t="s">
        <v>59</v>
      </c>
      <c r="F4" s="73">
        <v>0</v>
      </c>
      <c r="G4" s="73">
        <v>0</v>
      </c>
      <c r="H4" s="73">
        <v>0</v>
      </c>
      <c r="I4" s="73">
        <v>0</v>
      </c>
      <c r="J4" s="73">
        <v>0</v>
      </c>
      <c r="K4" s="73">
        <v>2.3243999999999999E-16</v>
      </c>
      <c r="L4" s="73">
        <v>7.8193999999999996E-12</v>
      </c>
      <c r="M4" s="73">
        <v>7.4438999999999995E-11</v>
      </c>
      <c r="N4" s="73">
        <v>2.2467000000000001E-9</v>
      </c>
      <c r="O4" s="73">
        <v>7.5409000000000004E-2</v>
      </c>
      <c r="P4" s="73">
        <v>0.08</v>
      </c>
      <c r="Q4" s="73">
        <v>0.08</v>
      </c>
      <c r="R4" s="73">
        <v>0.08</v>
      </c>
      <c r="S4" s="73">
        <v>0.08</v>
      </c>
      <c r="T4" s="73">
        <v>0.08</v>
      </c>
      <c r="U4" s="73">
        <v>0.08</v>
      </c>
      <c r="V4" s="73">
        <v>0.08</v>
      </c>
      <c r="W4" s="73">
        <v>0.08</v>
      </c>
      <c r="X4" s="73">
        <v>0.08</v>
      </c>
      <c r="Y4" s="59">
        <v>0.08</v>
      </c>
      <c r="Z4" s="59">
        <v>6.6105999999999998E-2</v>
      </c>
      <c r="AA4" s="59">
        <v>6.3434000000000004E-2</v>
      </c>
      <c r="AB4" s="59">
        <v>6.0543E-2</v>
      </c>
      <c r="AC4" s="59">
        <v>4.3836E-2</v>
      </c>
      <c r="AD4" s="59">
        <v>3.7795000000000002E-2</v>
      </c>
      <c r="AE4" s="59">
        <v>3.0667E-2</v>
      </c>
      <c r="AF4" s="59">
        <v>2.2196E-2</v>
      </c>
      <c r="AG4" s="59">
        <v>3.0667E-2</v>
      </c>
      <c r="AH4" s="59">
        <v>2.2196E-2</v>
      </c>
      <c r="AI4" s="59">
        <v>1.1976000000000001E-2</v>
      </c>
      <c r="AM4" s="50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/>
      <c r="BB4" s="52"/>
    </row>
    <row r="5" spans="1:54" ht="21" customHeight="1" outlineLevel="1" thickBot="1" x14ac:dyDescent="0.4">
      <c r="A5" s="66">
        <f t="shared" ref="A5:D27" si="1">IF( ISNUMBER( FIND(A$3,$E5,1)),   IF( ISNUMBER( VALUE(MID($E5,FIND(A$3,$E5,1)+2,1)) ), VALUE( MID($E5,FIND(A$3,$E5,1)+2,1) ),1),0)</f>
        <v>0</v>
      </c>
      <c r="B5" s="66">
        <f t="shared" si="0"/>
        <v>1</v>
      </c>
      <c r="C5" s="66">
        <f t="shared" si="0"/>
        <v>1</v>
      </c>
      <c r="D5" s="66">
        <f t="shared" si="0"/>
        <v>0</v>
      </c>
      <c r="E5" s="11" t="s">
        <v>58</v>
      </c>
      <c r="F5" s="73">
        <v>0.08</v>
      </c>
      <c r="G5" s="73">
        <v>0.08</v>
      </c>
      <c r="H5" s="73">
        <v>0.08</v>
      </c>
      <c r="I5" s="73">
        <v>0.08</v>
      </c>
      <c r="J5" s="73">
        <v>0.16</v>
      </c>
      <c r="K5" s="73">
        <v>0.16</v>
      </c>
      <c r="L5" s="73">
        <v>0.16</v>
      </c>
      <c r="M5" s="73">
        <v>0.16</v>
      </c>
      <c r="N5" s="73">
        <v>0.16</v>
      </c>
      <c r="O5" s="73">
        <v>9.1824000000000003E-3</v>
      </c>
      <c r="P5" s="73">
        <v>3.6989000000000001E-9</v>
      </c>
      <c r="Q5" s="73">
        <v>1.1703000000000001E-10</v>
      </c>
      <c r="R5" s="73">
        <v>2.5212E-11</v>
      </c>
      <c r="S5" s="73">
        <v>8.4148999999999998E-13</v>
      </c>
      <c r="T5" s="73">
        <v>1.4323E-22</v>
      </c>
      <c r="U5" s="73">
        <v>2.0447000000000001E-27</v>
      </c>
      <c r="V5" s="73">
        <v>1.1809E-32</v>
      </c>
      <c r="W5" s="73">
        <v>0</v>
      </c>
      <c r="X5" s="73">
        <v>0</v>
      </c>
      <c r="Y5" s="59">
        <v>0</v>
      </c>
      <c r="Z5" s="59">
        <v>0</v>
      </c>
      <c r="AA5" s="59">
        <v>0</v>
      </c>
      <c r="AB5" s="59">
        <v>0</v>
      </c>
      <c r="AC5" s="59">
        <v>0</v>
      </c>
      <c r="AD5" s="59">
        <v>0</v>
      </c>
      <c r="AE5" s="59">
        <v>0</v>
      </c>
      <c r="AF5" s="59">
        <v>0</v>
      </c>
      <c r="AG5" s="59">
        <v>0</v>
      </c>
      <c r="AH5" s="59">
        <v>0</v>
      </c>
      <c r="AI5" s="59">
        <v>0</v>
      </c>
      <c r="AM5" s="50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2"/>
    </row>
    <row r="6" spans="1:54" ht="21" customHeight="1" outlineLevel="1" thickBot="1" x14ac:dyDescent="0.4">
      <c r="A6" s="66">
        <f t="shared" si="1"/>
        <v>0</v>
      </c>
      <c r="B6" s="66">
        <f t="shared" si="0"/>
        <v>0</v>
      </c>
      <c r="C6" s="66">
        <f t="shared" si="0"/>
        <v>0</v>
      </c>
      <c r="D6" s="66">
        <f t="shared" si="0"/>
        <v>1</v>
      </c>
      <c r="E6" s="11" t="s">
        <v>57</v>
      </c>
      <c r="F6" s="73">
        <v>0</v>
      </c>
      <c r="G6" s="73">
        <v>0</v>
      </c>
      <c r="H6" s="73">
        <v>0</v>
      </c>
      <c r="I6" s="73">
        <v>0</v>
      </c>
      <c r="J6" s="73">
        <v>0</v>
      </c>
      <c r="K6" s="73">
        <v>0</v>
      </c>
      <c r="L6" s="73">
        <v>0</v>
      </c>
      <c r="M6" s="73">
        <v>0</v>
      </c>
      <c r="N6" s="73">
        <v>0</v>
      </c>
      <c r="O6" s="73">
        <v>0</v>
      </c>
      <c r="P6" s="73">
        <v>0</v>
      </c>
      <c r="Q6" s="73">
        <v>0</v>
      </c>
      <c r="R6" s="73">
        <v>0</v>
      </c>
      <c r="S6" s="73">
        <v>0</v>
      </c>
      <c r="T6" s="73">
        <v>1.5319E-30</v>
      </c>
      <c r="U6" s="73">
        <v>1.2594999999999999E-26</v>
      </c>
      <c r="V6" s="73">
        <v>8.6149000000000006E-22</v>
      </c>
      <c r="W6" s="73">
        <v>0</v>
      </c>
      <c r="X6" s="73">
        <v>2.6909999999999999E-17</v>
      </c>
      <c r="Y6" s="59">
        <v>3.8658999999999999E-16</v>
      </c>
      <c r="Z6" s="59">
        <v>1.6123E-10</v>
      </c>
      <c r="AA6" s="59">
        <v>3.8103000000000002E-7</v>
      </c>
      <c r="AB6" s="59">
        <v>2.5778999999999998E-7</v>
      </c>
      <c r="AC6" s="59">
        <v>5.6702E-8</v>
      </c>
      <c r="AD6" s="59">
        <v>4.6037999999999998E-8</v>
      </c>
      <c r="AE6" s="59">
        <v>3.0519999999999998E-8</v>
      </c>
      <c r="AF6" s="59">
        <v>1.0039E-9</v>
      </c>
      <c r="AG6" s="59">
        <v>3.0519999999999998E-8</v>
      </c>
      <c r="AH6" s="59">
        <v>1.0039E-9</v>
      </c>
      <c r="AI6" s="59">
        <v>3.4799000000000001E-16</v>
      </c>
      <c r="AM6" s="50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2"/>
    </row>
    <row r="7" spans="1:54" ht="21" customHeight="1" outlineLevel="1" thickBot="1" x14ac:dyDescent="0.4">
      <c r="A7" s="66">
        <f t="shared" si="1"/>
        <v>0</v>
      </c>
      <c r="B7" s="66">
        <f t="shared" si="0"/>
        <v>1</v>
      </c>
      <c r="C7" s="66">
        <f t="shared" si="0"/>
        <v>0</v>
      </c>
      <c r="D7" s="66">
        <f t="shared" si="0"/>
        <v>2</v>
      </c>
      <c r="E7" s="11" t="s">
        <v>360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1.5241999999999999E-19</v>
      </c>
      <c r="U7" s="73">
        <v>4.1139000000000001E-15</v>
      </c>
      <c r="V7" s="73">
        <v>9.6581E-10</v>
      </c>
      <c r="W7" s="73">
        <v>9.2078000000000004E-3</v>
      </c>
      <c r="X7" s="73">
        <v>6.4236000000000001E-2</v>
      </c>
      <c r="Y7" s="59">
        <v>7.5584999999999999E-2</v>
      </c>
      <c r="Z7" s="59">
        <v>2.9709999999999998E-7</v>
      </c>
      <c r="AA7" s="59">
        <v>1.8911999999999999E-20</v>
      </c>
      <c r="AB7" s="59">
        <v>0</v>
      </c>
      <c r="AC7" s="59">
        <v>0</v>
      </c>
      <c r="AD7" s="59">
        <v>0</v>
      </c>
      <c r="AE7" s="59">
        <v>0</v>
      </c>
      <c r="AF7" s="59">
        <v>0</v>
      </c>
      <c r="AG7" s="59">
        <v>0</v>
      </c>
      <c r="AH7" s="59">
        <v>0</v>
      </c>
      <c r="AI7" s="59">
        <v>0</v>
      </c>
      <c r="AM7" s="50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/>
      <c r="BB7" s="52"/>
    </row>
    <row r="8" spans="1:54" ht="21" customHeight="1" outlineLevel="1" thickBot="1" x14ac:dyDescent="0.4">
      <c r="A8" s="66">
        <f t="shared" si="1"/>
        <v>0</v>
      </c>
      <c r="B8" s="66">
        <f t="shared" si="0"/>
        <v>0</v>
      </c>
      <c r="C8" s="66">
        <f t="shared" si="0"/>
        <v>1</v>
      </c>
      <c r="D8" s="66">
        <f t="shared" si="0"/>
        <v>0</v>
      </c>
      <c r="E8" s="11" t="s">
        <v>55</v>
      </c>
      <c r="F8" s="73">
        <v>0</v>
      </c>
      <c r="G8" s="73">
        <v>0</v>
      </c>
      <c r="H8" s="73">
        <v>0</v>
      </c>
      <c r="I8" s="73">
        <v>0</v>
      </c>
      <c r="J8" s="73">
        <v>0</v>
      </c>
      <c r="K8" s="73">
        <v>2.3243999999999999E-16</v>
      </c>
      <c r="L8" s="73">
        <v>7.8193999999999996E-12</v>
      </c>
      <c r="M8" s="73">
        <v>7.4438999999999995E-11</v>
      </c>
      <c r="N8" s="73">
        <v>2.2467000000000001E-9</v>
      </c>
      <c r="O8" s="73">
        <v>7.5409000000000004E-2</v>
      </c>
      <c r="P8" s="73">
        <v>0.08</v>
      </c>
      <c r="Q8" s="73">
        <v>0.08</v>
      </c>
      <c r="R8" s="73">
        <v>0.08</v>
      </c>
      <c r="S8" s="73">
        <v>0.08</v>
      </c>
      <c r="T8" s="73">
        <v>0.08</v>
      </c>
      <c r="U8" s="73">
        <v>0.08</v>
      </c>
      <c r="V8" s="73">
        <v>0.08</v>
      </c>
      <c r="W8" s="73">
        <v>0.08</v>
      </c>
      <c r="X8" s="73">
        <v>0.08</v>
      </c>
      <c r="Y8" s="59">
        <v>0.08</v>
      </c>
      <c r="Z8" s="59">
        <v>6.6105999999999998E-2</v>
      </c>
      <c r="AA8" s="59">
        <v>6.3434000000000004E-2</v>
      </c>
      <c r="AB8" s="59">
        <v>6.0543E-2</v>
      </c>
      <c r="AC8" s="59">
        <v>4.3836E-2</v>
      </c>
      <c r="AD8" s="59">
        <v>3.7795000000000002E-2</v>
      </c>
      <c r="AE8" s="59">
        <v>3.0667E-2</v>
      </c>
      <c r="AF8" s="59">
        <v>2.2196E-2</v>
      </c>
      <c r="AG8" s="59">
        <v>3.0667E-2</v>
      </c>
      <c r="AH8" s="59">
        <v>2.2196E-2</v>
      </c>
      <c r="AI8" s="59">
        <v>1.1976000000000001E-2</v>
      </c>
      <c r="AM8" s="50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2"/>
    </row>
    <row r="9" spans="1:54" ht="21" customHeight="1" outlineLevel="1" thickBot="1" x14ac:dyDescent="0.4">
      <c r="A9" s="66">
        <f t="shared" si="1"/>
        <v>0</v>
      </c>
      <c r="B9" s="66">
        <f t="shared" si="0"/>
        <v>1</v>
      </c>
      <c r="C9" s="66">
        <f t="shared" si="0"/>
        <v>0</v>
      </c>
      <c r="D9" s="66">
        <f t="shared" si="0"/>
        <v>0</v>
      </c>
      <c r="E9" s="11" t="s">
        <v>54</v>
      </c>
      <c r="F9" s="73">
        <v>8.5697999999999999E-23</v>
      </c>
      <c r="G9" s="73">
        <v>1.3693E-15</v>
      </c>
      <c r="H9" s="73">
        <v>7.2793000000000001E-11</v>
      </c>
      <c r="I9" s="73">
        <v>2.1086999999999999E-8</v>
      </c>
      <c r="J9" s="73">
        <v>0.08</v>
      </c>
      <c r="K9" s="73">
        <v>0.08</v>
      </c>
      <c r="L9" s="73">
        <v>0.08</v>
      </c>
      <c r="M9" s="73">
        <v>0.08</v>
      </c>
      <c r="N9" s="73">
        <v>0.08</v>
      </c>
      <c r="O9" s="73">
        <v>0.23082</v>
      </c>
      <c r="P9" s="73">
        <v>0.24</v>
      </c>
      <c r="Q9" s="73">
        <v>0.24</v>
      </c>
      <c r="R9" s="73">
        <v>0.24</v>
      </c>
      <c r="S9" s="73">
        <v>0.24</v>
      </c>
      <c r="T9" s="73">
        <v>0.24</v>
      </c>
      <c r="U9" s="73">
        <v>0.24</v>
      </c>
      <c r="V9" s="73">
        <v>0.24</v>
      </c>
      <c r="W9" s="73">
        <v>0.25841999999999998</v>
      </c>
      <c r="X9" s="73">
        <v>0.36847000000000002</v>
      </c>
      <c r="Y9" s="59">
        <v>0.39117000000000002</v>
      </c>
      <c r="Z9" s="59">
        <v>0.47654000000000002</v>
      </c>
      <c r="AA9" s="59">
        <v>0.47964000000000001</v>
      </c>
      <c r="AB9" s="59">
        <v>0.47996</v>
      </c>
      <c r="AC9" s="59">
        <v>0.48</v>
      </c>
      <c r="AD9" s="59">
        <v>0.48</v>
      </c>
      <c r="AE9" s="59">
        <v>0.48</v>
      </c>
      <c r="AF9" s="59">
        <v>0.48</v>
      </c>
      <c r="AG9" s="59">
        <v>0.48</v>
      </c>
      <c r="AH9" s="59">
        <v>0.48</v>
      </c>
      <c r="AI9" s="59">
        <v>0.48</v>
      </c>
      <c r="AM9" s="50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/>
      <c r="BB9" s="52"/>
    </row>
    <row r="10" spans="1:54" ht="21" customHeight="1" outlineLevel="1" thickBot="1" x14ac:dyDescent="0.4">
      <c r="A10" s="66">
        <f t="shared" si="1"/>
        <v>0</v>
      </c>
      <c r="B10" s="66">
        <f t="shared" si="0"/>
        <v>2</v>
      </c>
      <c r="C10" s="66">
        <f t="shared" si="0"/>
        <v>1</v>
      </c>
      <c r="D10" s="66">
        <f t="shared" si="0"/>
        <v>0</v>
      </c>
      <c r="E10" s="11" t="s">
        <v>253</v>
      </c>
      <c r="F10" s="73">
        <v>0.08</v>
      </c>
      <c r="G10" s="73">
        <v>0.08</v>
      </c>
      <c r="H10" s="73">
        <v>0.08</v>
      </c>
      <c r="I10" s="73">
        <v>0.08</v>
      </c>
      <c r="J10" s="73">
        <v>5.4299999999999997E-9</v>
      </c>
      <c r="K10" s="73">
        <v>1.8601000000000001E-17</v>
      </c>
      <c r="L10" s="73">
        <v>2.9511000000000003E-20</v>
      </c>
      <c r="M10" s="73">
        <v>2.0618999999999998E-33</v>
      </c>
      <c r="N10" s="73">
        <v>0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0</v>
      </c>
      <c r="U10" s="73">
        <v>0</v>
      </c>
      <c r="V10" s="73">
        <v>0</v>
      </c>
      <c r="W10" s="73">
        <v>0</v>
      </c>
      <c r="X10" s="73">
        <v>0</v>
      </c>
      <c r="Y10" s="59">
        <v>0</v>
      </c>
      <c r="Z10" s="59">
        <v>0</v>
      </c>
      <c r="AA10" s="59">
        <v>0</v>
      </c>
      <c r="AB10" s="59">
        <v>0</v>
      </c>
      <c r="AC10" s="59">
        <v>0</v>
      </c>
      <c r="AD10" s="59">
        <v>0</v>
      </c>
      <c r="AE10" s="59">
        <v>0</v>
      </c>
      <c r="AF10" s="59">
        <v>0</v>
      </c>
      <c r="AG10" s="59">
        <v>0</v>
      </c>
      <c r="AH10" s="59">
        <v>0</v>
      </c>
      <c r="AI10" s="59">
        <v>0</v>
      </c>
      <c r="AM10" s="50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/>
      <c r="BB10" s="52"/>
    </row>
    <row r="11" spans="1:54" ht="21" customHeight="1" outlineLevel="1" thickBot="1" x14ac:dyDescent="0.4">
      <c r="A11" s="66">
        <f t="shared" si="1"/>
        <v>0</v>
      </c>
      <c r="B11" s="66">
        <f t="shared" si="0"/>
        <v>3</v>
      </c>
      <c r="C11" s="66">
        <f t="shared" si="0"/>
        <v>0</v>
      </c>
      <c r="D11" s="66">
        <f t="shared" si="0"/>
        <v>2</v>
      </c>
      <c r="E11" s="11" t="s">
        <v>251</v>
      </c>
      <c r="F11" s="73">
        <v>0.08</v>
      </c>
      <c r="G11" s="73">
        <v>0.08</v>
      </c>
      <c r="H11" s="73">
        <v>0.08</v>
      </c>
      <c r="I11" s="73">
        <v>0.08</v>
      </c>
      <c r="J11" s="73">
        <v>0.08</v>
      </c>
      <c r="K11" s="73">
        <v>0.08</v>
      </c>
      <c r="L11" s="73">
        <v>0.08</v>
      </c>
      <c r="M11" s="73">
        <v>0.08</v>
      </c>
      <c r="N11" s="73">
        <v>0.08</v>
      </c>
      <c r="O11" s="73">
        <v>0.08</v>
      </c>
      <c r="P11" s="73">
        <v>0.08</v>
      </c>
      <c r="Q11" s="73">
        <v>0.08</v>
      </c>
      <c r="R11" s="73">
        <v>0.08</v>
      </c>
      <c r="S11" s="73">
        <v>0.08</v>
      </c>
      <c r="T11" s="73">
        <v>0.08</v>
      </c>
      <c r="U11" s="73">
        <v>0.08</v>
      </c>
      <c r="V11" s="73">
        <v>0.08</v>
      </c>
      <c r="W11" s="73">
        <v>7.0791999999999994E-2</v>
      </c>
      <c r="X11" s="73">
        <v>1.5764E-2</v>
      </c>
      <c r="Y11" s="59">
        <v>4.4145E-3</v>
      </c>
      <c r="Z11" s="59">
        <v>1.1531E-3</v>
      </c>
      <c r="AA11" s="59">
        <v>1.1998999999999999E-4</v>
      </c>
      <c r="AB11" s="59">
        <v>1.3539E-5</v>
      </c>
      <c r="AC11" s="59">
        <v>4.1901999999999999E-9</v>
      </c>
      <c r="AD11" s="59">
        <v>6.3558999999999997E-10</v>
      </c>
      <c r="AE11" s="59">
        <v>1.007E-10</v>
      </c>
      <c r="AF11" s="59">
        <v>1.6584000000000001E-11</v>
      </c>
      <c r="AG11" s="59">
        <v>1.007E-10</v>
      </c>
      <c r="AH11" s="59">
        <v>1.6584000000000001E-11</v>
      </c>
      <c r="AI11" s="59">
        <v>2.8226000000000001E-12</v>
      </c>
      <c r="AM11" s="50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2"/>
    </row>
    <row r="12" spans="1:54" ht="21" customHeight="1" outlineLevel="1" thickBot="1" x14ac:dyDescent="0.4">
      <c r="A12" s="66">
        <f t="shared" si="1"/>
        <v>0</v>
      </c>
      <c r="B12" s="66">
        <f t="shared" si="0"/>
        <v>1</v>
      </c>
      <c r="C12" s="66">
        <f t="shared" si="0"/>
        <v>0</v>
      </c>
      <c r="D12" s="66">
        <f t="shared" si="0"/>
        <v>2</v>
      </c>
      <c r="E12" s="11" t="s">
        <v>361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1.6572999999999999E-34</v>
      </c>
      <c r="M12" s="73">
        <v>7.9071999999999998E-32</v>
      </c>
      <c r="N12" s="73">
        <v>2.3603000000000001E-29</v>
      </c>
      <c r="O12" s="73">
        <v>4.6495999999999999E-27</v>
      </c>
      <c r="P12" s="73">
        <v>6.3423000000000003E-25</v>
      </c>
      <c r="Q12" s="73">
        <v>6.2186000000000002E-23</v>
      </c>
      <c r="R12" s="73">
        <v>4.5371000000000001E-21</v>
      </c>
      <c r="S12" s="73">
        <v>2.5367E-19</v>
      </c>
      <c r="T12" s="73">
        <v>2.7617000000000002E-13</v>
      </c>
      <c r="U12" s="73">
        <v>5.6580999999999999E-12</v>
      </c>
      <c r="V12" s="73">
        <v>9.9572000000000003E-11</v>
      </c>
      <c r="W12" s="73">
        <v>1.3480999999999999E-9</v>
      </c>
      <c r="X12" s="73">
        <v>4.0385000000000001E-9</v>
      </c>
      <c r="Y12" s="59">
        <v>1.3505000000000001E-8</v>
      </c>
      <c r="Z12" s="59">
        <v>3.7726999999999998E-8</v>
      </c>
      <c r="AA12" s="59">
        <v>3.7906000000000002E-8</v>
      </c>
      <c r="AB12" s="59">
        <v>3.7554E-8</v>
      </c>
      <c r="AC12" s="59">
        <v>3.0196000000000001E-8</v>
      </c>
      <c r="AD12" s="59">
        <v>2.7293999999999999E-8</v>
      </c>
      <c r="AE12" s="59">
        <v>2.4188000000000001E-8</v>
      </c>
      <c r="AF12" s="59">
        <v>2.0995E-8</v>
      </c>
      <c r="AG12" s="59">
        <v>2.4188000000000001E-8</v>
      </c>
      <c r="AH12" s="59">
        <v>2.0995E-8</v>
      </c>
      <c r="AI12" s="59">
        <v>1.7808E-8</v>
      </c>
      <c r="AM12" s="50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/>
      <c r="BB12" s="52"/>
    </row>
    <row r="13" spans="1:54" ht="21" customHeight="1" outlineLevel="1" thickBot="1" x14ac:dyDescent="0.4">
      <c r="A13" s="66">
        <f t="shared" si="1"/>
        <v>1</v>
      </c>
      <c r="B13" s="66">
        <f t="shared" si="0"/>
        <v>0</v>
      </c>
      <c r="C13" s="66">
        <f t="shared" si="0"/>
        <v>0</v>
      </c>
      <c r="D13" s="66">
        <f t="shared" si="0"/>
        <v>0</v>
      </c>
      <c r="E13" s="11" t="s">
        <v>1</v>
      </c>
      <c r="F13" s="73">
        <v>0.2</v>
      </c>
      <c r="G13" s="73">
        <v>0.2</v>
      </c>
      <c r="H13" s="73">
        <v>0.2</v>
      </c>
      <c r="I13" s="73">
        <v>0.2</v>
      </c>
      <c r="J13" s="73">
        <v>0.2</v>
      </c>
      <c r="K13" s="73">
        <v>0.2</v>
      </c>
      <c r="L13" s="73">
        <v>0.2</v>
      </c>
      <c r="M13" s="73">
        <v>0.2</v>
      </c>
      <c r="N13" s="73">
        <v>0.2</v>
      </c>
      <c r="O13" s="73">
        <v>0.2</v>
      </c>
      <c r="P13" s="73">
        <v>0.2</v>
      </c>
      <c r="Q13" s="73">
        <v>0.2</v>
      </c>
      <c r="R13" s="73">
        <v>0.2</v>
      </c>
      <c r="S13" s="73">
        <v>0.2</v>
      </c>
      <c r="T13" s="73">
        <v>0.2</v>
      </c>
      <c r="U13" s="73">
        <v>0.2</v>
      </c>
      <c r="V13" s="73">
        <v>0.2</v>
      </c>
      <c r="W13" s="73">
        <v>0.2</v>
      </c>
      <c r="X13" s="73">
        <v>0.2</v>
      </c>
      <c r="Y13" s="59">
        <v>0.2</v>
      </c>
      <c r="Z13" s="59">
        <v>0.2</v>
      </c>
      <c r="AA13" s="59">
        <v>0.2</v>
      </c>
      <c r="AB13" s="59">
        <v>0.2</v>
      </c>
      <c r="AC13" s="59">
        <v>0.2</v>
      </c>
      <c r="AD13" s="59">
        <v>0.2</v>
      </c>
      <c r="AE13" s="59">
        <v>0.2</v>
      </c>
      <c r="AF13" s="59">
        <v>0.2</v>
      </c>
      <c r="AG13" s="59">
        <v>0.2</v>
      </c>
      <c r="AH13" s="59">
        <v>0.2</v>
      </c>
      <c r="AI13" s="59">
        <v>0.2</v>
      </c>
      <c r="AM13" s="50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2"/>
    </row>
    <row r="14" spans="1:54" ht="21" customHeight="1" outlineLevel="1" thickBot="1" x14ac:dyDescent="0.4">
      <c r="A14" s="66">
        <f t="shared" si="1"/>
        <v>0</v>
      </c>
      <c r="B14" s="66">
        <f t="shared" si="0"/>
        <v>0</v>
      </c>
      <c r="C14" s="66">
        <f t="shared" si="0"/>
        <v>0</v>
      </c>
      <c r="D14" s="66">
        <f t="shared" si="0"/>
        <v>1</v>
      </c>
      <c r="E14" s="11" t="s">
        <v>50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1.3168999999999999E-31</v>
      </c>
      <c r="R14" s="73">
        <v>1.7224E-23</v>
      </c>
      <c r="S14" s="73">
        <v>8.3048000000000002E-20</v>
      </c>
      <c r="T14" s="73">
        <v>3.9772E-13</v>
      </c>
      <c r="U14" s="73">
        <v>1.4622999999999999E-12</v>
      </c>
      <c r="V14" s="73">
        <v>4.5785E-11</v>
      </c>
      <c r="W14" s="73">
        <v>0</v>
      </c>
      <c r="X14" s="73">
        <v>2.8389000000000002E-9</v>
      </c>
      <c r="Y14" s="59">
        <v>3.8255000000000001E-8</v>
      </c>
      <c r="Z14" s="59">
        <v>0.15769</v>
      </c>
      <c r="AA14" s="59">
        <v>0.15976000000000001</v>
      </c>
      <c r="AB14" s="59">
        <v>0.15997</v>
      </c>
      <c r="AC14" s="59">
        <v>0.16</v>
      </c>
      <c r="AD14" s="59">
        <v>0.16</v>
      </c>
      <c r="AE14" s="59">
        <v>0.16</v>
      </c>
      <c r="AF14" s="59">
        <v>0.16</v>
      </c>
      <c r="AG14" s="59">
        <v>0.16</v>
      </c>
      <c r="AH14" s="59">
        <v>0.16</v>
      </c>
      <c r="AI14" s="59">
        <v>0.16</v>
      </c>
      <c r="AM14" s="50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/>
      <c r="BB14" s="52"/>
    </row>
    <row r="15" spans="1:54" ht="21" customHeight="1" outlineLevel="1" thickBot="1" x14ac:dyDescent="0.4">
      <c r="A15" s="66">
        <f t="shared" si="1"/>
        <v>0</v>
      </c>
      <c r="B15" s="66">
        <f t="shared" si="0"/>
        <v>0</v>
      </c>
      <c r="C15" s="66">
        <f t="shared" si="0"/>
        <v>1</v>
      </c>
      <c r="D15" s="66">
        <f t="shared" si="0"/>
        <v>0</v>
      </c>
      <c r="E15" s="11" t="s">
        <v>49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3.7209000000000002E-35</v>
      </c>
      <c r="M15" s="73">
        <v>0</v>
      </c>
      <c r="N15" s="73">
        <v>0</v>
      </c>
      <c r="O15" s="73">
        <v>0</v>
      </c>
      <c r="P15" s="73">
        <v>0</v>
      </c>
      <c r="Q15" s="73">
        <v>1.9468E-26</v>
      </c>
      <c r="R15" s="73">
        <v>4.6849999999999995E-19</v>
      </c>
      <c r="S15" s="73">
        <v>4.5680000000000005E-16</v>
      </c>
      <c r="T15" s="73">
        <v>8.0088000000000004E-12</v>
      </c>
      <c r="U15" s="73">
        <v>8.5293E-12</v>
      </c>
      <c r="V15" s="73">
        <v>8.1495999999999994E-11</v>
      </c>
      <c r="W15" s="73">
        <v>0</v>
      </c>
      <c r="X15" s="73">
        <v>1.0850000000000001E-9</v>
      </c>
      <c r="Y15" s="59">
        <v>9.4720000000000004E-9</v>
      </c>
      <c r="Z15" s="59">
        <v>2.7789000000000001E-2</v>
      </c>
      <c r="AA15" s="59">
        <v>3.3133000000000003E-2</v>
      </c>
      <c r="AB15" s="59">
        <v>3.8913999999999997E-2</v>
      </c>
      <c r="AC15" s="59">
        <v>7.2328000000000003E-2</v>
      </c>
      <c r="AD15" s="59">
        <v>8.4408999999999998E-2</v>
      </c>
      <c r="AE15" s="59">
        <v>9.8666000000000004E-2</v>
      </c>
      <c r="AF15" s="59">
        <v>0.11561</v>
      </c>
      <c r="AG15" s="59">
        <v>9.8666000000000004E-2</v>
      </c>
      <c r="AH15" s="59">
        <v>0.11561</v>
      </c>
      <c r="AI15" s="59">
        <v>0.13605</v>
      </c>
      <c r="AM15" s="50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2"/>
    </row>
    <row r="16" spans="1:54" ht="21" customHeight="1" outlineLevel="1" thickBot="1" x14ac:dyDescent="0.4">
      <c r="A16" s="66">
        <f t="shared" si="1"/>
        <v>1</v>
      </c>
      <c r="B16" s="66">
        <f t="shared" si="0"/>
        <v>0</v>
      </c>
      <c r="C16" s="66">
        <f t="shared" si="0"/>
        <v>0</v>
      </c>
      <c r="D16" s="66">
        <f t="shared" si="0"/>
        <v>0</v>
      </c>
      <c r="E16" s="11" t="s">
        <v>35</v>
      </c>
      <c r="F16" s="73">
        <v>-18.96</v>
      </c>
      <c r="G16" s="73">
        <v>-18.95</v>
      </c>
      <c r="H16" s="73">
        <v>-18.95</v>
      </c>
      <c r="I16" s="73">
        <v>-18.96</v>
      </c>
      <c r="J16" s="73">
        <v>-18.98</v>
      </c>
      <c r="K16" s="73">
        <v>-19.100000000000001</v>
      </c>
      <c r="L16" s="73">
        <v>-19.14</v>
      </c>
      <c r="M16" s="73">
        <v>-19.18</v>
      </c>
      <c r="N16" s="73">
        <v>-19.22</v>
      </c>
      <c r="O16" s="73">
        <v>-19.260000000000002</v>
      </c>
      <c r="P16" s="73">
        <v>-19.3</v>
      </c>
      <c r="Q16" s="73">
        <v>-19.350000000000001</v>
      </c>
      <c r="R16" s="73">
        <v>-19.39</v>
      </c>
      <c r="S16" s="73">
        <v>-19.43</v>
      </c>
      <c r="T16" s="73">
        <v>-19.600000000000001</v>
      </c>
      <c r="U16" s="73">
        <v>-19.64</v>
      </c>
      <c r="V16" s="73">
        <v>-19.68</v>
      </c>
      <c r="W16" s="73">
        <v>-19.690000000000001</v>
      </c>
      <c r="X16" s="73">
        <v>-19.5</v>
      </c>
      <c r="Y16" s="59">
        <v>-19.489999999999998</v>
      </c>
      <c r="Z16" s="59">
        <v>-19.510000000000002</v>
      </c>
      <c r="AA16" s="59">
        <v>-19.55</v>
      </c>
      <c r="AB16" s="59">
        <v>-19.59</v>
      </c>
      <c r="AC16" s="59">
        <v>-19.739999999999998</v>
      </c>
      <c r="AD16" s="59">
        <v>-19.77</v>
      </c>
      <c r="AE16" s="59">
        <v>-19.809999999999999</v>
      </c>
      <c r="AF16" s="59">
        <v>-19.850000000000001</v>
      </c>
      <c r="AG16" s="59">
        <v>-19.809999999999999</v>
      </c>
      <c r="AH16" s="59">
        <v>-19.850000000000001</v>
      </c>
      <c r="AI16" s="59">
        <v>-19.88</v>
      </c>
      <c r="AM16" s="50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/>
      <c r="BB16" s="52"/>
    </row>
    <row r="17" spans="1:54" ht="21" customHeight="1" outlineLevel="1" thickBot="1" x14ac:dyDescent="0.4">
      <c r="A17" s="66">
        <f t="shared" si="1"/>
        <v>0</v>
      </c>
      <c r="B17" s="66">
        <f t="shared" si="0"/>
        <v>0</v>
      </c>
      <c r="C17" s="66">
        <f t="shared" si="0"/>
        <v>0</v>
      </c>
      <c r="D17" s="66">
        <f t="shared" si="0"/>
        <v>1</v>
      </c>
      <c r="E17" s="11" t="s">
        <v>5</v>
      </c>
      <c r="F17" s="73">
        <v>-66.19</v>
      </c>
      <c r="G17" s="73">
        <v>-61.98</v>
      </c>
      <c r="H17" s="73">
        <v>-58.33</v>
      </c>
      <c r="I17" s="73">
        <v>-55.14</v>
      </c>
      <c r="J17" s="73">
        <v>-51.35</v>
      </c>
      <c r="K17" s="73">
        <v>-37</v>
      </c>
      <c r="L17" s="73">
        <v>-34.130000000000003</v>
      </c>
      <c r="M17" s="73">
        <v>-31.49</v>
      </c>
      <c r="N17" s="73">
        <v>-29.04</v>
      </c>
      <c r="O17" s="73">
        <v>-26.76</v>
      </c>
      <c r="P17" s="73">
        <v>-24.63</v>
      </c>
      <c r="Q17" s="73">
        <v>-22.64</v>
      </c>
      <c r="R17" s="73">
        <v>-20.77</v>
      </c>
      <c r="S17" s="73">
        <v>-19.010000000000002</v>
      </c>
      <c r="T17" s="73">
        <v>-12.87</v>
      </c>
      <c r="U17" s="73">
        <v>-11.53</v>
      </c>
      <c r="V17" s="73">
        <v>-10.25</v>
      </c>
      <c r="W17" s="73">
        <v>-9.0690000000000008</v>
      </c>
      <c r="X17" s="73">
        <v>-8.5370000000000008</v>
      </c>
      <c r="Y17" s="59">
        <v>-8.0269999999999992</v>
      </c>
      <c r="Z17" s="59">
        <v>-7.617</v>
      </c>
      <c r="AA17" s="59">
        <v>-7.7149999999999999</v>
      </c>
      <c r="AB17" s="59">
        <v>-7.8150000000000004</v>
      </c>
      <c r="AC17" s="59">
        <v>-8.2360000000000007</v>
      </c>
      <c r="AD17" s="59">
        <v>-8.35</v>
      </c>
      <c r="AE17" s="59">
        <v>-8.4689999999999994</v>
      </c>
      <c r="AF17" s="59">
        <v>-8.593</v>
      </c>
      <c r="AG17" s="59">
        <v>-8.4689999999999994</v>
      </c>
      <c r="AH17" s="59">
        <v>-8.593</v>
      </c>
      <c r="AI17" s="59">
        <v>-8.7249999999999996</v>
      </c>
      <c r="AM17" s="50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2"/>
    </row>
    <row r="18" spans="1:54" ht="21" customHeight="1" outlineLevel="1" thickBot="1" x14ac:dyDescent="0.4">
      <c r="A18" s="66">
        <f t="shared" si="1"/>
        <v>0</v>
      </c>
      <c r="B18" s="66">
        <f t="shared" si="0"/>
        <v>0</v>
      </c>
      <c r="C18" s="66">
        <f t="shared" si="0"/>
        <v>1</v>
      </c>
      <c r="D18" s="66">
        <f t="shared" si="0"/>
        <v>0</v>
      </c>
      <c r="E18" s="11" t="s">
        <v>6</v>
      </c>
      <c r="F18" s="73">
        <v>-16.29</v>
      </c>
      <c r="G18" s="73">
        <v>-15.52</v>
      </c>
      <c r="H18" s="73">
        <v>-14.86</v>
      </c>
      <c r="I18" s="73">
        <v>-14.3</v>
      </c>
      <c r="J18" s="73">
        <v>-13.17</v>
      </c>
      <c r="K18" s="73">
        <v>-7.9130000000000003</v>
      </c>
      <c r="L18" s="73">
        <v>-6.851</v>
      </c>
      <c r="M18" s="73">
        <v>-5.867</v>
      </c>
      <c r="N18" s="73">
        <v>-4.9489999999999998</v>
      </c>
      <c r="O18" s="73">
        <v>-4.101</v>
      </c>
      <c r="P18" s="73">
        <v>-4.1500000000000004</v>
      </c>
      <c r="Q18" s="73">
        <v>-4.2</v>
      </c>
      <c r="R18" s="73">
        <v>-4.2489999999999997</v>
      </c>
      <c r="S18" s="73">
        <v>-4.2990000000000004</v>
      </c>
      <c r="T18" s="73">
        <v>-4.4989999999999997</v>
      </c>
      <c r="U18" s="73">
        <v>-4.5490000000000004</v>
      </c>
      <c r="V18" s="73">
        <v>-4.5979999999999999</v>
      </c>
      <c r="W18" s="73">
        <v>-4.6470000000000002</v>
      </c>
      <c r="X18" s="73">
        <v>-4.6959999999999997</v>
      </c>
      <c r="Y18" s="59">
        <v>-4.7439999999999998</v>
      </c>
      <c r="Z18" s="59">
        <v>-4.7919999999999998</v>
      </c>
      <c r="AA18" s="59">
        <v>-4.84</v>
      </c>
      <c r="AB18" s="59">
        <v>-4.8869999999999996</v>
      </c>
      <c r="AC18" s="59">
        <v>-5.0709999999999997</v>
      </c>
      <c r="AD18" s="59">
        <v>-5.1159999999999997</v>
      </c>
      <c r="AE18" s="59">
        <v>-5.1609999999999996</v>
      </c>
      <c r="AF18" s="59">
        <v>-5.2060000000000004</v>
      </c>
      <c r="AG18" s="59">
        <v>-5.1609999999999996</v>
      </c>
      <c r="AH18" s="59">
        <v>-5.2060000000000004</v>
      </c>
      <c r="AI18" s="59">
        <v>-5.25</v>
      </c>
      <c r="AM18" s="50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2"/>
    </row>
    <row r="19" spans="1:54" ht="21" customHeight="1" outlineLevel="1" thickBot="1" x14ac:dyDescent="0.4">
      <c r="A19" s="66">
        <f t="shared" si="1"/>
        <v>0</v>
      </c>
      <c r="B19" s="66">
        <f t="shared" si="0"/>
        <v>1</v>
      </c>
      <c r="C19" s="66">
        <f t="shared" si="0"/>
        <v>0</v>
      </c>
      <c r="D19" s="66">
        <f t="shared" si="0"/>
        <v>0</v>
      </c>
      <c r="E19" s="11" t="s">
        <v>7</v>
      </c>
      <c r="F19" s="73">
        <v>-23.52</v>
      </c>
      <c r="G19" s="73">
        <v>-22.18</v>
      </c>
      <c r="H19" s="73">
        <v>-21.02</v>
      </c>
      <c r="I19" s="73">
        <v>-20.010000000000002</v>
      </c>
      <c r="J19" s="73">
        <v>-19.77</v>
      </c>
      <c r="K19" s="73">
        <v>-20.97</v>
      </c>
      <c r="L19" s="73">
        <v>-21.27</v>
      </c>
      <c r="M19" s="73">
        <v>-21.58</v>
      </c>
      <c r="N19" s="73">
        <v>-21.88</v>
      </c>
      <c r="O19" s="73">
        <v>-22.19</v>
      </c>
      <c r="P19" s="73">
        <v>-22.49</v>
      </c>
      <c r="Q19" s="73">
        <v>-22.79</v>
      </c>
      <c r="R19" s="73">
        <v>-23.08</v>
      </c>
      <c r="S19" s="73">
        <v>-23.37</v>
      </c>
      <c r="T19" s="73">
        <v>-24.51</v>
      </c>
      <c r="U19" s="73">
        <v>-24.79</v>
      </c>
      <c r="V19" s="73">
        <v>-25.06</v>
      </c>
      <c r="W19" s="73">
        <v>-25.33</v>
      </c>
      <c r="X19" s="73">
        <v>-25.6</v>
      </c>
      <c r="Y19" s="59">
        <v>-25.87</v>
      </c>
      <c r="Z19" s="59">
        <v>-26.13</v>
      </c>
      <c r="AA19" s="59">
        <v>-26.39</v>
      </c>
      <c r="AB19" s="59">
        <v>-26.65</v>
      </c>
      <c r="AC19" s="59">
        <v>-27.65</v>
      </c>
      <c r="AD19" s="59">
        <v>-27.89</v>
      </c>
      <c r="AE19" s="59">
        <v>-28.14</v>
      </c>
      <c r="AF19" s="59">
        <v>-28.38</v>
      </c>
      <c r="AG19" s="59">
        <v>-28.14</v>
      </c>
      <c r="AH19" s="59">
        <v>-28.38</v>
      </c>
      <c r="AI19" s="59">
        <v>-28.62</v>
      </c>
      <c r="AM19" s="50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2"/>
    </row>
    <row r="20" spans="1:54" ht="21" customHeight="1" outlineLevel="1" thickBot="1" x14ac:dyDescent="0.4">
      <c r="A20" s="66">
        <f t="shared" si="1"/>
        <v>0</v>
      </c>
      <c r="B20" s="66">
        <f t="shared" si="1"/>
        <v>0</v>
      </c>
      <c r="C20" s="66">
        <f t="shared" si="1"/>
        <v>0</v>
      </c>
      <c r="D20" s="66">
        <f t="shared" si="1"/>
        <v>0</v>
      </c>
      <c r="E20" s="63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AM20" s="50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2"/>
    </row>
    <row r="21" spans="1:54" ht="21" customHeight="1" outlineLevel="1" thickBot="1" x14ac:dyDescent="0.4">
      <c r="A21" s="66">
        <f t="shared" si="1"/>
        <v>0</v>
      </c>
      <c r="B21" s="66">
        <f t="shared" si="1"/>
        <v>0</v>
      </c>
      <c r="C21" s="66">
        <f t="shared" si="1"/>
        <v>0</v>
      </c>
      <c r="D21" s="66">
        <f t="shared" si="1"/>
        <v>0</v>
      </c>
      <c r="E21" s="63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AM21" s="50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2"/>
    </row>
    <row r="22" spans="1:54" ht="21" customHeight="1" outlineLevel="1" thickBot="1" x14ac:dyDescent="0.4">
      <c r="A22" s="66">
        <f t="shared" si="1"/>
        <v>0</v>
      </c>
      <c r="B22" s="66">
        <f t="shared" si="1"/>
        <v>0</v>
      </c>
      <c r="C22" s="66">
        <f t="shared" si="1"/>
        <v>0</v>
      </c>
      <c r="D22" s="66">
        <f t="shared" si="1"/>
        <v>0</v>
      </c>
      <c r="E22" s="63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AM22" s="50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2"/>
    </row>
    <row r="23" spans="1:54" ht="21" customHeight="1" outlineLevel="1" thickBot="1" x14ac:dyDescent="0.4">
      <c r="A23" s="66">
        <f t="shared" si="1"/>
        <v>0</v>
      </c>
      <c r="B23" s="66">
        <f t="shared" si="1"/>
        <v>0</v>
      </c>
      <c r="C23" s="66">
        <f t="shared" si="1"/>
        <v>0</v>
      </c>
      <c r="D23" s="66">
        <f t="shared" si="1"/>
        <v>0</v>
      </c>
      <c r="E23" s="63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AM23" s="50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2"/>
    </row>
    <row r="24" spans="1:54" ht="21" customHeight="1" outlineLevel="1" thickBot="1" x14ac:dyDescent="0.4">
      <c r="A24" s="66">
        <f t="shared" si="1"/>
        <v>0</v>
      </c>
      <c r="B24" s="66">
        <f t="shared" si="1"/>
        <v>0</v>
      </c>
      <c r="C24" s="66">
        <f t="shared" si="1"/>
        <v>0</v>
      </c>
      <c r="D24" s="66">
        <f t="shared" si="1"/>
        <v>0</v>
      </c>
      <c r="E24" s="63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AM24" s="50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/>
      <c r="BB24" s="52"/>
    </row>
    <row r="25" spans="1:54" ht="21" customHeight="1" outlineLevel="1" thickBot="1" x14ac:dyDescent="0.4">
      <c r="A25" s="66">
        <f t="shared" si="1"/>
        <v>0</v>
      </c>
      <c r="B25" s="66">
        <f t="shared" si="1"/>
        <v>0</v>
      </c>
      <c r="C25" s="66">
        <f t="shared" si="1"/>
        <v>0</v>
      </c>
      <c r="D25" s="66">
        <f t="shared" si="1"/>
        <v>0</v>
      </c>
      <c r="E25" s="63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AM25" s="50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2"/>
    </row>
    <row r="26" spans="1:54" ht="21" customHeight="1" outlineLevel="1" thickBot="1" x14ac:dyDescent="0.4">
      <c r="A26" s="66">
        <f t="shared" si="1"/>
        <v>0</v>
      </c>
      <c r="B26" s="66">
        <f t="shared" si="1"/>
        <v>0</v>
      </c>
      <c r="C26" s="66">
        <f t="shared" si="1"/>
        <v>0</v>
      </c>
      <c r="D26" s="66">
        <f t="shared" si="1"/>
        <v>0</v>
      </c>
      <c r="E26" s="63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AM26" s="50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/>
      <c r="BB26" s="52"/>
    </row>
    <row r="27" spans="1:54" ht="21" customHeight="1" outlineLevel="1" thickBot="1" x14ac:dyDescent="0.4">
      <c r="A27" s="66">
        <f t="shared" si="1"/>
        <v>0</v>
      </c>
      <c r="B27" s="66">
        <f t="shared" si="1"/>
        <v>0</v>
      </c>
      <c r="C27" s="66">
        <f t="shared" si="1"/>
        <v>0</v>
      </c>
      <c r="D27" s="66">
        <f t="shared" si="1"/>
        <v>0</v>
      </c>
      <c r="E27" s="63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AM27" s="50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2"/>
    </row>
    <row r="28" spans="1:54" ht="21" customHeight="1" outlineLevel="1" thickBot="1" x14ac:dyDescent="0.4">
      <c r="A28" s="66">
        <f t="shared" ref="A28:D33" si="2">IF( ISNUMBER( FIND(A$3,$E28,1)),   IF( ISNUMBER( VALUE(MID($E28,FIND(A$3,$E28,1)+2,1)) ), VALUE( MID($E28,FIND(A$3,$E28,1)+2,1) ),1),0)</f>
        <v>0</v>
      </c>
      <c r="B28" s="66">
        <f t="shared" si="2"/>
        <v>0</v>
      </c>
      <c r="C28" s="66">
        <f t="shared" si="2"/>
        <v>0</v>
      </c>
      <c r="D28" s="66">
        <f t="shared" si="2"/>
        <v>0</v>
      </c>
      <c r="E28" s="63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AM28" s="50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/>
      <c r="BB28" s="52"/>
    </row>
    <row r="29" spans="1:54" ht="21" customHeight="1" outlineLevel="1" thickBot="1" x14ac:dyDescent="0.4">
      <c r="A29" s="66">
        <f t="shared" si="2"/>
        <v>0</v>
      </c>
      <c r="B29" s="66">
        <f t="shared" si="2"/>
        <v>0</v>
      </c>
      <c r="C29" s="66">
        <f t="shared" si="2"/>
        <v>0</v>
      </c>
      <c r="D29" s="66">
        <f t="shared" si="2"/>
        <v>0</v>
      </c>
      <c r="E29" s="63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AM29" s="50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2"/>
    </row>
    <row r="30" spans="1:54" ht="21" customHeight="1" outlineLevel="1" thickBot="1" x14ac:dyDescent="0.4">
      <c r="A30" s="66">
        <f t="shared" si="2"/>
        <v>0</v>
      </c>
      <c r="B30" s="66">
        <f t="shared" si="2"/>
        <v>0</v>
      </c>
      <c r="C30" s="66">
        <f t="shared" si="2"/>
        <v>0</v>
      </c>
      <c r="D30" s="66">
        <f t="shared" si="2"/>
        <v>0</v>
      </c>
      <c r="E30" s="63"/>
      <c r="AM30" s="50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2"/>
    </row>
    <row r="31" spans="1:54" ht="21" customHeight="1" outlineLevel="1" thickBot="1" x14ac:dyDescent="0.4">
      <c r="A31" s="66">
        <f t="shared" si="2"/>
        <v>0</v>
      </c>
      <c r="B31" s="66">
        <f t="shared" si="2"/>
        <v>0</v>
      </c>
      <c r="C31" s="66">
        <f t="shared" si="2"/>
        <v>0</v>
      </c>
      <c r="D31" s="66">
        <f t="shared" si="2"/>
        <v>0</v>
      </c>
      <c r="E31" s="63"/>
      <c r="AM31" s="50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2"/>
    </row>
    <row r="32" spans="1:54" ht="21" customHeight="1" outlineLevel="1" thickBot="1" x14ac:dyDescent="0.4">
      <c r="A32" s="66">
        <f t="shared" si="2"/>
        <v>0</v>
      </c>
      <c r="B32" s="66">
        <f t="shared" si="2"/>
        <v>0</v>
      </c>
      <c r="C32" s="66">
        <f t="shared" si="2"/>
        <v>0</v>
      </c>
      <c r="D32" s="66">
        <f t="shared" si="2"/>
        <v>0</v>
      </c>
      <c r="E32" s="63"/>
      <c r="AM32" s="50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2"/>
    </row>
    <row r="33" spans="1:54" ht="21" customHeight="1" outlineLevel="1" thickBot="1" x14ac:dyDescent="0.4">
      <c r="A33" s="66">
        <f t="shared" si="2"/>
        <v>0</v>
      </c>
      <c r="B33" s="66">
        <f t="shared" si="2"/>
        <v>0</v>
      </c>
      <c r="C33" s="66">
        <f t="shared" si="2"/>
        <v>0</v>
      </c>
      <c r="D33" s="66">
        <f t="shared" si="2"/>
        <v>0</v>
      </c>
      <c r="E33" s="63">
        <v>1</v>
      </c>
      <c r="AM33" s="50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2"/>
    </row>
    <row r="34" spans="1:54" ht="21" customHeight="1" outlineLevel="1" x14ac:dyDescent="0.35">
      <c r="A34" s="47">
        <f>$A$2</f>
        <v>700</v>
      </c>
      <c r="B34" s="74">
        <v>0</v>
      </c>
      <c r="C34" s="23" t="s">
        <v>35</v>
      </c>
      <c r="D34" s="71">
        <f>MATCH(C34,$E$4:$E$33)</f>
        <v>13</v>
      </c>
      <c r="E34" s="23" t="str">
        <f ca="1">OFFSET($E$3:$AL$3,$D34,0)</f>
        <v>H (Ar)</v>
      </c>
      <c r="F34" s="26">
        <f t="shared" ref="F34:AL37" ca="1" si="3">OFFSET($E$3:$AL$3,$D34,0)</f>
        <v>-18.96</v>
      </c>
      <c r="G34" s="26">
        <f t="shared" ca="1" si="3"/>
        <v>-18.95</v>
      </c>
      <c r="H34" s="26">
        <f t="shared" ca="1" si="3"/>
        <v>-18.95</v>
      </c>
      <c r="I34" s="26">
        <f t="shared" ca="1" si="3"/>
        <v>-18.96</v>
      </c>
      <c r="J34" s="26">
        <f t="shared" ca="1" si="3"/>
        <v>-18.98</v>
      </c>
      <c r="K34" s="26">
        <f t="shared" ca="1" si="3"/>
        <v>-19.100000000000001</v>
      </c>
      <c r="L34" s="26">
        <f t="shared" ca="1" si="3"/>
        <v>-19.14</v>
      </c>
      <c r="M34" s="26">
        <f t="shared" ca="1" si="3"/>
        <v>-19.18</v>
      </c>
      <c r="N34" s="26">
        <f t="shared" ca="1" si="3"/>
        <v>-19.22</v>
      </c>
      <c r="O34" s="26">
        <f t="shared" ca="1" si="3"/>
        <v>-19.260000000000002</v>
      </c>
      <c r="P34" s="26">
        <f t="shared" ca="1" si="3"/>
        <v>-19.3</v>
      </c>
      <c r="Q34" s="26">
        <f t="shared" ca="1" si="3"/>
        <v>-19.350000000000001</v>
      </c>
      <c r="R34" s="26">
        <f t="shared" ca="1" si="3"/>
        <v>-19.39</v>
      </c>
      <c r="S34" s="26">
        <f t="shared" ca="1" si="3"/>
        <v>-19.43</v>
      </c>
      <c r="T34" s="26">
        <f t="shared" ca="1" si="3"/>
        <v>-19.600000000000001</v>
      </c>
      <c r="U34" s="26">
        <f t="shared" ca="1" si="3"/>
        <v>-19.64</v>
      </c>
      <c r="V34" s="26">
        <f t="shared" ca="1" si="3"/>
        <v>-19.68</v>
      </c>
      <c r="W34" s="26">
        <f t="shared" ca="1" si="3"/>
        <v>-19.690000000000001</v>
      </c>
      <c r="X34" s="26">
        <f t="shared" ca="1" si="3"/>
        <v>-19.5</v>
      </c>
      <c r="Y34" s="26">
        <f t="shared" ca="1" si="3"/>
        <v>-19.489999999999998</v>
      </c>
      <c r="Z34" s="26">
        <f t="shared" ca="1" si="3"/>
        <v>-19.510000000000002</v>
      </c>
      <c r="AA34" s="26">
        <f t="shared" ca="1" si="3"/>
        <v>-19.55</v>
      </c>
      <c r="AB34" s="26">
        <f t="shared" ca="1" si="3"/>
        <v>-19.59</v>
      </c>
      <c r="AC34" s="26">
        <f t="shared" ca="1" si="3"/>
        <v>-19.739999999999998</v>
      </c>
      <c r="AD34" s="26">
        <f t="shared" ca="1" si="3"/>
        <v>-19.77</v>
      </c>
      <c r="AE34" s="26">
        <f t="shared" ca="1" si="3"/>
        <v>-19.809999999999999</v>
      </c>
      <c r="AF34" s="26">
        <f t="shared" ca="1" si="3"/>
        <v>-19.850000000000001</v>
      </c>
      <c r="AG34" s="26">
        <f t="shared" ca="1" si="3"/>
        <v>-19.809999999999999</v>
      </c>
      <c r="AH34" s="26">
        <f t="shared" ca="1" si="3"/>
        <v>-19.850000000000001</v>
      </c>
      <c r="AI34" s="26">
        <f t="shared" ca="1" si="3"/>
        <v>-19.88</v>
      </c>
      <c r="AJ34" s="26">
        <f t="shared" ca="1" si="3"/>
        <v>0</v>
      </c>
      <c r="AK34" s="26">
        <f t="shared" ca="1" si="3"/>
        <v>0</v>
      </c>
      <c r="AL34" s="26">
        <f t="shared" ca="1" si="3"/>
        <v>0</v>
      </c>
      <c r="AM34" s="50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2"/>
    </row>
    <row r="35" spans="1:54" ht="21" customHeight="1" outlineLevel="1" thickBot="1" x14ac:dyDescent="0.4">
      <c r="A35" s="53">
        <f>$A$2</f>
        <v>700</v>
      </c>
      <c r="B35" s="75">
        <v>1</v>
      </c>
      <c r="C35" s="23" t="s">
        <v>5</v>
      </c>
      <c r="D35" s="71">
        <f t="shared" ref="D35:D37" si="4">MATCH(C35,$E$4:$E$33)</f>
        <v>14</v>
      </c>
      <c r="E35" s="23" t="str">
        <f t="shared" ref="E35:E37" ca="1" si="5">OFFSET($E$3:$AL$3,$D35,0)</f>
        <v>H (Ga)</v>
      </c>
      <c r="F35" s="26">
        <f t="shared" ca="1" si="3"/>
        <v>-66.19</v>
      </c>
      <c r="G35" s="26">
        <f t="shared" ca="1" si="3"/>
        <v>-61.98</v>
      </c>
      <c r="H35" s="26">
        <f t="shared" ca="1" si="3"/>
        <v>-58.33</v>
      </c>
      <c r="I35" s="26">
        <f t="shared" ca="1" si="3"/>
        <v>-55.14</v>
      </c>
      <c r="J35" s="26">
        <f t="shared" ca="1" si="3"/>
        <v>-51.35</v>
      </c>
      <c r="K35" s="26">
        <f t="shared" ca="1" si="3"/>
        <v>-37</v>
      </c>
      <c r="L35" s="26">
        <f t="shared" ca="1" si="3"/>
        <v>-34.130000000000003</v>
      </c>
      <c r="M35" s="26">
        <f t="shared" ca="1" si="3"/>
        <v>-31.49</v>
      </c>
      <c r="N35" s="26">
        <f t="shared" ca="1" si="3"/>
        <v>-29.04</v>
      </c>
      <c r="O35" s="26">
        <f t="shared" ca="1" si="3"/>
        <v>-26.76</v>
      </c>
      <c r="P35" s="26">
        <f t="shared" ca="1" si="3"/>
        <v>-24.63</v>
      </c>
      <c r="Q35" s="26">
        <f t="shared" ca="1" si="3"/>
        <v>-22.64</v>
      </c>
      <c r="R35" s="26">
        <f t="shared" ca="1" si="3"/>
        <v>-20.77</v>
      </c>
      <c r="S35" s="26">
        <f t="shared" ca="1" si="3"/>
        <v>-19.010000000000002</v>
      </c>
      <c r="T35" s="26">
        <f t="shared" ca="1" si="3"/>
        <v>-12.87</v>
      </c>
      <c r="U35" s="26">
        <f t="shared" ca="1" si="3"/>
        <v>-11.53</v>
      </c>
      <c r="V35" s="26">
        <f t="shared" ca="1" si="3"/>
        <v>-10.25</v>
      </c>
      <c r="W35" s="26">
        <f t="shared" ca="1" si="3"/>
        <v>-9.0690000000000008</v>
      </c>
      <c r="X35" s="26">
        <f t="shared" ca="1" si="3"/>
        <v>-8.5370000000000008</v>
      </c>
      <c r="Y35" s="26">
        <f t="shared" ca="1" si="3"/>
        <v>-8.0269999999999992</v>
      </c>
      <c r="Z35" s="26">
        <f t="shared" ca="1" si="3"/>
        <v>-7.617</v>
      </c>
      <c r="AA35" s="26">
        <f t="shared" ca="1" si="3"/>
        <v>-7.7149999999999999</v>
      </c>
      <c r="AB35" s="26">
        <f t="shared" ca="1" si="3"/>
        <v>-7.8150000000000004</v>
      </c>
      <c r="AC35" s="26">
        <f t="shared" ca="1" si="3"/>
        <v>-8.2360000000000007</v>
      </c>
      <c r="AD35" s="26">
        <f t="shared" ca="1" si="3"/>
        <v>-8.35</v>
      </c>
      <c r="AE35" s="26">
        <f t="shared" ca="1" si="3"/>
        <v>-8.4689999999999994</v>
      </c>
      <c r="AF35" s="26">
        <f t="shared" ca="1" si="3"/>
        <v>-8.593</v>
      </c>
      <c r="AG35" s="26">
        <f t="shared" ca="1" si="3"/>
        <v>-8.4689999999999994</v>
      </c>
      <c r="AH35" s="26">
        <f t="shared" ca="1" si="3"/>
        <v>-8.593</v>
      </c>
      <c r="AI35" s="26">
        <f t="shared" ca="1" si="3"/>
        <v>-8.7249999999999996</v>
      </c>
      <c r="AJ35" s="26">
        <f t="shared" ca="1" si="3"/>
        <v>0</v>
      </c>
      <c r="AK35" s="26">
        <f t="shared" ca="1" si="3"/>
        <v>0</v>
      </c>
      <c r="AL35" s="26">
        <f t="shared" ca="1" si="3"/>
        <v>0</v>
      </c>
      <c r="AM35" s="50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2"/>
    </row>
    <row r="36" spans="1:54" ht="21" customHeight="1" outlineLevel="1" x14ac:dyDescent="0.35">
      <c r="C36" s="23" t="s">
        <v>6</v>
      </c>
      <c r="D36" s="71">
        <f t="shared" si="4"/>
        <v>15</v>
      </c>
      <c r="E36" s="23" t="str">
        <f t="shared" ca="1" si="5"/>
        <v>H (Ge)</v>
      </c>
      <c r="F36" s="26">
        <f t="shared" ca="1" si="3"/>
        <v>-16.29</v>
      </c>
      <c r="G36" s="26">
        <f t="shared" ca="1" si="3"/>
        <v>-15.52</v>
      </c>
      <c r="H36" s="26">
        <f t="shared" ca="1" si="3"/>
        <v>-14.86</v>
      </c>
      <c r="I36" s="26">
        <f t="shared" ca="1" si="3"/>
        <v>-14.3</v>
      </c>
      <c r="J36" s="26">
        <f t="shared" ca="1" si="3"/>
        <v>-13.17</v>
      </c>
      <c r="K36" s="26">
        <f t="shared" ca="1" si="3"/>
        <v>-7.9130000000000003</v>
      </c>
      <c r="L36" s="26">
        <f t="shared" ca="1" si="3"/>
        <v>-6.851</v>
      </c>
      <c r="M36" s="26">
        <f t="shared" ca="1" si="3"/>
        <v>-5.867</v>
      </c>
      <c r="N36" s="26">
        <f t="shared" ca="1" si="3"/>
        <v>-4.9489999999999998</v>
      </c>
      <c r="O36" s="26">
        <f t="shared" ca="1" si="3"/>
        <v>-4.101</v>
      </c>
      <c r="P36" s="26">
        <f t="shared" ca="1" si="3"/>
        <v>-4.1500000000000004</v>
      </c>
      <c r="Q36" s="26">
        <f t="shared" ca="1" si="3"/>
        <v>-4.2</v>
      </c>
      <c r="R36" s="26">
        <f t="shared" ca="1" si="3"/>
        <v>-4.2489999999999997</v>
      </c>
      <c r="S36" s="26">
        <f t="shared" ca="1" si="3"/>
        <v>-4.2990000000000004</v>
      </c>
      <c r="T36" s="26">
        <f t="shared" ca="1" si="3"/>
        <v>-4.4989999999999997</v>
      </c>
      <c r="U36" s="26">
        <f t="shared" ca="1" si="3"/>
        <v>-4.5490000000000004</v>
      </c>
      <c r="V36" s="26">
        <f t="shared" ca="1" si="3"/>
        <v>-4.5979999999999999</v>
      </c>
      <c r="W36" s="26">
        <f t="shared" ca="1" si="3"/>
        <v>-4.6470000000000002</v>
      </c>
      <c r="X36" s="26">
        <f t="shared" ca="1" si="3"/>
        <v>-4.6959999999999997</v>
      </c>
      <c r="Y36" s="26">
        <f t="shared" ca="1" si="3"/>
        <v>-4.7439999999999998</v>
      </c>
      <c r="Z36" s="26">
        <f t="shared" ca="1" si="3"/>
        <v>-4.7919999999999998</v>
      </c>
      <c r="AA36" s="26">
        <f t="shared" ca="1" si="3"/>
        <v>-4.84</v>
      </c>
      <c r="AB36" s="26">
        <f t="shared" ca="1" si="3"/>
        <v>-4.8869999999999996</v>
      </c>
      <c r="AC36" s="26">
        <f t="shared" ca="1" si="3"/>
        <v>-5.0709999999999997</v>
      </c>
      <c r="AD36" s="26">
        <f t="shared" ca="1" si="3"/>
        <v>-5.1159999999999997</v>
      </c>
      <c r="AE36" s="26">
        <f t="shared" ca="1" si="3"/>
        <v>-5.1609999999999996</v>
      </c>
      <c r="AF36" s="26">
        <f t="shared" ca="1" si="3"/>
        <v>-5.2060000000000004</v>
      </c>
      <c r="AG36" s="26">
        <f t="shared" ca="1" si="3"/>
        <v>-5.1609999999999996</v>
      </c>
      <c r="AH36" s="26">
        <f t="shared" ca="1" si="3"/>
        <v>-5.2060000000000004</v>
      </c>
      <c r="AI36" s="26">
        <f t="shared" ca="1" si="3"/>
        <v>-5.25</v>
      </c>
      <c r="AJ36" s="26">
        <f t="shared" ca="1" si="3"/>
        <v>0</v>
      </c>
      <c r="AK36" s="26">
        <f t="shared" ca="1" si="3"/>
        <v>0</v>
      </c>
      <c r="AL36" s="26">
        <f t="shared" ca="1" si="3"/>
        <v>0</v>
      </c>
      <c r="AM36" s="50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2"/>
    </row>
    <row r="37" spans="1:54" ht="21" customHeight="1" outlineLevel="1" thickBot="1" x14ac:dyDescent="0.4">
      <c r="C37" s="23" t="s">
        <v>7</v>
      </c>
      <c r="D37" s="71">
        <f t="shared" si="4"/>
        <v>16</v>
      </c>
      <c r="E37" s="23" t="str">
        <f t="shared" ca="1" si="5"/>
        <v>H (Se)</v>
      </c>
      <c r="F37" s="26">
        <f t="shared" ca="1" si="3"/>
        <v>-23.52</v>
      </c>
      <c r="G37" s="26">
        <f t="shared" ca="1" si="3"/>
        <v>-22.18</v>
      </c>
      <c r="H37" s="26">
        <f t="shared" ca="1" si="3"/>
        <v>-21.02</v>
      </c>
      <c r="I37" s="26">
        <f t="shared" ca="1" si="3"/>
        <v>-20.010000000000002</v>
      </c>
      <c r="J37" s="26">
        <f t="shared" ca="1" si="3"/>
        <v>-19.77</v>
      </c>
      <c r="K37" s="26">
        <f t="shared" ca="1" si="3"/>
        <v>-20.97</v>
      </c>
      <c r="L37" s="26">
        <f t="shared" ca="1" si="3"/>
        <v>-21.27</v>
      </c>
      <c r="M37" s="26">
        <f t="shared" ca="1" si="3"/>
        <v>-21.58</v>
      </c>
      <c r="N37" s="26">
        <f t="shared" ca="1" si="3"/>
        <v>-21.88</v>
      </c>
      <c r="O37" s="26">
        <f t="shared" ca="1" si="3"/>
        <v>-22.19</v>
      </c>
      <c r="P37" s="26">
        <f t="shared" ca="1" si="3"/>
        <v>-22.49</v>
      </c>
      <c r="Q37" s="26">
        <f t="shared" ca="1" si="3"/>
        <v>-22.79</v>
      </c>
      <c r="R37" s="26">
        <f t="shared" ca="1" si="3"/>
        <v>-23.08</v>
      </c>
      <c r="S37" s="26">
        <f t="shared" ca="1" si="3"/>
        <v>-23.37</v>
      </c>
      <c r="T37" s="26">
        <f t="shared" ca="1" si="3"/>
        <v>-24.51</v>
      </c>
      <c r="U37" s="26">
        <f t="shared" ca="1" si="3"/>
        <v>-24.79</v>
      </c>
      <c r="V37" s="26">
        <f t="shared" ca="1" si="3"/>
        <v>-25.06</v>
      </c>
      <c r="W37" s="26">
        <f t="shared" ca="1" si="3"/>
        <v>-25.33</v>
      </c>
      <c r="X37" s="26">
        <f t="shared" ca="1" si="3"/>
        <v>-25.6</v>
      </c>
      <c r="Y37" s="26">
        <f t="shared" ca="1" si="3"/>
        <v>-25.87</v>
      </c>
      <c r="Z37" s="26">
        <f t="shared" ca="1" si="3"/>
        <v>-26.13</v>
      </c>
      <c r="AA37" s="26">
        <f t="shared" ca="1" si="3"/>
        <v>-26.39</v>
      </c>
      <c r="AB37" s="26">
        <f t="shared" ca="1" si="3"/>
        <v>-26.65</v>
      </c>
      <c r="AC37" s="26">
        <f t="shared" ca="1" si="3"/>
        <v>-27.65</v>
      </c>
      <c r="AD37" s="26">
        <f t="shared" ca="1" si="3"/>
        <v>-27.89</v>
      </c>
      <c r="AE37" s="26">
        <f t="shared" ca="1" si="3"/>
        <v>-28.14</v>
      </c>
      <c r="AF37" s="26">
        <f t="shared" ca="1" si="3"/>
        <v>-28.38</v>
      </c>
      <c r="AG37" s="26">
        <f t="shared" ca="1" si="3"/>
        <v>-28.14</v>
      </c>
      <c r="AH37" s="26">
        <f t="shared" ca="1" si="3"/>
        <v>-28.38</v>
      </c>
      <c r="AI37" s="26">
        <f t="shared" ca="1" si="3"/>
        <v>-28.62</v>
      </c>
      <c r="AJ37" s="26">
        <f t="shared" ca="1" si="3"/>
        <v>0</v>
      </c>
      <c r="AK37" s="26">
        <f t="shared" ca="1" si="3"/>
        <v>0</v>
      </c>
      <c r="AL37" s="26">
        <f t="shared" ca="1" si="3"/>
        <v>0</v>
      </c>
      <c r="AM37" s="53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5"/>
    </row>
    <row r="38" spans="1:54" ht="21" customHeight="1" thickBot="1" x14ac:dyDescent="0.4"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</row>
    <row r="39" spans="1:54" ht="21" customHeight="1" thickTop="1" thickBot="1" x14ac:dyDescent="0.45">
      <c r="A39" s="13" t="s">
        <v>8</v>
      </c>
      <c r="B39" s="14"/>
      <c r="C39" s="14"/>
      <c r="D39" s="15"/>
      <c r="E39" s="4" t="s">
        <v>28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17"/>
      <c r="AN39" s="17"/>
      <c r="AO39" s="17"/>
      <c r="AP39" s="17"/>
      <c r="AQ39" s="17"/>
      <c r="AR39" s="17"/>
    </row>
    <row r="40" spans="1:54" ht="21" customHeight="1" outlineLevel="1" thickTop="1" thickBot="1" x14ac:dyDescent="0.4">
      <c r="A40" s="18" t="s">
        <v>1</v>
      </c>
      <c r="B40" s="18" t="s">
        <v>3</v>
      </c>
      <c r="C40" s="18" t="s">
        <v>4</v>
      </c>
      <c r="D40" s="18" t="s">
        <v>2</v>
      </c>
      <c r="E40" s="18" t="s">
        <v>9</v>
      </c>
      <c r="F40" s="19">
        <f>F3</f>
        <v>273.10000000000002</v>
      </c>
      <c r="G40" s="19">
        <f t="shared" ref="G40:AL40" si="6">G3</f>
        <v>293.3</v>
      </c>
      <c r="H40" s="19">
        <f t="shared" si="6"/>
        <v>313.5</v>
      </c>
      <c r="I40" s="19">
        <f t="shared" si="6"/>
        <v>333.7</v>
      </c>
      <c r="J40" s="19">
        <f t="shared" si="6"/>
        <v>353.9</v>
      </c>
      <c r="K40" s="19">
        <f t="shared" si="6"/>
        <v>434.7</v>
      </c>
      <c r="L40" s="19">
        <f t="shared" si="6"/>
        <v>454.9</v>
      </c>
      <c r="M40" s="19">
        <f t="shared" si="6"/>
        <v>475.1</v>
      </c>
      <c r="N40" s="19">
        <f t="shared" si="6"/>
        <v>495.2</v>
      </c>
      <c r="O40" s="19">
        <f t="shared" si="6"/>
        <v>515.4</v>
      </c>
      <c r="P40" s="19">
        <f t="shared" si="6"/>
        <v>535.6</v>
      </c>
      <c r="Q40" s="19">
        <f t="shared" si="6"/>
        <v>555.79999999999995</v>
      </c>
      <c r="R40" s="19">
        <f t="shared" si="6"/>
        <v>576</v>
      </c>
      <c r="S40" s="19">
        <f t="shared" si="6"/>
        <v>596.20000000000005</v>
      </c>
      <c r="T40" s="19">
        <f t="shared" si="6"/>
        <v>677</v>
      </c>
      <c r="U40" s="19">
        <f t="shared" si="6"/>
        <v>697.1</v>
      </c>
      <c r="V40" s="19">
        <f t="shared" si="6"/>
        <v>717.3</v>
      </c>
      <c r="W40" s="19">
        <f t="shared" si="6"/>
        <v>737.5</v>
      </c>
      <c r="X40" s="19">
        <f t="shared" si="6"/>
        <v>757.7</v>
      </c>
      <c r="Y40" s="19">
        <f t="shared" si="6"/>
        <v>777.9</v>
      </c>
      <c r="Z40" s="19">
        <f t="shared" si="6"/>
        <v>798.1</v>
      </c>
      <c r="AA40" s="19">
        <f t="shared" si="6"/>
        <v>818.3</v>
      </c>
      <c r="AB40" s="19">
        <f t="shared" si="6"/>
        <v>838.5</v>
      </c>
      <c r="AC40" s="19">
        <f t="shared" si="6"/>
        <v>919.2</v>
      </c>
      <c r="AD40" s="19">
        <f t="shared" si="6"/>
        <v>939.4</v>
      </c>
      <c r="AE40" s="19">
        <f t="shared" si="6"/>
        <v>959.6</v>
      </c>
      <c r="AF40" s="19">
        <f t="shared" si="6"/>
        <v>979.8</v>
      </c>
      <c r="AG40" s="19">
        <f t="shared" si="6"/>
        <v>959.6</v>
      </c>
      <c r="AH40" s="19">
        <f t="shared" si="6"/>
        <v>979.8</v>
      </c>
      <c r="AI40" s="19">
        <f t="shared" si="6"/>
        <v>1000</v>
      </c>
      <c r="AJ40" s="19">
        <f t="shared" si="6"/>
        <v>0</v>
      </c>
      <c r="AK40" s="19">
        <f t="shared" si="6"/>
        <v>0</v>
      </c>
      <c r="AL40" s="19">
        <f t="shared" si="6"/>
        <v>0</v>
      </c>
    </row>
    <row r="41" spans="1:54" ht="21" customHeight="1" outlineLevel="1" thickTop="1" x14ac:dyDescent="0.35">
      <c r="A41" s="20">
        <f>A45/$B45</f>
        <v>1.25</v>
      </c>
      <c r="B41" s="20">
        <f>B45/$B45</f>
        <v>1</v>
      </c>
      <c r="C41" s="20">
        <f>C45/$B45</f>
        <v>1</v>
      </c>
      <c r="D41" s="20">
        <f>D45/$B45</f>
        <v>3</v>
      </c>
      <c r="E41" s="20">
        <f>SUM(A41:D41)</f>
        <v>6.25</v>
      </c>
      <c r="F41" s="21">
        <f t="shared" ref="F41:AL41" ca="1" si="7">($B$41*H.Ge+$C$41*H.Ga+$D$41*H.Se)*F$40*$B$2/1000</f>
        <v>-347.50638994800005</v>
      </c>
      <c r="G41" s="21">
        <f t="shared" ca="1" si="7"/>
        <v>-351.26211611400004</v>
      </c>
      <c r="H41" s="21">
        <f t="shared" ca="1" si="7"/>
        <v>-355.14867093750001</v>
      </c>
      <c r="I41" s="21">
        <f t="shared" ca="1" si="7"/>
        <v>-359.22081371550001</v>
      </c>
      <c r="J41" s="21">
        <f t="shared" ca="1" si="7"/>
        <v>-364.36996693649996</v>
      </c>
      <c r="K41" s="21">
        <f t="shared" ca="1" si="7"/>
        <v>-389.70608677244996</v>
      </c>
      <c r="L41" s="21">
        <f t="shared" ca="1" si="7"/>
        <v>-396.34744164554996</v>
      </c>
      <c r="M41" s="21">
        <f t="shared" ca="1" si="7"/>
        <v>-403.30550413815001</v>
      </c>
      <c r="N41" s="21">
        <f t="shared" ca="1" si="7"/>
        <v>-410.20650671160001</v>
      </c>
      <c r="O41" s="21">
        <f t="shared" ca="1" si="7"/>
        <v>-417.52041151230009</v>
      </c>
      <c r="P41" s="21">
        <f t="shared" ca="1" si="7"/>
        <v>-428.62494675000005</v>
      </c>
      <c r="Q41" s="21">
        <f t="shared" ca="1" si="7"/>
        <v>-439.98436631100003</v>
      </c>
      <c r="R41" s="21">
        <f t="shared" ca="1" si="7"/>
        <v>-451.42067836799998</v>
      </c>
      <c r="S41" s="21">
        <f t="shared" ca="1" si="7"/>
        <v>-463.08778265310002</v>
      </c>
      <c r="T41" s="21">
        <f t="shared" ca="1" si="7"/>
        <v>-511.66288093349999</v>
      </c>
      <c r="U41" s="21">
        <f t="shared" ca="1" si="7"/>
        <v>-524.24583653955006</v>
      </c>
      <c r="V41" s="21">
        <f t="shared" ca="1" si="7"/>
        <v>-536.92616824379991</v>
      </c>
      <c r="W41" s="21">
        <f t="shared" ca="1" si="7"/>
        <v>-550.07214603750003</v>
      </c>
      <c r="X41" s="21">
        <f t="shared" ca="1" si="7"/>
        <v>-567.19859508945024</v>
      </c>
      <c r="Y41" s="21">
        <f t="shared" ca="1" si="7"/>
        <v>-584.57071017855014</v>
      </c>
      <c r="Z41" s="21">
        <f t="shared" ca="1" si="7"/>
        <v>-602.52422665755012</v>
      </c>
      <c r="AA41" s="21">
        <f t="shared" ca="1" si="7"/>
        <v>-624.07445947874999</v>
      </c>
      <c r="AB41" s="21">
        <f t="shared" ca="1" si="7"/>
        <v>-645.94271277899998</v>
      </c>
      <c r="AC41" s="21">
        <f t="shared" ca="1" si="7"/>
        <v>-735.66225731880013</v>
      </c>
      <c r="AD41" s="21">
        <f t="shared" ca="1" si="7"/>
        <v>-758.69445331680004</v>
      </c>
      <c r="AE41" s="21">
        <f t="shared" ca="1" si="7"/>
        <v>-782.30116131</v>
      </c>
      <c r="AF41" s="21">
        <f t="shared" ca="1" si="7"/>
        <v>-806.01122352690004</v>
      </c>
      <c r="AG41" s="21">
        <f t="shared" ca="1" si="7"/>
        <v>-782.30116131</v>
      </c>
      <c r="AH41" s="21">
        <f t="shared" ca="1" si="7"/>
        <v>-806.01122352690004</v>
      </c>
      <c r="AI41" s="21">
        <f t="shared" ca="1" si="7"/>
        <v>-830.07810749999999</v>
      </c>
      <c r="AJ41" s="21">
        <f t="shared" ca="1" si="7"/>
        <v>0</v>
      </c>
      <c r="AK41" s="21">
        <f t="shared" ca="1" si="7"/>
        <v>0</v>
      </c>
      <c r="AL41" s="21">
        <f t="shared" ca="1" si="7"/>
        <v>0</v>
      </c>
    </row>
    <row r="42" spans="1:54" ht="21" customHeight="1" outlineLevel="1" x14ac:dyDescent="0.35">
      <c r="G42" s="81"/>
      <c r="H42" s="81"/>
      <c r="I42" s="81"/>
      <c r="J42" s="81"/>
      <c r="K42" s="81"/>
      <c r="L42" s="81"/>
      <c r="M42" s="81"/>
      <c r="N42" s="81"/>
      <c r="O42" s="81"/>
      <c r="P42" s="81"/>
      <c r="Q42" s="81"/>
      <c r="R42" s="81"/>
      <c r="S42" s="81"/>
      <c r="T42" s="81"/>
      <c r="U42" s="81"/>
      <c r="V42" s="81"/>
      <c r="W42" s="81"/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1:54" ht="21" customHeight="1" outlineLevel="1" thickBot="1" x14ac:dyDescent="0.4">
      <c r="A43" s="15" t="s">
        <v>10</v>
      </c>
      <c r="B43" s="15"/>
      <c r="C43" s="15"/>
      <c r="D43" s="69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70"/>
      <c r="AG43" s="70"/>
      <c r="AH43" s="70"/>
      <c r="AI43" s="70"/>
      <c r="AJ43" s="70"/>
      <c r="AK43" s="70"/>
      <c r="AL43" s="70"/>
    </row>
    <row r="44" spans="1:54" ht="21" customHeight="1" outlineLevel="1" thickTop="1" thickBot="1" x14ac:dyDescent="0.4">
      <c r="A44" s="22" t="s">
        <v>1</v>
      </c>
      <c r="B44" s="22" t="s">
        <v>3</v>
      </c>
      <c r="C44" s="22" t="s">
        <v>4</v>
      </c>
      <c r="D44" s="22" t="s">
        <v>2</v>
      </c>
      <c r="G44" s="81"/>
      <c r="H44" s="81"/>
      <c r="I44" s="81"/>
      <c r="J44" s="81"/>
      <c r="K44" s="81"/>
      <c r="L44" s="81"/>
      <c r="M44" s="81"/>
      <c r="N44" s="81"/>
      <c r="O44" s="81"/>
      <c r="P44" s="81"/>
      <c r="Q44" s="81"/>
      <c r="R44" s="81"/>
      <c r="S44" s="81"/>
      <c r="T44" s="81"/>
      <c r="U44" s="81"/>
      <c r="V44" s="81"/>
      <c r="W44" s="81"/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1:54" ht="21" customHeight="1" outlineLevel="1" thickTop="1" x14ac:dyDescent="0.35">
      <c r="A45" s="23">
        <f t="array" ref="A45:D45">Values!D3:G3</f>
        <v>25</v>
      </c>
      <c r="B45" s="23">
        <v>20</v>
      </c>
      <c r="C45" s="23">
        <v>20</v>
      </c>
      <c r="D45" s="23">
        <v>60</v>
      </c>
      <c r="G45" s="81"/>
      <c r="H45" s="81"/>
      <c r="I45" s="81"/>
      <c r="J45" s="81"/>
      <c r="K45" s="81"/>
      <c r="L45" s="81"/>
      <c r="M45" s="81"/>
      <c r="N45" s="81"/>
      <c r="O45" s="81"/>
      <c r="P45" s="81"/>
      <c r="Q45" s="81"/>
      <c r="R45" s="81"/>
      <c r="S45" s="81"/>
      <c r="T45" s="81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1:54" ht="21" customHeight="1" outlineLevel="1" x14ac:dyDescent="0.35">
      <c r="G46" s="81"/>
      <c r="H46" s="81"/>
      <c r="I46" s="81"/>
      <c r="J46" s="81"/>
      <c r="K46" s="81"/>
      <c r="L46" s="81"/>
      <c r="M46" s="81"/>
      <c r="N46" s="81"/>
      <c r="O46" s="81"/>
      <c r="P46" s="81"/>
      <c r="Q46" s="81"/>
      <c r="R46" s="81"/>
      <c r="S46" s="81"/>
      <c r="T46" s="81"/>
      <c r="U46" s="81"/>
      <c r="V46" s="81"/>
      <c r="W46" s="81"/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1:54" ht="21" customHeight="1" x14ac:dyDescent="0.35">
      <c r="G47" s="81"/>
      <c r="H47" s="81"/>
      <c r="I47" s="81"/>
      <c r="J47" s="81"/>
      <c r="K47" s="81"/>
      <c r="L47" s="81"/>
      <c r="M47" s="81"/>
      <c r="N47" s="81"/>
      <c r="O47" s="81"/>
      <c r="P47" s="81"/>
      <c r="Q47" s="81"/>
      <c r="R47" s="81"/>
      <c r="S47" s="81"/>
      <c r="T47" s="81"/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1:54" ht="21" customHeight="1" x14ac:dyDescent="0.4">
      <c r="A48" s="3"/>
      <c r="B48" s="3"/>
      <c r="C48" s="3"/>
      <c r="D48" s="3"/>
      <c r="E48" s="4" t="s">
        <v>29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</row>
    <row r="49" spans="1:38" ht="21" hidden="1" customHeight="1" outlineLevel="1" thickTop="1" thickBot="1" x14ac:dyDescent="0.4">
      <c r="A49" s="24" t="s">
        <v>1</v>
      </c>
      <c r="B49" s="24" t="s">
        <v>2</v>
      </c>
      <c r="C49" s="24" t="s">
        <v>3</v>
      </c>
      <c r="D49" s="25" t="s">
        <v>4</v>
      </c>
      <c r="E49" s="8" t="str">
        <f t="shared" ref="E49:F49" si="8">E3</f>
        <v xml:space="preserve">Temperature,К </v>
      </c>
      <c r="F49" s="8">
        <f t="shared" si="8"/>
        <v>273.10000000000002</v>
      </c>
      <c r="G49" s="8">
        <f t="shared" ref="G49:AL49" si="9">G3</f>
        <v>293.3</v>
      </c>
      <c r="H49" s="8">
        <f t="shared" si="9"/>
        <v>313.5</v>
      </c>
      <c r="I49" s="8">
        <f t="shared" si="9"/>
        <v>333.7</v>
      </c>
      <c r="J49" s="8">
        <f t="shared" si="9"/>
        <v>353.9</v>
      </c>
      <c r="K49" s="8">
        <f t="shared" si="9"/>
        <v>434.7</v>
      </c>
      <c r="L49" s="8">
        <f t="shared" si="9"/>
        <v>454.9</v>
      </c>
      <c r="M49" s="8">
        <f t="shared" si="9"/>
        <v>475.1</v>
      </c>
      <c r="N49" s="8">
        <f t="shared" si="9"/>
        <v>495.2</v>
      </c>
      <c r="O49" s="8">
        <f t="shared" si="9"/>
        <v>515.4</v>
      </c>
      <c r="P49" s="8">
        <f t="shared" si="9"/>
        <v>535.6</v>
      </c>
      <c r="Q49" s="8">
        <f t="shared" si="9"/>
        <v>555.79999999999995</v>
      </c>
      <c r="R49" s="8">
        <f t="shared" si="9"/>
        <v>576</v>
      </c>
      <c r="S49" s="8">
        <f t="shared" si="9"/>
        <v>596.20000000000005</v>
      </c>
      <c r="T49" s="8">
        <f t="shared" si="9"/>
        <v>677</v>
      </c>
      <c r="U49" s="8">
        <f t="shared" si="9"/>
        <v>697.1</v>
      </c>
      <c r="V49" s="8">
        <f t="shared" si="9"/>
        <v>717.3</v>
      </c>
      <c r="W49" s="8">
        <f t="shared" si="9"/>
        <v>737.5</v>
      </c>
      <c r="X49" s="8">
        <f t="shared" si="9"/>
        <v>757.7</v>
      </c>
      <c r="Y49" s="8">
        <f t="shared" si="9"/>
        <v>777.9</v>
      </c>
      <c r="Z49" s="8">
        <f t="shared" si="9"/>
        <v>798.1</v>
      </c>
      <c r="AA49" s="8">
        <f t="shared" si="9"/>
        <v>818.3</v>
      </c>
      <c r="AB49" s="8">
        <f t="shared" si="9"/>
        <v>838.5</v>
      </c>
      <c r="AC49" s="8">
        <f t="shared" si="9"/>
        <v>919.2</v>
      </c>
      <c r="AD49" s="8">
        <f t="shared" si="9"/>
        <v>939.4</v>
      </c>
      <c r="AE49" s="8">
        <f t="shared" si="9"/>
        <v>959.6</v>
      </c>
      <c r="AF49" s="8">
        <f t="shared" si="9"/>
        <v>979.8</v>
      </c>
      <c r="AG49" s="8">
        <f t="shared" si="9"/>
        <v>959.6</v>
      </c>
      <c r="AH49" s="8">
        <f t="shared" si="9"/>
        <v>979.8</v>
      </c>
      <c r="AI49" s="8">
        <f t="shared" si="9"/>
        <v>1000</v>
      </c>
      <c r="AJ49" s="8">
        <f t="shared" si="9"/>
        <v>0</v>
      </c>
      <c r="AK49" s="8">
        <f t="shared" si="9"/>
        <v>0</v>
      </c>
      <c r="AL49" s="8">
        <f t="shared" si="9"/>
        <v>0</v>
      </c>
    </row>
    <row r="50" spans="1:38" ht="21" hidden="1" customHeight="1" outlineLevel="1" thickTop="1" thickBot="1" x14ac:dyDescent="0.4">
      <c r="A50" s="10">
        <f t="shared" ref="A50:E65" si="10">A4</f>
        <v>0</v>
      </c>
      <c r="B50" s="10">
        <f t="shared" si="10"/>
        <v>0</v>
      </c>
      <c r="C50" s="10">
        <f t="shared" si="10"/>
        <v>1</v>
      </c>
      <c r="D50" s="10">
        <f t="shared" si="10"/>
        <v>0</v>
      </c>
      <c r="E50" s="11" t="str">
        <f t="shared" si="10"/>
        <v>*Ge</v>
      </c>
      <c r="F50" s="26">
        <f t="shared" ref="F50:U59" ca="1" si="11">$A50*H.Ar + $B50*H.Se + $C50*H.Ge + $D50*H.Ga</f>
        <v>-16.29</v>
      </c>
      <c r="G50" s="26">
        <f t="shared" ca="1" si="11"/>
        <v>-15.52</v>
      </c>
      <c r="H50" s="26">
        <f t="shared" ca="1" si="11"/>
        <v>-14.86</v>
      </c>
      <c r="I50" s="26">
        <f t="shared" ca="1" si="11"/>
        <v>-14.3</v>
      </c>
      <c r="J50" s="26">
        <f t="shared" ca="1" si="11"/>
        <v>-13.17</v>
      </c>
      <c r="K50" s="26">
        <f t="shared" ca="1" si="11"/>
        <v>-7.9130000000000003</v>
      </c>
      <c r="L50" s="26">
        <f t="shared" ca="1" si="11"/>
        <v>-6.851</v>
      </c>
      <c r="M50" s="26">
        <f t="shared" ca="1" si="11"/>
        <v>-5.867</v>
      </c>
      <c r="N50" s="26">
        <f t="shared" ca="1" si="11"/>
        <v>-4.9489999999999998</v>
      </c>
      <c r="O50" s="26">
        <f t="shared" ca="1" si="11"/>
        <v>-4.101</v>
      </c>
      <c r="P50" s="26">
        <f t="shared" ca="1" si="11"/>
        <v>-4.1500000000000004</v>
      </c>
      <c r="Q50" s="26">
        <f t="shared" ca="1" si="11"/>
        <v>-4.2</v>
      </c>
      <c r="R50" s="26">
        <f t="shared" ca="1" si="11"/>
        <v>-4.2489999999999997</v>
      </c>
      <c r="S50" s="26">
        <f t="shared" ca="1" si="11"/>
        <v>-4.2990000000000004</v>
      </c>
      <c r="T50" s="26">
        <f t="shared" ca="1" si="11"/>
        <v>-4.4989999999999997</v>
      </c>
      <c r="U50" s="26">
        <f t="shared" ca="1" si="11"/>
        <v>-4.5490000000000004</v>
      </c>
      <c r="V50" s="26">
        <f t="shared" ref="G50:AL58" ca="1" si="12">$A50*H.Ar + $B50*H.Se + $C50*H.Ge + $D50*H.Ga</f>
        <v>-4.5979999999999999</v>
      </c>
      <c r="W50" s="26">
        <f t="shared" ca="1" si="12"/>
        <v>-4.6470000000000002</v>
      </c>
      <c r="X50" s="26">
        <f t="shared" ca="1" si="12"/>
        <v>-4.6959999999999997</v>
      </c>
      <c r="Y50" s="26">
        <f t="shared" ca="1" si="12"/>
        <v>-4.7439999999999998</v>
      </c>
      <c r="Z50" s="26">
        <f t="shared" ca="1" si="12"/>
        <v>-4.7919999999999998</v>
      </c>
      <c r="AA50" s="26">
        <f t="shared" ca="1" si="12"/>
        <v>-4.84</v>
      </c>
      <c r="AB50" s="26">
        <f t="shared" ca="1" si="12"/>
        <v>-4.8869999999999996</v>
      </c>
      <c r="AC50" s="26">
        <f t="shared" ca="1" si="12"/>
        <v>-5.0709999999999997</v>
      </c>
      <c r="AD50" s="26">
        <f t="shared" ca="1" si="12"/>
        <v>-5.1159999999999997</v>
      </c>
      <c r="AE50" s="26">
        <f t="shared" ca="1" si="12"/>
        <v>-5.1609999999999996</v>
      </c>
      <c r="AF50" s="26">
        <f t="shared" ca="1" si="12"/>
        <v>-5.2060000000000004</v>
      </c>
      <c r="AG50" s="26">
        <f t="shared" ca="1" si="12"/>
        <v>-5.1609999999999996</v>
      </c>
      <c r="AH50" s="26">
        <f t="shared" ca="1" si="12"/>
        <v>-5.2060000000000004</v>
      </c>
      <c r="AI50" s="26">
        <f t="shared" ca="1" si="12"/>
        <v>-5.25</v>
      </c>
      <c r="AJ50" s="26">
        <f t="shared" ca="1" si="12"/>
        <v>0</v>
      </c>
      <c r="AK50" s="26">
        <f t="shared" ca="1" si="12"/>
        <v>0</v>
      </c>
      <c r="AL50" s="26">
        <f t="shared" ca="1" si="12"/>
        <v>0</v>
      </c>
    </row>
    <row r="51" spans="1:38" ht="21" hidden="1" customHeight="1" outlineLevel="1" thickBot="1" x14ac:dyDescent="0.4">
      <c r="A51" s="10">
        <f t="shared" si="10"/>
        <v>0</v>
      </c>
      <c r="B51" s="10">
        <f t="shared" si="10"/>
        <v>1</v>
      </c>
      <c r="C51" s="10">
        <f t="shared" si="10"/>
        <v>1</v>
      </c>
      <c r="D51" s="10">
        <f t="shared" si="10"/>
        <v>0</v>
      </c>
      <c r="E51" s="11" t="str">
        <f t="shared" si="10"/>
        <v>*GeSe</v>
      </c>
      <c r="F51" s="26">
        <f t="shared" ca="1" si="11"/>
        <v>-39.81</v>
      </c>
      <c r="G51" s="26">
        <f t="shared" ca="1" si="12"/>
        <v>-37.700000000000003</v>
      </c>
      <c r="H51" s="26">
        <f t="shared" ca="1" si="12"/>
        <v>-35.879999999999995</v>
      </c>
      <c r="I51" s="26">
        <f t="shared" ca="1" si="12"/>
        <v>-34.31</v>
      </c>
      <c r="J51" s="26">
        <f t="shared" ca="1" si="12"/>
        <v>-32.94</v>
      </c>
      <c r="K51" s="26">
        <f t="shared" ca="1" si="12"/>
        <v>-28.882999999999999</v>
      </c>
      <c r="L51" s="26">
        <f t="shared" ca="1" si="12"/>
        <v>-28.120999999999999</v>
      </c>
      <c r="M51" s="26">
        <f t="shared" ca="1" si="12"/>
        <v>-27.446999999999999</v>
      </c>
      <c r="N51" s="26">
        <f t="shared" ca="1" si="12"/>
        <v>-26.829000000000001</v>
      </c>
      <c r="O51" s="26">
        <f t="shared" ca="1" si="12"/>
        <v>-26.291</v>
      </c>
      <c r="P51" s="26">
        <f t="shared" ca="1" si="12"/>
        <v>-26.64</v>
      </c>
      <c r="Q51" s="26">
        <f t="shared" ca="1" si="12"/>
        <v>-26.99</v>
      </c>
      <c r="R51" s="26">
        <f t="shared" ca="1" si="12"/>
        <v>-27.328999999999997</v>
      </c>
      <c r="S51" s="26">
        <f t="shared" ca="1" si="12"/>
        <v>-27.669</v>
      </c>
      <c r="T51" s="26">
        <f t="shared" ca="1" si="12"/>
        <v>-29.009</v>
      </c>
      <c r="U51" s="26">
        <f t="shared" ca="1" si="12"/>
        <v>-29.338999999999999</v>
      </c>
      <c r="V51" s="26">
        <f t="shared" ca="1" si="12"/>
        <v>-29.657999999999998</v>
      </c>
      <c r="W51" s="26">
        <f t="shared" ca="1" si="12"/>
        <v>-29.976999999999997</v>
      </c>
      <c r="X51" s="26">
        <f t="shared" ca="1" si="12"/>
        <v>-30.295999999999999</v>
      </c>
      <c r="Y51" s="26">
        <f t="shared" ca="1" si="12"/>
        <v>-30.614000000000001</v>
      </c>
      <c r="Z51" s="26">
        <f t="shared" ca="1" si="12"/>
        <v>-30.921999999999997</v>
      </c>
      <c r="AA51" s="26">
        <f t="shared" ca="1" si="12"/>
        <v>-31.23</v>
      </c>
      <c r="AB51" s="26">
        <f t="shared" ca="1" si="12"/>
        <v>-31.536999999999999</v>
      </c>
      <c r="AC51" s="26">
        <f t="shared" ca="1" si="12"/>
        <v>-32.720999999999997</v>
      </c>
      <c r="AD51" s="26">
        <f t="shared" ca="1" si="12"/>
        <v>-33.006</v>
      </c>
      <c r="AE51" s="26">
        <f t="shared" ca="1" si="12"/>
        <v>-33.301000000000002</v>
      </c>
      <c r="AF51" s="26">
        <f t="shared" ca="1" si="12"/>
        <v>-33.585999999999999</v>
      </c>
      <c r="AG51" s="26">
        <f t="shared" ca="1" si="12"/>
        <v>-33.301000000000002</v>
      </c>
      <c r="AH51" s="26">
        <f t="shared" ca="1" si="12"/>
        <v>-33.585999999999999</v>
      </c>
      <c r="AI51" s="26">
        <f t="shared" ca="1" si="12"/>
        <v>-33.870000000000005</v>
      </c>
      <c r="AJ51" s="26">
        <f t="shared" ca="1" si="12"/>
        <v>0</v>
      </c>
      <c r="AK51" s="26">
        <f t="shared" ca="1" si="12"/>
        <v>0</v>
      </c>
      <c r="AL51" s="26">
        <f t="shared" ca="1" si="12"/>
        <v>0</v>
      </c>
    </row>
    <row r="52" spans="1:38" ht="21" hidden="1" customHeight="1" outlineLevel="1" thickBot="1" x14ac:dyDescent="0.4">
      <c r="A52" s="10">
        <f t="shared" si="10"/>
        <v>0</v>
      </c>
      <c r="B52" s="10">
        <f t="shared" si="10"/>
        <v>0</v>
      </c>
      <c r="C52" s="10">
        <f t="shared" si="10"/>
        <v>0</v>
      </c>
      <c r="D52" s="10">
        <f t="shared" si="10"/>
        <v>1</v>
      </c>
      <c r="E52" s="11" t="str">
        <f t="shared" si="10"/>
        <v>*Ga[l]</v>
      </c>
      <c r="F52" s="26">
        <f t="shared" ca="1" si="11"/>
        <v>-66.19</v>
      </c>
      <c r="G52" s="26">
        <f t="shared" ca="1" si="12"/>
        <v>-61.98</v>
      </c>
      <c r="H52" s="26">
        <f t="shared" ca="1" si="12"/>
        <v>-58.33</v>
      </c>
      <c r="I52" s="26">
        <f t="shared" ca="1" si="12"/>
        <v>-55.14</v>
      </c>
      <c r="J52" s="26">
        <f t="shared" ca="1" si="12"/>
        <v>-51.35</v>
      </c>
      <c r="K52" s="26">
        <f t="shared" ca="1" si="12"/>
        <v>-37</v>
      </c>
      <c r="L52" s="26">
        <f t="shared" ca="1" si="12"/>
        <v>-34.130000000000003</v>
      </c>
      <c r="M52" s="26">
        <f t="shared" ca="1" si="12"/>
        <v>-31.49</v>
      </c>
      <c r="N52" s="26">
        <f t="shared" ca="1" si="12"/>
        <v>-29.04</v>
      </c>
      <c r="O52" s="26">
        <f t="shared" ca="1" si="12"/>
        <v>-26.76</v>
      </c>
      <c r="P52" s="26">
        <f t="shared" ca="1" si="12"/>
        <v>-24.63</v>
      </c>
      <c r="Q52" s="26">
        <f t="shared" ca="1" si="12"/>
        <v>-22.64</v>
      </c>
      <c r="R52" s="26">
        <f t="shared" ca="1" si="12"/>
        <v>-20.77</v>
      </c>
      <c r="S52" s="26">
        <f t="shared" ca="1" si="12"/>
        <v>-19.010000000000002</v>
      </c>
      <c r="T52" s="26">
        <f t="shared" ca="1" si="12"/>
        <v>-12.87</v>
      </c>
      <c r="U52" s="26">
        <f t="shared" ca="1" si="12"/>
        <v>-11.53</v>
      </c>
      <c r="V52" s="26">
        <f t="shared" ca="1" si="12"/>
        <v>-10.25</v>
      </c>
      <c r="W52" s="26">
        <f t="shared" ca="1" si="12"/>
        <v>-9.0690000000000008</v>
      </c>
      <c r="X52" s="26">
        <f t="shared" ca="1" si="12"/>
        <v>-8.5370000000000008</v>
      </c>
      <c r="Y52" s="26">
        <f t="shared" ca="1" si="12"/>
        <v>-8.0269999999999992</v>
      </c>
      <c r="Z52" s="26">
        <f t="shared" ca="1" si="12"/>
        <v>-7.617</v>
      </c>
      <c r="AA52" s="26">
        <f t="shared" ca="1" si="12"/>
        <v>-7.7149999999999999</v>
      </c>
      <c r="AB52" s="26">
        <f t="shared" ca="1" si="12"/>
        <v>-7.8150000000000004</v>
      </c>
      <c r="AC52" s="26">
        <f t="shared" ca="1" si="12"/>
        <v>-8.2360000000000007</v>
      </c>
      <c r="AD52" s="26">
        <f t="shared" ca="1" si="12"/>
        <v>-8.35</v>
      </c>
      <c r="AE52" s="26">
        <f t="shared" ca="1" si="12"/>
        <v>-8.4689999999999994</v>
      </c>
      <c r="AF52" s="26">
        <f t="shared" ca="1" si="12"/>
        <v>-8.593</v>
      </c>
      <c r="AG52" s="26">
        <f t="shared" ca="1" si="12"/>
        <v>-8.4689999999999994</v>
      </c>
      <c r="AH52" s="26">
        <f t="shared" ca="1" si="12"/>
        <v>-8.593</v>
      </c>
      <c r="AI52" s="26">
        <f t="shared" ca="1" si="12"/>
        <v>-8.7249999999999996</v>
      </c>
      <c r="AJ52" s="26">
        <f t="shared" ca="1" si="12"/>
        <v>0</v>
      </c>
      <c r="AK52" s="26">
        <f t="shared" ca="1" si="12"/>
        <v>0</v>
      </c>
      <c r="AL52" s="26">
        <f t="shared" ca="1" si="12"/>
        <v>0</v>
      </c>
    </row>
    <row r="53" spans="1:38" ht="21" hidden="1" customHeight="1" outlineLevel="1" thickBot="1" x14ac:dyDescent="0.4">
      <c r="A53" s="10">
        <f t="shared" si="10"/>
        <v>0</v>
      </c>
      <c r="B53" s="10">
        <f t="shared" si="10"/>
        <v>1</v>
      </c>
      <c r="C53" s="10">
        <f t="shared" si="10"/>
        <v>0</v>
      </c>
      <c r="D53" s="10">
        <f t="shared" si="10"/>
        <v>2</v>
      </c>
      <c r="E53" s="11" t="str">
        <f t="shared" si="10"/>
        <v>*Ga2Se</v>
      </c>
      <c r="F53" s="26">
        <f t="shared" ca="1" si="11"/>
        <v>-155.9</v>
      </c>
      <c r="G53" s="26">
        <f t="shared" ca="1" si="12"/>
        <v>-146.13999999999999</v>
      </c>
      <c r="H53" s="26">
        <f t="shared" ca="1" si="12"/>
        <v>-137.68</v>
      </c>
      <c r="I53" s="26">
        <f t="shared" ca="1" si="12"/>
        <v>-130.29</v>
      </c>
      <c r="J53" s="26">
        <f t="shared" ca="1" si="12"/>
        <v>-122.47</v>
      </c>
      <c r="K53" s="26">
        <f t="shared" ca="1" si="12"/>
        <v>-94.97</v>
      </c>
      <c r="L53" s="26">
        <f t="shared" ca="1" si="12"/>
        <v>-89.53</v>
      </c>
      <c r="M53" s="26">
        <f t="shared" ca="1" si="12"/>
        <v>-84.56</v>
      </c>
      <c r="N53" s="26">
        <f t="shared" ca="1" si="12"/>
        <v>-79.959999999999994</v>
      </c>
      <c r="O53" s="26">
        <f t="shared" ca="1" si="12"/>
        <v>-75.710000000000008</v>
      </c>
      <c r="P53" s="26">
        <f t="shared" ca="1" si="12"/>
        <v>-71.75</v>
      </c>
      <c r="Q53" s="26">
        <f t="shared" ca="1" si="12"/>
        <v>-68.069999999999993</v>
      </c>
      <c r="R53" s="26">
        <f t="shared" ca="1" si="12"/>
        <v>-64.62</v>
      </c>
      <c r="S53" s="26">
        <f t="shared" ca="1" si="12"/>
        <v>-61.39</v>
      </c>
      <c r="T53" s="26">
        <f t="shared" ca="1" si="12"/>
        <v>-50.25</v>
      </c>
      <c r="U53" s="26">
        <f t="shared" ca="1" si="12"/>
        <v>-47.849999999999994</v>
      </c>
      <c r="V53" s="26">
        <f t="shared" ca="1" si="12"/>
        <v>-45.56</v>
      </c>
      <c r="W53" s="26">
        <f t="shared" ca="1" si="12"/>
        <v>-43.468000000000004</v>
      </c>
      <c r="X53" s="26">
        <f t="shared" ca="1" si="12"/>
        <v>-42.674000000000007</v>
      </c>
      <c r="Y53" s="26">
        <f t="shared" ca="1" si="12"/>
        <v>-41.923999999999999</v>
      </c>
      <c r="Z53" s="26">
        <f t="shared" ca="1" si="12"/>
        <v>-41.363999999999997</v>
      </c>
      <c r="AA53" s="26">
        <f t="shared" ca="1" si="12"/>
        <v>-41.82</v>
      </c>
      <c r="AB53" s="26">
        <f t="shared" ca="1" si="12"/>
        <v>-42.28</v>
      </c>
      <c r="AC53" s="26">
        <f t="shared" ca="1" si="12"/>
        <v>-44.122</v>
      </c>
      <c r="AD53" s="26">
        <f t="shared" ca="1" si="12"/>
        <v>-44.59</v>
      </c>
      <c r="AE53" s="26">
        <f t="shared" ca="1" si="12"/>
        <v>-45.078000000000003</v>
      </c>
      <c r="AF53" s="26">
        <f t="shared" ca="1" si="12"/>
        <v>-45.566000000000003</v>
      </c>
      <c r="AG53" s="26">
        <f t="shared" ca="1" si="12"/>
        <v>-45.078000000000003</v>
      </c>
      <c r="AH53" s="26">
        <f t="shared" ca="1" si="12"/>
        <v>-45.566000000000003</v>
      </c>
      <c r="AI53" s="26">
        <f t="shared" ca="1" si="12"/>
        <v>-46.07</v>
      </c>
      <c r="AJ53" s="26">
        <f t="shared" ca="1" si="12"/>
        <v>0</v>
      </c>
      <c r="AK53" s="26">
        <f t="shared" ca="1" si="12"/>
        <v>0</v>
      </c>
      <c r="AL53" s="26">
        <f t="shared" ca="1" si="12"/>
        <v>0</v>
      </c>
    </row>
    <row r="54" spans="1:38" ht="21" hidden="1" customHeight="1" outlineLevel="1" thickBot="1" x14ac:dyDescent="0.4">
      <c r="A54" s="10">
        <f t="shared" si="10"/>
        <v>0</v>
      </c>
      <c r="B54" s="10">
        <f t="shared" si="10"/>
        <v>0</v>
      </c>
      <c r="C54" s="10">
        <f t="shared" si="10"/>
        <v>1</v>
      </c>
      <c r="D54" s="10">
        <f t="shared" si="10"/>
        <v>0</v>
      </c>
      <c r="E54" s="11" t="str">
        <f t="shared" si="10"/>
        <v>*Ge[c]</v>
      </c>
      <c r="F54" s="26">
        <f t="shared" ca="1" si="11"/>
        <v>-16.29</v>
      </c>
      <c r="G54" s="26">
        <f t="shared" ca="1" si="12"/>
        <v>-15.52</v>
      </c>
      <c r="H54" s="26">
        <f t="shared" ca="1" si="12"/>
        <v>-14.86</v>
      </c>
      <c r="I54" s="26">
        <f t="shared" ca="1" si="12"/>
        <v>-14.3</v>
      </c>
      <c r="J54" s="26">
        <f t="shared" ca="1" si="12"/>
        <v>-13.17</v>
      </c>
      <c r="K54" s="26">
        <f t="shared" ca="1" si="12"/>
        <v>-7.9130000000000003</v>
      </c>
      <c r="L54" s="26">
        <f t="shared" ca="1" si="12"/>
        <v>-6.851</v>
      </c>
      <c r="M54" s="26">
        <f t="shared" ca="1" si="12"/>
        <v>-5.867</v>
      </c>
      <c r="N54" s="26">
        <f t="shared" ca="1" si="12"/>
        <v>-4.9489999999999998</v>
      </c>
      <c r="O54" s="26">
        <f t="shared" ca="1" si="12"/>
        <v>-4.101</v>
      </c>
      <c r="P54" s="26">
        <f t="shared" ca="1" si="12"/>
        <v>-4.1500000000000004</v>
      </c>
      <c r="Q54" s="26">
        <f t="shared" ca="1" si="12"/>
        <v>-4.2</v>
      </c>
      <c r="R54" s="26">
        <f t="shared" ca="1" si="12"/>
        <v>-4.2489999999999997</v>
      </c>
      <c r="S54" s="26">
        <f t="shared" ca="1" si="12"/>
        <v>-4.2990000000000004</v>
      </c>
      <c r="T54" s="26">
        <f t="shared" ca="1" si="12"/>
        <v>-4.4989999999999997</v>
      </c>
      <c r="U54" s="26">
        <f t="shared" ca="1" si="12"/>
        <v>-4.5490000000000004</v>
      </c>
      <c r="V54" s="26">
        <f t="shared" ca="1" si="12"/>
        <v>-4.5979999999999999</v>
      </c>
      <c r="W54" s="26">
        <f t="shared" ca="1" si="12"/>
        <v>-4.6470000000000002</v>
      </c>
      <c r="X54" s="26">
        <f t="shared" ca="1" si="12"/>
        <v>-4.6959999999999997</v>
      </c>
      <c r="Y54" s="26">
        <f t="shared" ca="1" si="12"/>
        <v>-4.7439999999999998</v>
      </c>
      <c r="Z54" s="26">
        <f t="shared" ca="1" si="12"/>
        <v>-4.7919999999999998</v>
      </c>
      <c r="AA54" s="26">
        <f t="shared" ca="1" si="12"/>
        <v>-4.84</v>
      </c>
      <c r="AB54" s="26">
        <f t="shared" ca="1" si="12"/>
        <v>-4.8869999999999996</v>
      </c>
      <c r="AC54" s="26">
        <f t="shared" ca="1" si="12"/>
        <v>-5.0709999999999997</v>
      </c>
      <c r="AD54" s="26">
        <f t="shared" ca="1" si="12"/>
        <v>-5.1159999999999997</v>
      </c>
      <c r="AE54" s="26">
        <f t="shared" ca="1" si="12"/>
        <v>-5.1609999999999996</v>
      </c>
      <c r="AF54" s="26">
        <f t="shared" ca="1" si="12"/>
        <v>-5.2060000000000004</v>
      </c>
      <c r="AG54" s="26">
        <f t="shared" ca="1" si="12"/>
        <v>-5.1609999999999996</v>
      </c>
      <c r="AH54" s="26">
        <f t="shared" ca="1" si="12"/>
        <v>-5.2060000000000004</v>
      </c>
      <c r="AI54" s="26">
        <f t="shared" ca="1" si="12"/>
        <v>-5.25</v>
      </c>
      <c r="AJ54" s="26">
        <f t="shared" ca="1" si="12"/>
        <v>0</v>
      </c>
      <c r="AK54" s="26">
        <f t="shared" ca="1" si="12"/>
        <v>0</v>
      </c>
      <c r="AL54" s="26">
        <f t="shared" ca="1" si="12"/>
        <v>0</v>
      </c>
    </row>
    <row r="55" spans="1:38" ht="21" hidden="1" customHeight="1" outlineLevel="1" thickBot="1" x14ac:dyDescent="0.4">
      <c r="A55" s="10">
        <f t="shared" si="10"/>
        <v>0</v>
      </c>
      <c r="B55" s="10">
        <f t="shared" si="10"/>
        <v>1</v>
      </c>
      <c r="C55" s="10">
        <f t="shared" si="10"/>
        <v>0</v>
      </c>
      <c r="D55" s="10">
        <f t="shared" si="10"/>
        <v>0</v>
      </c>
      <c r="E55" s="11" t="str">
        <f t="shared" si="10"/>
        <v>*Se[m]</v>
      </c>
      <c r="F55" s="26">
        <f t="shared" ca="1" si="11"/>
        <v>-23.52</v>
      </c>
      <c r="G55" s="26">
        <f t="shared" ca="1" si="12"/>
        <v>-22.18</v>
      </c>
      <c r="H55" s="26">
        <f t="shared" ca="1" si="12"/>
        <v>-21.02</v>
      </c>
      <c r="I55" s="26">
        <f t="shared" ca="1" si="12"/>
        <v>-20.010000000000002</v>
      </c>
      <c r="J55" s="26">
        <f t="shared" ca="1" si="12"/>
        <v>-19.77</v>
      </c>
      <c r="K55" s="26">
        <f t="shared" ca="1" si="12"/>
        <v>-20.97</v>
      </c>
      <c r="L55" s="26">
        <f t="shared" ca="1" si="12"/>
        <v>-21.27</v>
      </c>
      <c r="M55" s="26">
        <f t="shared" ca="1" si="12"/>
        <v>-21.58</v>
      </c>
      <c r="N55" s="26">
        <f t="shared" ca="1" si="12"/>
        <v>-21.88</v>
      </c>
      <c r="O55" s="26">
        <f t="shared" ca="1" si="12"/>
        <v>-22.19</v>
      </c>
      <c r="P55" s="26">
        <f t="shared" ca="1" si="12"/>
        <v>-22.49</v>
      </c>
      <c r="Q55" s="26">
        <f t="shared" ca="1" si="12"/>
        <v>-22.79</v>
      </c>
      <c r="R55" s="26">
        <f t="shared" ca="1" si="12"/>
        <v>-23.08</v>
      </c>
      <c r="S55" s="26">
        <f t="shared" ca="1" si="12"/>
        <v>-23.37</v>
      </c>
      <c r="T55" s="26">
        <f t="shared" ca="1" si="12"/>
        <v>-24.51</v>
      </c>
      <c r="U55" s="26">
        <f t="shared" ca="1" si="12"/>
        <v>-24.79</v>
      </c>
      <c r="V55" s="26">
        <f t="shared" ca="1" si="12"/>
        <v>-25.06</v>
      </c>
      <c r="W55" s="26">
        <f t="shared" ca="1" si="12"/>
        <v>-25.33</v>
      </c>
      <c r="X55" s="26">
        <f t="shared" ca="1" si="12"/>
        <v>-25.6</v>
      </c>
      <c r="Y55" s="26">
        <f t="shared" ca="1" si="12"/>
        <v>-25.87</v>
      </c>
      <c r="Z55" s="26">
        <f t="shared" ca="1" si="12"/>
        <v>-26.13</v>
      </c>
      <c r="AA55" s="26">
        <f t="shared" ca="1" si="12"/>
        <v>-26.39</v>
      </c>
      <c r="AB55" s="26">
        <f t="shared" ca="1" si="12"/>
        <v>-26.65</v>
      </c>
      <c r="AC55" s="26">
        <f t="shared" ca="1" si="12"/>
        <v>-27.65</v>
      </c>
      <c r="AD55" s="26">
        <f t="shared" ca="1" si="12"/>
        <v>-27.89</v>
      </c>
      <c r="AE55" s="26">
        <f t="shared" ca="1" si="12"/>
        <v>-28.14</v>
      </c>
      <c r="AF55" s="26">
        <f t="shared" ca="1" si="12"/>
        <v>-28.38</v>
      </c>
      <c r="AG55" s="26">
        <f t="shared" ca="1" si="12"/>
        <v>-28.14</v>
      </c>
      <c r="AH55" s="26">
        <f t="shared" ca="1" si="12"/>
        <v>-28.38</v>
      </c>
      <c r="AI55" s="26">
        <f t="shared" ca="1" si="12"/>
        <v>-28.62</v>
      </c>
      <c r="AJ55" s="26">
        <f t="shared" ca="1" si="12"/>
        <v>0</v>
      </c>
      <c r="AK55" s="26">
        <f t="shared" ca="1" si="12"/>
        <v>0</v>
      </c>
      <c r="AL55" s="26">
        <f t="shared" ca="1" si="12"/>
        <v>0</v>
      </c>
    </row>
    <row r="56" spans="1:38" ht="21" hidden="1" customHeight="1" outlineLevel="1" thickBot="1" x14ac:dyDescent="0.4">
      <c r="A56" s="10">
        <f t="shared" si="10"/>
        <v>0</v>
      </c>
      <c r="B56" s="10">
        <f t="shared" si="10"/>
        <v>2</v>
      </c>
      <c r="C56" s="10">
        <f t="shared" si="10"/>
        <v>1</v>
      </c>
      <c r="D56" s="10">
        <f t="shared" si="10"/>
        <v>0</v>
      </c>
      <c r="E56" s="11" t="str">
        <f t="shared" si="10"/>
        <v>*GeSe2</v>
      </c>
      <c r="F56" s="26">
        <f t="shared" ca="1" si="11"/>
        <v>-63.33</v>
      </c>
      <c r="G56" s="26">
        <f t="shared" ca="1" si="12"/>
        <v>-59.879999999999995</v>
      </c>
      <c r="H56" s="26">
        <f t="shared" ca="1" si="12"/>
        <v>-56.9</v>
      </c>
      <c r="I56" s="26">
        <f t="shared" ca="1" si="12"/>
        <v>-54.320000000000007</v>
      </c>
      <c r="J56" s="26">
        <f t="shared" ca="1" si="12"/>
        <v>-52.71</v>
      </c>
      <c r="K56" s="26">
        <f t="shared" ca="1" si="12"/>
        <v>-49.852999999999994</v>
      </c>
      <c r="L56" s="26">
        <f t="shared" ca="1" si="12"/>
        <v>-49.390999999999998</v>
      </c>
      <c r="M56" s="26">
        <f t="shared" ca="1" si="12"/>
        <v>-49.026999999999994</v>
      </c>
      <c r="N56" s="26">
        <f t="shared" ca="1" si="12"/>
        <v>-48.708999999999996</v>
      </c>
      <c r="O56" s="26">
        <f t="shared" ca="1" si="12"/>
        <v>-48.481000000000002</v>
      </c>
      <c r="P56" s="26">
        <f t="shared" ca="1" si="12"/>
        <v>-49.129999999999995</v>
      </c>
      <c r="Q56" s="26">
        <f t="shared" ca="1" si="12"/>
        <v>-49.78</v>
      </c>
      <c r="R56" s="26">
        <f t="shared" ca="1" si="12"/>
        <v>-50.408999999999999</v>
      </c>
      <c r="S56" s="26">
        <f t="shared" ca="1" si="12"/>
        <v>-51.039000000000001</v>
      </c>
      <c r="T56" s="26">
        <f t="shared" ca="1" si="12"/>
        <v>-53.519000000000005</v>
      </c>
      <c r="U56" s="26">
        <f t="shared" ca="1" si="12"/>
        <v>-54.128999999999998</v>
      </c>
      <c r="V56" s="26">
        <f t="shared" ca="1" si="12"/>
        <v>-54.717999999999996</v>
      </c>
      <c r="W56" s="26">
        <f t="shared" ca="1" si="12"/>
        <v>-55.306999999999995</v>
      </c>
      <c r="X56" s="26">
        <f t="shared" ca="1" si="12"/>
        <v>-55.896000000000001</v>
      </c>
      <c r="Y56" s="26">
        <f t="shared" ca="1" si="12"/>
        <v>-56.484000000000002</v>
      </c>
      <c r="Z56" s="26">
        <f t="shared" ca="1" si="12"/>
        <v>-57.052</v>
      </c>
      <c r="AA56" s="26">
        <f t="shared" ca="1" si="12"/>
        <v>-57.620000000000005</v>
      </c>
      <c r="AB56" s="26">
        <f t="shared" ca="1" si="12"/>
        <v>-58.186999999999998</v>
      </c>
      <c r="AC56" s="26">
        <f t="shared" ca="1" si="12"/>
        <v>-60.370999999999995</v>
      </c>
      <c r="AD56" s="26">
        <f t="shared" ca="1" si="12"/>
        <v>-60.896000000000001</v>
      </c>
      <c r="AE56" s="26">
        <f t="shared" ca="1" si="12"/>
        <v>-61.441000000000003</v>
      </c>
      <c r="AF56" s="26">
        <f t="shared" ca="1" si="12"/>
        <v>-61.966000000000001</v>
      </c>
      <c r="AG56" s="26">
        <f t="shared" ca="1" si="12"/>
        <v>-61.441000000000003</v>
      </c>
      <c r="AH56" s="26">
        <f t="shared" ca="1" si="12"/>
        <v>-61.966000000000001</v>
      </c>
      <c r="AI56" s="26">
        <f t="shared" ca="1" si="12"/>
        <v>-62.49</v>
      </c>
      <c r="AJ56" s="26">
        <f t="shared" ca="1" si="12"/>
        <v>0</v>
      </c>
      <c r="AK56" s="26">
        <f t="shared" ca="1" si="12"/>
        <v>0</v>
      </c>
      <c r="AL56" s="26">
        <f t="shared" ca="1" si="12"/>
        <v>0</v>
      </c>
    </row>
    <row r="57" spans="1:38" ht="21" hidden="1" customHeight="1" outlineLevel="1" thickBot="1" x14ac:dyDescent="0.4">
      <c r="A57" s="10">
        <f t="shared" si="10"/>
        <v>0</v>
      </c>
      <c r="B57" s="10">
        <f t="shared" si="10"/>
        <v>3</v>
      </c>
      <c r="C57" s="10">
        <f t="shared" si="10"/>
        <v>0</v>
      </c>
      <c r="D57" s="10">
        <f t="shared" si="10"/>
        <v>2</v>
      </c>
      <c r="E57" s="11" t="str">
        <f t="shared" si="10"/>
        <v>Ga2Se3</v>
      </c>
      <c r="F57" s="26">
        <f t="shared" ca="1" si="11"/>
        <v>-202.94</v>
      </c>
      <c r="G57" s="26">
        <f t="shared" ca="1" si="12"/>
        <v>-190.5</v>
      </c>
      <c r="H57" s="26">
        <f t="shared" ca="1" si="12"/>
        <v>-179.72</v>
      </c>
      <c r="I57" s="26">
        <f t="shared" ca="1" si="12"/>
        <v>-170.31</v>
      </c>
      <c r="J57" s="26">
        <f t="shared" ca="1" si="12"/>
        <v>-162.01</v>
      </c>
      <c r="K57" s="26">
        <f t="shared" ca="1" si="12"/>
        <v>-136.91</v>
      </c>
      <c r="L57" s="26">
        <f t="shared" ca="1" si="12"/>
        <v>-132.07</v>
      </c>
      <c r="M57" s="26">
        <f t="shared" ca="1" si="12"/>
        <v>-127.72</v>
      </c>
      <c r="N57" s="26">
        <f t="shared" ca="1" si="12"/>
        <v>-123.72</v>
      </c>
      <c r="O57" s="26">
        <f t="shared" ca="1" si="12"/>
        <v>-120.09</v>
      </c>
      <c r="P57" s="26">
        <f t="shared" ca="1" si="12"/>
        <v>-116.72999999999999</v>
      </c>
      <c r="Q57" s="26">
        <f t="shared" ca="1" si="12"/>
        <v>-113.65</v>
      </c>
      <c r="R57" s="26">
        <f t="shared" ca="1" si="12"/>
        <v>-110.78</v>
      </c>
      <c r="S57" s="26">
        <f t="shared" ca="1" si="12"/>
        <v>-108.13</v>
      </c>
      <c r="T57" s="26">
        <f t="shared" ca="1" si="12"/>
        <v>-99.27</v>
      </c>
      <c r="U57" s="26">
        <f t="shared" ca="1" si="12"/>
        <v>-97.43</v>
      </c>
      <c r="V57" s="26">
        <f t="shared" ca="1" si="12"/>
        <v>-95.679999999999993</v>
      </c>
      <c r="W57" s="26">
        <f t="shared" ca="1" si="12"/>
        <v>-94.128</v>
      </c>
      <c r="X57" s="26">
        <f t="shared" ca="1" si="12"/>
        <v>-93.874000000000009</v>
      </c>
      <c r="Y57" s="26">
        <f t="shared" ca="1" si="12"/>
        <v>-93.664000000000001</v>
      </c>
      <c r="Z57" s="26">
        <f t="shared" ca="1" si="12"/>
        <v>-93.623999999999995</v>
      </c>
      <c r="AA57" s="26">
        <f t="shared" ca="1" si="12"/>
        <v>-94.6</v>
      </c>
      <c r="AB57" s="26">
        <f t="shared" ca="1" si="12"/>
        <v>-95.579999999999984</v>
      </c>
      <c r="AC57" s="26">
        <f t="shared" ca="1" si="12"/>
        <v>-99.421999999999997</v>
      </c>
      <c r="AD57" s="26">
        <f t="shared" ca="1" si="12"/>
        <v>-100.37</v>
      </c>
      <c r="AE57" s="26">
        <f t="shared" ca="1" si="12"/>
        <v>-101.358</v>
      </c>
      <c r="AF57" s="26">
        <f t="shared" ca="1" si="12"/>
        <v>-102.32599999999999</v>
      </c>
      <c r="AG57" s="26">
        <f t="shared" ca="1" si="12"/>
        <v>-101.358</v>
      </c>
      <c r="AH57" s="26">
        <f t="shared" ca="1" si="12"/>
        <v>-102.32599999999999</v>
      </c>
      <c r="AI57" s="26">
        <f t="shared" ca="1" si="12"/>
        <v>-103.31</v>
      </c>
      <c r="AJ57" s="26">
        <f t="shared" ca="1" si="12"/>
        <v>0</v>
      </c>
      <c r="AK57" s="26">
        <f t="shared" ca="1" si="12"/>
        <v>0</v>
      </c>
      <c r="AL57" s="26">
        <f t="shared" ca="1" si="12"/>
        <v>0</v>
      </c>
    </row>
    <row r="58" spans="1:38" ht="21" hidden="1" customHeight="1" outlineLevel="1" thickBot="1" x14ac:dyDescent="0.4">
      <c r="A58" s="10">
        <f t="shared" si="10"/>
        <v>0</v>
      </c>
      <c r="B58" s="10">
        <f t="shared" si="10"/>
        <v>1</v>
      </c>
      <c r="C58" s="10">
        <f t="shared" si="10"/>
        <v>0</v>
      </c>
      <c r="D58" s="10">
        <f t="shared" si="10"/>
        <v>2</v>
      </c>
      <c r="E58" s="11" t="str">
        <f t="shared" si="10"/>
        <v>Ga2Se</v>
      </c>
      <c r="F58" s="26">
        <f t="shared" ca="1" si="11"/>
        <v>-155.9</v>
      </c>
      <c r="G58" s="26">
        <f t="shared" ca="1" si="12"/>
        <v>-146.13999999999999</v>
      </c>
      <c r="H58" s="26">
        <f t="shared" ca="1" si="12"/>
        <v>-137.68</v>
      </c>
      <c r="I58" s="26">
        <f t="shared" ca="1" si="12"/>
        <v>-130.29</v>
      </c>
      <c r="J58" s="26">
        <f t="shared" ca="1" si="12"/>
        <v>-122.47</v>
      </c>
      <c r="K58" s="26">
        <f t="shared" ca="1" si="12"/>
        <v>-94.97</v>
      </c>
      <c r="L58" s="26">
        <f t="shared" ca="1" si="12"/>
        <v>-89.53</v>
      </c>
      <c r="M58" s="26">
        <f t="shared" ca="1" si="12"/>
        <v>-84.56</v>
      </c>
      <c r="N58" s="26">
        <f t="shared" ca="1" si="12"/>
        <v>-79.959999999999994</v>
      </c>
      <c r="O58" s="26">
        <f t="shared" ca="1" si="12"/>
        <v>-75.710000000000008</v>
      </c>
      <c r="P58" s="26">
        <f t="shared" ca="1" si="12"/>
        <v>-71.75</v>
      </c>
      <c r="Q58" s="26">
        <f t="shared" ca="1" si="12"/>
        <v>-68.069999999999993</v>
      </c>
      <c r="R58" s="26">
        <f t="shared" ca="1" si="12"/>
        <v>-64.62</v>
      </c>
      <c r="S58" s="26">
        <f t="shared" ca="1" si="12"/>
        <v>-61.39</v>
      </c>
      <c r="T58" s="26">
        <f t="shared" ca="1" si="12"/>
        <v>-50.25</v>
      </c>
      <c r="U58" s="26">
        <f t="shared" ref="G58:AL66" ca="1" si="13">$A58*H.Ar + $B58*H.Se + $C58*H.Ge + $D58*H.Ga</f>
        <v>-47.849999999999994</v>
      </c>
      <c r="V58" s="26">
        <f t="shared" ca="1" si="13"/>
        <v>-45.56</v>
      </c>
      <c r="W58" s="26">
        <f t="shared" ca="1" si="13"/>
        <v>-43.468000000000004</v>
      </c>
      <c r="X58" s="26">
        <f t="shared" ca="1" si="13"/>
        <v>-42.674000000000007</v>
      </c>
      <c r="Y58" s="26">
        <f t="shared" ca="1" si="13"/>
        <v>-41.923999999999999</v>
      </c>
      <c r="Z58" s="26">
        <f t="shared" ca="1" si="13"/>
        <v>-41.363999999999997</v>
      </c>
      <c r="AA58" s="26">
        <f t="shared" ca="1" si="13"/>
        <v>-41.82</v>
      </c>
      <c r="AB58" s="26">
        <f t="shared" ca="1" si="13"/>
        <v>-42.28</v>
      </c>
      <c r="AC58" s="26">
        <f t="shared" ca="1" si="13"/>
        <v>-44.122</v>
      </c>
      <c r="AD58" s="26">
        <f t="shared" ca="1" si="13"/>
        <v>-44.59</v>
      </c>
      <c r="AE58" s="26">
        <f t="shared" ca="1" si="13"/>
        <v>-45.078000000000003</v>
      </c>
      <c r="AF58" s="26">
        <f t="shared" ca="1" si="13"/>
        <v>-45.566000000000003</v>
      </c>
      <c r="AG58" s="26">
        <f t="shared" ca="1" si="13"/>
        <v>-45.078000000000003</v>
      </c>
      <c r="AH58" s="26">
        <f t="shared" ca="1" si="13"/>
        <v>-45.566000000000003</v>
      </c>
      <c r="AI58" s="26">
        <f t="shared" ca="1" si="13"/>
        <v>-46.07</v>
      </c>
      <c r="AJ58" s="26">
        <f t="shared" ca="1" si="13"/>
        <v>0</v>
      </c>
      <c r="AK58" s="26">
        <f t="shared" ca="1" si="13"/>
        <v>0</v>
      </c>
      <c r="AL58" s="26">
        <f t="shared" ca="1" si="13"/>
        <v>0</v>
      </c>
    </row>
    <row r="59" spans="1:38" ht="21" hidden="1" customHeight="1" outlineLevel="1" thickBot="1" x14ac:dyDescent="0.4">
      <c r="A59" s="10">
        <f t="shared" si="10"/>
        <v>1</v>
      </c>
      <c r="B59" s="10">
        <f t="shared" si="10"/>
        <v>0</v>
      </c>
      <c r="C59" s="10">
        <f t="shared" si="10"/>
        <v>0</v>
      </c>
      <c r="D59" s="10">
        <f t="shared" si="10"/>
        <v>0</v>
      </c>
      <c r="E59" s="11" t="str">
        <f t="shared" si="10"/>
        <v>Ar</v>
      </c>
      <c r="F59" s="26">
        <f t="shared" ca="1" si="11"/>
        <v>-18.96</v>
      </c>
      <c r="G59" s="26">
        <f t="shared" ca="1" si="13"/>
        <v>-18.95</v>
      </c>
      <c r="H59" s="26">
        <f t="shared" ca="1" si="13"/>
        <v>-18.95</v>
      </c>
      <c r="I59" s="26">
        <f t="shared" ca="1" si="13"/>
        <v>-18.96</v>
      </c>
      <c r="J59" s="26">
        <f t="shared" ca="1" si="13"/>
        <v>-18.98</v>
      </c>
      <c r="K59" s="26">
        <f t="shared" ca="1" si="13"/>
        <v>-19.100000000000001</v>
      </c>
      <c r="L59" s="26">
        <f t="shared" ca="1" si="13"/>
        <v>-19.14</v>
      </c>
      <c r="M59" s="26">
        <f t="shared" ca="1" si="13"/>
        <v>-19.18</v>
      </c>
      <c r="N59" s="26">
        <f t="shared" ca="1" si="13"/>
        <v>-19.22</v>
      </c>
      <c r="O59" s="26">
        <f t="shared" ca="1" si="13"/>
        <v>-19.260000000000002</v>
      </c>
      <c r="P59" s="26">
        <f t="shared" ca="1" si="13"/>
        <v>-19.3</v>
      </c>
      <c r="Q59" s="26">
        <f t="shared" ca="1" si="13"/>
        <v>-19.350000000000001</v>
      </c>
      <c r="R59" s="26">
        <f t="shared" ca="1" si="13"/>
        <v>-19.39</v>
      </c>
      <c r="S59" s="26">
        <f t="shared" ca="1" si="13"/>
        <v>-19.43</v>
      </c>
      <c r="T59" s="26">
        <f t="shared" ca="1" si="13"/>
        <v>-19.600000000000001</v>
      </c>
      <c r="U59" s="26">
        <f t="shared" ca="1" si="13"/>
        <v>-19.64</v>
      </c>
      <c r="V59" s="26">
        <f t="shared" ca="1" si="13"/>
        <v>-19.68</v>
      </c>
      <c r="W59" s="26">
        <f t="shared" ca="1" si="13"/>
        <v>-19.690000000000001</v>
      </c>
      <c r="X59" s="26">
        <f t="shared" ca="1" si="13"/>
        <v>-19.5</v>
      </c>
      <c r="Y59" s="26">
        <f t="shared" ca="1" si="13"/>
        <v>-19.489999999999998</v>
      </c>
      <c r="Z59" s="26">
        <f t="shared" ca="1" si="13"/>
        <v>-19.510000000000002</v>
      </c>
      <c r="AA59" s="26">
        <f t="shared" ca="1" si="13"/>
        <v>-19.55</v>
      </c>
      <c r="AB59" s="26">
        <f t="shared" ca="1" si="13"/>
        <v>-19.59</v>
      </c>
      <c r="AC59" s="26">
        <f t="shared" ca="1" si="13"/>
        <v>-19.739999999999998</v>
      </c>
      <c r="AD59" s="26">
        <f t="shared" ca="1" si="13"/>
        <v>-19.77</v>
      </c>
      <c r="AE59" s="26">
        <f t="shared" ca="1" si="13"/>
        <v>-19.809999999999999</v>
      </c>
      <c r="AF59" s="26">
        <f t="shared" ca="1" si="13"/>
        <v>-19.850000000000001</v>
      </c>
      <c r="AG59" s="26">
        <f t="shared" ca="1" si="13"/>
        <v>-19.809999999999999</v>
      </c>
      <c r="AH59" s="26">
        <f t="shared" ca="1" si="13"/>
        <v>-19.850000000000001</v>
      </c>
      <c r="AI59" s="26">
        <f t="shared" ca="1" si="13"/>
        <v>-19.88</v>
      </c>
      <c r="AJ59" s="26">
        <f t="shared" ca="1" si="13"/>
        <v>0</v>
      </c>
      <c r="AK59" s="26">
        <f t="shared" ca="1" si="13"/>
        <v>0</v>
      </c>
      <c r="AL59" s="26">
        <f t="shared" ca="1" si="13"/>
        <v>0</v>
      </c>
    </row>
    <row r="60" spans="1:38" ht="21" hidden="1" customHeight="1" outlineLevel="1" thickBot="1" x14ac:dyDescent="0.4">
      <c r="A60" s="10">
        <f t="shared" si="10"/>
        <v>0</v>
      </c>
      <c r="B60" s="10">
        <f t="shared" si="10"/>
        <v>0</v>
      </c>
      <c r="C60" s="10">
        <f t="shared" si="10"/>
        <v>0</v>
      </c>
      <c r="D60" s="10">
        <f t="shared" si="10"/>
        <v>1</v>
      </c>
      <c r="E60" s="11" t="str">
        <f t="shared" si="10"/>
        <v>(l)Ga[l]</v>
      </c>
      <c r="F60" s="26">
        <f t="shared" ref="F60:U69" ca="1" si="14">$A60*H.Ar + $B60*H.Se + $C60*H.Ge + $D60*H.Ga</f>
        <v>-66.19</v>
      </c>
      <c r="G60" s="26">
        <f t="shared" ca="1" si="14"/>
        <v>-61.98</v>
      </c>
      <c r="H60" s="26">
        <f t="shared" ca="1" si="14"/>
        <v>-58.33</v>
      </c>
      <c r="I60" s="26">
        <f t="shared" ca="1" si="14"/>
        <v>-55.14</v>
      </c>
      <c r="J60" s="26">
        <f t="shared" ca="1" si="14"/>
        <v>-51.35</v>
      </c>
      <c r="K60" s="26">
        <f t="shared" ca="1" si="14"/>
        <v>-37</v>
      </c>
      <c r="L60" s="26">
        <f t="shared" ca="1" si="14"/>
        <v>-34.130000000000003</v>
      </c>
      <c r="M60" s="26">
        <f t="shared" ca="1" si="14"/>
        <v>-31.49</v>
      </c>
      <c r="N60" s="26">
        <f t="shared" ca="1" si="14"/>
        <v>-29.04</v>
      </c>
      <c r="O60" s="26">
        <f t="shared" ca="1" si="14"/>
        <v>-26.76</v>
      </c>
      <c r="P60" s="26">
        <f t="shared" ca="1" si="14"/>
        <v>-24.63</v>
      </c>
      <c r="Q60" s="26">
        <f t="shared" ca="1" si="14"/>
        <v>-22.64</v>
      </c>
      <c r="R60" s="26">
        <f t="shared" ca="1" si="14"/>
        <v>-20.77</v>
      </c>
      <c r="S60" s="26">
        <f t="shared" ca="1" si="14"/>
        <v>-19.010000000000002</v>
      </c>
      <c r="T60" s="26">
        <f t="shared" ca="1" si="14"/>
        <v>-12.87</v>
      </c>
      <c r="U60" s="26">
        <f t="shared" ca="1" si="14"/>
        <v>-11.53</v>
      </c>
      <c r="V60" s="26">
        <f t="shared" ca="1" si="13"/>
        <v>-10.25</v>
      </c>
      <c r="W60" s="26">
        <f t="shared" ca="1" si="13"/>
        <v>-9.0690000000000008</v>
      </c>
      <c r="X60" s="26">
        <f t="shared" ca="1" si="13"/>
        <v>-8.5370000000000008</v>
      </c>
      <c r="Y60" s="26">
        <f t="shared" ca="1" si="13"/>
        <v>-8.0269999999999992</v>
      </c>
      <c r="Z60" s="26">
        <f t="shared" ca="1" si="13"/>
        <v>-7.617</v>
      </c>
      <c r="AA60" s="26">
        <f t="shared" ca="1" si="13"/>
        <v>-7.7149999999999999</v>
      </c>
      <c r="AB60" s="26">
        <f t="shared" ca="1" si="13"/>
        <v>-7.8150000000000004</v>
      </c>
      <c r="AC60" s="26">
        <f t="shared" ca="1" si="13"/>
        <v>-8.2360000000000007</v>
      </c>
      <c r="AD60" s="26">
        <f t="shared" ca="1" si="13"/>
        <v>-8.35</v>
      </c>
      <c r="AE60" s="26">
        <f t="shared" ca="1" si="13"/>
        <v>-8.4689999999999994</v>
      </c>
      <c r="AF60" s="26">
        <f t="shared" ca="1" si="13"/>
        <v>-8.593</v>
      </c>
      <c r="AG60" s="26">
        <f t="shared" ca="1" si="13"/>
        <v>-8.4689999999999994</v>
      </c>
      <c r="AH60" s="26">
        <f t="shared" ca="1" si="13"/>
        <v>-8.593</v>
      </c>
      <c r="AI60" s="26">
        <f t="shared" ca="1" si="13"/>
        <v>-8.7249999999999996</v>
      </c>
      <c r="AJ60" s="26">
        <f t="shared" ca="1" si="13"/>
        <v>0</v>
      </c>
      <c r="AK60" s="26">
        <f t="shared" ca="1" si="13"/>
        <v>0</v>
      </c>
      <c r="AL60" s="26">
        <f t="shared" ca="1" si="13"/>
        <v>0</v>
      </c>
    </row>
    <row r="61" spans="1:38" ht="21" hidden="1" customHeight="1" outlineLevel="1" thickBot="1" x14ac:dyDescent="0.4">
      <c r="A61" s="10">
        <f t="shared" si="10"/>
        <v>0</v>
      </c>
      <c r="B61" s="10">
        <f t="shared" si="10"/>
        <v>0</v>
      </c>
      <c r="C61" s="10">
        <f t="shared" si="10"/>
        <v>1</v>
      </c>
      <c r="D61" s="10">
        <f t="shared" si="10"/>
        <v>0</v>
      </c>
      <c r="E61" s="11" t="str">
        <f t="shared" si="10"/>
        <v>(l)Ge[l]</v>
      </c>
      <c r="F61" s="26">
        <f t="shared" ca="1" si="14"/>
        <v>-16.29</v>
      </c>
      <c r="G61" s="26">
        <f t="shared" ca="1" si="13"/>
        <v>-15.52</v>
      </c>
      <c r="H61" s="26">
        <f t="shared" ca="1" si="13"/>
        <v>-14.86</v>
      </c>
      <c r="I61" s="26">
        <f t="shared" ca="1" si="13"/>
        <v>-14.3</v>
      </c>
      <c r="J61" s="26">
        <f t="shared" ca="1" si="13"/>
        <v>-13.17</v>
      </c>
      <c r="K61" s="26">
        <f t="shared" ca="1" si="13"/>
        <v>-7.9130000000000003</v>
      </c>
      <c r="L61" s="26">
        <f t="shared" ca="1" si="13"/>
        <v>-6.851</v>
      </c>
      <c r="M61" s="26">
        <f t="shared" ca="1" si="13"/>
        <v>-5.867</v>
      </c>
      <c r="N61" s="26">
        <f t="shared" ca="1" si="13"/>
        <v>-4.9489999999999998</v>
      </c>
      <c r="O61" s="26">
        <f t="shared" ca="1" si="13"/>
        <v>-4.101</v>
      </c>
      <c r="P61" s="26">
        <f t="shared" ca="1" si="13"/>
        <v>-4.1500000000000004</v>
      </c>
      <c r="Q61" s="26">
        <f t="shared" ca="1" si="13"/>
        <v>-4.2</v>
      </c>
      <c r="R61" s="26">
        <f t="shared" ca="1" si="13"/>
        <v>-4.2489999999999997</v>
      </c>
      <c r="S61" s="26">
        <f t="shared" ca="1" si="13"/>
        <v>-4.2990000000000004</v>
      </c>
      <c r="T61" s="26">
        <f t="shared" ca="1" si="13"/>
        <v>-4.4989999999999997</v>
      </c>
      <c r="U61" s="26">
        <f t="shared" ca="1" si="13"/>
        <v>-4.5490000000000004</v>
      </c>
      <c r="V61" s="26">
        <f t="shared" ca="1" si="13"/>
        <v>-4.5979999999999999</v>
      </c>
      <c r="W61" s="26">
        <f t="shared" ca="1" si="13"/>
        <v>-4.6470000000000002</v>
      </c>
      <c r="X61" s="26">
        <f t="shared" ca="1" si="13"/>
        <v>-4.6959999999999997</v>
      </c>
      <c r="Y61" s="26">
        <f t="shared" ca="1" si="13"/>
        <v>-4.7439999999999998</v>
      </c>
      <c r="Z61" s="26">
        <f t="shared" ca="1" si="13"/>
        <v>-4.7919999999999998</v>
      </c>
      <c r="AA61" s="26">
        <f t="shared" ca="1" si="13"/>
        <v>-4.84</v>
      </c>
      <c r="AB61" s="26">
        <f t="shared" ca="1" si="13"/>
        <v>-4.8869999999999996</v>
      </c>
      <c r="AC61" s="26">
        <f t="shared" ca="1" si="13"/>
        <v>-5.0709999999999997</v>
      </c>
      <c r="AD61" s="26">
        <f t="shared" ca="1" si="13"/>
        <v>-5.1159999999999997</v>
      </c>
      <c r="AE61" s="26">
        <f t="shared" ca="1" si="13"/>
        <v>-5.1609999999999996</v>
      </c>
      <c r="AF61" s="26">
        <f t="shared" ca="1" si="13"/>
        <v>-5.2060000000000004</v>
      </c>
      <c r="AG61" s="26">
        <f t="shared" ca="1" si="13"/>
        <v>-5.1609999999999996</v>
      </c>
      <c r="AH61" s="26">
        <f t="shared" ca="1" si="13"/>
        <v>-5.2060000000000004</v>
      </c>
      <c r="AI61" s="26">
        <f t="shared" ca="1" si="13"/>
        <v>-5.25</v>
      </c>
      <c r="AJ61" s="26">
        <f t="shared" ca="1" si="13"/>
        <v>0</v>
      </c>
      <c r="AK61" s="26">
        <f t="shared" ca="1" si="13"/>
        <v>0</v>
      </c>
      <c r="AL61" s="26">
        <f t="shared" ca="1" si="13"/>
        <v>0</v>
      </c>
    </row>
    <row r="62" spans="1:38" ht="21" hidden="1" customHeight="1" outlineLevel="1" thickBot="1" x14ac:dyDescent="0.4">
      <c r="A62" s="10">
        <f t="shared" si="10"/>
        <v>1</v>
      </c>
      <c r="B62" s="10">
        <f t="shared" si="10"/>
        <v>0</v>
      </c>
      <c r="C62" s="10">
        <f t="shared" si="10"/>
        <v>0</v>
      </c>
      <c r="D62" s="10">
        <f t="shared" si="10"/>
        <v>0</v>
      </c>
      <c r="E62" s="11" t="str">
        <f t="shared" si="10"/>
        <v>H (Ar)</v>
      </c>
      <c r="F62" s="26">
        <f t="shared" ca="1" si="14"/>
        <v>-18.96</v>
      </c>
      <c r="G62" s="26">
        <f t="shared" ca="1" si="13"/>
        <v>-18.95</v>
      </c>
      <c r="H62" s="26">
        <f t="shared" ca="1" si="13"/>
        <v>-18.95</v>
      </c>
      <c r="I62" s="26">
        <f t="shared" ca="1" si="13"/>
        <v>-18.96</v>
      </c>
      <c r="J62" s="26">
        <f t="shared" ca="1" si="13"/>
        <v>-18.98</v>
      </c>
      <c r="K62" s="26">
        <f t="shared" ca="1" si="13"/>
        <v>-19.100000000000001</v>
      </c>
      <c r="L62" s="26">
        <f t="shared" ca="1" si="13"/>
        <v>-19.14</v>
      </c>
      <c r="M62" s="26">
        <f t="shared" ca="1" si="13"/>
        <v>-19.18</v>
      </c>
      <c r="N62" s="26">
        <f t="shared" ca="1" si="13"/>
        <v>-19.22</v>
      </c>
      <c r="O62" s="26">
        <f t="shared" ca="1" si="13"/>
        <v>-19.260000000000002</v>
      </c>
      <c r="P62" s="26">
        <f t="shared" ca="1" si="13"/>
        <v>-19.3</v>
      </c>
      <c r="Q62" s="26">
        <f t="shared" ca="1" si="13"/>
        <v>-19.350000000000001</v>
      </c>
      <c r="R62" s="26">
        <f t="shared" ca="1" si="13"/>
        <v>-19.39</v>
      </c>
      <c r="S62" s="26">
        <f t="shared" ca="1" si="13"/>
        <v>-19.43</v>
      </c>
      <c r="T62" s="26">
        <f t="shared" ca="1" si="13"/>
        <v>-19.600000000000001</v>
      </c>
      <c r="U62" s="26">
        <f t="shared" ca="1" si="13"/>
        <v>-19.64</v>
      </c>
      <c r="V62" s="26">
        <f t="shared" ca="1" si="13"/>
        <v>-19.68</v>
      </c>
      <c r="W62" s="26">
        <f t="shared" ca="1" si="13"/>
        <v>-19.690000000000001</v>
      </c>
      <c r="X62" s="26">
        <f t="shared" ca="1" si="13"/>
        <v>-19.5</v>
      </c>
      <c r="Y62" s="26">
        <f t="shared" ca="1" si="13"/>
        <v>-19.489999999999998</v>
      </c>
      <c r="Z62" s="26">
        <f t="shared" ca="1" si="13"/>
        <v>-19.510000000000002</v>
      </c>
      <c r="AA62" s="26">
        <f t="shared" ca="1" si="13"/>
        <v>-19.55</v>
      </c>
      <c r="AB62" s="26">
        <f t="shared" ca="1" si="13"/>
        <v>-19.59</v>
      </c>
      <c r="AC62" s="26">
        <f t="shared" ca="1" si="13"/>
        <v>-19.739999999999998</v>
      </c>
      <c r="AD62" s="26">
        <f t="shared" ca="1" si="13"/>
        <v>-19.77</v>
      </c>
      <c r="AE62" s="26">
        <f t="shared" ca="1" si="13"/>
        <v>-19.809999999999999</v>
      </c>
      <c r="AF62" s="26">
        <f t="shared" ca="1" si="13"/>
        <v>-19.850000000000001</v>
      </c>
      <c r="AG62" s="26">
        <f t="shared" ca="1" si="13"/>
        <v>-19.809999999999999</v>
      </c>
      <c r="AH62" s="26">
        <f t="shared" ca="1" si="13"/>
        <v>-19.850000000000001</v>
      </c>
      <c r="AI62" s="26">
        <f t="shared" ca="1" si="13"/>
        <v>-19.88</v>
      </c>
      <c r="AJ62" s="26">
        <f t="shared" ca="1" si="13"/>
        <v>0</v>
      </c>
      <c r="AK62" s="26">
        <f t="shared" ca="1" si="13"/>
        <v>0</v>
      </c>
      <c r="AL62" s="26">
        <f t="shared" ca="1" si="13"/>
        <v>0</v>
      </c>
    </row>
    <row r="63" spans="1:38" ht="21" hidden="1" customHeight="1" outlineLevel="1" thickBot="1" x14ac:dyDescent="0.4">
      <c r="A63" s="10">
        <f t="shared" si="10"/>
        <v>0</v>
      </c>
      <c r="B63" s="10">
        <f t="shared" si="10"/>
        <v>0</v>
      </c>
      <c r="C63" s="10">
        <f t="shared" si="10"/>
        <v>0</v>
      </c>
      <c r="D63" s="10">
        <f t="shared" si="10"/>
        <v>1</v>
      </c>
      <c r="E63" s="11" t="str">
        <f t="shared" si="10"/>
        <v>H (Ga)</v>
      </c>
      <c r="F63" s="26">
        <f t="shared" ca="1" si="14"/>
        <v>-66.19</v>
      </c>
      <c r="G63" s="26">
        <f t="shared" ca="1" si="13"/>
        <v>-61.98</v>
      </c>
      <c r="H63" s="26">
        <f t="shared" ca="1" si="13"/>
        <v>-58.33</v>
      </c>
      <c r="I63" s="26">
        <f t="shared" ca="1" si="13"/>
        <v>-55.14</v>
      </c>
      <c r="J63" s="26">
        <f t="shared" ca="1" si="13"/>
        <v>-51.35</v>
      </c>
      <c r="K63" s="26">
        <f t="shared" ca="1" si="13"/>
        <v>-37</v>
      </c>
      <c r="L63" s="26">
        <f t="shared" ca="1" si="13"/>
        <v>-34.130000000000003</v>
      </c>
      <c r="M63" s="26">
        <f t="shared" ca="1" si="13"/>
        <v>-31.49</v>
      </c>
      <c r="N63" s="26">
        <f t="shared" ca="1" si="13"/>
        <v>-29.04</v>
      </c>
      <c r="O63" s="26">
        <f t="shared" ca="1" si="13"/>
        <v>-26.76</v>
      </c>
      <c r="P63" s="26">
        <f t="shared" ca="1" si="13"/>
        <v>-24.63</v>
      </c>
      <c r="Q63" s="26">
        <f t="shared" ca="1" si="13"/>
        <v>-22.64</v>
      </c>
      <c r="R63" s="26">
        <f t="shared" ca="1" si="13"/>
        <v>-20.77</v>
      </c>
      <c r="S63" s="26">
        <f t="shared" ca="1" si="13"/>
        <v>-19.010000000000002</v>
      </c>
      <c r="T63" s="26">
        <f t="shared" ca="1" si="13"/>
        <v>-12.87</v>
      </c>
      <c r="U63" s="26">
        <f t="shared" ca="1" si="13"/>
        <v>-11.53</v>
      </c>
      <c r="V63" s="26">
        <f t="shared" ca="1" si="13"/>
        <v>-10.25</v>
      </c>
      <c r="W63" s="26">
        <f t="shared" ca="1" si="13"/>
        <v>-9.0690000000000008</v>
      </c>
      <c r="X63" s="26">
        <f t="shared" ca="1" si="13"/>
        <v>-8.5370000000000008</v>
      </c>
      <c r="Y63" s="26">
        <f t="shared" ca="1" si="13"/>
        <v>-8.0269999999999992</v>
      </c>
      <c r="Z63" s="26">
        <f t="shared" ca="1" si="13"/>
        <v>-7.617</v>
      </c>
      <c r="AA63" s="26">
        <f t="shared" ca="1" si="13"/>
        <v>-7.7149999999999999</v>
      </c>
      <c r="AB63" s="26">
        <f t="shared" ca="1" si="13"/>
        <v>-7.8150000000000004</v>
      </c>
      <c r="AC63" s="26">
        <f t="shared" ca="1" si="13"/>
        <v>-8.2360000000000007</v>
      </c>
      <c r="AD63" s="26">
        <f t="shared" ca="1" si="13"/>
        <v>-8.35</v>
      </c>
      <c r="AE63" s="26">
        <f t="shared" ca="1" si="13"/>
        <v>-8.4689999999999994</v>
      </c>
      <c r="AF63" s="26">
        <f t="shared" ca="1" si="13"/>
        <v>-8.593</v>
      </c>
      <c r="AG63" s="26">
        <f t="shared" ca="1" si="13"/>
        <v>-8.4689999999999994</v>
      </c>
      <c r="AH63" s="26">
        <f t="shared" ca="1" si="13"/>
        <v>-8.593</v>
      </c>
      <c r="AI63" s="26">
        <f t="shared" ca="1" si="13"/>
        <v>-8.7249999999999996</v>
      </c>
      <c r="AJ63" s="26">
        <f t="shared" ca="1" si="13"/>
        <v>0</v>
      </c>
      <c r="AK63" s="26">
        <f t="shared" ca="1" si="13"/>
        <v>0</v>
      </c>
      <c r="AL63" s="26">
        <f t="shared" ca="1" si="13"/>
        <v>0</v>
      </c>
    </row>
    <row r="64" spans="1:38" ht="21" hidden="1" customHeight="1" outlineLevel="1" thickBot="1" x14ac:dyDescent="0.4">
      <c r="A64" s="10">
        <f t="shared" si="10"/>
        <v>0</v>
      </c>
      <c r="B64" s="10">
        <f t="shared" si="10"/>
        <v>0</v>
      </c>
      <c r="C64" s="10">
        <f t="shared" si="10"/>
        <v>1</v>
      </c>
      <c r="D64" s="10">
        <f t="shared" si="10"/>
        <v>0</v>
      </c>
      <c r="E64" s="11" t="str">
        <f t="shared" si="10"/>
        <v>H (Ge)</v>
      </c>
      <c r="F64" s="26">
        <f t="shared" ca="1" si="14"/>
        <v>-16.29</v>
      </c>
      <c r="G64" s="26">
        <f t="shared" ca="1" si="13"/>
        <v>-15.52</v>
      </c>
      <c r="H64" s="26">
        <f t="shared" ca="1" si="13"/>
        <v>-14.86</v>
      </c>
      <c r="I64" s="26">
        <f t="shared" ca="1" si="13"/>
        <v>-14.3</v>
      </c>
      <c r="J64" s="26">
        <f t="shared" ca="1" si="13"/>
        <v>-13.17</v>
      </c>
      <c r="K64" s="26">
        <f t="shared" ca="1" si="13"/>
        <v>-7.9130000000000003</v>
      </c>
      <c r="L64" s="26">
        <f t="shared" ca="1" si="13"/>
        <v>-6.851</v>
      </c>
      <c r="M64" s="26">
        <f t="shared" ca="1" si="13"/>
        <v>-5.867</v>
      </c>
      <c r="N64" s="26">
        <f t="shared" ca="1" si="13"/>
        <v>-4.9489999999999998</v>
      </c>
      <c r="O64" s="26">
        <f t="shared" ca="1" si="13"/>
        <v>-4.101</v>
      </c>
      <c r="P64" s="26">
        <f t="shared" ca="1" si="13"/>
        <v>-4.1500000000000004</v>
      </c>
      <c r="Q64" s="26">
        <f t="shared" ca="1" si="13"/>
        <v>-4.2</v>
      </c>
      <c r="R64" s="26">
        <f t="shared" ca="1" si="13"/>
        <v>-4.2489999999999997</v>
      </c>
      <c r="S64" s="26">
        <f t="shared" ca="1" si="13"/>
        <v>-4.2990000000000004</v>
      </c>
      <c r="T64" s="26">
        <f t="shared" ca="1" si="13"/>
        <v>-4.4989999999999997</v>
      </c>
      <c r="U64" s="26">
        <f t="shared" ca="1" si="13"/>
        <v>-4.5490000000000004</v>
      </c>
      <c r="V64" s="26">
        <f t="shared" ca="1" si="13"/>
        <v>-4.5979999999999999</v>
      </c>
      <c r="W64" s="26">
        <f t="shared" ca="1" si="13"/>
        <v>-4.6470000000000002</v>
      </c>
      <c r="X64" s="26">
        <f t="shared" ca="1" si="13"/>
        <v>-4.6959999999999997</v>
      </c>
      <c r="Y64" s="26">
        <f t="shared" ca="1" si="13"/>
        <v>-4.7439999999999998</v>
      </c>
      <c r="Z64" s="26">
        <f t="shared" ca="1" si="13"/>
        <v>-4.7919999999999998</v>
      </c>
      <c r="AA64" s="26">
        <f t="shared" ca="1" si="13"/>
        <v>-4.84</v>
      </c>
      <c r="AB64" s="26">
        <f t="shared" ca="1" si="13"/>
        <v>-4.8869999999999996</v>
      </c>
      <c r="AC64" s="26">
        <f t="shared" ca="1" si="13"/>
        <v>-5.0709999999999997</v>
      </c>
      <c r="AD64" s="26">
        <f t="shared" ca="1" si="13"/>
        <v>-5.1159999999999997</v>
      </c>
      <c r="AE64" s="26">
        <f t="shared" ca="1" si="13"/>
        <v>-5.1609999999999996</v>
      </c>
      <c r="AF64" s="26">
        <f t="shared" ca="1" si="13"/>
        <v>-5.2060000000000004</v>
      </c>
      <c r="AG64" s="26">
        <f t="shared" ca="1" si="13"/>
        <v>-5.1609999999999996</v>
      </c>
      <c r="AH64" s="26">
        <f t="shared" ca="1" si="13"/>
        <v>-5.2060000000000004</v>
      </c>
      <c r="AI64" s="26">
        <f t="shared" ca="1" si="13"/>
        <v>-5.25</v>
      </c>
      <c r="AJ64" s="26">
        <f t="shared" ca="1" si="13"/>
        <v>0</v>
      </c>
      <c r="AK64" s="26">
        <f t="shared" ca="1" si="13"/>
        <v>0</v>
      </c>
      <c r="AL64" s="26">
        <f t="shared" ca="1" si="13"/>
        <v>0</v>
      </c>
    </row>
    <row r="65" spans="1:38" ht="21" hidden="1" customHeight="1" outlineLevel="1" thickBot="1" x14ac:dyDescent="0.4">
      <c r="A65" s="10">
        <f t="shared" si="10"/>
        <v>0</v>
      </c>
      <c r="B65" s="10">
        <f t="shared" si="10"/>
        <v>1</v>
      </c>
      <c r="C65" s="10">
        <f t="shared" si="10"/>
        <v>0</v>
      </c>
      <c r="D65" s="10">
        <f t="shared" si="10"/>
        <v>0</v>
      </c>
      <c r="E65" s="11" t="str">
        <f t="shared" si="10"/>
        <v>H (Se)</v>
      </c>
      <c r="F65" s="26">
        <f t="shared" ca="1" si="14"/>
        <v>-23.52</v>
      </c>
      <c r="G65" s="26">
        <f t="shared" ca="1" si="13"/>
        <v>-22.18</v>
      </c>
      <c r="H65" s="26">
        <f t="shared" ca="1" si="13"/>
        <v>-21.02</v>
      </c>
      <c r="I65" s="26">
        <f t="shared" ca="1" si="13"/>
        <v>-20.010000000000002</v>
      </c>
      <c r="J65" s="26">
        <f t="shared" ca="1" si="13"/>
        <v>-19.77</v>
      </c>
      <c r="K65" s="26">
        <f t="shared" ca="1" si="13"/>
        <v>-20.97</v>
      </c>
      <c r="L65" s="26">
        <f t="shared" ca="1" si="13"/>
        <v>-21.27</v>
      </c>
      <c r="M65" s="26">
        <f t="shared" ca="1" si="13"/>
        <v>-21.58</v>
      </c>
      <c r="N65" s="26">
        <f t="shared" ca="1" si="13"/>
        <v>-21.88</v>
      </c>
      <c r="O65" s="26">
        <f t="shared" ca="1" si="13"/>
        <v>-22.19</v>
      </c>
      <c r="P65" s="26">
        <f t="shared" ca="1" si="13"/>
        <v>-22.49</v>
      </c>
      <c r="Q65" s="26">
        <f t="shared" ca="1" si="13"/>
        <v>-22.79</v>
      </c>
      <c r="R65" s="26">
        <f t="shared" ca="1" si="13"/>
        <v>-23.08</v>
      </c>
      <c r="S65" s="26">
        <f t="shared" ca="1" si="13"/>
        <v>-23.37</v>
      </c>
      <c r="T65" s="26">
        <f t="shared" ca="1" si="13"/>
        <v>-24.51</v>
      </c>
      <c r="U65" s="26">
        <f t="shared" ca="1" si="13"/>
        <v>-24.79</v>
      </c>
      <c r="V65" s="26">
        <f t="shared" ca="1" si="13"/>
        <v>-25.06</v>
      </c>
      <c r="W65" s="26">
        <f t="shared" ca="1" si="13"/>
        <v>-25.33</v>
      </c>
      <c r="X65" s="26">
        <f t="shared" ca="1" si="13"/>
        <v>-25.6</v>
      </c>
      <c r="Y65" s="26">
        <f t="shared" ca="1" si="13"/>
        <v>-25.87</v>
      </c>
      <c r="Z65" s="26">
        <f t="shared" ca="1" si="13"/>
        <v>-26.13</v>
      </c>
      <c r="AA65" s="26">
        <f t="shared" ca="1" si="13"/>
        <v>-26.39</v>
      </c>
      <c r="AB65" s="26">
        <f t="shared" ca="1" si="13"/>
        <v>-26.65</v>
      </c>
      <c r="AC65" s="26">
        <f t="shared" ca="1" si="13"/>
        <v>-27.65</v>
      </c>
      <c r="AD65" s="26">
        <f t="shared" ca="1" si="13"/>
        <v>-27.89</v>
      </c>
      <c r="AE65" s="26">
        <f t="shared" ca="1" si="13"/>
        <v>-28.14</v>
      </c>
      <c r="AF65" s="26">
        <f t="shared" ca="1" si="13"/>
        <v>-28.38</v>
      </c>
      <c r="AG65" s="26">
        <f t="shared" ca="1" si="13"/>
        <v>-28.14</v>
      </c>
      <c r="AH65" s="26">
        <f t="shared" ca="1" si="13"/>
        <v>-28.38</v>
      </c>
      <c r="AI65" s="26">
        <f t="shared" ca="1" si="13"/>
        <v>-28.62</v>
      </c>
      <c r="AJ65" s="26">
        <f t="shared" ca="1" si="13"/>
        <v>0</v>
      </c>
      <c r="AK65" s="26">
        <f t="shared" ca="1" si="13"/>
        <v>0</v>
      </c>
      <c r="AL65" s="26">
        <f t="shared" ca="1" si="13"/>
        <v>0</v>
      </c>
    </row>
    <row r="66" spans="1:38" ht="21" hidden="1" customHeight="1" outlineLevel="1" thickBot="1" x14ac:dyDescent="0.4">
      <c r="A66" s="10">
        <f t="shared" ref="A66:E79" si="15">A20</f>
        <v>0</v>
      </c>
      <c r="B66" s="10">
        <f t="shared" si="15"/>
        <v>0</v>
      </c>
      <c r="C66" s="10">
        <f t="shared" si="15"/>
        <v>0</v>
      </c>
      <c r="D66" s="10">
        <f t="shared" si="15"/>
        <v>0</v>
      </c>
      <c r="E66" s="11">
        <f t="shared" si="15"/>
        <v>0</v>
      </c>
      <c r="F66" s="26">
        <f t="shared" ca="1" si="14"/>
        <v>0</v>
      </c>
      <c r="G66" s="26">
        <f t="shared" ca="1" si="13"/>
        <v>0</v>
      </c>
      <c r="H66" s="26">
        <f t="shared" ca="1" si="13"/>
        <v>0</v>
      </c>
      <c r="I66" s="26">
        <f t="shared" ca="1" si="13"/>
        <v>0</v>
      </c>
      <c r="J66" s="26">
        <f t="shared" ca="1" si="13"/>
        <v>0</v>
      </c>
      <c r="K66" s="26">
        <f t="shared" ca="1" si="13"/>
        <v>0</v>
      </c>
      <c r="L66" s="26">
        <f t="shared" ca="1" si="13"/>
        <v>0</v>
      </c>
      <c r="M66" s="26">
        <f t="shared" ca="1" si="13"/>
        <v>0</v>
      </c>
      <c r="N66" s="26">
        <f t="shared" ca="1" si="13"/>
        <v>0</v>
      </c>
      <c r="O66" s="26">
        <f t="shared" ca="1" si="13"/>
        <v>0</v>
      </c>
      <c r="P66" s="26">
        <f t="shared" ca="1" si="13"/>
        <v>0</v>
      </c>
      <c r="Q66" s="26">
        <f t="shared" ca="1" si="13"/>
        <v>0</v>
      </c>
      <c r="R66" s="26">
        <f t="shared" ca="1" si="13"/>
        <v>0</v>
      </c>
      <c r="S66" s="26">
        <f t="shared" ca="1" si="13"/>
        <v>0</v>
      </c>
      <c r="T66" s="26">
        <f t="shared" ca="1" si="13"/>
        <v>0</v>
      </c>
      <c r="U66" s="26">
        <f t="shared" ca="1" si="13"/>
        <v>0</v>
      </c>
      <c r="V66" s="26">
        <f t="shared" ca="1" si="13"/>
        <v>0</v>
      </c>
      <c r="W66" s="26">
        <f t="shared" ca="1" si="13"/>
        <v>0</v>
      </c>
      <c r="X66" s="26">
        <f t="shared" ca="1" si="13"/>
        <v>0</v>
      </c>
      <c r="Y66" s="26">
        <f t="shared" ca="1" si="13"/>
        <v>0</v>
      </c>
      <c r="Z66" s="26">
        <f t="shared" ca="1" si="13"/>
        <v>0</v>
      </c>
      <c r="AA66" s="26">
        <f t="shared" ca="1" si="13"/>
        <v>0</v>
      </c>
      <c r="AB66" s="26">
        <f t="shared" ca="1" si="13"/>
        <v>0</v>
      </c>
      <c r="AC66" s="26">
        <f t="shared" ca="1" si="13"/>
        <v>0</v>
      </c>
      <c r="AD66" s="26">
        <f t="shared" ca="1" si="13"/>
        <v>0</v>
      </c>
      <c r="AE66" s="26">
        <f t="shared" ca="1" si="13"/>
        <v>0</v>
      </c>
      <c r="AF66" s="26">
        <f t="shared" ca="1" si="13"/>
        <v>0</v>
      </c>
      <c r="AG66" s="26">
        <f t="shared" ca="1" si="13"/>
        <v>0</v>
      </c>
      <c r="AH66" s="26">
        <f t="shared" ca="1" si="13"/>
        <v>0</v>
      </c>
      <c r="AI66" s="26">
        <f t="shared" ref="G66:AL75" ca="1" si="16">$A66*H.Ar + $B66*H.Se + $C66*H.Ge + $D66*H.Ga</f>
        <v>0</v>
      </c>
      <c r="AJ66" s="26">
        <f t="shared" ca="1" si="16"/>
        <v>0</v>
      </c>
      <c r="AK66" s="26">
        <f t="shared" ca="1" si="16"/>
        <v>0</v>
      </c>
      <c r="AL66" s="26">
        <f t="shared" ca="1" si="16"/>
        <v>0</v>
      </c>
    </row>
    <row r="67" spans="1:38" ht="21" hidden="1" customHeight="1" outlineLevel="1" thickBot="1" x14ac:dyDescent="0.4">
      <c r="A67" s="10">
        <f t="shared" si="15"/>
        <v>0</v>
      </c>
      <c r="B67" s="10">
        <f t="shared" si="15"/>
        <v>0</v>
      </c>
      <c r="C67" s="10">
        <f t="shared" si="15"/>
        <v>0</v>
      </c>
      <c r="D67" s="10">
        <f t="shared" si="15"/>
        <v>0</v>
      </c>
      <c r="E67" s="11">
        <f t="shared" si="15"/>
        <v>0</v>
      </c>
      <c r="F67" s="26">
        <f t="shared" ca="1" si="14"/>
        <v>0</v>
      </c>
      <c r="G67" s="26">
        <f t="shared" ca="1" si="16"/>
        <v>0</v>
      </c>
      <c r="H67" s="26">
        <f t="shared" ca="1" si="16"/>
        <v>0</v>
      </c>
      <c r="I67" s="26">
        <f t="shared" ca="1" si="16"/>
        <v>0</v>
      </c>
      <c r="J67" s="26">
        <f t="shared" ca="1" si="16"/>
        <v>0</v>
      </c>
      <c r="K67" s="26">
        <f t="shared" ca="1" si="16"/>
        <v>0</v>
      </c>
      <c r="L67" s="26">
        <f t="shared" ca="1" si="16"/>
        <v>0</v>
      </c>
      <c r="M67" s="26">
        <f t="shared" ca="1" si="16"/>
        <v>0</v>
      </c>
      <c r="N67" s="26">
        <f t="shared" ca="1" si="16"/>
        <v>0</v>
      </c>
      <c r="O67" s="26">
        <f t="shared" ca="1" si="16"/>
        <v>0</v>
      </c>
      <c r="P67" s="26">
        <f t="shared" ca="1" si="16"/>
        <v>0</v>
      </c>
      <c r="Q67" s="26">
        <f t="shared" ca="1" si="16"/>
        <v>0</v>
      </c>
      <c r="R67" s="26">
        <f t="shared" ca="1" si="16"/>
        <v>0</v>
      </c>
      <c r="S67" s="26">
        <f t="shared" ca="1" si="16"/>
        <v>0</v>
      </c>
      <c r="T67" s="26">
        <f t="shared" ca="1" si="16"/>
        <v>0</v>
      </c>
      <c r="U67" s="26">
        <f t="shared" ca="1" si="16"/>
        <v>0</v>
      </c>
      <c r="V67" s="26">
        <f t="shared" ca="1" si="16"/>
        <v>0</v>
      </c>
      <c r="W67" s="26">
        <f t="shared" ca="1" si="16"/>
        <v>0</v>
      </c>
      <c r="X67" s="26">
        <f t="shared" ca="1" si="16"/>
        <v>0</v>
      </c>
      <c r="Y67" s="26">
        <f t="shared" ca="1" si="16"/>
        <v>0</v>
      </c>
      <c r="Z67" s="26">
        <f t="shared" ca="1" si="16"/>
        <v>0</v>
      </c>
      <c r="AA67" s="26">
        <f t="shared" ca="1" si="16"/>
        <v>0</v>
      </c>
      <c r="AB67" s="26">
        <f t="shared" ca="1" si="16"/>
        <v>0</v>
      </c>
      <c r="AC67" s="26">
        <f t="shared" ca="1" si="16"/>
        <v>0</v>
      </c>
      <c r="AD67" s="26">
        <f t="shared" ca="1" si="16"/>
        <v>0</v>
      </c>
      <c r="AE67" s="26">
        <f t="shared" ca="1" si="16"/>
        <v>0</v>
      </c>
      <c r="AF67" s="26">
        <f t="shared" ca="1" si="16"/>
        <v>0</v>
      </c>
      <c r="AG67" s="26">
        <f t="shared" ca="1" si="16"/>
        <v>0</v>
      </c>
      <c r="AH67" s="26">
        <f t="shared" ca="1" si="16"/>
        <v>0</v>
      </c>
      <c r="AI67" s="26">
        <f t="shared" ca="1" si="16"/>
        <v>0</v>
      </c>
      <c r="AJ67" s="26">
        <f t="shared" ca="1" si="16"/>
        <v>0</v>
      </c>
      <c r="AK67" s="26">
        <f t="shared" ca="1" si="16"/>
        <v>0</v>
      </c>
      <c r="AL67" s="26">
        <f t="shared" ca="1" si="16"/>
        <v>0</v>
      </c>
    </row>
    <row r="68" spans="1:38" ht="21" hidden="1" customHeight="1" outlineLevel="1" thickBot="1" x14ac:dyDescent="0.4">
      <c r="A68" s="10">
        <f t="shared" si="15"/>
        <v>0</v>
      </c>
      <c r="B68" s="10">
        <f t="shared" si="15"/>
        <v>0</v>
      </c>
      <c r="C68" s="10">
        <f t="shared" si="15"/>
        <v>0</v>
      </c>
      <c r="D68" s="10">
        <f t="shared" si="15"/>
        <v>0</v>
      </c>
      <c r="E68" s="11">
        <f t="shared" si="15"/>
        <v>0</v>
      </c>
      <c r="F68" s="26">
        <f t="shared" ca="1" si="14"/>
        <v>0</v>
      </c>
      <c r="G68" s="26">
        <f t="shared" ca="1" si="16"/>
        <v>0</v>
      </c>
      <c r="H68" s="26">
        <f t="shared" ca="1" si="16"/>
        <v>0</v>
      </c>
      <c r="I68" s="26">
        <f t="shared" ca="1" si="16"/>
        <v>0</v>
      </c>
      <c r="J68" s="26">
        <f t="shared" ca="1" si="16"/>
        <v>0</v>
      </c>
      <c r="K68" s="26">
        <f t="shared" ca="1" si="16"/>
        <v>0</v>
      </c>
      <c r="L68" s="26">
        <f t="shared" ca="1" si="16"/>
        <v>0</v>
      </c>
      <c r="M68" s="26">
        <f t="shared" ca="1" si="16"/>
        <v>0</v>
      </c>
      <c r="N68" s="26">
        <f t="shared" ca="1" si="16"/>
        <v>0</v>
      </c>
      <c r="O68" s="26">
        <f t="shared" ca="1" si="16"/>
        <v>0</v>
      </c>
      <c r="P68" s="26">
        <f t="shared" ca="1" si="16"/>
        <v>0</v>
      </c>
      <c r="Q68" s="26">
        <f t="shared" ca="1" si="16"/>
        <v>0</v>
      </c>
      <c r="R68" s="26">
        <f t="shared" ca="1" si="16"/>
        <v>0</v>
      </c>
      <c r="S68" s="26">
        <f t="shared" ca="1" si="16"/>
        <v>0</v>
      </c>
      <c r="T68" s="26">
        <f t="shared" ca="1" si="16"/>
        <v>0</v>
      </c>
      <c r="U68" s="26">
        <f t="shared" ca="1" si="16"/>
        <v>0</v>
      </c>
      <c r="V68" s="26">
        <f t="shared" ca="1" si="16"/>
        <v>0</v>
      </c>
      <c r="W68" s="26">
        <f t="shared" ca="1" si="16"/>
        <v>0</v>
      </c>
      <c r="X68" s="26">
        <f t="shared" ca="1" si="16"/>
        <v>0</v>
      </c>
      <c r="Y68" s="26">
        <f t="shared" ca="1" si="16"/>
        <v>0</v>
      </c>
      <c r="Z68" s="26">
        <f t="shared" ca="1" si="16"/>
        <v>0</v>
      </c>
      <c r="AA68" s="26">
        <f t="shared" ca="1" si="16"/>
        <v>0</v>
      </c>
      <c r="AB68" s="26">
        <f t="shared" ca="1" si="16"/>
        <v>0</v>
      </c>
      <c r="AC68" s="26">
        <f t="shared" ca="1" si="16"/>
        <v>0</v>
      </c>
      <c r="AD68" s="26">
        <f t="shared" ca="1" si="16"/>
        <v>0</v>
      </c>
      <c r="AE68" s="26">
        <f t="shared" ca="1" si="16"/>
        <v>0</v>
      </c>
      <c r="AF68" s="26">
        <f t="shared" ca="1" si="16"/>
        <v>0</v>
      </c>
      <c r="AG68" s="26">
        <f t="shared" ca="1" si="16"/>
        <v>0</v>
      </c>
      <c r="AH68" s="26">
        <f t="shared" ca="1" si="16"/>
        <v>0</v>
      </c>
      <c r="AI68" s="26">
        <f t="shared" ca="1" si="16"/>
        <v>0</v>
      </c>
      <c r="AJ68" s="26">
        <f t="shared" ca="1" si="16"/>
        <v>0</v>
      </c>
      <c r="AK68" s="26">
        <f t="shared" ca="1" si="16"/>
        <v>0</v>
      </c>
      <c r="AL68" s="26">
        <f t="shared" ca="1" si="16"/>
        <v>0</v>
      </c>
    </row>
    <row r="69" spans="1:38" ht="21" hidden="1" customHeight="1" outlineLevel="1" thickBot="1" x14ac:dyDescent="0.4">
      <c r="A69" s="10">
        <f t="shared" si="15"/>
        <v>0</v>
      </c>
      <c r="B69" s="10">
        <f t="shared" si="15"/>
        <v>0</v>
      </c>
      <c r="C69" s="10">
        <f t="shared" si="15"/>
        <v>0</v>
      </c>
      <c r="D69" s="10">
        <f t="shared" si="15"/>
        <v>0</v>
      </c>
      <c r="E69" s="11">
        <f t="shared" si="15"/>
        <v>0</v>
      </c>
      <c r="F69" s="26">
        <f t="shared" ca="1" si="14"/>
        <v>0</v>
      </c>
      <c r="G69" s="26">
        <f t="shared" ca="1" si="16"/>
        <v>0</v>
      </c>
      <c r="H69" s="26">
        <f t="shared" ca="1" si="16"/>
        <v>0</v>
      </c>
      <c r="I69" s="26">
        <f t="shared" ca="1" si="16"/>
        <v>0</v>
      </c>
      <c r="J69" s="26">
        <f t="shared" ca="1" si="16"/>
        <v>0</v>
      </c>
      <c r="K69" s="26">
        <f t="shared" ca="1" si="16"/>
        <v>0</v>
      </c>
      <c r="L69" s="26">
        <f t="shared" ca="1" si="16"/>
        <v>0</v>
      </c>
      <c r="M69" s="26">
        <f t="shared" ca="1" si="16"/>
        <v>0</v>
      </c>
      <c r="N69" s="26">
        <f t="shared" ca="1" si="16"/>
        <v>0</v>
      </c>
      <c r="O69" s="26">
        <f t="shared" ca="1" si="16"/>
        <v>0</v>
      </c>
      <c r="P69" s="26">
        <f t="shared" ca="1" si="16"/>
        <v>0</v>
      </c>
      <c r="Q69" s="26">
        <f t="shared" ca="1" si="16"/>
        <v>0</v>
      </c>
      <c r="R69" s="26">
        <f t="shared" ca="1" si="16"/>
        <v>0</v>
      </c>
      <c r="S69" s="26">
        <f t="shared" ca="1" si="16"/>
        <v>0</v>
      </c>
      <c r="T69" s="26">
        <f t="shared" ca="1" si="16"/>
        <v>0</v>
      </c>
      <c r="U69" s="26">
        <f t="shared" ca="1" si="16"/>
        <v>0</v>
      </c>
      <c r="V69" s="26">
        <f t="shared" ca="1" si="16"/>
        <v>0</v>
      </c>
      <c r="W69" s="26">
        <f t="shared" ca="1" si="16"/>
        <v>0</v>
      </c>
      <c r="X69" s="26">
        <f t="shared" ca="1" si="16"/>
        <v>0</v>
      </c>
      <c r="Y69" s="26">
        <f t="shared" ca="1" si="16"/>
        <v>0</v>
      </c>
      <c r="Z69" s="26">
        <f t="shared" ca="1" si="16"/>
        <v>0</v>
      </c>
      <c r="AA69" s="26">
        <f t="shared" ca="1" si="16"/>
        <v>0</v>
      </c>
      <c r="AB69" s="26">
        <f t="shared" ca="1" si="16"/>
        <v>0</v>
      </c>
      <c r="AC69" s="26">
        <f t="shared" ca="1" si="16"/>
        <v>0</v>
      </c>
      <c r="AD69" s="26">
        <f t="shared" ca="1" si="16"/>
        <v>0</v>
      </c>
      <c r="AE69" s="26">
        <f t="shared" ca="1" si="16"/>
        <v>0</v>
      </c>
      <c r="AF69" s="26">
        <f t="shared" ca="1" si="16"/>
        <v>0</v>
      </c>
      <c r="AG69" s="26">
        <f t="shared" ca="1" si="16"/>
        <v>0</v>
      </c>
      <c r="AH69" s="26">
        <f t="shared" ca="1" si="16"/>
        <v>0</v>
      </c>
      <c r="AI69" s="26">
        <f t="shared" ca="1" si="16"/>
        <v>0</v>
      </c>
      <c r="AJ69" s="26">
        <f t="shared" ca="1" si="16"/>
        <v>0</v>
      </c>
      <c r="AK69" s="26">
        <f t="shared" ca="1" si="16"/>
        <v>0</v>
      </c>
      <c r="AL69" s="26">
        <f t="shared" ca="1" si="16"/>
        <v>0</v>
      </c>
    </row>
    <row r="70" spans="1:38" ht="21" hidden="1" customHeight="1" outlineLevel="1" thickBot="1" x14ac:dyDescent="0.4">
      <c r="A70" s="10">
        <f t="shared" si="15"/>
        <v>0</v>
      </c>
      <c r="B70" s="10">
        <f t="shared" si="15"/>
        <v>0</v>
      </c>
      <c r="C70" s="10">
        <f t="shared" si="15"/>
        <v>0</v>
      </c>
      <c r="D70" s="10">
        <f t="shared" si="15"/>
        <v>0</v>
      </c>
      <c r="E70" s="11">
        <f t="shared" si="15"/>
        <v>0</v>
      </c>
      <c r="F70" s="26">
        <f t="shared" ref="F70:U78" ca="1" si="17">$A70*H.Ar + $B70*H.Se + $C70*H.Ge + $D70*H.Ga</f>
        <v>0</v>
      </c>
      <c r="G70" s="26">
        <f t="shared" ca="1" si="17"/>
        <v>0</v>
      </c>
      <c r="H70" s="26">
        <f t="shared" ca="1" si="17"/>
        <v>0</v>
      </c>
      <c r="I70" s="26">
        <f t="shared" ca="1" si="17"/>
        <v>0</v>
      </c>
      <c r="J70" s="26">
        <f t="shared" ca="1" si="17"/>
        <v>0</v>
      </c>
      <c r="K70" s="26">
        <f t="shared" ca="1" si="17"/>
        <v>0</v>
      </c>
      <c r="L70" s="26">
        <f t="shared" ca="1" si="17"/>
        <v>0</v>
      </c>
      <c r="M70" s="26">
        <f t="shared" ca="1" si="17"/>
        <v>0</v>
      </c>
      <c r="N70" s="26">
        <f t="shared" ca="1" si="17"/>
        <v>0</v>
      </c>
      <c r="O70" s="26">
        <f t="shared" ca="1" si="17"/>
        <v>0</v>
      </c>
      <c r="P70" s="26">
        <f t="shared" ca="1" si="17"/>
        <v>0</v>
      </c>
      <c r="Q70" s="26">
        <f t="shared" ca="1" si="17"/>
        <v>0</v>
      </c>
      <c r="R70" s="26">
        <f t="shared" ca="1" si="17"/>
        <v>0</v>
      </c>
      <c r="S70" s="26">
        <f t="shared" ca="1" si="17"/>
        <v>0</v>
      </c>
      <c r="T70" s="26">
        <f t="shared" ca="1" si="17"/>
        <v>0</v>
      </c>
      <c r="U70" s="26">
        <f t="shared" ca="1" si="17"/>
        <v>0</v>
      </c>
      <c r="V70" s="26">
        <f t="shared" ca="1" si="16"/>
        <v>0</v>
      </c>
      <c r="W70" s="26">
        <f t="shared" ca="1" si="16"/>
        <v>0</v>
      </c>
      <c r="X70" s="26">
        <f t="shared" ca="1" si="16"/>
        <v>0</v>
      </c>
      <c r="Y70" s="26">
        <f t="shared" ca="1" si="16"/>
        <v>0</v>
      </c>
      <c r="Z70" s="26">
        <f t="shared" ca="1" si="16"/>
        <v>0</v>
      </c>
      <c r="AA70" s="26">
        <f t="shared" ca="1" si="16"/>
        <v>0</v>
      </c>
      <c r="AB70" s="26">
        <f t="shared" ca="1" si="16"/>
        <v>0</v>
      </c>
      <c r="AC70" s="26">
        <f t="shared" ca="1" si="16"/>
        <v>0</v>
      </c>
      <c r="AD70" s="26">
        <f t="shared" ca="1" si="16"/>
        <v>0</v>
      </c>
      <c r="AE70" s="26">
        <f t="shared" ca="1" si="16"/>
        <v>0</v>
      </c>
      <c r="AF70" s="26">
        <f t="shared" ca="1" si="16"/>
        <v>0</v>
      </c>
      <c r="AG70" s="26">
        <f t="shared" ca="1" si="16"/>
        <v>0</v>
      </c>
      <c r="AH70" s="26">
        <f t="shared" ca="1" si="16"/>
        <v>0</v>
      </c>
      <c r="AI70" s="26">
        <f t="shared" ca="1" si="16"/>
        <v>0</v>
      </c>
      <c r="AJ70" s="26">
        <f t="shared" ca="1" si="16"/>
        <v>0</v>
      </c>
      <c r="AK70" s="26">
        <f t="shared" ca="1" si="16"/>
        <v>0</v>
      </c>
      <c r="AL70" s="26">
        <f t="shared" ca="1" si="16"/>
        <v>0</v>
      </c>
    </row>
    <row r="71" spans="1:38" ht="21" hidden="1" customHeight="1" outlineLevel="1" thickBot="1" x14ac:dyDescent="0.4">
      <c r="A71" s="10">
        <f t="shared" si="15"/>
        <v>0</v>
      </c>
      <c r="B71" s="10">
        <f t="shared" si="15"/>
        <v>0</v>
      </c>
      <c r="C71" s="10">
        <f t="shared" si="15"/>
        <v>0</v>
      </c>
      <c r="D71" s="10">
        <f t="shared" si="15"/>
        <v>0</v>
      </c>
      <c r="E71" s="11">
        <f t="shared" si="15"/>
        <v>0</v>
      </c>
      <c r="F71" s="26">
        <f t="shared" ca="1" si="17"/>
        <v>0</v>
      </c>
      <c r="G71" s="26">
        <f t="shared" ca="1" si="16"/>
        <v>0</v>
      </c>
      <c r="H71" s="26">
        <f t="shared" ca="1" si="16"/>
        <v>0</v>
      </c>
      <c r="I71" s="26">
        <f t="shared" ca="1" si="16"/>
        <v>0</v>
      </c>
      <c r="J71" s="26">
        <f t="shared" ca="1" si="16"/>
        <v>0</v>
      </c>
      <c r="K71" s="26">
        <f t="shared" ca="1" si="16"/>
        <v>0</v>
      </c>
      <c r="L71" s="26">
        <f t="shared" ca="1" si="16"/>
        <v>0</v>
      </c>
      <c r="M71" s="26">
        <f t="shared" ca="1" si="16"/>
        <v>0</v>
      </c>
      <c r="N71" s="26">
        <f t="shared" ca="1" si="16"/>
        <v>0</v>
      </c>
      <c r="O71" s="26">
        <f t="shared" ca="1" si="16"/>
        <v>0</v>
      </c>
      <c r="P71" s="26">
        <f t="shared" ca="1" si="16"/>
        <v>0</v>
      </c>
      <c r="Q71" s="26">
        <f t="shared" ca="1" si="16"/>
        <v>0</v>
      </c>
      <c r="R71" s="26">
        <f t="shared" ca="1" si="16"/>
        <v>0</v>
      </c>
      <c r="S71" s="26">
        <f t="shared" ca="1" si="16"/>
        <v>0</v>
      </c>
      <c r="T71" s="26">
        <f t="shared" ca="1" si="16"/>
        <v>0</v>
      </c>
      <c r="U71" s="26">
        <f t="shared" ca="1" si="16"/>
        <v>0</v>
      </c>
      <c r="V71" s="26">
        <f t="shared" ca="1" si="16"/>
        <v>0</v>
      </c>
      <c r="W71" s="26">
        <f t="shared" ca="1" si="16"/>
        <v>0</v>
      </c>
      <c r="X71" s="26">
        <f t="shared" ca="1" si="16"/>
        <v>0</v>
      </c>
      <c r="Y71" s="26">
        <f t="shared" ca="1" si="16"/>
        <v>0</v>
      </c>
      <c r="Z71" s="26">
        <f t="shared" ca="1" si="16"/>
        <v>0</v>
      </c>
      <c r="AA71" s="26">
        <f t="shared" ca="1" si="16"/>
        <v>0</v>
      </c>
      <c r="AB71" s="26">
        <f t="shared" ca="1" si="16"/>
        <v>0</v>
      </c>
      <c r="AC71" s="26">
        <f t="shared" ca="1" si="16"/>
        <v>0</v>
      </c>
      <c r="AD71" s="26">
        <f t="shared" ca="1" si="16"/>
        <v>0</v>
      </c>
      <c r="AE71" s="26">
        <f t="shared" ca="1" si="16"/>
        <v>0</v>
      </c>
      <c r="AF71" s="26">
        <f t="shared" ca="1" si="16"/>
        <v>0</v>
      </c>
      <c r="AG71" s="26">
        <f t="shared" ca="1" si="16"/>
        <v>0</v>
      </c>
      <c r="AH71" s="26">
        <f t="shared" ca="1" si="16"/>
        <v>0</v>
      </c>
      <c r="AI71" s="26">
        <f t="shared" ca="1" si="16"/>
        <v>0</v>
      </c>
      <c r="AJ71" s="26">
        <f t="shared" ca="1" si="16"/>
        <v>0</v>
      </c>
      <c r="AK71" s="26">
        <f t="shared" ca="1" si="16"/>
        <v>0</v>
      </c>
      <c r="AL71" s="26">
        <f t="shared" ca="1" si="16"/>
        <v>0</v>
      </c>
    </row>
    <row r="72" spans="1:38" ht="21" hidden="1" customHeight="1" outlineLevel="1" thickBot="1" x14ac:dyDescent="0.4">
      <c r="A72" s="10">
        <f t="shared" si="15"/>
        <v>0</v>
      </c>
      <c r="B72" s="10">
        <f t="shared" si="15"/>
        <v>0</v>
      </c>
      <c r="C72" s="10">
        <f t="shared" si="15"/>
        <v>0</v>
      </c>
      <c r="D72" s="10">
        <f t="shared" si="15"/>
        <v>0</v>
      </c>
      <c r="E72" s="11">
        <f t="shared" si="15"/>
        <v>0</v>
      </c>
      <c r="F72" s="26">
        <f t="shared" ca="1" si="17"/>
        <v>0</v>
      </c>
      <c r="G72" s="26">
        <f t="shared" ca="1" si="16"/>
        <v>0</v>
      </c>
      <c r="H72" s="26">
        <f t="shared" ca="1" si="16"/>
        <v>0</v>
      </c>
      <c r="I72" s="26">
        <f t="shared" ca="1" si="16"/>
        <v>0</v>
      </c>
      <c r="J72" s="26">
        <f t="shared" ca="1" si="16"/>
        <v>0</v>
      </c>
      <c r="K72" s="26">
        <f t="shared" ca="1" si="16"/>
        <v>0</v>
      </c>
      <c r="L72" s="26">
        <f t="shared" ca="1" si="16"/>
        <v>0</v>
      </c>
      <c r="M72" s="26">
        <f t="shared" ca="1" si="16"/>
        <v>0</v>
      </c>
      <c r="N72" s="26">
        <f t="shared" ca="1" si="16"/>
        <v>0</v>
      </c>
      <c r="O72" s="26">
        <f t="shared" ca="1" si="16"/>
        <v>0</v>
      </c>
      <c r="P72" s="26">
        <f t="shared" ca="1" si="16"/>
        <v>0</v>
      </c>
      <c r="Q72" s="26">
        <f t="shared" ca="1" si="16"/>
        <v>0</v>
      </c>
      <c r="R72" s="26">
        <f t="shared" ca="1" si="16"/>
        <v>0</v>
      </c>
      <c r="S72" s="26">
        <f t="shared" ca="1" si="16"/>
        <v>0</v>
      </c>
      <c r="T72" s="26">
        <f t="shared" ca="1" si="16"/>
        <v>0</v>
      </c>
      <c r="U72" s="26">
        <f t="shared" ca="1" si="16"/>
        <v>0</v>
      </c>
      <c r="V72" s="26">
        <f t="shared" ca="1" si="16"/>
        <v>0</v>
      </c>
      <c r="W72" s="26">
        <f t="shared" ca="1" si="16"/>
        <v>0</v>
      </c>
      <c r="X72" s="26">
        <f t="shared" ca="1" si="16"/>
        <v>0</v>
      </c>
      <c r="Y72" s="26">
        <f t="shared" ca="1" si="16"/>
        <v>0</v>
      </c>
      <c r="Z72" s="26">
        <f t="shared" ca="1" si="16"/>
        <v>0</v>
      </c>
      <c r="AA72" s="26">
        <f t="shared" ca="1" si="16"/>
        <v>0</v>
      </c>
      <c r="AB72" s="26">
        <f t="shared" ca="1" si="16"/>
        <v>0</v>
      </c>
      <c r="AC72" s="26">
        <f t="shared" ca="1" si="16"/>
        <v>0</v>
      </c>
      <c r="AD72" s="26">
        <f t="shared" ca="1" si="16"/>
        <v>0</v>
      </c>
      <c r="AE72" s="26">
        <f t="shared" ca="1" si="16"/>
        <v>0</v>
      </c>
      <c r="AF72" s="26">
        <f t="shared" ca="1" si="16"/>
        <v>0</v>
      </c>
      <c r="AG72" s="26">
        <f t="shared" ca="1" si="16"/>
        <v>0</v>
      </c>
      <c r="AH72" s="26">
        <f t="shared" ca="1" si="16"/>
        <v>0</v>
      </c>
      <c r="AI72" s="26">
        <f t="shared" ca="1" si="16"/>
        <v>0</v>
      </c>
      <c r="AJ72" s="26">
        <f t="shared" ca="1" si="16"/>
        <v>0</v>
      </c>
      <c r="AK72" s="26">
        <f t="shared" ca="1" si="16"/>
        <v>0</v>
      </c>
      <c r="AL72" s="26">
        <f t="shared" ca="1" si="16"/>
        <v>0</v>
      </c>
    </row>
    <row r="73" spans="1:38" ht="21" hidden="1" customHeight="1" outlineLevel="1" thickBot="1" x14ac:dyDescent="0.4">
      <c r="A73" s="10">
        <f t="shared" si="15"/>
        <v>0</v>
      </c>
      <c r="B73" s="10">
        <f t="shared" si="15"/>
        <v>0</v>
      </c>
      <c r="C73" s="10">
        <f t="shared" si="15"/>
        <v>0</v>
      </c>
      <c r="D73" s="10">
        <f t="shared" si="15"/>
        <v>0</v>
      </c>
      <c r="E73" s="11">
        <f t="shared" si="15"/>
        <v>0</v>
      </c>
      <c r="F73" s="26">
        <f t="shared" ca="1" si="17"/>
        <v>0</v>
      </c>
      <c r="G73" s="26">
        <f t="shared" ca="1" si="16"/>
        <v>0</v>
      </c>
      <c r="H73" s="26">
        <f t="shared" ca="1" si="16"/>
        <v>0</v>
      </c>
      <c r="I73" s="26">
        <f t="shared" ca="1" si="16"/>
        <v>0</v>
      </c>
      <c r="J73" s="26">
        <f t="shared" ca="1" si="16"/>
        <v>0</v>
      </c>
      <c r="K73" s="26">
        <f t="shared" ca="1" si="16"/>
        <v>0</v>
      </c>
      <c r="L73" s="26">
        <f t="shared" ca="1" si="16"/>
        <v>0</v>
      </c>
      <c r="M73" s="26">
        <f t="shared" ca="1" si="16"/>
        <v>0</v>
      </c>
      <c r="N73" s="26">
        <f t="shared" ca="1" si="16"/>
        <v>0</v>
      </c>
      <c r="O73" s="26">
        <f t="shared" ca="1" si="16"/>
        <v>0</v>
      </c>
      <c r="P73" s="26">
        <f t="shared" ca="1" si="16"/>
        <v>0</v>
      </c>
      <c r="Q73" s="26">
        <f t="shared" ca="1" si="16"/>
        <v>0</v>
      </c>
      <c r="R73" s="26">
        <f t="shared" ca="1" si="16"/>
        <v>0</v>
      </c>
      <c r="S73" s="26">
        <f t="shared" ca="1" si="16"/>
        <v>0</v>
      </c>
      <c r="T73" s="26">
        <f t="shared" ca="1" si="16"/>
        <v>0</v>
      </c>
      <c r="U73" s="26">
        <f t="shared" ca="1" si="16"/>
        <v>0</v>
      </c>
      <c r="V73" s="26">
        <f t="shared" ca="1" si="16"/>
        <v>0</v>
      </c>
      <c r="W73" s="26">
        <f t="shared" ca="1" si="16"/>
        <v>0</v>
      </c>
      <c r="X73" s="26">
        <f t="shared" ca="1" si="16"/>
        <v>0</v>
      </c>
      <c r="Y73" s="26">
        <f t="shared" ca="1" si="16"/>
        <v>0</v>
      </c>
      <c r="Z73" s="26">
        <f t="shared" ca="1" si="16"/>
        <v>0</v>
      </c>
      <c r="AA73" s="26">
        <f t="shared" ca="1" si="16"/>
        <v>0</v>
      </c>
      <c r="AB73" s="26">
        <f t="shared" ca="1" si="16"/>
        <v>0</v>
      </c>
      <c r="AC73" s="26">
        <f t="shared" ca="1" si="16"/>
        <v>0</v>
      </c>
      <c r="AD73" s="26">
        <f t="shared" ca="1" si="16"/>
        <v>0</v>
      </c>
      <c r="AE73" s="26">
        <f t="shared" ca="1" si="16"/>
        <v>0</v>
      </c>
      <c r="AF73" s="26">
        <f t="shared" ca="1" si="16"/>
        <v>0</v>
      </c>
      <c r="AG73" s="26">
        <f t="shared" ca="1" si="16"/>
        <v>0</v>
      </c>
      <c r="AH73" s="26">
        <f t="shared" ca="1" si="16"/>
        <v>0</v>
      </c>
      <c r="AI73" s="26">
        <f t="shared" ca="1" si="16"/>
        <v>0</v>
      </c>
      <c r="AJ73" s="26">
        <f t="shared" ca="1" si="16"/>
        <v>0</v>
      </c>
      <c r="AK73" s="26">
        <f t="shared" ca="1" si="16"/>
        <v>0</v>
      </c>
      <c r="AL73" s="26">
        <f t="shared" ca="1" si="16"/>
        <v>0</v>
      </c>
    </row>
    <row r="74" spans="1:38" ht="21" hidden="1" customHeight="1" outlineLevel="1" thickBot="1" x14ac:dyDescent="0.4">
      <c r="A74" s="10">
        <f t="shared" si="15"/>
        <v>0</v>
      </c>
      <c r="B74" s="10">
        <f t="shared" si="15"/>
        <v>0</v>
      </c>
      <c r="C74" s="10">
        <f t="shared" si="15"/>
        <v>0</v>
      </c>
      <c r="D74" s="10">
        <f t="shared" si="15"/>
        <v>0</v>
      </c>
      <c r="E74" s="11">
        <f t="shared" si="15"/>
        <v>0</v>
      </c>
      <c r="F74" s="26">
        <f t="shared" ca="1" si="17"/>
        <v>0</v>
      </c>
      <c r="G74" s="26">
        <f t="shared" ca="1" si="16"/>
        <v>0</v>
      </c>
      <c r="H74" s="26">
        <f t="shared" ca="1" si="16"/>
        <v>0</v>
      </c>
      <c r="I74" s="26">
        <f t="shared" ca="1" si="16"/>
        <v>0</v>
      </c>
      <c r="J74" s="26">
        <f t="shared" ca="1" si="16"/>
        <v>0</v>
      </c>
      <c r="K74" s="26">
        <f t="shared" ca="1" si="16"/>
        <v>0</v>
      </c>
      <c r="L74" s="26">
        <f t="shared" ca="1" si="16"/>
        <v>0</v>
      </c>
      <c r="M74" s="26">
        <f t="shared" ca="1" si="16"/>
        <v>0</v>
      </c>
      <c r="N74" s="26">
        <f t="shared" ca="1" si="16"/>
        <v>0</v>
      </c>
      <c r="O74" s="26">
        <f t="shared" ca="1" si="16"/>
        <v>0</v>
      </c>
      <c r="P74" s="26">
        <f t="shared" ca="1" si="16"/>
        <v>0</v>
      </c>
      <c r="Q74" s="26">
        <f t="shared" ca="1" si="16"/>
        <v>0</v>
      </c>
      <c r="R74" s="26">
        <f t="shared" ca="1" si="16"/>
        <v>0</v>
      </c>
      <c r="S74" s="26">
        <f t="shared" ca="1" si="16"/>
        <v>0</v>
      </c>
      <c r="T74" s="26">
        <f t="shared" ca="1" si="16"/>
        <v>0</v>
      </c>
      <c r="U74" s="26">
        <f t="shared" ca="1" si="16"/>
        <v>0</v>
      </c>
      <c r="V74" s="26">
        <f t="shared" ca="1" si="16"/>
        <v>0</v>
      </c>
      <c r="W74" s="26">
        <f t="shared" ca="1" si="16"/>
        <v>0</v>
      </c>
      <c r="X74" s="26">
        <f t="shared" ca="1" si="16"/>
        <v>0</v>
      </c>
      <c r="Y74" s="26">
        <f t="shared" ca="1" si="16"/>
        <v>0</v>
      </c>
      <c r="Z74" s="26">
        <f t="shared" ca="1" si="16"/>
        <v>0</v>
      </c>
      <c r="AA74" s="26">
        <f t="shared" ca="1" si="16"/>
        <v>0</v>
      </c>
      <c r="AB74" s="26">
        <f t="shared" ca="1" si="16"/>
        <v>0</v>
      </c>
      <c r="AC74" s="26">
        <f t="shared" ca="1" si="16"/>
        <v>0</v>
      </c>
      <c r="AD74" s="26">
        <f t="shared" ca="1" si="16"/>
        <v>0</v>
      </c>
      <c r="AE74" s="26">
        <f t="shared" ca="1" si="16"/>
        <v>0</v>
      </c>
      <c r="AF74" s="26">
        <f t="shared" ca="1" si="16"/>
        <v>0</v>
      </c>
      <c r="AG74" s="26">
        <f t="shared" ca="1" si="16"/>
        <v>0</v>
      </c>
      <c r="AH74" s="26">
        <f t="shared" ca="1" si="16"/>
        <v>0</v>
      </c>
      <c r="AI74" s="26">
        <f t="shared" ca="1" si="16"/>
        <v>0</v>
      </c>
      <c r="AJ74" s="26">
        <f t="shared" ca="1" si="16"/>
        <v>0</v>
      </c>
      <c r="AK74" s="26">
        <f t="shared" ca="1" si="16"/>
        <v>0</v>
      </c>
      <c r="AL74" s="26">
        <f t="shared" ca="1" si="16"/>
        <v>0</v>
      </c>
    </row>
    <row r="75" spans="1:38" ht="21" hidden="1" customHeight="1" outlineLevel="1" thickBot="1" x14ac:dyDescent="0.4">
      <c r="A75" s="10">
        <f t="shared" si="15"/>
        <v>0</v>
      </c>
      <c r="B75" s="10">
        <f t="shared" si="15"/>
        <v>0</v>
      </c>
      <c r="C75" s="10">
        <f t="shared" si="15"/>
        <v>0</v>
      </c>
      <c r="D75" s="10">
        <f t="shared" si="15"/>
        <v>0</v>
      </c>
      <c r="E75" s="11">
        <f t="shared" si="15"/>
        <v>0</v>
      </c>
      <c r="F75" s="26">
        <f t="shared" ca="1" si="17"/>
        <v>0</v>
      </c>
      <c r="G75" s="26">
        <f t="shared" ca="1" si="16"/>
        <v>0</v>
      </c>
      <c r="H75" s="26">
        <f t="shared" ca="1" si="16"/>
        <v>0</v>
      </c>
      <c r="I75" s="26">
        <f t="shared" ca="1" si="16"/>
        <v>0</v>
      </c>
      <c r="J75" s="26">
        <f t="shared" ca="1" si="16"/>
        <v>0</v>
      </c>
      <c r="K75" s="26">
        <f t="shared" ca="1" si="16"/>
        <v>0</v>
      </c>
      <c r="L75" s="26">
        <f t="shared" ca="1" si="16"/>
        <v>0</v>
      </c>
      <c r="M75" s="26">
        <f t="shared" ca="1" si="16"/>
        <v>0</v>
      </c>
      <c r="N75" s="26">
        <f t="shared" ca="1" si="16"/>
        <v>0</v>
      </c>
      <c r="O75" s="26">
        <f t="shared" ca="1" si="16"/>
        <v>0</v>
      </c>
      <c r="P75" s="26">
        <f t="shared" ca="1" si="16"/>
        <v>0</v>
      </c>
      <c r="Q75" s="26">
        <f t="shared" ref="G75:AL78" ca="1" si="18">$A75*H.Ar + $B75*H.Se + $C75*H.Ge + $D75*H.Ga</f>
        <v>0</v>
      </c>
      <c r="R75" s="26">
        <f t="shared" ca="1" si="18"/>
        <v>0</v>
      </c>
      <c r="S75" s="26">
        <f t="shared" ca="1" si="18"/>
        <v>0</v>
      </c>
      <c r="T75" s="26">
        <f t="shared" ca="1" si="18"/>
        <v>0</v>
      </c>
      <c r="U75" s="26">
        <f t="shared" ca="1" si="18"/>
        <v>0</v>
      </c>
      <c r="V75" s="26">
        <f t="shared" ca="1" si="18"/>
        <v>0</v>
      </c>
      <c r="W75" s="26">
        <f t="shared" ca="1" si="18"/>
        <v>0</v>
      </c>
      <c r="X75" s="26">
        <f t="shared" ca="1" si="18"/>
        <v>0</v>
      </c>
      <c r="Y75" s="26">
        <f t="shared" ca="1" si="18"/>
        <v>0</v>
      </c>
      <c r="Z75" s="26">
        <f t="shared" ca="1" si="18"/>
        <v>0</v>
      </c>
      <c r="AA75" s="26">
        <f t="shared" ca="1" si="18"/>
        <v>0</v>
      </c>
      <c r="AB75" s="26">
        <f t="shared" ca="1" si="18"/>
        <v>0</v>
      </c>
      <c r="AC75" s="26">
        <f t="shared" ca="1" si="18"/>
        <v>0</v>
      </c>
      <c r="AD75" s="26">
        <f t="shared" ca="1" si="18"/>
        <v>0</v>
      </c>
      <c r="AE75" s="26">
        <f t="shared" ca="1" si="18"/>
        <v>0</v>
      </c>
      <c r="AF75" s="26">
        <f t="shared" ca="1" si="18"/>
        <v>0</v>
      </c>
      <c r="AG75" s="26">
        <f t="shared" ca="1" si="18"/>
        <v>0</v>
      </c>
      <c r="AH75" s="26">
        <f t="shared" ca="1" si="18"/>
        <v>0</v>
      </c>
      <c r="AI75" s="26">
        <f t="shared" ca="1" si="18"/>
        <v>0</v>
      </c>
      <c r="AJ75" s="26">
        <f t="shared" ca="1" si="18"/>
        <v>0</v>
      </c>
      <c r="AK75" s="26">
        <f t="shared" ca="1" si="18"/>
        <v>0</v>
      </c>
      <c r="AL75" s="26">
        <f t="shared" ca="1" si="18"/>
        <v>0</v>
      </c>
    </row>
    <row r="76" spans="1:38" ht="21" hidden="1" customHeight="1" outlineLevel="1" thickBot="1" x14ac:dyDescent="0.4">
      <c r="A76" s="10">
        <f t="shared" si="15"/>
        <v>0</v>
      </c>
      <c r="B76" s="10">
        <f t="shared" si="15"/>
        <v>0</v>
      </c>
      <c r="C76" s="10">
        <f t="shared" si="15"/>
        <v>0</v>
      </c>
      <c r="D76" s="10">
        <f t="shared" si="15"/>
        <v>0</v>
      </c>
      <c r="E76" s="11">
        <f t="shared" si="15"/>
        <v>0</v>
      </c>
      <c r="F76" s="26">
        <f t="shared" ca="1" si="17"/>
        <v>0</v>
      </c>
      <c r="G76" s="26">
        <f t="shared" ca="1" si="18"/>
        <v>0</v>
      </c>
      <c r="H76" s="26">
        <f t="shared" ca="1" si="18"/>
        <v>0</v>
      </c>
      <c r="I76" s="26">
        <f t="shared" ca="1" si="18"/>
        <v>0</v>
      </c>
      <c r="J76" s="26">
        <f t="shared" ca="1" si="18"/>
        <v>0</v>
      </c>
      <c r="K76" s="26">
        <f t="shared" ca="1" si="18"/>
        <v>0</v>
      </c>
      <c r="L76" s="26">
        <f t="shared" ca="1" si="18"/>
        <v>0</v>
      </c>
      <c r="M76" s="26">
        <f t="shared" ca="1" si="18"/>
        <v>0</v>
      </c>
      <c r="N76" s="26">
        <f t="shared" ca="1" si="18"/>
        <v>0</v>
      </c>
      <c r="O76" s="26">
        <f t="shared" ca="1" si="18"/>
        <v>0</v>
      </c>
      <c r="P76" s="26">
        <f t="shared" ca="1" si="18"/>
        <v>0</v>
      </c>
      <c r="Q76" s="26">
        <f t="shared" ca="1" si="18"/>
        <v>0</v>
      </c>
      <c r="R76" s="26">
        <f t="shared" ca="1" si="18"/>
        <v>0</v>
      </c>
      <c r="S76" s="26">
        <f t="shared" ca="1" si="18"/>
        <v>0</v>
      </c>
      <c r="T76" s="26">
        <f t="shared" ca="1" si="18"/>
        <v>0</v>
      </c>
      <c r="U76" s="26">
        <f t="shared" ca="1" si="18"/>
        <v>0</v>
      </c>
      <c r="V76" s="26">
        <f t="shared" ca="1" si="18"/>
        <v>0</v>
      </c>
      <c r="W76" s="26">
        <f t="shared" ca="1" si="18"/>
        <v>0</v>
      </c>
      <c r="X76" s="26">
        <f t="shared" ca="1" si="18"/>
        <v>0</v>
      </c>
      <c r="Y76" s="26">
        <f t="shared" ca="1" si="18"/>
        <v>0</v>
      </c>
      <c r="Z76" s="26">
        <f t="shared" ca="1" si="18"/>
        <v>0</v>
      </c>
      <c r="AA76" s="26">
        <f t="shared" ca="1" si="18"/>
        <v>0</v>
      </c>
      <c r="AB76" s="26">
        <f t="shared" ca="1" si="18"/>
        <v>0</v>
      </c>
      <c r="AC76" s="26">
        <f t="shared" ca="1" si="18"/>
        <v>0</v>
      </c>
      <c r="AD76" s="26">
        <f t="shared" ca="1" si="18"/>
        <v>0</v>
      </c>
      <c r="AE76" s="26">
        <f t="shared" ca="1" si="18"/>
        <v>0</v>
      </c>
      <c r="AF76" s="26">
        <f t="shared" ca="1" si="18"/>
        <v>0</v>
      </c>
      <c r="AG76" s="26">
        <f t="shared" ca="1" si="18"/>
        <v>0</v>
      </c>
      <c r="AH76" s="26">
        <f t="shared" ca="1" si="18"/>
        <v>0</v>
      </c>
      <c r="AI76" s="26">
        <f t="shared" ca="1" si="18"/>
        <v>0</v>
      </c>
      <c r="AJ76" s="26">
        <f t="shared" ca="1" si="18"/>
        <v>0</v>
      </c>
      <c r="AK76" s="26">
        <f t="shared" ca="1" si="18"/>
        <v>0</v>
      </c>
      <c r="AL76" s="26">
        <f t="shared" ca="1" si="18"/>
        <v>0</v>
      </c>
    </row>
    <row r="77" spans="1:38" ht="21" hidden="1" customHeight="1" outlineLevel="1" thickBot="1" x14ac:dyDescent="0.4">
      <c r="A77" s="10">
        <f t="shared" si="15"/>
        <v>0</v>
      </c>
      <c r="B77" s="10">
        <f t="shared" si="15"/>
        <v>0</v>
      </c>
      <c r="C77" s="10">
        <f t="shared" si="15"/>
        <v>0</v>
      </c>
      <c r="D77" s="10">
        <f t="shared" si="15"/>
        <v>0</v>
      </c>
      <c r="E77" s="11">
        <f t="shared" si="15"/>
        <v>0</v>
      </c>
      <c r="F77" s="26">
        <f t="shared" ca="1" si="17"/>
        <v>0</v>
      </c>
      <c r="G77" s="26">
        <f t="shared" ca="1" si="18"/>
        <v>0</v>
      </c>
      <c r="H77" s="26">
        <f t="shared" ca="1" si="18"/>
        <v>0</v>
      </c>
      <c r="I77" s="26">
        <f t="shared" ca="1" si="18"/>
        <v>0</v>
      </c>
      <c r="J77" s="26">
        <f t="shared" ca="1" si="18"/>
        <v>0</v>
      </c>
      <c r="K77" s="26">
        <f t="shared" ca="1" si="18"/>
        <v>0</v>
      </c>
      <c r="L77" s="26">
        <f t="shared" ca="1" si="18"/>
        <v>0</v>
      </c>
      <c r="M77" s="26">
        <f t="shared" ca="1" si="18"/>
        <v>0</v>
      </c>
      <c r="N77" s="26">
        <f t="shared" ca="1" si="18"/>
        <v>0</v>
      </c>
      <c r="O77" s="26">
        <f t="shared" ca="1" si="18"/>
        <v>0</v>
      </c>
      <c r="P77" s="26">
        <f t="shared" ca="1" si="18"/>
        <v>0</v>
      </c>
      <c r="Q77" s="26">
        <f t="shared" ca="1" si="18"/>
        <v>0</v>
      </c>
      <c r="R77" s="26">
        <f t="shared" ca="1" si="18"/>
        <v>0</v>
      </c>
      <c r="S77" s="26">
        <f t="shared" ca="1" si="18"/>
        <v>0</v>
      </c>
      <c r="T77" s="26">
        <f t="shared" ca="1" si="18"/>
        <v>0</v>
      </c>
      <c r="U77" s="26">
        <f t="shared" ca="1" si="18"/>
        <v>0</v>
      </c>
      <c r="V77" s="26">
        <f t="shared" ca="1" si="18"/>
        <v>0</v>
      </c>
      <c r="W77" s="26">
        <f t="shared" ca="1" si="18"/>
        <v>0</v>
      </c>
      <c r="X77" s="26">
        <f t="shared" ca="1" si="18"/>
        <v>0</v>
      </c>
      <c r="Y77" s="26">
        <f t="shared" ca="1" si="18"/>
        <v>0</v>
      </c>
      <c r="Z77" s="26">
        <f t="shared" ca="1" si="18"/>
        <v>0</v>
      </c>
      <c r="AA77" s="26">
        <f t="shared" ca="1" si="18"/>
        <v>0</v>
      </c>
      <c r="AB77" s="26">
        <f t="shared" ca="1" si="18"/>
        <v>0</v>
      </c>
      <c r="AC77" s="26">
        <f t="shared" ca="1" si="18"/>
        <v>0</v>
      </c>
      <c r="AD77" s="26">
        <f t="shared" ca="1" si="18"/>
        <v>0</v>
      </c>
      <c r="AE77" s="26">
        <f t="shared" ca="1" si="18"/>
        <v>0</v>
      </c>
      <c r="AF77" s="26">
        <f t="shared" ca="1" si="18"/>
        <v>0</v>
      </c>
      <c r="AG77" s="26">
        <f t="shared" ca="1" si="18"/>
        <v>0</v>
      </c>
      <c r="AH77" s="26">
        <f t="shared" ca="1" si="18"/>
        <v>0</v>
      </c>
      <c r="AI77" s="26">
        <f t="shared" ca="1" si="18"/>
        <v>0</v>
      </c>
      <c r="AJ77" s="26">
        <f t="shared" ca="1" si="18"/>
        <v>0</v>
      </c>
      <c r="AK77" s="26">
        <f t="shared" ca="1" si="18"/>
        <v>0</v>
      </c>
      <c r="AL77" s="26">
        <f t="shared" ca="1" si="18"/>
        <v>0</v>
      </c>
    </row>
    <row r="78" spans="1:38" ht="21" hidden="1" customHeight="1" outlineLevel="1" thickBot="1" x14ac:dyDescent="0.4">
      <c r="A78" s="10">
        <f t="shared" si="15"/>
        <v>0</v>
      </c>
      <c r="B78" s="10">
        <f t="shared" si="15"/>
        <v>0</v>
      </c>
      <c r="C78" s="10">
        <f t="shared" si="15"/>
        <v>0</v>
      </c>
      <c r="D78" s="10">
        <f t="shared" si="15"/>
        <v>0</v>
      </c>
      <c r="E78" s="11">
        <f t="shared" si="15"/>
        <v>0</v>
      </c>
      <c r="F78" s="26">
        <f t="shared" ca="1" si="17"/>
        <v>0</v>
      </c>
      <c r="G78" s="26">
        <f t="shared" ca="1" si="18"/>
        <v>0</v>
      </c>
      <c r="H78" s="26">
        <f t="shared" ca="1" si="18"/>
        <v>0</v>
      </c>
      <c r="I78" s="26">
        <f t="shared" ca="1" si="18"/>
        <v>0</v>
      </c>
      <c r="J78" s="26">
        <f t="shared" ca="1" si="18"/>
        <v>0</v>
      </c>
      <c r="K78" s="26">
        <f t="shared" ca="1" si="18"/>
        <v>0</v>
      </c>
      <c r="L78" s="26">
        <f t="shared" ca="1" si="18"/>
        <v>0</v>
      </c>
      <c r="M78" s="26">
        <f t="shared" ca="1" si="18"/>
        <v>0</v>
      </c>
      <c r="N78" s="26">
        <f t="shared" ca="1" si="18"/>
        <v>0</v>
      </c>
      <c r="O78" s="26">
        <f t="shared" ca="1" si="18"/>
        <v>0</v>
      </c>
      <c r="P78" s="26">
        <f t="shared" ca="1" si="18"/>
        <v>0</v>
      </c>
      <c r="Q78" s="26">
        <f t="shared" ca="1" si="18"/>
        <v>0</v>
      </c>
      <c r="R78" s="26">
        <f t="shared" ca="1" si="18"/>
        <v>0</v>
      </c>
      <c r="S78" s="26">
        <f t="shared" ca="1" si="18"/>
        <v>0</v>
      </c>
      <c r="T78" s="26">
        <f t="shared" ca="1" si="18"/>
        <v>0</v>
      </c>
      <c r="U78" s="26">
        <f t="shared" ca="1" si="18"/>
        <v>0</v>
      </c>
      <c r="V78" s="26">
        <f t="shared" ca="1" si="18"/>
        <v>0</v>
      </c>
      <c r="W78" s="26">
        <f t="shared" ca="1" si="18"/>
        <v>0</v>
      </c>
      <c r="X78" s="26">
        <f t="shared" ca="1" si="18"/>
        <v>0</v>
      </c>
      <c r="Y78" s="26">
        <f t="shared" ca="1" si="18"/>
        <v>0</v>
      </c>
      <c r="Z78" s="26">
        <f t="shared" ca="1" si="18"/>
        <v>0</v>
      </c>
      <c r="AA78" s="26">
        <f t="shared" ca="1" si="18"/>
        <v>0</v>
      </c>
      <c r="AB78" s="26">
        <f t="shared" ca="1" si="18"/>
        <v>0</v>
      </c>
      <c r="AC78" s="26">
        <f t="shared" ca="1" si="18"/>
        <v>0</v>
      </c>
      <c r="AD78" s="26">
        <f t="shared" ca="1" si="18"/>
        <v>0</v>
      </c>
      <c r="AE78" s="26">
        <f t="shared" ca="1" si="18"/>
        <v>0</v>
      </c>
      <c r="AF78" s="26">
        <f t="shared" ca="1" si="18"/>
        <v>0</v>
      </c>
      <c r="AG78" s="26">
        <f t="shared" ca="1" si="18"/>
        <v>0</v>
      </c>
      <c r="AH78" s="26">
        <f t="shared" ca="1" si="18"/>
        <v>0</v>
      </c>
      <c r="AI78" s="26">
        <f t="shared" ca="1" si="18"/>
        <v>0</v>
      </c>
      <c r="AJ78" s="26">
        <f t="shared" ca="1" si="18"/>
        <v>0</v>
      </c>
      <c r="AK78" s="26">
        <f t="shared" ca="1" si="18"/>
        <v>0</v>
      </c>
      <c r="AL78" s="26">
        <f t="shared" ca="1" si="18"/>
        <v>0</v>
      </c>
    </row>
    <row r="79" spans="1:38" ht="21" hidden="1" customHeight="1" outlineLevel="1" thickBot="1" x14ac:dyDescent="0.4">
      <c r="A79" s="10">
        <f t="shared" si="15"/>
        <v>0</v>
      </c>
      <c r="B79" s="10">
        <f t="shared" si="15"/>
        <v>0</v>
      </c>
      <c r="C79" s="10">
        <f t="shared" si="15"/>
        <v>0</v>
      </c>
      <c r="D79" s="10">
        <f t="shared" si="15"/>
        <v>0</v>
      </c>
      <c r="E79" s="11">
        <f t="shared" si="15"/>
        <v>1</v>
      </c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</row>
    <row r="80" spans="1:38" ht="21" hidden="1" customHeight="1" outlineLevel="1" x14ac:dyDescent="0.35"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</row>
    <row r="81" spans="1:41" ht="21" customHeight="1" collapsed="1" x14ac:dyDescent="0.35"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81"/>
      <c r="T81" s="8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</row>
    <row r="82" spans="1:41" ht="21" customHeight="1" x14ac:dyDescent="0.4">
      <c r="A82" s="26"/>
      <c r="B82" s="26"/>
      <c r="C82" s="38">
        <f>E41</f>
        <v>6.25</v>
      </c>
      <c r="D82" s="3"/>
      <c r="E82" s="4" t="s">
        <v>30</v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81"/>
      <c r="AN82" s="81"/>
      <c r="AO82" s="81"/>
    </row>
    <row r="83" spans="1:41" ht="21" hidden="1" customHeight="1" outlineLevel="1" thickTop="1" thickBot="1" x14ac:dyDescent="0.4">
      <c r="A83" s="24" t="s">
        <v>1</v>
      </c>
      <c r="B83" s="7" t="s">
        <v>2</v>
      </c>
      <c r="C83" s="7" t="s">
        <v>3</v>
      </c>
      <c r="D83" s="25" t="s">
        <v>4</v>
      </c>
      <c r="E83" s="8" t="str">
        <f t="shared" ref="E83:E113" si="19">E49</f>
        <v xml:space="preserve">Temperature,К </v>
      </c>
      <c r="F83" s="8">
        <f t="shared" ref="F83" si="20">F3</f>
        <v>273.10000000000002</v>
      </c>
      <c r="G83" s="8">
        <f t="shared" ref="G83:AL83" si="21">G3</f>
        <v>293.3</v>
      </c>
      <c r="H83" s="8">
        <f t="shared" si="21"/>
        <v>313.5</v>
      </c>
      <c r="I83" s="8">
        <f t="shared" si="21"/>
        <v>333.7</v>
      </c>
      <c r="J83" s="8">
        <f t="shared" si="21"/>
        <v>353.9</v>
      </c>
      <c r="K83" s="8">
        <f t="shared" si="21"/>
        <v>434.7</v>
      </c>
      <c r="L83" s="8">
        <f t="shared" si="21"/>
        <v>454.9</v>
      </c>
      <c r="M83" s="8">
        <f t="shared" si="21"/>
        <v>475.1</v>
      </c>
      <c r="N83" s="8">
        <f t="shared" si="21"/>
        <v>495.2</v>
      </c>
      <c r="O83" s="8">
        <f t="shared" si="21"/>
        <v>515.4</v>
      </c>
      <c r="P83" s="8">
        <f t="shared" si="21"/>
        <v>535.6</v>
      </c>
      <c r="Q83" s="8">
        <f t="shared" si="21"/>
        <v>555.79999999999995</v>
      </c>
      <c r="R83" s="8">
        <f t="shared" si="21"/>
        <v>576</v>
      </c>
      <c r="S83" s="8">
        <f t="shared" si="21"/>
        <v>596.20000000000005</v>
      </c>
      <c r="T83" s="8">
        <f t="shared" si="21"/>
        <v>677</v>
      </c>
      <c r="U83" s="8">
        <f t="shared" si="21"/>
        <v>697.1</v>
      </c>
      <c r="V83" s="8">
        <f t="shared" si="21"/>
        <v>717.3</v>
      </c>
      <c r="W83" s="8">
        <f t="shared" si="21"/>
        <v>737.5</v>
      </c>
      <c r="X83" s="8">
        <f t="shared" si="21"/>
        <v>757.7</v>
      </c>
      <c r="Y83" s="8">
        <f t="shared" si="21"/>
        <v>777.9</v>
      </c>
      <c r="Z83" s="8">
        <f t="shared" si="21"/>
        <v>798.1</v>
      </c>
      <c r="AA83" s="8">
        <f t="shared" si="21"/>
        <v>818.3</v>
      </c>
      <c r="AB83" s="8">
        <f t="shared" si="21"/>
        <v>838.5</v>
      </c>
      <c r="AC83" s="8">
        <f t="shared" si="21"/>
        <v>919.2</v>
      </c>
      <c r="AD83" s="8">
        <f t="shared" si="21"/>
        <v>939.4</v>
      </c>
      <c r="AE83" s="8">
        <f t="shared" si="21"/>
        <v>959.6</v>
      </c>
      <c r="AF83" s="8">
        <f t="shared" si="21"/>
        <v>979.8</v>
      </c>
      <c r="AG83" s="8">
        <f t="shared" si="21"/>
        <v>959.6</v>
      </c>
      <c r="AH83" s="8">
        <f t="shared" si="21"/>
        <v>979.8</v>
      </c>
      <c r="AI83" s="8">
        <f t="shared" si="21"/>
        <v>1000</v>
      </c>
      <c r="AJ83" s="8">
        <f t="shared" si="21"/>
        <v>0</v>
      </c>
      <c r="AK83" s="8">
        <f t="shared" si="21"/>
        <v>0</v>
      </c>
      <c r="AL83" s="8">
        <f t="shared" si="21"/>
        <v>0</v>
      </c>
    </row>
    <row r="84" spans="1:41" ht="21" hidden="1" customHeight="1" outlineLevel="1" thickTop="1" thickBot="1" x14ac:dyDescent="0.4">
      <c r="A84" s="10">
        <f>A50</f>
        <v>0</v>
      </c>
      <c r="B84" s="10">
        <f t="shared" ref="B84:D84" si="22">B50</f>
        <v>0</v>
      </c>
      <c r="C84" s="10">
        <f t="shared" si="22"/>
        <v>1</v>
      </c>
      <c r="D84" s="10">
        <f t="shared" si="22"/>
        <v>0</v>
      </c>
      <c r="E84" s="11" t="str">
        <f t="shared" si="19"/>
        <v>*Ge</v>
      </c>
      <c r="F84" s="26">
        <f t="shared" ref="F84:F91" si="23">F4*$C$82</f>
        <v>0</v>
      </c>
      <c r="G84" s="26">
        <f t="shared" ref="G84:AL91" si="24">G4*$C$82</f>
        <v>0</v>
      </c>
      <c r="H84" s="26">
        <f t="shared" si="24"/>
        <v>0</v>
      </c>
      <c r="I84" s="26">
        <f t="shared" si="24"/>
        <v>0</v>
      </c>
      <c r="J84" s="26">
        <f t="shared" si="24"/>
        <v>0</v>
      </c>
      <c r="K84" s="26">
        <f t="shared" si="24"/>
        <v>1.45275E-15</v>
      </c>
      <c r="L84" s="26">
        <f t="shared" si="24"/>
        <v>4.8871249999999999E-11</v>
      </c>
      <c r="M84" s="26">
        <f t="shared" si="24"/>
        <v>4.6524374999999999E-10</v>
      </c>
      <c r="N84" s="26">
        <f t="shared" si="24"/>
        <v>1.4041875000000001E-8</v>
      </c>
      <c r="O84" s="26">
        <f t="shared" si="24"/>
        <v>0.47130625000000004</v>
      </c>
      <c r="P84" s="26">
        <f t="shared" si="24"/>
        <v>0.5</v>
      </c>
      <c r="Q84" s="26">
        <f t="shared" si="24"/>
        <v>0.5</v>
      </c>
      <c r="R84" s="26">
        <f t="shared" si="24"/>
        <v>0.5</v>
      </c>
      <c r="S84" s="26">
        <f t="shared" si="24"/>
        <v>0.5</v>
      </c>
      <c r="T84" s="26">
        <f t="shared" si="24"/>
        <v>0.5</v>
      </c>
      <c r="U84" s="26">
        <f t="shared" si="24"/>
        <v>0.5</v>
      </c>
      <c r="V84" s="26">
        <f t="shared" si="24"/>
        <v>0.5</v>
      </c>
      <c r="W84" s="26">
        <f t="shared" si="24"/>
        <v>0.5</v>
      </c>
      <c r="X84" s="26">
        <f t="shared" si="24"/>
        <v>0.5</v>
      </c>
      <c r="Y84" s="26">
        <f t="shared" si="24"/>
        <v>0.5</v>
      </c>
      <c r="Z84" s="26">
        <f t="shared" si="24"/>
        <v>0.41316249999999999</v>
      </c>
      <c r="AA84" s="26">
        <f t="shared" si="24"/>
        <v>0.39646250000000005</v>
      </c>
      <c r="AB84" s="26">
        <f t="shared" si="24"/>
        <v>0.37839374999999997</v>
      </c>
      <c r="AC84" s="26">
        <f t="shared" si="24"/>
        <v>0.27397500000000002</v>
      </c>
      <c r="AD84" s="26">
        <f t="shared" si="24"/>
        <v>0.23621875000000001</v>
      </c>
      <c r="AE84" s="26">
        <f t="shared" si="24"/>
        <v>0.19166875</v>
      </c>
      <c r="AF84" s="26">
        <f t="shared" si="24"/>
        <v>0.13872500000000001</v>
      </c>
      <c r="AG84" s="26">
        <f t="shared" si="24"/>
        <v>0.19166875</v>
      </c>
      <c r="AH84" s="26">
        <f t="shared" si="24"/>
        <v>0.13872500000000001</v>
      </c>
      <c r="AI84" s="26">
        <f t="shared" si="24"/>
        <v>7.485E-2</v>
      </c>
      <c r="AJ84" s="26">
        <f t="shared" si="24"/>
        <v>0</v>
      </c>
      <c r="AK84" s="26">
        <f t="shared" si="24"/>
        <v>0</v>
      </c>
      <c r="AL84" s="26">
        <f t="shared" si="24"/>
        <v>0</v>
      </c>
    </row>
    <row r="85" spans="1:41" ht="21" hidden="1" customHeight="1" outlineLevel="1" thickBot="1" x14ac:dyDescent="0.4">
      <c r="A85" s="10">
        <f t="shared" ref="A85:D100" si="25">A51</f>
        <v>0</v>
      </c>
      <c r="B85" s="10">
        <f t="shared" si="25"/>
        <v>1</v>
      </c>
      <c r="C85" s="10">
        <f t="shared" si="25"/>
        <v>1</v>
      </c>
      <c r="D85" s="10">
        <f t="shared" si="25"/>
        <v>0</v>
      </c>
      <c r="E85" s="11" t="str">
        <f t="shared" si="19"/>
        <v>*GeSe</v>
      </c>
      <c r="F85" s="26">
        <f t="shared" si="23"/>
        <v>0.5</v>
      </c>
      <c r="G85" s="26">
        <f t="shared" si="24"/>
        <v>0.5</v>
      </c>
      <c r="H85" s="26">
        <f t="shared" si="24"/>
        <v>0.5</v>
      </c>
      <c r="I85" s="26">
        <f t="shared" si="24"/>
        <v>0.5</v>
      </c>
      <c r="J85" s="26">
        <f t="shared" si="24"/>
        <v>1</v>
      </c>
      <c r="K85" s="26">
        <f t="shared" si="24"/>
        <v>1</v>
      </c>
      <c r="L85" s="26">
        <f t="shared" si="24"/>
        <v>1</v>
      </c>
      <c r="M85" s="26">
        <f t="shared" si="24"/>
        <v>1</v>
      </c>
      <c r="N85" s="26">
        <f t="shared" si="24"/>
        <v>1</v>
      </c>
      <c r="O85" s="26">
        <f t="shared" si="24"/>
        <v>5.7390000000000004E-2</v>
      </c>
      <c r="P85" s="26">
        <f t="shared" si="24"/>
        <v>2.3118124999999999E-8</v>
      </c>
      <c r="Q85" s="26">
        <f t="shared" si="24"/>
        <v>7.3143750000000004E-10</v>
      </c>
      <c r="R85" s="26">
        <f t="shared" si="24"/>
        <v>1.57575E-10</v>
      </c>
      <c r="S85" s="26">
        <f t="shared" si="24"/>
        <v>5.2593124999999996E-12</v>
      </c>
      <c r="T85" s="26">
        <f t="shared" si="24"/>
        <v>8.9518750000000009E-22</v>
      </c>
      <c r="U85" s="26">
        <f t="shared" si="24"/>
        <v>1.2779375E-26</v>
      </c>
      <c r="V85" s="26">
        <f t="shared" si="24"/>
        <v>7.3806249999999999E-32</v>
      </c>
      <c r="W85" s="26">
        <f t="shared" si="24"/>
        <v>0</v>
      </c>
      <c r="X85" s="26">
        <f t="shared" si="24"/>
        <v>0</v>
      </c>
      <c r="Y85" s="26">
        <f t="shared" si="24"/>
        <v>0</v>
      </c>
      <c r="Z85" s="26">
        <f t="shared" si="24"/>
        <v>0</v>
      </c>
      <c r="AA85" s="26">
        <f t="shared" si="24"/>
        <v>0</v>
      </c>
      <c r="AB85" s="26">
        <f t="shared" si="24"/>
        <v>0</v>
      </c>
      <c r="AC85" s="26">
        <f t="shared" si="24"/>
        <v>0</v>
      </c>
      <c r="AD85" s="26">
        <f t="shared" si="24"/>
        <v>0</v>
      </c>
      <c r="AE85" s="26">
        <f t="shared" si="24"/>
        <v>0</v>
      </c>
      <c r="AF85" s="26">
        <f t="shared" si="24"/>
        <v>0</v>
      </c>
      <c r="AG85" s="26">
        <f t="shared" si="24"/>
        <v>0</v>
      </c>
      <c r="AH85" s="26">
        <f t="shared" si="24"/>
        <v>0</v>
      </c>
      <c r="AI85" s="26">
        <f t="shared" si="24"/>
        <v>0</v>
      </c>
      <c r="AJ85" s="26">
        <f t="shared" si="24"/>
        <v>0</v>
      </c>
      <c r="AK85" s="26">
        <f t="shared" si="24"/>
        <v>0</v>
      </c>
      <c r="AL85" s="26">
        <f t="shared" si="24"/>
        <v>0</v>
      </c>
    </row>
    <row r="86" spans="1:41" ht="21" hidden="1" customHeight="1" outlineLevel="1" thickBot="1" x14ac:dyDescent="0.4">
      <c r="A86" s="10">
        <f t="shared" si="25"/>
        <v>0</v>
      </c>
      <c r="B86" s="10">
        <f t="shared" si="25"/>
        <v>0</v>
      </c>
      <c r="C86" s="10">
        <f t="shared" si="25"/>
        <v>0</v>
      </c>
      <c r="D86" s="10">
        <f t="shared" si="25"/>
        <v>1</v>
      </c>
      <c r="E86" s="11" t="str">
        <f t="shared" si="19"/>
        <v>*Ga[l]</v>
      </c>
      <c r="F86" s="26">
        <f t="shared" si="23"/>
        <v>0</v>
      </c>
      <c r="G86" s="26">
        <f t="shared" si="24"/>
        <v>0</v>
      </c>
      <c r="H86" s="26">
        <f t="shared" si="24"/>
        <v>0</v>
      </c>
      <c r="I86" s="26">
        <f t="shared" si="24"/>
        <v>0</v>
      </c>
      <c r="J86" s="26">
        <f t="shared" si="24"/>
        <v>0</v>
      </c>
      <c r="K86" s="26">
        <f t="shared" si="24"/>
        <v>0</v>
      </c>
      <c r="L86" s="26">
        <f t="shared" si="24"/>
        <v>0</v>
      </c>
      <c r="M86" s="26">
        <f t="shared" si="24"/>
        <v>0</v>
      </c>
      <c r="N86" s="26">
        <f t="shared" si="24"/>
        <v>0</v>
      </c>
      <c r="O86" s="26">
        <f t="shared" si="24"/>
        <v>0</v>
      </c>
      <c r="P86" s="26">
        <f t="shared" si="24"/>
        <v>0</v>
      </c>
      <c r="Q86" s="26">
        <f t="shared" si="24"/>
        <v>0</v>
      </c>
      <c r="R86" s="26">
        <f t="shared" si="24"/>
        <v>0</v>
      </c>
      <c r="S86" s="26">
        <f t="shared" si="24"/>
        <v>0</v>
      </c>
      <c r="T86" s="26">
        <f t="shared" si="24"/>
        <v>9.5743749999999996E-30</v>
      </c>
      <c r="U86" s="26">
        <f t="shared" si="24"/>
        <v>7.8718750000000001E-26</v>
      </c>
      <c r="V86" s="26">
        <f t="shared" si="24"/>
        <v>5.3843125000000001E-21</v>
      </c>
      <c r="W86" s="26">
        <f t="shared" si="24"/>
        <v>0</v>
      </c>
      <c r="X86" s="26">
        <f t="shared" si="24"/>
        <v>1.6818749999999998E-16</v>
      </c>
      <c r="Y86" s="26">
        <f t="shared" si="24"/>
        <v>2.4161875E-15</v>
      </c>
      <c r="Z86" s="26">
        <f t="shared" si="24"/>
        <v>1.0076874999999999E-9</v>
      </c>
      <c r="AA86" s="26">
        <f t="shared" si="24"/>
        <v>2.3814375000000003E-6</v>
      </c>
      <c r="AB86" s="26">
        <f t="shared" si="24"/>
        <v>1.6111874999999999E-6</v>
      </c>
      <c r="AC86" s="26">
        <f t="shared" si="24"/>
        <v>3.5438750000000002E-7</v>
      </c>
      <c r="AD86" s="26">
        <f t="shared" si="24"/>
        <v>2.8773749999999999E-7</v>
      </c>
      <c r="AE86" s="26">
        <f t="shared" si="24"/>
        <v>1.9074999999999998E-7</v>
      </c>
      <c r="AF86" s="26">
        <f t="shared" si="24"/>
        <v>6.2743750000000001E-9</v>
      </c>
      <c r="AG86" s="26">
        <f t="shared" si="24"/>
        <v>1.9074999999999998E-7</v>
      </c>
      <c r="AH86" s="26">
        <f t="shared" si="24"/>
        <v>6.2743750000000001E-9</v>
      </c>
      <c r="AI86" s="26">
        <f t="shared" si="24"/>
        <v>2.1749375000000002E-15</v>
      </c>
      <c r="AJ86" s="26">
        <f t="shared" si="24"/>
        <v>0</v>
      </c>
      <c r="AK86" s="26">
        <f t="shared" si="24"/>
        <v>0</v>
      </c>
      <c r="AL86" s="26">
        <f t="shared" si="24"/>
        <v>0</v>
      </c>
    </row>
    <row r="87" spans="1:41" ht="21" hidden="1" customHeight="1" outlineLevel="1" thickBot="1" x14ac:dyDescent="0.4">
      <c r="A87" s="10">
        <f t="shared" si="25"/>
        <v>0</v>
      </c>
      <c r="B87" s="10">
        <f t="shared" si="25"/>
        <v>1</v>
      </c>
      <c r="C87" s="10">
        <f t="shared" si="25"/>
        <v>0</v>
      </c>
      <c r="D87" s="10">
        <f t="shared" si="25"/>
        <v>2</v>
      </c>
      <c r="E87" s="11" t="str">
        <f t="shared" si="19"/>
        <v>*Ga2Se</v>
      </c>
      <c r="F87" s="26">
        <f t="shared" si="23"/>
        <v>0</v>
      </c>
      <c r="G87" s="26">
        <f t="shared" si="24"/>
        <v>0</v>
      </c>
      <c r="H87" s="26">
        <f t="shared" si="24"/>
        <v>0</v>
      </c>
      <c r="I87" s="26">
        <f t="shared" si="24"/>
        <v>0</v>
      </c>
      <c r="J87" s="26">
        <f t="shared" si="24"/>
        <v>0</v>
      </c>
      <c r="K87" s="26">
        <f t="shared" si="24"/>
        <v>0</v>
      </c>
      <c r="L87" s="26">
        <f t="shared" si="24"/>
        <v>0</v>
      </c>
      <c r="M87" s="26">
        <f t="shared" si="24"/>
        <v>0</v>
      </c>
      <c r="N87" s="26">
        <f t="shared" si="24"/>
        <v>0</v>
      </c>
      <c r="O87" s="26">
        <f t="shared" si="24"/>
        <v>0</v>
      </c>
      <c r="P87" s="26">
        <f t="shared" si="24"/>
        <v>0</v>
      </c>
      <c r="Q87" s="26">
        <f t="shared" si="24"/>
        <v>0</v>
      </c>
      <c r="R87" s="26">
        <f t="shared" si="24"/>
        <v>0</v>
      </c>
      <c r="S87" s="26">
        <f t="shared" si="24"/>
        <v>0</v>
      </c>
      <c r="T87" s="26">
        <f t="shared" si="24"/>
        <v>9.5262499999999997E-19</v>
      </c>
      <c r="U87" s="26">
        <f t="shared" si="24"/>
        <v>2.5711875000000002E-14</v>
      </c>
      <c r="V87" s="26">
        <f t="shared" si="24"/>
        <v>6.0363124999999998E-9</v>
      </c>
      <c r="W87" s="26">
        <f t="shared" si="24"/>
        <v>5.7548750000000003E-2</v>
      </c>
      <c r="X87" s="26">
        <f t="shared" si="24"/>
        <v>0.40147500000000003</v>
      </c>
      <c r="Y87" s="26">
        <f t="shared" si="24"/>
        <v>0.47240624999999997</v>
      </c>
      <c r="Z87" s="26">
        <f t="shared" si="24"/>
        <v>1.8568749999999999E-6</v>
      </c>
      <c r="AA87" s="26">
        <f t="shared" si="24"/>
        <v>1.182E-19</v>
      </c>
      <c r="AB87" s="26">
        <f t="shared" si="24"/>
        <v>0</v>
      </c>
      <c r="AC87" s="26">
        <f t="shared" si="24"/>
        <v>0</v>
      </c>
      <c r="AD87" s="26">
        <f t="shared" si="24"/>
        <v>0</v>
      </c>
      <c r="AE87" s="26">
        <f t="shared" si="24"/>
        <v>0</v>
      </c>
      <c r="AF87" s="26">
        <f t="shared" si="24"/>
        <v>0</v>
      </c>
      <c r="AG87" s="26">
        <f t="shared" si="24"/>
        <v>0</v>
      </c>
      <c r="AH87" s="26">
        <f t="shared" si="24"/>
        <v>0</v>
      </c>
      <c r="AI87" s="26">
        <f t="shared" si="24"/>
        <v>0</v>
      </c>
      <c r="AJ87" s="26">
        <f t="shared" si="24"/>
        <v>0</v>
      </c>
      <c r="AK87" s="26">
        <f t="shared" si="24"/>
        <v>0</v>
      </c>
      <c r="AL87" s="26">
        <f t="shared" si="24"/>
        <v>0</v>
      </c>
    </row>
    <row r="88" spans="1:41" ht="21" hidden="1" customHeight="1" outlineLevel="1" thickBot="1" x14ac:dyDescent="0.4">
      <c r="A88" s="10">
        <f t="shared" si="25"/>
        <v>0</v>
      </c>
      <c r="B88" s="10">
        <f t="shared" si="25"/>
        <v>0</v>
      </c>
      <c r="C88" s="10">
        <f t="shared" si="25"/>
        <v>1</v>
      </c>
      <c r="D88" s="10">
        <f t="shared" si="25"/>
        <v>0</v>
      </c>
      <c r="E88" s="11" t="str">
        <f t="shared" si="19"/>
        <v>*Ge[c]</v>
      </c>
      <c r="F88" s="26">
        <f t="shared" si="23"/>
        <v>0</v>
      </c>
      <c r="G88" s="26">
        <f t="shared" si="24"/>
        <v>0</v>
      </c>
      <c r="H88" s="26">
        <f t="shared" si="24"/>
        <v>0</v>
      </c>
      <c r="I88" s="26">
        <f t="shared" si="24"/>
        <v>0</v>
      </c>
      <c r="J88" s="26">
        <f t="shared" si="24"/>
        <v>0</v>
      </c>
      <c r="K88" s="26">
        <f t="shared" si="24"/>
        <v>1.45275E-15</v>
      </c>
      <c r="L88" s="26">
        <f t="shared" si="24"/>
        <v>4.8871249999999999E-11</v>
      </c>
      <c r="M88" s="26">
        <f t="shared" si="24"/>
        <v>4.6524374999999999E-10</v>
      </c>
      <c r="N88" s="26">
        <f t="shared" si="24"/>
        <v>1.4041875000000001E-8</v>
      </c>
      <c r="O88" s="26">
        <f t="shared" si="24"/>
        <v>0.47130625000000004</v>
      </c>
      <c r="P88" s="26">
        <f t="shared" si="24"/>
        <v>0.5</v>
      </c>
      <c r="Q88" s="26">
        <f t="shared" si="24"/>
        <v>0.5</v>
      </c>
      <c r="R88" s="26">
        <f t="shared" si="24"/>
        <v>0.5</v>
      </c>
      <c r="S88" s="26">
        <f t="shared" si="24"/>
        <v>0.5</v>
      </c>
      <c r="T88" s="26">
        <f t="shared" si="24"/>
        <v>0.5</v>
      </c>
      <c r="U88" s="26">
        <f t="shared" si="24"/>
        <v>0.5</v>
      </c>
      <c r="V88" s="26">
        <f t="shared" si="24"/>
        <v>0.5</v>
      </c>
      <c r="W88" s="26">
        <f t="shared" si="24"/>
        <v>0.5</v>
      </c>
      <c r="X88" s="26">
        <f t="shared" si="24"/>
        <v>0.5</v>
      </c>
      <c r="Y88" s="26">
        <f t="shared" si="24"/>
        <v>0.5</v>
      </c>
      <c r="Z88" s="26">
        <f t="shared" si="24"/>
        <v>0.41316249999999999</v>
      </c>
      <c r="AA88" s="26">
        <f t="shared" si="24"/>
        <v>0.39646250000000005</v>
      </c>
      <c r="AB88" s="26">
        <f t="shared" si="24"/>
        <v>0.37839374999999997</v>
      </c>
      <c r="AC88" s="26">
        <f t="shared" si="24"/>
        <v>0.27397500000000002</v>
      </c>
      <c r="AD88" s="26">
        <f t="shared" si="24"/>
        <v>0.23621875000000001</v>
      </c>
      <c r="AE88" s="26">
        <f t="shared" si="24"/>
        <v>0.19166875</v>
      </c>
      <c r="AF88" s="26">
        <f t="shared" si="24"/>
        <v>0.13872500000000001</v>
      </c>
      <c r="AG88" s="26">
        <f t="shared" si="24"/>
        <v>0.19166875</v>
      </c>
      <c r="AH88" s="26">
        <f t="shared" si="24"/>
        <v>0.13872500000000001</v>
      </c>
      <c r="AI88" s="26">
        <f t="shared" si="24"/>
        <v>7.485E-2</v>
      </c>
      <c r="AJ88" s="26">
        <f t="shared" si="24"/>
        <v>0</v>
      </c>
      <c r="AK88" s="26">
        <f t="shared" si="24"/>
        <v>0</v>
      </c>
      <c r="AL88" s="26">
        <f t="shared" si="24"/>
        <v>0</v>
      </c>
    </row>
    <row r="89" spans="1:41" ht="21" hidden="1" customHeight="1" outlineLevel="1" thickBot="1" x14ac:dyDescent="0.4">
      <c r="A89" s="10">
        <f t="shared" si="25"/>
        <v>0</v>
      </c>
      <c r="B89" s="10">
        <f t="shared" si="25"/>
        <v>1</v>
      </c>
      <c r="C89" s="10">
        <f t="shared" si="25"/>
        <v>0</v>
      </c>
      <c r="D89" s="10">
        <f t="shared" si="25"/>
        <v>0</v>
      </c>
      <c r="E89" s="11" t="str">
        <f t="shared" si="19"/>
        <v>*Se[m]</v>
      </c>
      <c r="F89" s="26">
        <f t="shared" si="23"/>
        <v>5.356125E-22</v>
      </c>
      <c r="G89" s="26">
        <f t="shared" si="24"/>
        <v>8.5581250000000002E-15</v>
      </c>
      <c r="H89" s="26">
        <f t="shared" si="24"/>
        <v>4.5495624999999999E-10</v>
      </c>
      <c r="I89" s="26">
        <f t="shared" si="24"/>
        <v>1.3179374999999999E-7</v>
      </c>
      <c r="J89" s="26">
        <f t="shared" si="24"/>
        <v>0.5</v>
      </c>
      <c r="K89" s="26">
        <f t="shared" si="24"/>
        <v>0.5</v>
      </c>
      <c r="L89" s="26">
        <f t="shared" si="24"/>
        <v>0.5</v>
      </c>
      <c r="M89" s="26">
        <f t="shared" si="24"/>
        <v>0.5</v>
      </c>
      <c r="N89" s="26">
        <f t="shared" si="24"/>
        <v>0.5</v>
      </c>
      <c r="O89" s="26">
        <f t="shared" si="24"/>
        <v>1.442625</v>
      </c>
      <c r="P89" s="26">
        <f t="shared" si="24"/>
        <v>1.5</v>
      </c>
      <c r="Q89" s="26">
        <f t="shared" si="24"/>
        <v>1.5</v>
      </c>
      <c r="R89" s="26">
        <f t="shared" si="24"/>
        <v>1.5</v>
      </c>
      <c r="S89" s="26">
        <f t="shared" si="24"/>
        <v>1.5</v>
      </c>
      <c r="T89" s="26">
        <f t="shared" si="24"/>
        <v>1.5</v>
      </c>
      <c r="U89" s="26">
        <f t="shared" si="24"/>
        <v>1.5</v>
      </c>
      <c r="V89" s="26">
        <f t="shared" si="24"/>
        <v>1.5</v>
      </c>
      <c r="W89" s="26">
        <f t="shared" si="24"/>
        <v>1.6151249999999999</v>
      </c>
      <c r="X89" s="26">
        <f t="shared" si="24"/>
        <v>2.3029375000000001</v>
      </c>
      <c r="Y89" s="26">
        <f t="shared" si="24"/>
        <v>2.4448125000000003</v>
      </c>
      <c r="Z89" s="26">
        <f t="shared" si="24"/>
        <v>2.9783750000000002</v>
      </c>
      <c r="AA89" s="26">
        <f t="shared" si="24"/>
        <v>2.9977499999999999</v>
      </c>
      <c r="AB89" s="26">
        <f t="shared" si="24"/>
        <v>2.9997500000000001</v>
      </c>
      <c r="AC89" s="26">
        <f t="shared" si="24"/>
        <v>3</v>
      </c>
      <c r="AD89" s="26">
        <f t="shared" si="24"/>
        <v>3</v>
      </c>
      <c r="AE89" s="26">
        <f t="shared" si="24"/>
        <v>3</v>
      </c>
      <c r="AF89" s="26">
        <f t="shared" si="24"/>
        <v>3</v>
      </c>
      <c r="AG89" s="26">
        <f t="shared" si="24"/>
        <v>3</v>
      </c>
      <c r="AH89" s="26">
        <f t="shared" si="24"/>
        <v>3</v>
      </c>
      <c r="AI89" s="26">
        <f t="shared" si="24"/>
        <v>3</v>
      </c>
      <c r="AJ89" s="26">
        <f t="shared" si="24"/>
        <v>0</v>
      </c>
      <c r="AK89" s="26">
        <f t="shared" si="24"/>
        <v>0</v>
      </c>
      <c r="AL89" s="26">
        <f t="shared" si="24"/>
        <v>0</v>
      </c>
    </row>
    <row r="90" spans="1:41" ht="21" hidden="1" customHeight="1" outlineLevel="1" thickBot="1" x14ac:dyDescent="0.4">
      <c r="A90" s="10">
        <f t="shared" si="25"/>
        <v>0</v>
      </c>
      <c r="B90" s="10">
        <f t="shared" si="25"/>
        <v>2</v>
      </c>
      <c r="C90" s="10">
        <f t="shared" si="25"/>
        <v>1</v>
      </c>
      <c r="D90" s="10">
        <f t="shared" si="25"/>
        <v>0</v>
      </c>
      <c r="E90" s="11" t="str">
        <f t="shared" si="19"/>
        <v>*GeSe2</v>
      </c>
      <c r="F90" s="26">
        <f t="shared" si="23"/>
        <v>0.5</v>
      </c>
      <c r="G90" s="26">
        <f t="shared" si="24"/>
        <v>0.5</v>
      </c>
      <c r="H90" s="26">
        <f t="shared" si="24"/>
        <v>0.5</v>
      </c>
      <c r="I90" s="26">
        <f t="shared" si="24"/>
        <v>0.5</v>
      </c>
      <c r="J90" s="26">
        <f t="shared" si="24"/>
        <v>3.3937499999999995E-8</v>
      </c>
      <c r="K90" s="26">
        <f t="shared" si="24"/>
        <v>1.1625625E-16</v>
      </c>
      <c r="L90" s="26">
        <f t="shared" si="24"/>
        <v>1.8444375000000003E-19</v>
      </c>
      <c r="M90" s="26">
        <f t="shared" si="24"/>
        <v>1.2886875E-32</v>
      </c>
      <c r="N90" s="26">
        <f t="shared" si="24"/>
        <v>0</v>
      </c>
      <c r="O90" s="26">
        <f t="shared" si="24"/>
        <v>0</v>
      </c>
      <c r="P90" s="26">
        <f t="shared" si="24"/>
        <v>0</v>
      </c>
      <c r="Q90" s="26">
        <f t="shared" si="24"/>
        <v>0</v>
      </c>
      <c r="R90" s="26">
        <f t="shared" si="24"/>
        <v>0</v>
      </c>
      <c r="S90" s="26">
        <f t="shared" si="24"/>
        <v>0</v>
      </c>
      <c r="T90" s="26">
        <f t="shared" si="24"/>
        <v>0</v>
      </c>
      <c r="U90" s="26">
        <f t="shared" si="24"/>
        <v>0</v>
      </c>
      <c r="V90" s="26">
        <f t="shared" si="24"/>
        <v>0</v>
      </c>
      <c r="W90" s="26">
        <f t="shared" si="24"/>
        <v>0</v>
      </c>
      <c r="X90" s="26">
        <f t="shared" si="24"/>
        <v>0</v>
      </c>
      <c r="Y90" s="26">
        <f t="shared" si="24"/>
        <v>0</v>
      </c>
      <c r="Z90" s="26">
        <f t="shared" si="24"/>
        <v>0</v>
      </c>
      <c r="AA90" s="26">
        <f t="shared" si="24"/>
        <v>0</v>
      </c>
      <c r="AB90" s="26">
        <f t="shared" si="24"/>
        <v>0</v>
      </c>
      <c r="AC90" s="26">
        <f t="shared" si="24"/>
        <v>0</v>
      </c>
      <c r="AD90" s="26">
        <f t="shared" si="24"/>
        <v>0</v>
      </c>
      <c r="AE90" s="26">
        <f t="shared" si="24"/>
        <v>0</v>
      </c>
      <c r="AF90" s="26">
        <f t="shared" si="24"/>
        <v>0</v>
      </c>
      <c r="AG90" s="26">
        <f t="shared" si="24"/>
        <v>0</v>
      </c>
      <c r="AH90" s="26">
        <f t="shared" si="24"/>
        <v>0</v>
      </c>
      <c r="AI90" s="26">
        <f t="shared" si="24"/>
        <v>0</v>
      </c>
      <c r="AJ90" s="26">
        <f t="shared" si="24"/>
        <v>0</v>
      </c>
      <c r="AK90" s="26">
        <f t="shared" si="24"/>
        <v>0</v>
      </c>
      <c r="AL90" s="26">
        <f t="shared" si="24"/>
        <v>0</v>
      </c>
    </row>
    <row r="91" spans="1:41" ht="21" hidden="1" customHeight="1" outlineLevel="1" thickBot="1" x14ac:dyDescent="0.4">
      <c r="A91" s="10">
        <f t="shared" si="25"/>
        <v>0</v>
      </c>
      <c r="B91" s="10">
        <f t="shared" si="25"/>
        <v>3</v>
      </c>
      <c r="C91" s="10">
        <f t="shared" si="25"/>
        <v>0</v>
      </c>
      <c r="D91" s="10">
        <f t="shared" si="25"/>
        <v>2</v>
      </c>
      <c r="E91" s="11" t="str">
        <f t="shared" si="19"/>
        <v>Ga2Se3</v>
      </c>
      <c r="F91" s="26">
        <f t="shared" si="23"/>
        <v>0.5</v>
      </c>
      <c r="G91" s="26">
        <f t="shared" si="24"/>
        <v>0.5</v>
      </c>
      <c r="H91" s="26">
        <f t="shared" si="24"/>
        <v>0.5</v>
      </c>
      <c r="I91" s="26">
        <f t="shared" si="24"/>
        <v>0.5</v>
      </c>
      <c r="J91" s="26">
        <f t="shared" si="24"/>
        <v>0.5</v>
      </c>
      <c r="K91" s="26">
        <f t="shared" si="24"/>
        <v>0.5</v>
      </c>
      <c r="L91" s="26">
        <f t="shared" si="24"/>
        <v>0.5</v>
      </c>
      <c r="M91" s="26">
        <f t="shared" si="24"/>
        <v>0.5</v>
      </c>
      <c r="N91" s="26">
        <f t="shared" si="24"/>
        <v>0.5</v>
      </c>
      <c r="O91" s="26">
        <f t="shared" si="24"/>
        <v>0.5</v>
      </c>
      <c r="P91" s="26">
        <f t="shared" si="24"/>
        <v>0.5</v>
      </c>
      <c r="Q91" s="26">
        <f t="shared" si="24"/>
        <v>0.5</v>
      </c>
      <c r="R91" s="26">
        <f t="shared" si="24"/>
        <v>0.5</v>
      </c>
      <c r="S91" s="26">
        <f t="shared" si="24"/>
        <v>0.5</v>
      </c>
      <c r="T91" s="26">
        <f t="shared" si="24"/>
        <v>0.5</v>
      </c>
      <c r="U91" s="26">
        <f t="shared" si="24"/>
        <v>0.5</v>
      </c>
      <c r="V91" s="26">
        <f t="shared" si="24"/>
        <v>0.5</v>
      </c>
      <c r="W91" s="26">
        <f t="shared" si="24"/>
        <v>0.44244999999999995</v>
      </c>
      <c r="X91" s="26">
        <f t="shared" si="24"/>
        <v>9.8525000000000001E-2</v>
      </c>
      <c r="Y91" s="26">
        <f t="shared" si="24"/>
        <v>2.7590625000000001E-2</v>
      </c>
      <c r="Z91" s="26">
        <f t="shared" si="24"/>
        <v>7.2068749999999997E-3</v>
      </c>
      <c r="AA91" s="26">
        <f t="shared" si="24"/>
        <v>7.4993749999999995E-4</v>
      </c>
      <c r="AB91" s="26">
        <f t="shared" si="24"/>
        <v>8.4618750000000007E-5</v>
      </c>
      <c r="AC91" s="26">
        <f t="shared" si="24"/>
        <v>2.618875E-8</v>
      </c>
      <c r="AD91" s="26">
        <f t="shared" si="24"/>
        <v>3.9724374999999996E-9</v>
      </c>
      <c r="AE91" s="26">
        <f t="shared" si="24"/>
        <v>6.2937500000000001E-10</v>
      </c>
      <c r="AF91" s="26">
        <f t="shared" si="24"/>
        <v>1.0365000000000001E-10</v>
      </c>
      <c r="AG91" s="26">
        <f t="shared" si="24"/>
        <v>6.2937500000000001E-10</v>
      </c>
      <c r="AH91" s="26">
        <f t="shared" si="24"/>
        <v>1.0365000000000001E-10</v>
      </c>
      <c r="AI91" s="26">
        <f t="shared" si="24"/>
        <v>1.7641250000000001E-11</v>
      </c>
      <c r="AJ91" s="26">
        <f t="shared" si="24"/>
        <v>0</v>
      </c>
      <c r="AK91" s="26">
        <f t="shared" si="24"/>
        <v>0</v>
      </c>
      <c r="AL91" s="26">
        <f t="shared" ref="AL91" si="26">AL11*$C$82</f>
        <v>0</v>
      </c>
    </row>
    <row r="92" spans="1:41" ht="21" hidden="1" customHeight="1" outlineLevel="1" thickBot="1" x14ac:dyDescent="0.4">
      <c r="A92" s="10">
        <f t="shared" si="25"/>
        <v>0</v>
      </c>
      <c r="B92" s="10">
        <f t="shared" si="25"/>
        <v>1</v>
      </c>
      <c r="C92" s="10">
        <f t="shared" si="25"/>
        <v>0</v>
      </c>
      <c r="D92" s="10">
        <f t="shared" si="25"/>
        <v>2</v>
      </c>
      <c r="E92" s="11" t="str">
        <f t="shared" si="19"/>
        <v>Ga2Se</v>
      </c>
      <c r="F92" s="26">
        <f t="shared" ref="F92:F99" si="27">F12*$C$82</f>
        <v>0</v>
      </c>
      <c r="G92" s="26">
        <f t="shared" ref="G92:AL99" si="28">G12*$C$82</f>
        <v>0</v>
      </c>
      <c r="H92" s="26">
        <f t="shared" si="28"/>
        <v>0</v>
      </c>
      <c r="I92" s="26">
        <f t="shared" si="28"/>
        <v>0</v>
      </c>
      <c r="J92" s="26">
        <f t="shared" si="28"/>
        <v>0</v>
      </c>
      <c r="K92" s="26">
        <f t="shared" si="28"/>
        <v>0</v>
      </c>
      <c r="L92" s="26">
        <f t="shared" si="28"/>
        <v>1.0358124999999999E-33</v>
      </c>
      <c r="M92" s="26">
        <f t="shared" si="28"/>
        <v>4.942E-31</v>
      </c>
      <c r="N92" s="26">
        <f t="shared" si="28"/>
        <v>1.4751875000000001E-28</v>
      </c>
      <c r="O92" s="26">
        <f t="shared" si="28"/>
        <v>2.9059999999999997E-26</v>
      </c>
      <c r="P92" s="26">
        <f t="shared" si="28"/>
        <v>3.9639375E-24</v>
      </c>
      <c r="Q92" s="26">
        <f t="shared" si="28"/>
        <v>3.8866250000000001E-22</v>
      </c>
      <c r="R92" s="26">
        <f t="shared" si="28"/>
        <v>2.8356874999999998E-20</v>
      </c>
      <c r="S92" s="26">
        <f t="shared" si="28"/>
        <v>1.5854375E-18</v>
      </c>
      <c r="T92" s="26">
        <f t="shared" si="28"/>
        <v>1.7260625000000002E-12</v>
      </c>
      <c r="U92" s="26">
        <f t="shared" si="28"/>
        <v>3.5363125000000002E-11</v>
      </c>
      <c r="V92" s="26">
        <f t="shared" si="28"/>
        <v>6.2232500000000002E-10</v>
      </c>
      <c r="W92" s="26">
        <f t="shared" si="28"/>
        <v>8.425625E-9</v>
      </c>
      <c r="X92" s="26">
        <f t="shared" si="28"/>
        <v>2.5240625E-8</v>
      </c>
      <c r="Y92" s="26">
        <f t="shared" si="28"/>
        <v>8.4406250000000002E-8</v>
      </c>
      <c r="Z92" s="26">
        <f t="shared" si="28"/>
        <v>2.3579374999999999E-7</v>
      </c>
      <c r="AA92" s="26">
        <f t="shared" si="28"/>
        <v>2.3691250000000001E-7</v>
      </c>
      <c r="AB92" s="26">
        <f t="shared" si="28"/>
        <v>2.347125E-7</v>
      </c>
      <c r="AC92" s="26">
        <f t="shared" si="28"/>
        <v>1.8872500000000002E-7</v>
      </c>
      <c r="AD92" s="26">
        <f t="shared" si="28"/>
        <v>1.705875E-7</v>
      </c>
      <c r="AE92" s="26">
        <f t="shared" si="28"/>
        <v>1.51175E-7</v>
      </c>
      <c r="AF92" s="26">
        <f t="shared" si="28"/>
        <v>1.3121875E-7</v>
      </c>
      <c r="AG92" s="26">
        <f t="shared" si="28"/>
        <v>1.51175E-7</v>
      </c>
      <c r="AH92" s="26">
        <f t="shared" si="28"/>
        <v>1.3121875E-7</v>
      </c>
      <c r="AI92" s="26">
        <f t="shared" si="28"/>
        <v>1.113E-7</v>
      </c>
      <c r="AJ92" s="26">
        <f t="shared" si="28"/>
        <v>0</v>
      </c>
      <c r="AK92" s="26">
        <f t="shared" si="28"/>
        <v>0</v>
      </c>
      <c r="AL92" s="26">
        <f t="shared" si="28"/>
        <v>0</v>
      </c>
    </row>
    <row r="93" spans="1:41" ht="21" hidden="1" customHeight="1" outlineLevel="1" thickBot="1" x14ac:dyDescent="0.4">
      <c r="A93" s="10">
        <f t="shared" si="25"/>
        <v>1</v>
      </c>
      <c r="B93" s="10">
        <f t="shared" si="25"/>
        <v>0</v>
      </c>
      <c r="C93" s="10">
        <f t="shared" si="25"/>
        <v>0</v>
      </c>
      <c r="D93" s="10">
        <f t="shared" si="25"/>
        <v>0</v>
      </c>
      <c r="E93" s="11" t="str">
        <f t="shared" si="19"/>
        <v>Ar</v>
      </c>
      <c r="F93" s="26">
        <f t="shared" si="27"/>
        <v>1.25</v>
      </c>
      <c r="G93" s="26">
        <f t="shared" si="28"/>
        <v>1.25</v>
      </c>
      <c r="H93" s="26">
        <f t="shared" si="28"/>
        <v>1.25</v>
      </c>
      <c r="I93" s="26">
        <f t="shared" si="28"/>
        <v>1.25</v>
      </c>
      <c r="J93" s="26">
        <f t="shared" si="28"/>
        <v>1.25</v>
      </c>
      <c r="K93" s="26">
        <f t="shared" si="28"/>
        <v>1.25</v>
      </c>
      <c r="L93" s="26">
        <f t="shared" si="28"/>
        <v>1.25</v>
      </c>
      <c r="M93" s="26">
        <f t="shared" si="28"/>
        <v>1.25</v>
      </c>
      <c r="N93" s="26">
        <f t="shared" si="28"/>
        <v>1.25</v>
      </c>
      <c r="O93" s="26">
        <f t="shared" si="28"/>
        <v>1.25</v>
      </c>
      <c r="P93" s="26">
        <f t="shared" si="28"/>
        <v>1.25</v>
      </c>
      <c r="Q93" s="26">
        <f t="shared" si="28"/>
        <v>1.25</v>
      </c>
      <c r="R93" s="26">
        <f t="shared" si="28"/>
        <v>1.25</v>
      </c>
      <c r="S93" s="26">
        <f t="shared" si="28"/>
        <v>1.25</v>
      </c>
      <c r="T93" s="26">
        <f t="shared" si="28"/>
        <v>1.25</v>
      </c>
      <c r="U93" s="26">
        <f t="shared" si="28"/>
        <v>1.25</v>
      </c>
      <c r="V93" s="26">
        <f t="shared" si="28"/>
        <v>1.25</v>
      </c>
      <c r="W93" s="26">
        <f t="shared" si="28"/>
        <v>1.25</v>
      </c>
      <c r="X93" s="26">
        <f t="shared" si="28"/>
        <v>1.25</v>
      </c>
      <c r="Y93" s="26">
        <f t="shared" si="28"/>
        <v>1.25</v>
      </c>
      <c r="Z93" s="26">
        <f t="shared" si="28"/>
        <v>1.25</v>
      </c>
      <c r="AA93" s="26">
        <f t="shared" si="28"/>
        <v>1.25</v>
      </c>
      <c r="AB93" s="26">
        <f t="shared" si="28"/>
        <v>1.25</v>
      </c>
      <c r="AC93" s="26">
        <f t="shared" si="28"/>
        <v>1.25</v>
      </c>
      <c r="AD93" s="26">
        <f t="shared" si="28"/>
        <v>1.25</v>
      </c>
      <c r="AE93" s="26">
        <f t="shared" si="28"/>
        <v>1.25</v>
      </c>
      <c r="AF93" s="26">
        <f t="shared" si="28"/>
        <v>1.25</v>
      </c>
      <c r="AG93" s="26">
        <f t="shared" si="28"/>
        <v>1.25</v>
      </c>
      <c r="AH93" s="26">
        <f t="shared" si="28"/>
        <v>1.25</v>
      </c>
      <c r="AI93" s="26">
        <f t="shared" si="28"/>
        <v>1.25</v>
      </c>
      <c r="AJ93" s="26">
        <f t="shared" si="28"/>
        <v>0</v>
      </c>
      <c r="AK93" s="26">
        <f t="shared" si="28"/>
        <v>0</v>
      </c>
      <c r="AL93" s="26">
        <f t="shared" si="28"/>
        <v>0</v>
      </c>
    </row>
    <row r="94" spans="1:41" ht="21" hidden="1" customHeight="1" outlineLevel="1" thickBot="1" x14ac:dyDescent="0.4">
      <c r="A94" s="10">
        <f t="shared" si="25"/>
        <v>0</v>
      </c>
      <c r="B94" s="10">
        <f t="shared" si="25"/>
        <v>0</v>
      </c>
      <c r="C94" s="10">
        <f t="shared" si="25"/>
        <v>0</v>
      </c>
      <c r="D94" s="10">
        <f t="shared" si="25"/>
        <v>1</v>
      </c>
      <c r="E94" s="11" t="str">
        <f t="shared" si="19"/>
        <v>(l)Ga[l]</v>
      </c>
      <c r="F94" s="26">
        <f t="shared" si="27"/>
        <v>0</v>
      </c>
      <c r="G94" s="26">
        <f t="shared" si="28"/>
        <v>0</v>
      </c>
      <c r="H94" s="26">
        <f t="shared" si="28"/>
        <v>0</v>
      </c>
      <c r="I94" s="26">
        <f t="shared" si="28"/>
        <v>0</v>
      </c>
      <c r="J94" s="26">
        <f t="shared" si="28"/>
        <v>0</v>
      </c>
      <c r="K94" s="26">
        <f t="shared" si="28"/>
        <v>0</v>
      </c>
      <c r="L94" s="26">
        <f t="shared" si="28"/>
        <v>0</v>
      </c>
      <c r="M94" s="26">
        <f t="shared" si="28"/>
        <v>0</v>
      </c>
      <c r="N94" s="26">
        <f t="shared" si="28"/>
        <v>0</v>
      </c>
      <c r="O94" s="26">
        <f t="shared" si="28"/>
        <v>0</v>
      </c>
      <c r="P94" s="26">
        <f t="shared" si="28"/>
        <v>0</v>
      </c>
      <c r="Q94" s="26">
        <f t="shared" si="28"/>
        <v>8.2306249999999993E-31</v>
      </c>
      <c r="R94" s="26">
        <f t="shared" si="28"/>
        <v>1.0765E-22</v>
      </c>
      <c r="S94" s="26">
        <f t="shared" si="28"/>
        <v>5.1905000000000004E-19</v>
      </c>
      <c r="T94" s="26">
        <f t="shared" si="28"/>
        <v>2.48575E-12</v>
      </c>
      <c r="U94" s="26">
        <f t="shared" si="28"/>
        <v>9.1393749999999997E-12</v>
      </c>
      <c r="V94" s="26">
        <f t="shared" si="28"/>
        <v>2.8615625000000002E-10</v>
      </c>
      <c r="W94" s="26">
        <f t="shared" si="28"/>
        <v>0</v>
      </c>
      <c r="X94" s="26">
        <f t="shared" si="28"/>
        <v>1.7743125000000002E-8</v>
      </c>
      <c r="Y94" s="26">
        <f t="shared" si="28"/>
        <v>2.3909375E-7</v>
      </c>
      <c r="Z94" s="26">
        <f t="shared" si="28"/>
        <v>0.98556250000000001</v>
      </c>
      <c r="AA94" s="26">
        <f t="shared" si="28"/>
        <v>0.99850000000000005</v>
      </c>
      <c r="AB94" s="26">
        <f t="shared" si="28"/>
        <v>0.99981249999999999</v>
      </c>
      <c r="AC94" s="26">
        <f t="shared" si="28"/>
        <v>1</v>
      </c>
      <c r="AD94" s="26">
        <f t="shared" si="28"/>
        <v>1</v>
      </c>
      <c r="AE94" s="26">
        <f t="shared" si="28"/>
        <v>1</v>
      </c>
      <c r="AF94" s="26">
        <f t="shared" si="28"/>
        <v>1</v>
      </c>
      <c r="AG94" s="26">
        <f t="shared" si="28"/>
        <v>1</v>
      </c>
      <c r="AH94" s="26">
        <f t="shared" si="28"/>
        <v>1</v>
      </c>
      <c r="AI94" s="26">
        <f t="shared" si="28"/>
        <v>1</v>
      </c>
      <c r="AJ94" s="26">
        <f t="shared" si="28"/>
        <v>0</v>
      </c>
      <c r="AK94" s="26">
        <f t="shared" si="28"/>
        <v>0</v>
      </c>
      <c r="AL94" s="26">
        <f t="shared" si="28"/>
        <v>0</v>
      </c>
    </row>
    <row r="95" spans="1:41" ht="21" hidden="1" customHeight="1" outlineLevel="1" thickBot="1" x14ac:dyDescent="0.4">
      <c r="A95" s="10">
        <f t="shared" si="25"/>
        <v>0</v>
      </c>
      <c r="B95" s="10">
        <f t="shared" si="25"/>
        <v>0</v>
      </c>
      <c r="C95" s="10">
        <f t="shared" si="25"/>
        <v>1</v>
      </c>
      <c r="D95" s="10">
        <f t="shared" si="25"/>
        <v>0</v>
      </c>
      <c r="E95" s="11" t="str">
        <f t="shared" si="19"/>
        <v>(l)Ge[l]</v>
      </c>
      <c r="F95" s="26">
        <f t="shared" si="27"/>
        <v>0</v>
      </c>
      <c r="G95" s="26">
        <f t="shared" si="28"/>
        <v>0</v>
      </c>
      <c r="H95" s="26">
        <f t="shared" si="28"/>
        <v>0</v>
      </c>
      <c r="I95" s="26">
        <f t="shared" si="28"/>
        <v>0</v>
      </c>
      <c r="J95" s="26">
        <f t="shared" si="28"/>
        <v>0</v>
      </c>
      <c r="K95" s="26">
        <f t="shared" si="28"/>
        <v>0</v>
      </c>
      <c r="L95" s="26">
        <f t="shared" si="28"/>
        <v>2.3255625000000001E-34</v>
      </c>
      <c r="M95" s="26">
        <f t="shared" si="28"/>
        <v>0</v>
      </c>
      <c r="N95" s="26">
        <f t="shared" si="28"/>
        <v>0</v>
      </c>
      <c r="O95" s="26">
        <f t="shared" si="28"/>
        <v>0</v>
      </c>
      <c r="P95" s="26">
        <f t="shared" si="28"/>
        <v>0</v>
      </c>
      <c r="Q95" s="26">
        <f t="shared" si="28"/>
        <v>1.21675E-25</v>
      </c>
      <c r="R95" s="26">
        <f t="shared" si="28"/>
        <v>2.9281249999999996E-18</v>
      </c>
      <c r="S95" s="26">
        <f t="shared" si="28"/>
        <v>2.8550000000000004E-15</v>
      </c>
      <c r="T95" s="26">
        <f t="shared" si="28"/>
        <v>5.0055000000000002E-11</v>
      </c>
      <c r="U95" s="26">
        <f t="shared" si="28"/>
        <v>5.3308124999999998E-11</v>
      </c>
      <c r="V95" s="26">
        <f t="shared" si="28"/>
        <v>5.0935E-10</v>
      </c>
      <c r="W95" s="26">
        <f t="shared" si="28"/>
        <v>0</v>
      </c>
      <c r="X95" s="26">
        <f t="shared" si="28"/>
        <v>6.7812500000000008E-9</v>
      </c>
      <c r="Y95" s="26">
        <f t="shared" si="28"/>
        <v>5.9200000000000001E-8</v>
      </c>
      <c r="Z95" s="26">
        <f t="shared" si="28"/>
        <v>0.17368125000000001</v>
      </c>
      <c r="AA95" s="26">
        <f t="shared" si="28"/>
        <v>0.20708125000000002</v>
      </c>
      <c r="AB95" s="26">
        <f t="shared" si="28"/>
        <v>0.24321249999999997</v>
      </c>
      <c r="AC95" s="26">
        <f t="shared" si="28"/>
        <v>0.45205000000000001</v>
      </c>
      <c r="AD95" s="26">
        <f t="shared" si="28"/>
        <v>0.52755624999999995</v>
      </c>
      <c r="AE95" s="26">
        <f t="shared" si="28"/>
        <v>0.6166625</v>
      </c>
      <c r="AF95" s="26">
        <f t="shared" si="28"/>
        <v>0.7225625</v>
      </c>
      <c r="AG95" s="26">
        <f t="shared" si="28"/>
        <v>0.6166625</v>
      </c>
      <c r="AH95" s="26">
        <f t="shared" si="28"/>
        <v>0.7225625</v>
      </c>
      <c r="AI95" s="26">
        <f t="shared" si="28"/>
        <v>0.85031250000000003</v>
      </c>
      <c r="AJ95" s="26">
        <f t="shared" si="28"/>
        <v>0</v>
      </c>
      <c r="AK95" s="26">
        <f t="shared" si="28"/>
        <v>0</v>
      </c>
      <c r="AL95" s="26">
        <f t="shared" si="28"/>
        <v>0</v>
      </c>
    </row>
    <row r="96" spans="1:41" ht="21" hidden="1" customHeight="1" outlineLevel="1" thickBot="1" x14ac:dyDescent="0.4">
      <c r="A96" s="10">
        <f t="shared" si="25"/>
        <v>1</v>
      </c>
      <c r="B96" s="10">
        <f t="shared" si="25"/>
        <v>0</v>
      </c>
      <c r="C96" s="10">
        <f t="shared" si="25"/>
        <v>0</v>
      </c>
      <c r="D96" s="10">
        <f t="shared" si="25"/>
        <v>0</v>
      </c>
      <c r="E96" s="11" t="str">
        <f t="shared" si="19"/>
        <v>H (Ar)</v>
      </c>
      <c r="F96" s="26">
        <f t="shared" si="27"/>
        <v>-118.5</v>
      </c>
      <c r="G96" s="26">
        <f t="shared" si="28"/>
        <v>-118.4375</v>
      </c>
      <c r="H96" s="26">
        <f t="shared" si="28"/>
        <v>-118.4375</v>
      </c>
      <c r="I96" s="26">
        <f t="shared" si="28"/>
        <v>-118.5</v>
      </c>
      <c r="J96" s="26">
        <f t="shared" si="28"/>
        <v>-118.625</v>
      </c>
      <c r="K96" s="26">
        <f t="shared" si="28"/>
        <v>-119.37500000000001</v>
      </c>
      <c r="L96" s="26">
        <f t="shared" si="28"/>
        <v>-119.625</v>
      </c>
      <c r="M96" s="26">
        <f t="shared" si="28"/>
        <v>-119.875</v>
      </c>
      <c r="N96" s="26">
        <f t="shared" si="28"/>
        <v>-120.125</v>
      </c>
      <c r="O96" s="26">
        <f t="shared" si="28"/>
        <v>-120.37500000000001</v>
      </c>
      <c r="P96" s="26">
        <f t="shared" si="28"/>
        <v>-120.625</v>
      </c>
      <c r="Q96" s="26">
        <f t="shared" si="28"/>
        <v>-120.93750000000001</v>
      </c>
      <c r="R96" s="26">
        <f t="shared" si="28"/>
        <v>-121.1875</v>
      </c>
      <c r="S96" s="26">
        <f t="shared" si="28"/>
        <v>-121.4375</v>
      </c>
      <c r="T96" s="26">
        <f t="shared" si="28"/>
        <v>-122.50000000000001</v>
      </c>
      <c r="U96" s="26">
        <f t="shared" si="28"/>
        <v>-122.75</v>
      </c>
      <c r="V96" s="26">
        <f t="shared" si="28"/>
        <v>-123</v>
      </c>
      <c r="W96" s="26">
        <f t="shared" si="28"/>
        <v>-123.06250000000001</v>
      </c>
      <c r="X96" s="26">
        <f t="shared" si="28"/>
        <v>-121.875</v>
      </c>
      <c r="Y96" s="26">
        <f t="shared" si="28"/>
        <v>-121.81249999999999</v>
      </c>
      <c r="Z96" s="26">
        <f t="shared" si="28"/>
        <v>-121.93750000000001</v>
      </c>
      <c r="AA96" s="26">
        <f t="shared" si="28"/>
        <v>-122.1875</v>
      </c>
      <c r="AB96" s="26">
        <f t="shared" si="28"/>
        <v>-122.4375</v>
      </c>
      <c r="AC96" s="26">
        <f t="shared" si="28"/>
        <v>-123.37499999999999</v>
      </c>
      <c r="AD96" s="26">
        <f t="shared" si="28"/>
        <v>-123.5625</v>
      </c>
      <c r="AE96" s="26">
        <f t="shared" si="28"/>
        <v>-123.81249999999999</v>
      </c>
      <c r="AF96" s="26">
        <f t="shared" si="28"/>
        <v>-124.06250000000001</v>
      </c>
      <c r="AG96" s="26">
        <f t="shared" si="28"/>
        <v>-123.81249999999999</v>
      </c>
      <c r="AH96" s="26">
        <f t="shared" si="28"/>
        <v>-124.06250000000001</v>
      </c>
      <c r="AI96" s="26">
        <f t="shared" si="28"/>
        <v>-124.25</v>
      </c>
      <c r="AJ96" s="26">
        <f t="shared" si="28"/>
        <v>0</v>
      </c>
      <c r="AK96" s="26">
        <f t="shared" si="28"/>
        <v>0</v>
      </c>
      <c r="AL96" s="26">
        <f t="shared" si="28"/>
        <v>0</v>
      </c>
    </row>
    <row r="97" spans="1:38" ht="21" hidden="1" customHeight="1" outlineLevel="1" thickBot="1" x14ac:dyDescent="0.4">
      <c r="A97" s="10">
        <f t="shared" si="25"/>
        <v>0</v>
      </c>
      <c r="B97" s="10">
        <f t="shared" si="25"/>
        <v>0</v>
      </c>
      <c r="C97" s="10">
        <f t="shared" si="25"/>
        <v>0</v>
      </c>
      <c r="D97" s="10">
        <f t="shared" si="25"/>
        <v>1</v>
      </c>
      <c r="E97" s="11" t="str">
        <f t="shared" si="19"/>
        <v>H (Ga)</v>
      </c>
      <c r="F97" s="26">
        <f t="shared" si="27"/>
        <v>-413.6875</v>
      </c>
      <c r="G97" s="26">
        <f t="shared" si="28"/>
        <v>-387.375</v>
      </c>
      <c r="H97" s="26">
        <f t="shared" si="28"/>
        <v>-364.5625</v>
      </c>
      <c r="I97" s="26">
        <f t="shared" si="28"/>
        <v>-344.625</v>
      </c>
      <c r="J97" s="26">
        <f t="shared" si="28"/>
        <v>-320.9375</v>
      </c>
      <c r="K97" s="26">
        <f t="shared" si="28"/>
        <v>-231.25</v>
      </c>
      <c r="L97" s="26">
        <f t="shared" si="28"/>
        <v>-213.31250000000003</v>
      </c>
      <c r="M97" s="26">
        <f t="shared" si="28"/>
        <v>-196.8125</v>
      </c>
      <c r="N97" s="26">
        <f t="shared" si="28"/>
        <v>-181.5</v>
      </c>
      <c r="O97" s="26">
        <f t="shared" si="28"/>
        <v>-167.25</v>
      </c>
      <c r="P97" s="26">
        <f t="shared" si="28"/>
        <v>-153.9375</v>
      </c>
      <c r="Q97" s="26">
        <f t="shared" si="28"/>
        <v>-141.5</v>
      </c>
      <c r="R97" s="26">
        <f t="shared" si="28"/>
        <v>-129.8125</v>
      </c>
      <c r="S97" s="26">
        <f t="shared" si="28"/>
        <v>-118.81250000000001</v>
      </c>
      <c r="T97" s="26">
        <f t="shared" si="28"/>
        <v>-80.4375</v>
      </c>
      <c r="U97" s="26">
        <f t="shared" si="28"/>
        <v>-72.0625</v>
      </c>
      <c r="V97" s="26">
        <f t="shared" si="28"/>
        <v>-64.0625</v>
      </c>
      <c r="W97" s="26">
        <f t="shared" si="28"/>
        <v>-56.681250000000006</v>
      </c>
      <c r="X97" s="26">
        <f t="shared" si="28"/>
        <v>-53.356250000000003</v>
      </c>
      <c r="Y97" s="26">
        <f t="shared" si="28"/>
        <v>-50.168749999999996</v>
      </c>
      <c r="Z97" s="26">
        <f t="shared" si="28"/>
        <v>-47.606250000000003</v>
      </c>
      <c r="AA97" s="26">
        <f t="shared" si="28"/>
        <v>-48.21875</v>
      </c>
      <c r="AB97" s="26">
        <f t="shared" si="28"/>
        <v>-48.84375</v>
      </c>
      <c r="AC97" s="26">
        <f t="shared" si="28"/>
        <v>-51.475000000000001</v>
      </c>
      <c r="AD97" s="26">
        <f t="shared" si="28"/>
        <v>-52.1875</v>
      </c>
      <c r="AE97" s="26">
        <f t="shared" si="28"/>
        <v>-52.931249999999999</v>
      </c>
      <c r="AF97" s="26">
        <f t="shared" si="28"/>
        <v>-53.706249999999997</v>
      </c>
      <c r="AG97" s="26">
        <f t="shared" si="28"/>
        <v>-52.931249999999999</v>
      </c>
      <c r="AH97" s="26">
        <f t="shared" si="28"/>
        <v>-53.706249999999997</v>
      </c>
      <c r="AI97" s="26">
        <f t="shared" si="28"/>
        <v>-54.53125</v>
      </c>
      <c r="AJ97" s="26">
        <f t="shared" si="28"/>
        <v>0</v>
      </c>
      <c r="AK97" s="26">
        <f t="shared" si="28"/>
        <v>0</v>
      </c>
      <c r="AL97" s="26">
        <f t="shared" si="28"/>
        <v>0</v>
      </c>
    </row>
    <row r="98" spans="1:38" ht="21" hidden="1" customHeight="1" outlineLevel="1" thickBot="1" x14ac:dyDescent="0.4">
      <c r="A98" s="10">
        <f t="shared" si="25"/>
        <v>0</v>
      </c>
      <c r="B98" s="10">
        <f t="shared" si="25"/>
        <v>0</v>
      </c>
      <c r="C98" s="10">
        <f t="shared" si="25"/>
        <v>1</v>
      </c>
      <c r="D98" s="10">
        <f t="shared" si="25"/>
        <v>0</v>
      </c>
      <c r="E98" s="11" t="str">
        <f t="shared" si="19"/>
        <v>H (Ge)</v>
      </c>
      <c r="F98" s="26">
        <f t="shared" si="27"/>
        <v>-101.8125</v>
      </c>
      <c r="G98" s="26">
        <f t="shared" si="28"/>
        <v>-97</v>
      </c>
      <c r="H98" s="26">
        <f t="shared" si="28"/>
        <v>-92.875</v>
      </c>
      <c r="I98" s="26">
        <f t="shared" si="28"/>
        <v>-89.375</v>
      </c>
      <c r="J98" s="26">
        <f t="shared" si="28"/>
        <v>-82.3125</v>
      </c>
      <c r="K98" s="26">
        <f t="shared" si="28"/>
        <v>-49.456250000000004</v>
      </c>
      <c r="L98" s="26">
        <f t="shared" si="28"/>
        <v>-42.818750000000001</v>
      </c>
      <c r="M98" s="26">
        <f t="shared" si="28"/>
        <v>-36.668750000000003</v>
      </c>
      <c r="N98" s="26">
        <f t="shared" si="28"/>
        <v>-30.931249999999999</v>
      </c>
      <c r="O98" s="26">
        <f t="shared" si="28"/>
        <v>-25.631250000000001</v>
      </c>
      <c r="P98" s="26">
        <f t="shared" si="28"/>
        <v>-25.937500000000004</v>
      </c>
      <c r="Q98" s="26">
        <f t="shared" si="28"/>
        <v>-26.25</v>
      </c>
      <c r="R98" s="26">
        <f t="shared" si="28"/>
        <v>-26.556249999999999</v>
      </c>
      <c r="S98" s="26">
        <f t="shared" si="28"/>
        <v>-26.868750000000002</v>
      </c>
      <c r="T98" s="26">
        <f t="shared" si="28"/>
        <v>-28.118749999999999</v>
      </c>
      <c r="U98" s="26">
        <f t="shared" si="28"/>
        <v>-28.431250000000002</v>
      </c>
      <c r="V98" s="26">
        <f t="shared" si="28"/>
        <v>-28.737500000000001</v>
      </c>
      <c r="W98" s="26">
        <f t="shared" si="28"/>
        <v>-29.043750000000003</v>
      </c>
      <c r="X98" s="26">
        <f t="shared" si="28"/>
        <v>-29.349999999999998</v>
      </c>
      <c r="Y98" s="26">
        <f t="shared" si="28"/>
        <v>-29.65</v>
      </c>
      <c r="Z98" s="26">
        <f t="shared" si="28"/>
        <v>-29.95</v>
      </c>
      <c r="AA98" s="26">
        <f t="shared" si="28"/>
        <v>-30.25</v>
      </c>
      <c r="AB98" s="26">
        <f t="shared" si="28"/>
        <v>-30.543749999999996</v>
      </c>
      <c r="AC98" s="26">
        <f t="shared" si="28"/>
        <v>-31.693749999999998</v>
      </c>
      <c r="AD98" s="26">
        <f t="shared" si="28"/>
        <v>-31.974999999999998</v>
      </c>
      <c r="AE98" s="26">
        <f t="shared" si="28"/>
        <v>-32.256249999999994</v>
      </c>
      <c r="AF98" s="26">
        <f t="shared" si="28"/>
        <v>-32.537500000000001</v>
      </c>
      <c r="AG98" s="26">
        <f t="shared" si="28"/>
        <v>-32.256249999999994</v>
      </c>
      <c r="AH98" s="26">
        <f t="shared" si="28"/>
        <v>-32.537500000000001</v>
      </c>
      <c r="AI98" s="26">
        <f t="shared" si="28"/>
        <v>-32.8125</v>
      </c>
      <c r="AJ98" s="26">
        <f t="shared" si="28"/>
        <v>0</v>
      </c>
      <c r="AK98" s="26">
        <f t="shared" si="28"/>
        <v>0</v>
      </c>
      <c r="AL98" s="26">
        <f t="shared" si="28"/>
        <v>0</v>
      </c>
    </row>
    <row r="99" spans="1:38" ht="21" hidden="1" customHeight="1" outlineLevel="1" thickBot="1" x14ac:dyDescent="0.4">
      <c r="A99" s="10">
        <f t="shared" si="25"/>
        <v>0</v>
      </c>
      <c r="B99" s="10">
        <f t="shared" si="25"/>
        <v>1</v>
      </c>
      <c r="C99" s="10">
        <f t="shared" si="25"/>
        <v>0</v>
      </c>
      <c r="D99" s="10">
        <f t="shared" si="25"/>
        <v>0</v>
      </c>
      <c r="E99" s="11" t="str">
        <f t="shared" si="19"/>
        <v>H (Se)</v>
      </c>
      <c r="F99" s="26">
        <f t="shared" si="27"/>
        <v>-147</v>
      </c>
      <c r="G99" s="26">
        <f t="shared" si="28"/>
        <v>-138.625</v>
      </c>
      <c r="H99" s="26">
        <f t="shared" si="28"/>
        <v>-131.375</v>
      </c>
      <c r="I99" s="26">
        <f t="shared" si="28"/>
        <v>-125.06250000000001</v>
      </c>
      <c r="J99" s="26">
        <f t="shared" si="28"/>
        <v>-123.5625</v>
      </c>
      <c r="K99" s="26">
        <f t="shared" si="28"/>
        <v>-131.0625</v>
      </c>
      <c r="L99" s="26">
        <f t="shared" si="28"/>
        <v>-132.9375</v>
      </c>
      <c r="M99" s="26">
        <f t="shared" si="28"/>
        <v>-134.875</v>
      </c>
      <c r="N99" s="26">
        <f t="shared" si="28"/>
        <v>-136.75</v>
      </c>
      <c r="O99" s="26">
        <f t="shared" si="28"/>
        <v>-138.6875</v>
      </c>
      <c r="P99" s="26">
        <f t="shared" si="28"/>
        <v>-140.5625</v>
      </c>
      <c r="Q99" s="26">
        <f t="shared" si="28"/>
        <v>-142.4375</v>
      </c>
      <c r="R99" s="26">
        <f t="shared" si="28"/>
        <v>-144.25</v>
      </c>
      <c r="S99" s="26">
        <f t="shared" si="28"/>
        <v>-146.0625</v>
      </c>
      <c r="T99" s="26">
        <f t="shared" si="28"/>
        <v>-153.1875</v>
      </c>
      <c r="U99" s="26">
        <f t="shared" si="28"/>
        <v>-154.9375</v>
      </c>
      <c r="V99" s="26">
        <f t="shared" si="28"/>
        <v>-156.625</v>
      </c>
      <c r="W99" s="26">
        <f t="shared" si="28"/>
        <v>-158.3125</v>
      </c>
      <c r="X99" s="26">
        <f t="shared" si="28"/>
        <v>-160</v>
      </c>
      <c r="Y99" s="26">
        <f t="shared" si="28"/>
        <v>-161.6875</v>
      </c>
      <c r="Z99" s="26">
        <f t="shared" si="28"/>
        <v>-163.3125</v>
      </c>
      <c r="AA99" s="26">
        <f t="shared" si="28"/>
        <v>-164.9375</v>
      </c>
      <c r="AB99" s="26">
        <f t="shared" si="28"/>
        <v>-166.5625</v>
      </c>
      <c r="AC99" s="26">
        <f t="shared" si="28"/>
        <v>-172.8125</v>
      </c>
      <c r="AD99" s="26">
        <f t="shared" si="28"/>
        <v>-174.3125</v>
      </c>
      <c r="AE99" s="26">
        <f t="shared" si="28"/>
        <v>-175.875</v>
      </c>
      <c r="AF99" s="26">
        <f t="shared" si="28"/>
        <v>-177.375</v>
      </c>
      <c r="AG99" s="26">
        <f t="shared" si="28"/>
        <v>-175.875</v>
      </c>
      <c r="AH99" s="26">
        <f t="shared" si="28"/>
        <v>-177.375</v>
      </c>
      <c r="AI99" s="26">
        <f t="shared" si="28"/>
        <v>-178.875</v>
      </c>
      <c r="AJ99" s="26">
        <f t="shared" si="28"/>
        <v>0</v>
      </c>
      <c r="AK99" s="26">
        <f t="shared" si="28"/>
        <v>0</v>
      </c>
      <c r="AL99" s="26">
        <f t="shared" ref="AL99" si="29">AL19*$C$82</f>
        <v>0</v>
      </c>
    </row>
    <row r="100" spans="1:38" ht="21" hidden="1" customHeight="1" outlineLevel="1" thickBot="1" x14ac:dyDescent="0.4">
      <c r="A100" s="10">
        <f t="shared" si="25"/>
        <v>0</v>
      </c>
      <c r="B100" s="10">
        <f t="shared" si="25"/>
        <v>0</v>
      </c>
      <c r="C100" s="10">
        <f t="shared" si="25"/>
        <v>0</v>
      </c>
      <c r="D100" s="10">
        <f t="shared" si="25"/>
        <v>0</v>
      </c>
      <c r="E100" s="11">
        <f t="shared" si="19"/>
        <v>0</v>
      </c>
      <c r="F100" s="26">
        <f t="shared" ref="F100:F107" si="30">F20*$C$82</f>
        <v>0</v>
      </c>
      <c r="G100" s="26">
        <f t="shared" ref="G100:AL107" si="31">G20*$C$82</f>
        <v>0</v>
      </c>
      <c r="H100" s="26">
        <f t="shared" si="31"/>
        <v>0</v>
      </c>
      <c r="I100" s="26">
        <f t="shared" si="31"/>
        <v>0</v>
      </c>
      <c r="J100" s="26">
        <f t="shared" si="31"/>
        <v>0</v>
      </c>
      <c r="K100" s="26">
        <f t="shared" si="31"/>
        <v>0</v>
      </c>
      <c r="L100" s="26">
        <f t="shared" si="31"/>
        <v>0</v>
      </c>
      <c r="M100" s="26">
        <f t="shared" si="31"/>
        <v>0</v>
      </c>
      <c r="N100" s="26">
        <f t="shared" si="31"/>
        <v>0</v>
      </c>
      <c r="O100" s="26">
        <f t="shared" si="31"/>
        <v>0</v>
      </c>
      <c r="P100" s="26">
        <f t="shared" si="31"/>
        <v>0</v>
      </c>
      <c r="Q100" s="26">
        <f t="shared" si="31"/>
        <v>0</v>
      </c>
      <c r="R100" s="26">
        <f t="shared" si="31"/>
        <v>0</v>
      </c>
      <c r="S100" s="26">
        <f t="shared" si="31"/>
        <v>0</v>
      </c>
      <c r="T100" s="26">
        <f t="shared" si="31"/>
        <v>0</v>
      </c>
      <c r="U100" s="26">
        <f t="shared" si="31"/>
        <v>0</v>
      </c>
      <c r="V100" s="26">
        <f t="shared" si="31"/>
        <v>0</v>
      </c>
      <c r="W100" s="26">
        <f t="shared" si="31"/>
        <v>0</v>
      </c>
      <c r="X100" s="26">
        <f t="shared" si="31"/>
        <v>0</v>
      </c>
      <c r="Y100" s="26">
        <f t="shared" si="31"/>
        <v>0</v>
      </c>
      <c r="Z100" s="26">
        <f t="shared" si="31"/>
        <v>0</v>
      </c>
      <c r="AA100" s="26">
        <f t="shared" si="31"/>
        <v>0</v>
      </c>
      <c r="AB100" s="26">
        <f t="shared" si="31"/>
        <v>0</v>
      </c>
      <c r="AC100" s="26">
        <f t="shared" si="31"/>
        <v>0</v>
      </c>
      <c r="AD100" s="26">
        <f t="shared" si="31"/>
        <v>0</v>
      </c>
      <c r="AE100" s="26">
        <f t="shared" si="31"/>
        <v>0</v>
      </c>
      <c r="AF100" s="26">
        <f t="shared" si="31"/>
        <v>0</v>
      </c>
      <c r="AG100" s="26">
        <f t="shared" si="31"/>
        <v>0</v>
      </c>
      <c r="AH100" s="26">
        <f t="shared" si="31"/>
        <v>0</v>
      </c>
      <c r="AI100" s="26">
        <f t="shared" si="31"/>
        <v>0</v>
      </c>
      <c r="AJ100" s="26">
        <f t="shared" si="31"/>
        <v>0</v>
      </c>
      <c r="AK100" s="26">
        <f t="shared" si="31"/>
        <v>0</v>
      </c>
      <c r="AL100" s="26">
        <f t="shared" si="31"/>
        <v>0</v>
      </c>
    </row>
    <row r="101" spans="1:38" ht="21" hidden="1" customHeight="1" outlineLevel="1" thickBot="1" x14ac:dyDescent="0.4">
      <c r="A101" s="10">
        <f t="shared" ref="A101:D113" si="32">A67</f>
        <v>0</v>
      </c>
      <c r="B101" s="10">
        <f t="shared" si="32"/>
        <v>0</v>
      </c>
      <c r="C101" s="10">
        <f t="shared" si="32"/>
        <v>0</v>
      </c>
      <c r="D101" s="10">
        <f t="shared" si="32"/>
        <v>0</v>
      </c>
      <c r="E101" s="11">
        <f t="shared" si="19"/>
        <v>0</v>
      </c>
      <c r="F101" s="26">
        <f t="shared" si="30"/>
        <v>0</v>
      </c>
      <c r="G101" s="26">
        <f t="shared" si="31"/>
        <v>0</v>
      </c>
      <c r="H101" s="26">
        <f t="shared" si="31"/>
        <v>0</v>
      </c>
      <c r="I101" s="26">
        <f t="shared" si="31"/>
        <v>0</v>
      </c>
      <c r="J101" s="26">
        <f t="shared" si="31"/>
        <v>0</v>
      </c>
      <c r="K101" s="26">
        <f t="shared" si="31"/>
        <v>0</v>
      </c>
      <c r="L101" s="26">
        <f t="shared" si="31"/>
        <v>0</v>
      </c>
      <c r="M101" s="26">
        <f t="shared" si="31"/>
        <v>0</v>
      </c>
      <c r="N101" s="26">
        <f t="shared" si="31"/>
        <v>0</v>
      </c>
      <c r="O101" s="26">
        <f t="shared" si="31"/>
        <v>0</v>
      </c>
      <c r="P101" s="26">
        <f t="shared" si="31"/>
        <v>0</v>
      </c>
      <c r="Q101" s="26">
        <f t="shared" si="31"/>
        <v>0</v>
      </c>
      <c r="R101" s="26">
        <f t="shared" si="31"/>
        <v>0</v>
      </c>
      <c r="S101" s="26">
        <f t="shared" si="31"/>
        <v>0</v>
      </c>
      <c r="T101" s="26">
        <f t="shared" si="31"/>
        <v>0</v>
      </c>
      <c r="U101" s="26">
        <f t="shared" si="31"/>
        <v>0</v>
      </c>
      <c r="V101" s="26">
        <f t="shared" si="31"/>
        <v>0</v>
      </c>
      <c r="W101" s="26">
        <f t="shared" si="31"/>
        <v>0</v>
      </c>
      <c r="X101" s="26">
        <f t="shared" si="31"/>
        <v>0</v>
      </c>
      <c r="Y101" s="26">
        <f t="shared" si="31"/>
        <v>0</v>
      </c>
      <c r="Z101" s="26">
        <f t="shared" si="31"/>
        <v>0</v>
      </c>
      <c r="AA101" s="26">
        <f t="shared" si="31"/>
        <v>0</v>
      </c>
      <c r="AB101" s="26">
        <f t="shared" si="31"/>
        <v>0</v>
      </c>
      <c r="AC101" s="26">
        <f t="shared" si="31"/>
        <v>0</v>
      </c>
      <c r="AD101" s="26">
        <f t="shared" si="31"/>
        <v>0</v>
      </c>
      <c r="AE101" s="26">
        <f t="shared" si="31"/>
        <v>0</v>
      </c>
      <c r="AF101" s="26">
        <f t="shared" si="31"/>
        <v>0</v>
      </c>
      <c r="AG101" s="26">
        <f t="shared" si="31"/>
        <v>0</v>
      </c>
      <c r="AH101" s="26">
        <f t="shared" si="31"/>
        <v>0</v>
      </c>
      <c r="AI101" s="26">
        <f t="shared" si="31"/>
        <v>0</v>
      </c>
      <c r="AJ101" s="26">
        <f t="shared" si="31"/>
        <v>0</v>
      </c>
      <c r="AK101" s="26">
        <f t="shared" si="31"/>
        <v>0</v>
      </c>
      <c r="AL101" s="26">
        <f t="shared" si="31"/>
        <v>0</v>
      </c>
    </row>
    <row r="102" spans="1:38" ht="21" hidden="1" customHeight="1" outlineLevel="1" thickBot="1" x14ac:dyDescent="0.4">
      <c r="A102" s="10">
        <f t="shared" si="32"/>
        <v>0</v>
      </c>
      <c r="B102" s="10">
        <f t="shared" si="32"/>
        <v>0</v>
      </c>
      <c r="C102" s="10">
        <f t="shared" si="32"/>
        <v>0</v>
      </c>
      <c r="D102" s="10">
        <f t="shared" si="32"/>
        <v>0</v>
      </c>
      <c r="E102" s="11">
        <f t="shared" si="19"/>
        <v>0</v>
      </c>
      <c r="F102" s="26">
        <f t="shared" si="30"/>
        <v>0</v>
      </c>
      <c r="G102" s="26">
        <f t="shared" si="31"/>
        <v>0</v>
      </c>
      <c r="H102" s="26">
        <f t="shared" si="31"/>
        <v>0</v>
      </c>
      <c r="I102" s="26">
        <f t="shared" si="31"/>
        <v>0</v>
      </c>
      <c r="J102" s="26">
        <f t="shared" si="31"/>
        <v>0</v>
      </c>
      <c r="K102" s="26">
        <f t="shared" si="31"/>
        <v>0</v>
      </c>
      <c r="L102" s="26">
        <f t="shared" si="31"/>
        <v>0</v>
      </c>
      <c r="M102" s="26">
        <f t="shared" si="31"/>
        <v>0</v>
      </c>
      <c r="N102" s="26">
        <f t="shared" si="31"/>
        <v>0</v>
      </c>
      <c r="O102" s="26">
        <f t="shared" si="31"/>
        <v>0</v>
      </c>
      <c r="P102" s="26">
        <f t="shared" si="31"/>
        <v>0</v>
      </c>
      <c r="Q102" s="26">
        <f t="shared" si="31"/>
        <v>0</v>
      </c>
      <c r="R102" s="26">
        <f t="shared" si="31"/>
        <v>0</v>
      </c>
      <c r="S102" s="26">
        <f t="shared" si="31"/>
        <v>0</v>
      </c>
      <c r="T102" s="26">
        <f t="shared" si="31"/>
        <v>0</v>
      </c>
      <c r="U102" s="26">
        <f t="shared" si="31"/>
        <v>0</v>
      </c>
      <c r="V102" s="26">
        <f t="shared" si="31"/>
        <v>0</v>
      </c>
      <c r="W102" s="26">
        <f t="shared" si="31"/>
        <v>0</v>
      </c>
      <c r="X102" s="26">
        <f t="shared" si="31"/>
        <v>0</v>
      </c>
      <c r="Y102" s="26">
        <f t="shared" si="31"/>
        <v>0</v>
      </c>
      <c r="Z102" s="26">
        <f t="shared" si="31"/>
        <v>0</v>
      </c>
      <c r="AA102" s="26">
        <f t="shared" si="31"/>
        <v>0</v>
      </c>
      <c r="AB102" s="26">
        <f t="shared" si="31"/>
        <v>0</v>
      </c>
      <c r="AC102" s="26">
        <f t="shared" si="31"/>
        <v>0</v>
      </c>
      <c r="AD102" s="26">
        <f t="shared" si="31"/>
        <v>0</v>
      </c>
      <c r="AE102" s="26">
        <f t="shared" si="31"/>
        <v>0</v>
      </c>
      <c r="AF102" s="26">
        <f t="shared" si="31"/>
        <v>0</v>
      </c>
      <c r="AG102" s="26">
        <f t="shared" si="31"/>
        <v>0</v>
      </c>
      <c r="AH102" s="26">
        <f t="shared" si="31"/>
        <v>0</v>
      </c>
      <c r="AI102" s="26">
        <f t="shared" si="31"/>
        <v>0</v>
      </c>
      <c r="AJ102" s="26">
        <f t="shared" si="31"/>
        <v>0</v>
      </c>
      <c r="AK102" s="26">
        <f t="shared" si="31"/>
        <v>0</v>
      </c>
      <c r="AL102" s="26">
        <f t="shared" si="31"/>
        <v>0</v>
      </c>
    </row>
    <row r="103" spans="1:38" ht="21" hidden="1" customHeight="1" outlineLevel="1" thickBot="1" x14ac:dyDescent="0.4">
      <c r="A103" s="10">
        <f t="shared" si="32"/>
        <v>0</v>
      </c>
      <c r="B103" s="10">
        <f t="shared" si="32"/>
        <v>0</v>
      </c>
      <c r="C103" s="10">
        <f t="shared" si="32"/>
        <v>0</v>
      </c>
      <c r="D103" s="10">
        <f t="shared" si="32"/>
        <v>0</v>
      </c>
      <c r="E103" s="11">
        <f t="shared" si="19"/>
        <v>0</v>
      </c>
      <c r="F103" s="26">
        <f t="shared" si="30"/>
        <v>0</v>
      </c>
      <c r="G103" s="26">
        <f t="shared" si="31"/>
        <v>0</v>
      </c>
      <c r="H103" s="26">
        <f t="shared" si="31"/>
        <v>0</v>
      </c>
      <c r="I103" s="26">
        <f t="shared" si="31"/>
        <v>0</v>
      </c>
      <c r="J103" s="26">
        <f t="shared" si="31"/>
        <v>0</v>
      </c>
      <c r="K103" s="26">
        <f t="shared" si="31"/>
        <v>0</v>
      </c>
      <c r="L103" s="26">
        <f t="shared" si="31"/>
        <v>0</v>
      </c>
      <c r="M103" s="26">
        <f t="shared" si="31"/>
        <v>0</v>
      </c>
      <c r="N103" s="26">
        <f t="shared" si="31"/>
        <v>0</v>
      </c>
      <c r="O103" s="26">
        <f t="shared" si="31"/>
        <v>0</v>
      </c>
      <c r="P103" s="26">
        <f t="shared" si="31"/>
        <v>0</v>
      </c>
      <c r="Q103" s="26">
        <f t="shared" si="31"/>
        <v>0</v>
      </c>
      <c r="R103" s="26">
        <f t="shared" si="31"/>
        <v>0</v>
      </c>
      <c r="S103" s="26">
        <f t="shared" si="31"/>
        <v>0</v>
      </c>
      <c r="T103" s="26">
        <f t="shared" si="31"/>
        <v>0</v>
      </c>
      <c r="U103" s="26">
        <f t="shared" si="31"/>
        <v>0</v>
      </c>
      <c r="V103" s="26">
        <f t="shared" si="31"/>
        <v>0</v>
      </c>
      <c r="W103" s="26">
        <f t="shared" si="31"/>
        <v>0</v>
      </c>
      <c r="X103" s="26">
        <f t="shared" si="31"/>
        <v>0</v>
      </c>
      <c r="Y103" s="26">
        <f t="shared" si="31"/>
        <v>0</v>
      </c>
      <c r="Z103" s="26">
        <f t="shared" si="31"/>
        <v>0</v>
      </c>
      <c r="AA103" s="26">
        <f t="shared" si="31"/>
        <v>0</v>
      </c>
      <c r="AB103" s="26">
        <f t="shared" si="31"/>
        <v>0</v>
      </c>
      <c r="AC103" s="26">
        <f t="shared" si="31"/>
        <v>0</v>
      </c>
      <c r="AD103" s="26">
        <f t="shared" si="31"/>
        <v>0</v>
      </c>
      <c r="AE103" s="26">
        <f t="shared" si="31"/>
        <v>0</v>
      </c>
      <c r="AF103" s="26">
        <f t="shared" si="31"/>
        <v>0</v>
      </c>
      <c r="AG103" s="26">
        <f t="shared" si="31"/>
        <v>0</v>
      </c>
      <c r="AH103" s="26">
        <f t="shared" si="31"/>
        <v>0</v>
      </c>
      <c r="AI103" s="26">
        <f t="shared" si="31"/>
        <v>0</v>
      </c>
      <c r="AJ103" s="26">
        <f t="shared" si="31"/>
        <v>0</v>
      </c>
      <c r="AK103" s="26">
        <f t="shared" si="31"/>
        <v>0</v>
      </c>
      <c r="AL103" s="26">
        <f t="shared" si="31"/>
        <v>0</v>
      </c>
    </row>
    <row r="104" spans="1:38" ht="21" hidden="1" customHeight="1" outlineLevel="1" thickBot="1" x14ac:dyDescent="0.4">
      <c r="A104" s="10">
        <f t="shared" si="32"/>
        <v>0</v>
      </c>
      <c r="B104" s="10">
        <f t="shared" si="32"/>
        <v>0</v>
      </c>
      <c r="C104" s="10">
        <f t="shared" si="32"/>
        <v>0</v>
      </c>
      <c r="D104" s="10">
        <f t="shared" si="32"/>
        <v>0</v>
      </c>
      <c r="E104" s="11">
        <f t="shared" si="19"/>
        <v>0</v>
      </c>
      <c r="F104" s="26">
        <f t="shared" si="30"/>
        <v>0</v>
      </c>
      <c r="G104" s="26">
        <f t="shared" si="31"/>
        <v>0</v>
      </c>
      <c r="H104" s="26">
        <f t="shared" si="31"/>
        <v>0</v>
      </c>
      <c r="I104" s="26">
        <f t="shared" si="31"/>
        <v>0</v>
      </c>
      <c r="J104" s="26">
        <f t="shared" si="31"/>
        <v>0</v>
      </c>
      <c r="K104" s="26">
        <f t="shared" si="31"/>
        <v>0</v>
      </c>
      <c r="L104" s="26">
        <f t="shared" si="31"/>
        <v>0</v>
      </c>
      <c r="M104" s="26">
        <f t="shared" si="31"/>
        <v>0</v>
      </c>
      <c r="N104" s="26">
        <f t="shared" si="31"/>
        <v>0</v>
      </c>
      <c r="O104" s="26">
        <f t="shared" si="31"/>
        <v>0</v>
      </c>
      <c r="P104" s="26">
        <f t="shared" si="31"/>
        <v>0</v>
      </c>
      <c r="Q104" s="26">
        <f t="shared" si="31"/>
        <v>0</v>
      </c>
      <c r="R104" s="26">
        <f t="shared" si="31"/>
        <v>0</v>
      </c>
      <c r="S104" s="26">
        <f t="shared" si="31"/>
        <v>0</v>
      </c>
      <c r="T104" s="26">
        <f t="shared" si="31"/>
        <v>0</v>
      </c>
      <c r="U104" s="26">
        <f t="shared" si="31"/>
        <v>0</v>
      </c>
      <c r="V104" s="26">
        <f t="shared" si="31"/>
        <v>0</v>
      </c>
      <c r="W104" s="26">
        <f t="shared" si="31"/>
        <v>0</v>
      </c>
      <c r="X104" s="26">
        <f t="shared" si="31"/>
        <v>0</v>
      </c>
      <c r="Y104" s="26">
        <f t="shared" si="31"/>
        <v>0</v>
      </c>
      <c r="Z104" s="26">
        <f t="shared" si="31"/>
        <v>0</v>
      </c>
      <c r="AA104" s="26">
        <f t="shared" si="31"/>
        <v>0</v>
      </c>
      <c r="AB104" s="26">
        <f t="shared" si="31"/>
        <v>0</v>
      </c>
      <c r="AC104" s="26">
        <f t="shared" si="31"/>
        <v>0</v>
      </c>
      <c r="AD104" s="26">
        <f t="shared" si="31"/>
        <v>0</v>
      </c>
      <c r="AE104" s="26">
        <f t="shared" si="31"/>
        <v>0</v>
      </c>
      <c r="AF104" s="26">
        <f t="shared" si="31"/>
        <v>0</v>
      </c>
      <c r="AG104" s="26">
        <f t="shared" si="31"/>
        <v>0</v>
      </c>
      <c r="AH104" s="26">
        <f t="shared" si="31"/>
        <v>0</v>
      </c>
      <c r="AI104" s="26">
        <f t="shared" si="31"/>
        <v>0</v>
      </c>
      <c r="AJ104" s="26">
        <f t="shared" si="31"/>
        <v>0</v>
      </c>
      <c r="AK104" s="26">
        <f t="shared" si="31"/>
        <v>0</v>
      </c>
      <c r="AL104" s="26">
        <f t="shared" si="31"/>
        <v>0</v>
      </c>
    </row>
    <row r="105" spans="1:38" ht="21" hidden="1" customHeight="1" outlineLevel="1" thickBot="1" x14ac:dyDescent="0.4">
      <c r="A105" s="10">
        <f t="shared" si="32"/>
        <v>0</v>
      </c>
      <c r="B105" s="10">
        <f t="shared" si="32"/>
        <v>0</v>
      </c>
      <c r="C105" s="10">
        <f t="shared" si="32"/>
        <v>0</v>
      </c>
      <c r="D105" s="10">
        <f t="shared" si="32"/>
        <v>0</v>
      </c>
      <c r="E105" s="11">
        <f t="shared" si="19"/>
        <v>0</v>
      </c>
      <c r="F105" s="26">
        <f t="shared" si="30"/>
        <v>0</v>
      </c>
      <c r="G105" s="26">
        <f t="shared" si="31"/>
        <v>0</v>
      </c>
      <c r="H105" s="26">
        <f t="shared" si="31"/>
        <v>0</v>
      </c>
      <c r="I105" s="26">
        <f t="shared" si="31"/>
        <v>0</v>
      </c>
      <c r="J105" s="26">
        <f t="shared" si="31"/>
        <v>0</v>
      </c>
      <c r="K105" s="26">
        <f t="shared" si="31"/>
        <v>0</v>
      </c>
      <c r="L105" s="26">
        <f t="shared" si="31"/>
        <v>0</v>
      </c>
      <c r="M105" s="26">
        <f t="shared" si="31"/>
        <v>0</v>
      </c>
      <c r="N105" s="26">
        <f t="shared" si="31"/>
        <v>0</v>
      </c>
      <c r="O105" s="26">
        <f t="shared" si="31"/>
        <v>0</v>
      </c>
      <c r="P105" s="26">
        <f t="shared" si="31"/>
        <v>0</v>
      </c>
      <c r="Q105" s="26">
        <f t="shared" si="31"/>
        <v>0</v>
      </c>
      <c r="R105" s="26">
        <f t="shared" si="31"/>
        <v>0</v>
      </c>
      <c r="S105" s="26">
        <f t="shared" si="31"/>
        <v>0</v>
      </c>
      <c r="T105" s="26">
        <f t="shared" si="31"/>
        <v>0</v>
      </c>
      <c r="U105" s="26">
        <f t="shared" si="31"/>
        <v>0</v>
      </c>
      <c r="V105" s="26">
        <f t="shared" si="31"/>
        <v>0</v>
      </c>
      <c r="W105" s="26">
        <f t="shared" si="31"/>
        <v>0</v>
      </c>
      <c r="X105" s="26">
        <f t="shared" si="31"/>
        <v>0</v>
      </c>
      <c r="Y105" s="26">
        <f t="shared" si="31"/>
        <v>0</v>
      </c>
      <c r="Z105" s="26">
        <f t="shared" si="31"/>
        <v>0</v>
      </c>
      <c r="AA105" s="26">
        <f t="shared" si="31"/>
        <v>0</v>
      </c>
      <c r="AB105" s="26">
        <f t="shared" si="31"/>
        <v>0</v>
      </c>
      <c r="AC105" s="26">
        <f t="shared" si="31"/>
        <v>0</v>
      </c>
      <c r="AD105" s="26">
        <f t="shared" si="31"/>
        <v>0</v>
      </c>
      <c r="AE105" s="26">
        <f t="shared" si="31"/>
        <v>0</v>
      </c>
      <c r="AF105" s="26">
        <f t="shared" si="31"/>
        <v>0</v>
      </c>
      <c r="AG105" s="26">
        <f t="shared" si="31"/>
        <v>0</v>
      </c>
      <c r="AH105" s="26">
        <f t="shared" si="31"/>
        <v>0</v>
      </c>
      <c r="AI105" s="26">
        <f t="shared" si="31"/>
        <v>0</v>
      </c>
      <c r="AJ105" s="26">
        <f t="shared" si="31"/>
        <v>0</v>
      </c>
      <c r="AK105" s="26">
        <f t="shared" si="31"/>
        <v>0</v>
      </c>
      <c r="AL105" s="26">
        <f t="shared" si="31"/>
        <v>0</v>
      </c>
    </row>
    <row r="106" spans="1:38" ht="21" hidden="1" customHeight="1" outlineLevel="1" thickBot="1" x14ac:dyDescent="0.4">
      <c r="A106" s="10">
        <f t="shared" si="32"/>
        <v>0</v>
      </c>
      <c r="B106" s="10">
        <f t="shared" si="32"/>
        <v>0</v>
      </c>
      <c r="C106" s="10">
        <f t="shared" si="32"/>
        <v>0</v>
      </c>
      <c r="D106" s="10">
        <f t="shared" si="32"/>
        <v>0</v>
      </c>
      <c r="E106" s="11">
        <f t="shared" si="19"/>
        <v>0</v>
      </c>
      <c r="F106" s="26">
        <f t="shared" si="30"/>
        <v>0</v>
      </c>
      <c r="G106" s="26">
        <f t="shared" si="31"/>
        <v>0</v>
      </c>
      <c r="H106" s="26">
        <f t="shared" si="31"/>
        <v>0</v>
      </c>
      <c r="I106" s="26">
        <f t="shared" si="31"/>
        <v>0</v>
      </c>
      <c r="J106" s="26">
        <f t="shared" si="31"/>
        <v>0</v>
      </c>
      <c r="K106" s="26">
        <f t="shared" si="31"/>
        <v>0</v>
      </c>
      <c r="L106" s="26">
        <f t="shared" si="31"/>
        <v>0</v>
      </c>
      <c r="M106" s="26">
        <f t="shared" si="31"/>
        <v>0</v>
      </c>
      <c r="N106" s="26">
        <f t="shared" si="31"/>
        <v>0</v>
      </c>
      <c r="O106" s="26">
        <f t="shared" si="31"/>
        <v>0</v>
      </c>
      <c r="P106" s="26">
        <f t="shared" si="31"/>
        <v>0</v>
      </c>
      <c r="Q106" s="26">
        <f t="shared" si="31"/>
        <v>0</v>
      </c>
      <c r="R106" s="26">
        <f t="shared" si="31"/>
        <v>0</v>
      </c>
      <c r="S106" s="26">
        <f t="shared" si="31"/>
        <v>0</v>
      </c>
      <c r="T106" s="26">
        <f t="shared" si="31"/>
        <v>0</v>
      </c>
      <c r="U106" s="26">
        <f t="shared" si="31"/>
        <v>0</v>
      </c>
      <c r="V106" s="26">
        <f t="shared" si="31"/>
        <v>0</v>
      </c>
      <c r="W106" s="26">
        <f t="shared" si="31"/>
        <v>0</v>
      </c>
      <c r="X106" s="26">
        <f t="shared" si="31"/>
        <v>0</v>
      </c>
      <c r="Y106" s="26">
        <f t="shared" si="31"/>
        <v>0</v>
      </c>
      <c r="Z106" s="26">
        <f t="shared" si="31"/>
        <v>0</v>
      </c>
      <c r="AA106" s="26">
        <f t="shared" si="31"/>
        <v>0</v>
      </c>
      <c r="AB106" s="26">
        <f t="shared" si="31"/>
        <v>0</v>
      </c>
      <c r="AC106" s="26">
        <f t="shared" si="31"/>
        <v>0</v>
      </c>
      <c r="AD106" s="26">
        <f t="shared" si="31"/>
        <v>0</v>
      </c>
      <c r="AE106" s="26">
        <f t="shared" si="31"/>
        <v>0</v>
      </c>
      <c r="AF106" s="26">
        <f t="shared" si="31"/>
        <v>0</v>
      </c>
      <c r="AG106" s="26">
        <f t="shared" si="31"/>
        <v>0</v>
      </c>
      <c r="AH106" s="26">
        <f t="shared" si="31"/>
        <v>0</v>
      </c>
      <c r="AI106" s="26">
        <f t="shared" si="31"/>
        <v>0</v>
      </c>
      <c r="AJ106" s="26">
        <f t="shared" si="31"/>
        <v>0</v>
      </c>
      <c r="AK106" s="26">
        <f t="shared" si="31"/>
        <v>0</v>
      </c>
      <c r="AL106" s="26">
        <f t="shared" si="31"/>
        <v>0</v>
      </c>
    </row>
    <row r="107" spans="1:38" ht="21" hidden="1" customHeight="1" outlineLevel="1" thickBot="1" x14ac:dyDescent="0.4">
      <c r="A107" s="10">
        <f t="shared" si="32"/>
        <v>0</v>
      </c>
      <c r="B107" s="10">
        <f t="shared" si="32"/>
        <v>0</v>
      </c>
      <c r="C107" s="10">
        <f t="shared" si="32"/>
        <v>0</v>
      </c>
      <c r="D107" s="10">
        <f t="shared" si="32"/>
        <v>0</v>
      </c>
      <c r="E107" s="11">
        <f t="shared" si="19"/>
        <v>0</v>
      </c>
      <c r="F107" s="26">
        <f t="shared" si="30"/>
        <v>0</v>
      </c>
      <c r="G107" s="26">
        <f t="shared" si="31"/>
        <v>0</v>
      </c>
      <c r="H107" s="26">
        <f t="shared" si="31"/>
        <v>0</v>
      </c>
      <c r="I107" s="26">
        <f t="shared" si="31"/>
        <v>0</v>
      </c>
      <c r="J107" s="26">
        <f t="shared" si="31"/>
        <v>0</v>
      </c>
      <c r="K107" s="26">
        <f t="shared" si="31"/>
        <v>0</v>
      </c>
      <c r="L107" s="26">
        <f t="shared" si="31"/>
        <v>0</v>
      </c>
      <c r="M107" s="26">
        <f t="shared" si="31"/>
        <v>0</v>
      </c>
      <c r="N107" s="26">
        <f t="shared" si="31"/>
        <v>0</v>
      </c>
      <c r="O107" s="26">
        <f t="shared" si="31"/>
        <v>0</v>
      </c>
      <c r="P107" s="26">
        <f t="shared" si="31"/>
        <v>0</v>
      </c>
      <c r="Q107" s="26">
        <f t="shared" si="31"/>
        <v>0</v>
      </c>
      <c r="R107" s="26">
        <f t="shared" si="31"/>
        <v>0</v>
      </c>
      <c r="S107" s="26">
        <f t="shared" si="31"/>
        <v>0</v>
      </c>
      <c r="T107" s="26">
        <f t="shared" si="31"/>
        <v>0</v>
      </c>
      <c r="U107" s="26">
        <f t="shared" si="31"/>
        <v>0</v>
      </c>
      <c r="V107" s="26">
        <f t="shared" si="31"/>
        <v>0</v>
      </c>
      <c r="W107" s="26">
        <f t="shared" si="31"/>
        <v>0</v>
      </c>
      <c r="X107" s="26">
        <f t="shared" si="31"/>
        <v>0</v>
      </c>
      <c r="Y107" s="26">
        <f t="shared" si="31"/>
        <v>0</v>
      </c>
      <c r="Z107" s="26">
        <f t="shared" si="31"/>
        <v>0</v>
      </c>
      <c r="AA107" s="26">
        <f t="shared" si="31"/>
        <v>0</v>
      </c>
      <c r="AB107" s="26">
        <f t="shared" si="31"/>
        <v>0</v>
      </c>
      <c r="AC107" s="26">
        <f t="shared" si="31"/>
        <v>0</v>
      </c>
      <c r="AD107" s="26">
        <f t="shared" si="31"/>
        <v>0</v>
      </c>
      <c r="AE107" s="26">
        <f t="shared" si="31"/>
        <v>0</v>
      </c>
      <c r="AF107" s="26">
        <f t="shared" si="31"/>
        <v>0</v>
      </c>
      <c r="AG107" s="26">
        <f t="shared" si="31"/>
        <v>0</v>
      </c>
      <c r="AH107" s="26">
        <f t="shared" si="31"/>
        <v>0</v>
      </c>
      <c r="AI107" s="26">
        <f t="shared" si="31"/>
        <v>0</v>
      </c>
      <c r="AJ107" s="26">
        <f t="shared" si="31"/>
        <v>0</v>
      </c>
      <c r="AK107" s="26">
        <f t="shared" si="31"/>
        <v>0</v>
      </c>
      <c r="AL107" s="26">
        <f t="shared" ref="AL107" si="33">AL27*$C$82</f>
        <v>0</v>
      </c>
    </row>
    <row r="108" spans="1:38" ht="21" hidden="1" customHeight="1" outlineLevel="1" thickBot="1" x14ac:dyDescent="0.4">
      <c r="A108" s="10">
        <f t="shared" si="32"/>
        <v>0</v>
      </c>
      <c r="B108" s="10">
        <f t="shared" si="32"/>
        <v>0</v>
      </c>
      <c r="C108" s="10">
        <f t="shared" si="32"/>
        <v>0</v>
      </c>
      <c r="D108" s="10">
        <f t="shared" si="32"/>
        <v>0</v>
      </c>
      <c r="E108" s="11">
        <f t="shared" si="19"/>
        <v>0</v>
      </c>
      <c r="F108" s="26">
        <f t="shared" ref="F108:F112" si="34">F28*$C$82</f>
        <v>0</v>
      </c>
      <c r="G108" s="26">
        <f t="shared" ref="G108:AL108" si="35">G28*$C$82</f>
        <v>0</v>
      </c>
      <c r="H108" s="26">
        <f t="shared" si="35"/>
        <v>0</v>
      </c>
      <c r="I108" s="26">
        <f t="shared" si="35"/>
        <v>0</v>
      </c>
      <c r="J108" s="26">
        <f t="shared" si="35"/>
        <v>0</v>
      </c>
      <c r="K108" s="26">
        <f t="shared" si="35"/>
        <v>0</v>
      </c>
      <c r="L108" s="26">
        <f t="shared" si="35"/>
        <v>0</v>
      </c>
      <c r="M108" s="26">
        <f t="shared" si="35"/>
        <v>0</v>
      </c>
      <c r="N108" s="26">
        <f t="shared" si="35"/>
        <v>0</v>
      </c>
      <c r="O108" s="26">
        <f t="shared" si="35"/>
        <v>0</v>
      </c>
      <c r="P108" s="26">
        <f t="shared" si="35"/>
        <v>0</v>
      </c>
      <c r="Q108" s="26">
        <f t="shared" si="35"/>
        <v>0</v>
      </c>
      <c r="R108" s="26">
        <f t="shared" si="35"/>
        <v>0</v>
      </c>
      <c r="S108" s="26">
        <f t="shared" si="35"/>
        <v>0</v>
      </c>
      <c r="T108" s="26">
        <f t="shared" si="35"/>
        <v>0</v>
      </c>
      <c r="U108" s="26">
        <f t="shared" si="35"/>
        <v>0</v>
      </c>
      <c r="V108" s="26">
        <f t="shared" si="35"/>
        <v>0</v>
      </c>
      <c r="W108" s="26">
        <f t="shared" si="35"/>
        <v>0</v>
      </c>
      <c r="X108" s="26">
        <f t="shared" si="35"/>
        <v>0</v>
      </c>
      <c r="Y108" s="26">
        <f t="shared" si="35"/>
        <v>0</v>
      </c>
      <c r="Z108" s="26">
        <f t="shared" si="35"/>
        <v>0</v>
      </c>
      <c r="AA108" s="26">
        <f t="shared" si="35"/>
        <v>0</v>
      </c>
      <c r="AB108" s="26">
        <f t="shared" si="35"/>
        <v>0</v>
      </c>
      <c r="AC108" s="26">
        <f t="shared" si="35"/>
        <v>0</v>
      </c>
      <c r="AD108" s="26">
        <f t="shared" si="35"/>
        <v>0</v>
      </c>
      <c r="AE108" s="26">
        <f t="shared" si="35"/>
        <v>0</v>
      </c>
      <c r="AF108" s="26">
        <f t="shared" si="35"/>
        <v>0</v>
      </c>
      <c r="AG108" s="26">
        <f t="shared" si="35"/>
        <v>0</v>
      </c>
      <c r="AH108" s="26">
        <f t="shared" si="35"/>
        <v>0</v>
      </c>
      <c r="AI108" s="26">
        <f t="shared" si="35"/>
        <v>0</v>
      </c>
      <c r="AJ108" s="26">
        <f t="shared" si="35"/>
        <v>0</v>
      </c>
      <c r="AK108" s="26">
        <f t="shared" si="35"/>
        <v>0</v>
      </c>
      <c r="AL108" s="26">
        <f t="shared" si="35"/>
        <v>0</v>
      </c>
    </row>
    <row r="109" spans="1:38" ht="21" hidden="1" customHeight="1" outlineLevel="1" thickBot="1" x14ac:dyDescent="0.4">
      <c r="A109" s="10">
        <f t="shared" si="32"/>
        <v>0</v>
      </c>
      <c r="B109" s="10">
        <f t="shared" si="32"/>
        <v>0</v>
      </c>
      <c r="C109" s="10">
        <f t="shared" si="32"/>
        <v>0</v>
      </c>
      <c r="D109" s="10">
        <f t="shared" si="32"/>
        <v>0</v>
      </c>
      <c r="E109" s="11">
        <f t="shared" si="19"/>
        <v>0</v>
      </c>
      <c r="F109" s="26">
        <f t="shared" si="34"/>
        <v>0</v>
      </c>
      <c r="G109" s="26">
        <f t="shared" ref="G109:AL109" si="36">G29*$C$82</f>
        <v>0</v>
      </c>
      <c r="H109" s="26">
        <f t="shared" si="36"/>
        <v>0</v>
      </c>
      <c r="I109" s="26">
        <f t="shared" si="36"/>
        <v>0</v>
      </c>
      <c r="J109" s="26">
        <f t="shared" si="36"/>
        <v>0</v>
      </c>
      <c r="K109" s="26">
        <f t="shared" si="36"/>
        <v>0</v>
      </c>
      <c r="L109" s="26">
        <f t="shared" si="36"/>
        <v>0</v>
      </c>
      <c r="M109" s="26">
        <f t="shared" si="36"/>
        <v>0</v>
      </c>
      <c r="N109" s="26">
        <f t="shared" si="36"/>
        <v>0</v>
      </c>
      <c r="O109" s="26">
        <f t="shared" si="36"/>
        <v>0</v>
      </c>
      <c r="P109" s="26">
        <f t="shared" si="36"/>
        <v>0</v>
      </c>
      <c r="Q109" s="26">
        <f t="shared" si="36"/>
        <v>0</v>
      </c>
      <c r="R109" s="26">
        <f t="shared" si="36"/>
        <v>0</v>
      </c>
      <c r="S109" s="26">
        <f t="shared" si="36"/>
        <v>0</v>
      </c>
      <c r="T109" s="26">
        <f t="shared" si="36"/>
        <v>0</v>
      </c>
      <c r="U109" s="26">
        <f t="shared" si="36"/>
        <v>0</v>
      </c>
      <c r="V109" s="26">
        <f t="shared" si="36"/>
        <v>0</v>
      </c>
      <c r="W109" s="26">
        <f t="shared" si="36"/>
        <v>0</v>
      </c>
      <c r="X109" s="26">
        <f t="shared" si="36"/>
        <v>0</v>
      </c>
      <c r="Y109" s="26">
        <f t="shared" si="36"/>
        <v>0</v>
      </c>
      <c r="Z109" s="26">
        <f t="shared" si="36"/>
        <v>0</v>
      </c>
      <c r="AA109" s="26">
        <f t="shared" si="36"/>
        <v>0</v>
      </c>
      <c r="AB109" s="26">
        <f t="shared" si="36"/>
        <v>0</v>
      </c>
      <c r="AC109" s="26">
        <f t="shared" si="36"/>
        <v>0</v>
      </c>
      <c r="AD109" s="26">
        <f t="shared" si="36"/>
        <v>0</v>
      </c>
      <c r="AE109" s="26">
        <f t="shared" si="36"/>
        <v>0</v>
      </c>
      <c r="AF109" s="26">
        <f t="shared" si="36"/>
        <v>0</v>
      </c>
      <c r="AG109" s="26">
        <f t="shared" si="36"/>
        <v>0</v>
      </c>
      <c r="AH109" s="26">
        <f t="shared" si="36"/>
        <v>0</v>
      </c>
      <c r="AI109" s="26">
        <f t="shared" si="36"/>
        <v>0</v>
      </c>
      <c r="AJ109" s="26">
        <f t="shared" si="36"/>
        <v>0</v>
      </c>
      <c r="AK109" s="26">
        <f t="shared" si="36"/>
        <v>0</v>
      </c>
      <c r="AL109" s="26">
        <f t="shared" si="36"/>
        <v>0</v>
      </c>
    </row>
    <row r="110" spans="1:38" ht="21" hidden="1" customHeight="1" outlineLevel="1" thickBot="1" x14ac:dyDescent="0.4">
      <c r="A110" s="10">
        <f t="shared" si="32"/>
        <v>0</v>
      </c>
      <c r="B110" s="10">
        <f t="shared" si="32"/>
        <v>0</v>
      </c>
      <c r="C110" s="10">
        <f t="shared" si="32"/>
        <v>0</v>
      </c>
      <c r="D110" s="10">
        <f t="shared" si="32"/>
        <v>0</v>
      </c>
      <c r="E110" s="11">
        <f t="shared" si="19"/>
        <v>0</v>
      </c>
      <c r="F110" s="26">
        <f t="shared" si="34"/>
        <v>0</v>
      </c>
      <c r="G110" s="26">
        <f t="shared" ref="G110:AL110" si="37">G30*$C$82</f>
        <v>0</v>
      </c>
      <c r="H110" s="26">
        <f t="shared" si="37"/>
        <v>0</v>
      </c>
      <c r="I110" s="26">
        <f t="shared" si="37"/>
        <v>0</v>
      </c>
      <c r="J110" s="26">
        <f t="shared" si="37"/>
        <v>0</v>
      </c>
      <c r="K110" s="26">
        <f t="shared" si="37"/>
        <v>0</v>
      </c>
      <c r="L110" s="26">
        <f t="shared" si="37"/>
        <v>0</v>
      </c>
      <c r="M110" s="26">
        <f t="shared" si="37"/>
        <v>0</v>
      </c>
      <c r="N110" s="26">
        <f t="shared" si="37"/>
        <v>0</v>
      </c>
      <c r="O110" s="26">
        <f t="shared" si="37"/>
        <v>0</v>
      </c>
      <c r="P110" s="26">
        <f t="shared" si="37"/>
        <v>0</v>
      </c>
      <c r="Q110" s="26">
        <f t="shared" si="37"/>
        <v>0</v>
      </c>
      <c r="R110" s="26">
        <f t="shared" si="37"/>
        <v>0</v>
      </c>
      <c r="S110" s="26">
        <f t="shared" si="37"/>
        <v>0</v>
      </c>
      <c r="T110" s="26">
        <f t="shared" si="37"/>
        <v>0</v>
      </c>
      <c r="U110" s="26">
        <f t="shared" si="37"/>
        <v>0</v>
      </c>
      <c r="V110" s="26">
        <f t="shared" si="37"/>
        <v>0</v>
      </c>
      <c r="W110" s="26">
        <f t="shared" si="37"/>
        <v>0</v>
      </c>
      <c r="X110" s="26">
        <f t="shared" si="37"/>
        <v>0</v>
      </c>
      <c r="Y110" s="26">
        <f t="shared" si="37"/>
        <v>0</v>
      </c>
      <c r="Z110" s="26">
        <f t="shared" si="37"/>
        <v>0</v>
      </c>
      <c r="AA110" s="26">
        <f t="shared" si="37"/>
        <v>0</v>
      </c>
      <c r="AB110" s="26">
        <f t="shared" si="37"/>
        <v>0</v>
      </c>
      <c r="AC110" s="26">
        <f t="shared" si="37"/>
        <v>0</v>
      </c>
      <c r="AD110" s="26">
        <f t="shared" si="37"/>
        <v>0</v>
      </c>
      <c r="AE110" s="26">
        <f t="shared" si="37"/>
        <v>0</v>
      </c>
      <c r="AF110" s="26">
        <f t="shared" si="37"/>
        <v>0</v>
      </c>
      <c r="AG110" s="26">
        <f t="shared" si="37"/>
        <v>0</v>
      </c>
      <c r="AH110" s="26">
        <f t="shared" si="37"/>
        <v>0</v>
      </c>
      <c r="AI110" s="26">
        <f t="shared" si="37"/>
        <v>0</v>
      </c>
      <c r="AJ110" s="26">
        <f t="shared" si="37"/>
        <v>0</v>
      </c>
      <c r="AK110" s="26">
        <f t="shared" si="37"/>
        <v>0</v>
      </c>
      <c r="AL110" s="26">
        <f t="shared" si="37"/>
        <v>0</v>
      </c>
    </row>
    <row r="111" spans="1:38" ht="21" hidden="1" customHeight="1" outlineLevel="1" thickBot="1" x14ac:dyDescent="0.4">
      <c r="A111" s="10">
        <f t="shared" si="32"/>
        <v>0</v>
      </c>
      <c r="B111" s="10">
        <f t="shared" si="32"/>
        <v>0</v>
      </c>
      <c r="C111" s="10">
        <f t="shared" si="32"/>
        <v>0</v>
      </c>
      <c r="D111" s="10">
        <f t="shared" si="32"/>
        <v>0</v>
      </c>
      <c r="E111" s="11">
        <f t="shared" si="19"/>
        <v>0</v>
      </c>
      <c r="F111" s="26">
        <f t="shared" si="34"/>
        <v>0</v>
      </c>
      <c r="G111" s="26">
        <f t="shared" ref="G111:AL111" si="38">G31*$C$82</f>
        <v>0</v>
      </c>
      <c r="H111" s="26">
        <f t="shared" si="38"/>
        <v>0</v>
      </c>
      <c r="I111" s="26">
        <f t="shared" si="38"/>
        <v>0</v>
      </c>
      <c r="J111" s="26">
        <f t="shared" si="38"/>
        <v>0</v>
      </c>
      <c r="K111" s="26">
        <f t="shared" si="38"/>
        <v>0</v>
      </c>
      <c r="L111" s="26">
        <f t="shared" si="38"/>
        <v>0</v>
      </c>
      <c r="M111" s="26">
        <f t="shared" si="38"/>
        <v>0</v>
      </c>
      <c r="N111" s="26">
        <f t="shared" si="38"/>
        <v>0</v>
      </c>
      <c r="O111" s="26">
        <f t="shared" si="38"/>
        <v>0</v>
      </c>
      <c r="P111" s="26">
        <f t="shared" si="38"/>
        <v>0</v>
      </c>
      <c r="Q111" s="26">
        <f t="shared" si="38"/>
        <v>0</v>
      </c>
      <c r="R111" s="26">
        <f t="shared" si="38"/>
        <v>0</v>
      </c>
      <c r="S111" s="26">
        <f t="shared" si="38"/>
        <v>0</v>
      </c>
      <c r="T111" s="26">
        <f t="shared" si="38"/>
        <v>0</v>
      </c>
      <c r="U111" s="26">
        <f t="shared" si="38"/>
        <v>0</v>
      </c>
      <c r="V111" s="26">
        <f t="shared" si="38"/>
        <v>0</v>
      </c>
      <c r="W111" s="26">
        <f t="shared" si="38"/>
        <v>0</v>
      </c>
      <c r="X111" s="26">
        <f t="shared" si="38"/>
        <v>0</v>
      </c>
      <c r="Y111" s="26">
        <f t="shared" si="38"/>
        <v>0</v>
      </c>
      <c r="Z111" s="26">
        <f t="shared" si="38"/>
        <v>0</v>
      </c>
      <c r="AA111" s="26">
        <f t="shared" si="38"/>
        <v>0</v>
      </c>
      <c r="AB111" s="26">
        <f t="shared" si="38"/>
        <v>0</v>
      </c>
      <c r="AC111" s="26">
        <f t="shared" si="38"/>
        <v>0</v>
      </c>
      <c r="AD111" s="26">
        <f t="shared" si="38"/>
        <v>0</v>
      </c>
      <c r="AE111" s="26">
        <f t="shared" si="38"/>
        <v>0</v>
      </c>
      <c r="AF111" s="26">
        <f t="shared" si="38"/>
        <v>0</v>
      </c>
      <c r="AG111" s="26">
        <f t="shared" si="38"/>
        <v>0</v>
      </c>
      <c r="AH111" s="26">
        <f t="shared" si="38"/>
        <v>0</v>
      </c>
      <c r="AI111" s="26">
        <f t="shared" si="38"/>
        <v>0</v>
      </c>
      <c r="AJ111" s="26">
        <f t="shared" si="38"/>
        <v>0</v>
      </c>
      <c r="AK111" s="26">
        <f t="shared" si="38"/>
        <v>0</v>
      </c>
      <c r="AL111" s="26">
        <f t="shared" si="38"/>
        <v>0</v>
      </c>
    </row>
    <row r="112" spans="1:38" ht="21" hidden="1" customHeight="1" outlineLevel="1" thickBot="1" x14ac:dyDescent="0.4">
      <c r="A112" s="10">
        <f t="shared" si="32"/>
        <v>0</v>
      </c>
      <c r="B112" s="10">
        <f t="shared" si="32"/>
        <v>0</v>
      </c>
      <c r="C112" s="10">
        <f t="shared" si="32"/>
        <v>0</v>
      </c>
      <c r="D112" s="10">
        <f t="shared" si="32"/>
        <v>0</v>
      </c>
      <c r="E112" s="11">
        <f t="shared" si="19"/>
        <v>0</v>
      </c>
      <c r="F112" s="26">
        <f t="shared" si="34"/>
        <v>0</v>
      </c>
      <c r="G112" s="26">
        <f t="shared" ref="G112:AL112" si="39">G32*$C$82</f>
        <v>0</v>
      </c>
      <c r="H112" s="26">
        <f t="shared" si="39"/>
        <v>0</v>
      </c>
      <c r="I112" s="26">
        <f t="shared" si="39"/>
        <v>0</v>
      </c>
      <c r="J112" s="26">
        <f t="shared" si="39"/>
        <v>0</v>
      </c>
      <c r="K112" s="26">
        <f t="shared" si="39"/>
        <v>0</v>
      </c>
      <c r="L112" s="26">
        <f t="shared" si="39"/>
        <v>0</v>
      </c>
      <c r="M112" s="26">
        <f t="shared" si="39"/>
        <v>0</v>
      </c>
      <c r="N112" s="26">
        <f t="shared" si="39"/>
        <v>0</v>
      </c>
      <c r="O112" s="26">
        <f t="shared" si="39"/>
        <v>0</v>
      </c>
      <c r="P112" s="26">
        <f t="shared" si="39"/>
        <v>0</v>
      </c>
      <c r="Q112" s="26">
        <f t="shared" si="39"/>
        <v>0</v>
      </c>
      <c r="R112" s="26">
        <f t="shared" si="39"/>
        <v>0</v>
      </c>
      <c r="S112" s="26">
        <f t="shared" si="39"/>
        <v>0</v>
      </c>
      <c r="T112" s="26">
        <f t="shared" si="39"/>
        <v>0</v>
      </c>
      <c r="U112" s="26">
        <f t="shared" si="39"/>
        <v>0</v>
      </c>
      <c r="V112" s="26">
        <f t="shared" si="39"/>
        <v>0</v>
      </c>
      <c r="W112" s="26">
        <f t="shared" si="39"/>
        <v>0</v>
      </c>
      <c r="X112" s="26">
        <f t="shared" si="39"/>
        <v>0</v>
      </c>
      <c r="Y112" s="26">
        <f t="shared" si="39"/>
        <v>0</v>
      </c>
      <c r="Z112" s="26">
        <f t="shared" si="39"/>
        <v>0</v>
      </c>
      <c r="AA112" s="26">
        <f t="shared" si="39"/>
        <v>0</v>
      </c>
      <c r="AB112" s="26">
        <f t="shared" si="39"/>
        <v>0</v>
      </c>
      <c r="AC112" s="26">
        <f t="shared" si="39"/>
        <v>0</v>
      </c>
      <c r="AD112" s="26">
        <f t="shared" si="39"/>
        <v>0</v>
      </c>
      <c r="AE112" s="26">
        <f t="shared" si="39"/>
        <v>0</v>
      </c>
      <c r="AF112" s="26">
        <f t="shared" si="39"/>
        <v>0</v>
      </c>
      <c r="AG112" s="26">
        <f t="shared" si="39"/>
        <v>0</v>
      </c>
      <c r="AH112" s="26">
        <f t="shared" si="39"/>
        <v>0</v>
      </c>
      <c r="AI112" s="26">
        <f t="shared" si="39"/>
        <v>0</v>
      </c>
      <c r="AJ112" s="26">
        <f t="shared" si="39"/>
        <v>0</v>
      </c>
      <c r="AK112" s="26">
        <f t="shared" si="39"/>
        <v>0</v>
      </c>
      <c r="AL112" s="26">
        <f t="shared" si="39"/>
        <v>0</v>
      </c>
    </row>
    <row r="113" spans="1:38" ht="21" hidden="1" customHeight="1" outlineLevel="1" thickBot="1" x14ac:dyDescent="0.4">
      <c r="A113" s="10">
        <f t="shared" si="32"/>
        <v>0</v>
      </c>
      <c r="B113" s="10">
        <f t="shared" si="32"/>
        <v>0</v>
      </c>
      <c r="C113" s="10">
        <f t="shared" si="32"/>
        <v>0</v>
      </c>
      <c r="D113" s="10">
        <f t="shared" si="32"/>
        <v>0</v>
      </c>
      <c r="E113" s="11">
        <f t="shared" si="19"/>
        <v>1</v>
      </c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</row>
    <row r="114" spans="1:38" ht="21" hidden="1" customHeight="1" outlineLevel="1" x14ac:dyDescent="0.35">
      <c r="G114" s="81"/>
      <c r="H114" s="81"/>
      <c r="I114" s="81"/>
      <c r="J114" s="81"/>
      <c r="K114" s="81"/>
      <c r="L114" s="81"/>
      <c r="M114" s="81"/>
      <c r="N114" s="81"/>
      <c r="O114" s="81"/>
      <c r="P114" s="81"/>
      <c r="Q114" s="81"/>
      <c r="R114" s="81"/>
      <c r="S114" s="81"/>
      <c r="T114" s="81"/>
      <c r="U114" s="81"/>
      <c r="V114" s="81"/>
      <c r="W114" s="81"/>
      <c r="X114" s="81"/>
      <c r="Y114" s="81"/>
      <c r="Z114" s="81"/>
      <c r="AA114" s="81"/>
      <c r="AB114" s="81"/>
      <c r="AC114" s="81"/>
      <c r="AD114" s="81"/>
      <c r="AE114" s="81"/>
      <c r="AF114" s="81"/>
      <c r="AG114" s="81"/>
      <c r="AH114" s="81"/>
      <c r="AI114" s="81"/>
      <c r="AJ114" s="81"/>
      <c r="AK114" s="81"/>
      <c r="AL114" s="81"/>
    </row>
    <row r="115" spans="1:38" ht="21" customHeight="1" collapsed="1" x14ac:dyDescent="0.35">
      <c r="G115" s="81"/>
      <c r="H115" s="81"/>
      <c r="I115" s="81"/>
      <c r="J115" s="81"/>
      <c r="K115" s="81"/>
      <c r="L115" s="81"/>
      <c r="M115" s="81"/>
      <c r="N115" s="81"/>
      <c r="O115" s="81"/>
      <c r="P115" s="81"/>
      <c r="Q115" s="81"/>
      <c r="R115" s="81"/>
      <c r="S115" s="81"/>
      <c r="T115" s="81"/>
      <c r="U115" s="81"/>
      <c r="V115" s="81"/>
      <c r="W115" s="81"/>
      <c r="X115" s="81"/>
      <c r="Y115" s="81"/>
      <c r="Z115" s="81"/>
      <c r="AA115" s="81"/>
      <c r="AB115" s="81"/>
      <c r="AC115" s="81"/>
      <c r="AD115" s="81"/>
      <c r="AE115" s="81"/>
      <c r="AF115" s="81"/>
      <c r="AG115" s="81"/>
      <c r="AH115" s="81"/>
      <c r="AI115" s="81"/>
      <c r="AJ115" s="81"/>
      <c r="AK115" s="81"/>
      <c r="AL115" s="81"/>
    </row>
    <row r="116" spans="1:38" ht="21" customHeight="1" thickBot="1" x14ac:dyDescent="0.45">
      <c r="A116" s="3"/>
      <c r="B116" s="3"/>
      <c r="C116" s="3"/>
      <c r="D116" s="3"/>
      <c r="E116" s="4" t="s">
        <v>31</v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</row>
    <row r="117" spans="1:38" ht="21" customHeight="1" outlineLevel="1" thickTop="1" thickBot="1" x14ac:dyDescent="0.4">
      <c r="A117" s="170" t="s">
        <v>11</v>
      </c>
      <c r="B117" s="171"/>
      <c r="C117" s="44" t="s">
        <v>12</v>
      </c>
      <c r="D117" s="27" t="s">
        <v>13</v>
      </c>
      <c r="E117" s="27"/>
      <c r="F117" s="9">
        <f t="shared" ref="F117" si="40">F3</f>
        <v>273.10000000000002</v>
      </c>
      <c r="G117" s="9">
        <f t="shared" ref="G117:AL117" si="41">G3</f>
        <v>293.3</v>
      </c>
      <c r="H117" s="9">
        <f t="shared" si="41"/>
        <v>313.5</v>
      </c>
      <c r="I117" s="9">
        <f t="shared" si="41"/>
        <v>333.7</v>
      </c>
      <c r="J117" s="9">
        <f t="shared" si="41"/>
        <v>353.9</v>
      </c>
      <c r="K117" s="9">
        <f t="shared" si="41"/>
        <v>434.7</v>
      </c>
      <c r="L117" s="9">
        <f t="shared" si="41"/>
        <v>454.9</v>
      </c>
      <c r="M117" s="9">
        <f t="shared" si="41"/>
        <v>475.1</v>
      </c>
      <c r="N117" s="9">
        <f t="shared" si="41"/>
        <v>495.2</v>
      </c>
      <c r="O117" s="9">
        <f t="shared" si="41"/>
        <v>515.4</v>
      </c>
      <c r="P117" s="9">
        <f t="shared" si="41"/>
        <v>535.6</v>
      </c>
      <c r="Q117" s="9">
        <f t="shared" si="41"/>
        <v>555.79999999999995</v>
      </c>
      <c r="R117" s="9">
        <f t="shared" si="41"/>
        <v>576</v>
      </c>
      <c r="S117" s="9">
        <f t="shared" si="41"/>
        <v>596.20000000000005</v>
      </c>
      <c r="T117" s="9">
        <f t="shared" si="41"/>
        <v>677</v>
      </c>
      <c r="U117" s="9">
        <f t="shared" si="41"/>
        <v>697.1</v>
      </c>
      <c r="V117" s="9">
        <f t="shared" si="41"/>
        <v>717.3</v>
      </c>
      <c r="W117" s="9">
        <f t="shared" si="41"/>
        <v>737.5</v>
      </c>
      <c r="X117" s="9">
        <f t="shared" si="41"/>
        <v>757.7</v>
      </c>
      <c r="Y117" s="9">
        <f t="shared" si="41"/>
        <v>777.9</v>
      </c>
      <c r="Z117" s="9">
        <f t="shared" si="41"/>
        <v>798.1</v>
      </c>
      <c r="AA117" s="9">
        <f t="shared" si="41"/>
        <v>818.3</v>
      </c>
      <c r="AB117" s="9">
        <f t="shared" si="41"/>
        <v>838.5</v>
      </c>
      <c r="AC117" s="9">
        <f t="shared" si="41"/>
        <v>919.2</v>
      </c>
      <c r="AD117" s="9">
        <f t="shared" si="41"/>
        <v>939.4</v>
      </c>
      <c r="AE117" s="9">
        <f t="shared" si="41"/>
        <v>959.6</v>
      </c>
      <c r="AF117" s="9">
        <f t="shared" si="41"/>
        <v>979.8</v>
      </c>
      <c r="AG117" s="9">
        <f t="shared" si="41"/>
        <v>959.6</v>
      </c>
      <c r="AH117" s="9">
        <f t="shared" si="41"/>
        <v>979.8</v>
      </c>
      <c r="AI117" s="9">
        <f t="shared" si="41"/>
        <v>1000</v>
      </c>
      <c r="AJ117" s="9">
        <f t="shared" si="41"/>
        <v>0</v>
      </c>
      <c r="AK117" s="9">
        <f t="shared" si="41"/>
        <v>0</v>
      </c>
      <c r="AL117" s="9">
        <f t="shared" si="41"/>
        <v>0</v>
      </c>
    </row>
    <row r="118" spans="1:38" ht="21" customHeight="1" outlineLevel="1" thickTop="1" thickBot="1" x14ac:dyDescent="0.4">
      <c r="A118" s="42">
        <f>$A$2</f>
        <v>700</v>
      </c>
      <c r="B118" s="76">
        <f ca="1">MIN(MIN(F118:AL120),MIN(F41:AL41))</f>
        <v>-830.07810749999999</v>
      </c>
      <c r="C118" s="45">
        <f>COUNTA(E118:E125)+1</f>
        <v>4</v>
      </c>
      <c r="E118" s="29" t="s">
        <v>40</v>
      </c>
      <c r="F118" s="26">
        <f ca="1">F$117*$B$2*SUMPRODUCT(F$94:F$95,F$60:F$61)/1000</f>
        <v>0</v>
      </c>
      <c r="G118" s="26">
        <f t="shared" ref="G118:AL118" ca="1" si="42">G$117*$B$2*SUMPRODUCT(G$94:G$95,G$60:G$61)/1000</f>
        <v>0</v>
      </c>
      <c r="H118" s="26">
        <f t="shared" ca="1" si="42"/>
        <v>0</v>
      </c>
      <c r="I118" s="26">
        <f t="shared" ca="1" si="42"/>
        <v>0</v>
      </c>
      <c r="J118" s="26">
        <f t="shared" ca="1" si="42"/>
        <v>0</v>
      </c>
      <c r="K118" s="26">
        <f t="shared" ca="1" si="42"/>
        <v>0</v>
      </c>
      <c r="L118" s="26">
        <f t="shared" ca="1" si="42"/>
        <v>-6.0260684118777312E-33</v>
      </c>
      <c r="M118" s="26">
        <f t="shared" ca="1" si="42"/>
        <v>0</v>
      </c>
      <c r="N118" s="26">
        <f t="shared" ca="1" si="42"/>
        <v>0</v>
      </c>
      <c r="O118" s="26">
        <f t="shared" ca="1" si="42"/>
        <v>0</v>
      </c>
      <c r="P118" s="26">
        <f t="shared" ca="1" si="42"/>
        <v>0</v>
      </c>
      <c r="Q118" s="26">
        <f t="shared" ca="1" si="42"/>
        <v>-2.3616805941163908E-24</v>
      </c>
      <c r="R118" s="26">
        <f t="shared" ca="1" si="42"/>
        <v>-5.9595436508759842E-17</v>
      </c>
      <c r="S118" s="26">
        <f t="shared" ca="1" si="42"/>
        <v>-6.0890658220882064E-14</v>
      </c>
      <c r="T118" s="26">
        <f t="shared" ca="1" si="42"/>
        <v>-1.447695673092034E-9</v>
      </c>
      <c r="U118" s="26">
        <f t="shared" ca="1" si="42"/>
        <v>-2.0163004946385837E-9</v>
      </c>
      <c r="V118" s="26">
        <f t="shared" ca="1" si="42"/>
        <v>-3.1460605564850316E-8</v>
      </c>
      <c r="W118" s="26">
        <f t="shared" ca="1" si="42"/>
        <v>0</v>
      </c>
      <c r="X118" s="26">
        <f t="shared" ca="1" si="42"/>
        <v>-1.1548832452920305E-6</v>
      </c>
      <c r="Y118" s="26">
        <f t="shared" ca="1" si="42"/>
        <v>-1.4229594544952662E-5</v>
      </c>
      <c r="Z118" s="26">
        <f t="shared" ca="1" si="42"/>
        <v>-55.338014475837284</v>
      </c>
      <c r="AA118" s="26">
        <f t="shared" ca="1" si="42"/>
        <v>-59.231458053311513</v>
      </c>
      <c r="AB118" s="26">
        <f t="shared" ca="1" si="42"/>
        <v>-62.760113661289452</v>
      </c>
      <c r="AC118" s="26">
        <f t="shared" ca="1" si="42"/>
        <v>-80.464864406176645</v>
      </c>
      <c r="AD118" s="26">
        <f t="shared" ca="1" si="42"/>
        <v>-86.299602132197109</v>
      </c>
      <c r="AE118" s="26">
        <f t="shared" ca="1" si="42"/>
        <v>-92.96334958427056</v>
      </c>
      <c r="AF118" s="26">
        <f t="shared" ca="1" si="42"/>
        <v>-100.64782264944117</v>
      </c>
      <c r="AG118" s="26">
        <f t="shared" ca="1" si="42"/>
        <v>-92.96334958427056</v>
      </c>
      <c r="AH118" s="26">
        <f t="shared" ca="1" si="42"/>
        <v>-100.64782264944117</v>
      </c>
      <c r="AI118" s="26">
        <f t="shared" ca="1" si="42"/>
        <v>-109.6611097265625</v>
      </c>
      <c r="AJ118" s="26">
        <f t="shared" ca="1" si="42"/>
        <v>0</v>
      </c>
      <c r="AK118" s="26">
        <f t="shared" ca="1" si="42"/>
        <v>0</v>
      </c>
      <c r="AL118" s="26">
        <f t="shared" ca="1" si="42"/>
        <v>0</v>
      </c>
    </row>
    <row r="119" spans="1:38" ht="21" customHeight="1" outlineLevel="1" thickBot="1" x14ac:dyDescent="0.4">
      <c r="A119" s="43">
        <f>$A$118</f>
        <v>700</v>
      </c>
      <c r="B119" s="77">
        <f ca="1">MAX(MAX(F118:AL120),MAX(F41:AL41))</f>
        <v>0</v>
      </c>
      <c r="C119" s="46">
        <f xml:space="preserve"> COUNTIF(F117:AL117,"&lt;&gt;"&amp;0)</f>
        <v>30</v>
      </c>
      <c r="E119" s="29" t="s">
        <v>15</v>
      </c>
      <c r="F119" s="26">
        <f ca="1">F$117*$B$2*SUMPRODUCT(F$91:F$92,F$57:F$58)/1000</f>
        <v>-230.40690922650006</v>
      </c>
      <c r="G119" s="26">
        <f t="shared" ref="G119:AL119" ca="1" si="43">G$117*$B$2*SUMPRODUCT(G$91:G$92,G$57:G$58)/1000</f>
        <v>-232.28073146250003</v>
      </c>
      <c r="H119" s="26">
        <f t="shared" ca="1" si="43"/>
        <v>-234.22869409500004</v>
      </c>
      <c r="I119" s="26">
        <f t="shared" ca="1" si="43"/>
        <v>-236.26669029075001</v>
      </c>
      <c r="J119" s="26">
        <f t="shared" ca="1" si="43"/>
        <v>-238.35733805774998</v>
      </c>
      <c r="K119" s="26">
        <f t="shared" ca="1" si="43"/>
        <v>-247.41780668325003</v>
      </c>
      <c r="L119" s="26">
        <f t="shared" ca="1" si="43"/>
        <v>-249.76193861175</v>
      </c>
      <c r="M119" s="26">
        <f t="shared" ca="1" si="43"/>
        <v>-252.26098214700002</v>
      </c>
      <c r="N119" s="26">
        <f t="shared" ca="1" si="43"/>
        <v>-254.69867714399999</v>
      </c>
      <c r="O119" s="26">
        <f t="shared" ca="1" si="43"/>
        <v>-257.31043619850004</v>
      </c>
      <c r="P119" s="26">
        <f t="shared" ca="1" si="43"/>
        <v>-259.91371446300002</v>
      </c>
      <c r="Q119" s="26">
        <f t="shared" ca="1" si="43"/>
        <v>-262.5996388575</v>
      </c>
      <c r="R119" s="26">
        <f t="shared" ca="1" si="43"/>
        <v>-265.27112927999997</v>
      </c>
      <c r="S119" s="26">
        <f t="shared" ca="1" si="43"/>
        <v>-268.00587641850001</v>
      </c>
      <c r="T119" s="26">
        <f t="shared" ca="1" si="43"/>
        <v>-279.39127047798826</v>
      </c>
      <c r="U119" s="26">
        <f t="shared" ca="1" si="43"/>
        <v>-282.35398874405763</v>
      </c>
      <c r="V119" s="26">
        <f t="shared" ca="1" si="43"/>
        <v>-285.31732243309773</v>
      </c>
      <c r="W119" s="26">
        <f t="shared" ca="1" si="43"/>
        <v>-255.37665644097916</v>
      </c>
      <c r="X119" s="26">
        <f t="shared" ca="1" si="43"/>
        <v>-58.267346763214711</v>
      </c>
      <c r="Y119" s="26">
        <f t="shared" ca="1" si="43"/>
        <v>-16.714552091683714</v>
      </c>
      <c r="Z119" s="26">
        <f t="shared" ca="1" si="43"/>
        <v>-4.4774826090056319</v>
      </c>
      <c r="AA119" s="26">
        <f t="shared" ca="1" si="43"/>
        <v>-0.48275362431490199</v>
      </c>
      <c r="AB119" s="26">
        <f t="shared" ca="1" si="43"/>
        <v>-5.6455385912539249E-2</v>
      </c>
      <c r="AC119" s="26">
        <f t="shared" ca="1" si="43"/>
        <v>-8.3539646365768486E-5</v>
      </c>
      <c r="AD119" s="26">
        <f t="shared" ca="1" si="43"/>
        <v>-6.252582522268019E-5</v>
      </c>
      <c r="AE119" s="26">
        <f t="shared" ca="1" si="43"/>
        <v>-5.4880431815735983E-5</v>
      </c>
      <c r="AF119" s="26">
        <f t="shared" ca="1" si="43"/>
        <v>-4.8795533264072239E-5</v>
      </c>
      <c r="AG119" s="26">
        <f t="shared" ca="1" si="43"/>
        <v>-5.4880431815735983E-5</v>
      </c>
      <c r="AH119" s="26">
        <f t="shared" ca="1" si="43"/>
        <v>-4.8795533264072239E-5</v>
      </c>
      <c r="AI119" s="26">
        <f t="shared" ca="1" si="43"/>
        <v>-4.2648508691565544E-5</v>
      </c>
      <c r="AJ119" s="26">
        <f t="shared" ca="1" si="43"/>
        <v>0</v>
      </c>
      <c r="AK119" s="26">
        <f t="shared" ca="1" si="43"/>
        <v>0</v>
      </c>
      <c r="AL119" s="26">
        <f t="shared" ca="1" si="43"/>
        <v>0</v>
      </c>
    </row>
    <row r="120" spans="1:38" ht="21" customHeight="1" outlineLevel="1" thickBot="1" x14ac:dyDescent="0.4">
      <c r="E120" s="29" t="s">
        <v>41</v>
      </c>
      <c r="F120" s="26">
        <f ca="1">F119+F118</f>
        <v>-230.40690922650006</v>
      </c>
      <c r="G120" s="26">
        <f t="shared" ref="G120:AL120" ca="1" si="44">G119+G118</f>
        <v>-232.28073146250003</v>
      </c>
      <c r="H120" s="26">
        <f t="shared" ca="1" si="44"/>
        <v>-234.22869409500004</v>
      </c>
      <c r="I120" s="26">
        <f t="shared" ca="1" si="44"/>
        <v>-236.26669029075001</v>
      </c>
      <c r="J120" s="26">
        <f t="shared" ca="1" si="44"/>
        <v>-238.35733805774998</v>
      </c>
      <c r="K120" s="26">
        <f t="shared" ca="1" si="44"/>
        <v>-247.41780668325003</v>
      </c>
      <c r="L120" s="26">
        <f t="shared" ca="1" si="44"/>
        <v>-249.76193861175</v>
      </c>
      <c r="M120" s="26">
        <f t="shared" ca="1" si="44"/>
        <v>-252.26098214700002</v>
      </c>
      <c r="N120" s="26">
        <f t="shared" ca="1" si="44"/>
        <v>-254.69867714399999</v>
      </c>
      <c r="O120" s="26">
        <f t="shared" ca="1" si="44"/>
        <v>-257.31043619850004</v>
      </c>
      <c r="P120" s="26">
        <f t="shared" ca="1" si="44"/>
        <v>-259.91371446300002</v>
      </c>
      <c r="Q120" s="26">
        <f t="shared" ca="1" si="44"/>
        <v>-262.5996388575</v>
      </c>
      <c r="R120" s="26">
        <f t="shared" ca="1" si="44"/>
        <v>-265.27112927999997</v>
      </c>
      <c r="S120" s="26">
        <f t="shared" ca="1" si="44"/>
        <v>-268.00587641850007</v>
      </c>
      <c r="T120" s="26">
        <f t="shared" ca="1" si="44"/>
        <v>-279.39127047943595</v>
      </c>
      <c r="U120" s="26">
        <f t="shared" ca="1" si="44"/>
        <v>-282.35398874607392</v>
      </c>
      <c r="V120" s="26">
        <f t="shared" ca="1" si="44"/>
        <v>-285.31732246455834</v>
      </c>
      <c r="W120" s="26">
        <f t="shared" ca="1" si="44"/>
        <v>-255.37665644097916</v>
      </c>
      <c r="X120" s="26">
        <f t="shared" ca="1" si="44"/>
        <v>-58.267347918097954</v>
      </c>
      <c r="Y120" s="26">
        <f t="shared" ca="1" si="44"/>
        <v>-16.714566321278259</v>
      </c>
      <c r="Z120" s="26">
        <f t="shared" ca="1" si="44"/>
        <v>-59.815497084842917</v>
      </c>
      <c r="AA120" s="26">
        <f t="shared" ca="1" si="44"/>
        <v>-59.714211677626416</v>
      </c>
      <c r="AB120" s="26">
        <f t="shared" ca="1" si="44"/>
        <v>-62.816569047201995</v>
      </c>
      <c r="AC120" s="26">
        <f t="shared" ca="1" si="44"/>
        <v>-80.464947945823013</v>
      </c>
      <c r="AD120" s="26">
        <f t="shared" ca="1" si="44"/>
        <v>-86.299664658022337</v>
      </c>
      <c r="AE120" s="26">
        <f t="shared" ca="1" si="44"/>
        <v>-92.963404464702379</v>
      </c>
      <c r="AF120" s="26">
        <f t="shared" ca="1" si="44"/>
        <v>-100.64787144497443</v>
      </c>
      <c r="AG120" s="26">
        <f t="shared" ca="1" si="44"/>
        <v>-92.963404464702379</v>
      </c>
      <c r="AH120" s="26">
        <f t="shared" ca="1" si="44"/>
        <v>-100.64787144497443</v>
      </c>
      <c r="AI120" s="26">
        <f t="shared" ca="1" si="44"/>
        <v>-109.6611523750712</v>
      </c>
      <c r="AJ120" s="26">
        <f t="shared" ca="1" si="44"/>
        <v>0</v>
      </c>
      <c r="AK120" s="26">
        <f t="shared" ca="1" si="44"/>
        <v>0</v>
      </c>
      <c r="AL120" s="26">
        <f t="shared" ca="1" si="44"/>
        <v>0</v>
      </c>
    </row>
    <row r="121" spans="1:38" ht="21" customHeight="1" outlineLevel="1" thickBot="1" x14ac:dyDescent="0.4">
      <c r="E121" s="30"/>
      <c r="F121" s="81"/>
      <c r="G121" s="81"/>
      <c r="H121" s="81"/>
      <c r="I121" s="81"/>
      <c r="J121" s="81"/>
      <c r="K121" s="81"/>
      <c r="L121" s="81"/>
      <c r="M121" s="81"/>
      <c r="N121" s="81"/>
      <c r="O121" s="81"/>
      <c r="P121" s="81"/>
      <c r="Q121" s="81"/>
      <c r="R121" s="81"/>
      <c r="S121" s="81"/>
      <c r="T121" s="81"/>
      <c r="U121" s="81"/>
      <c r="V121" s="81"/>
      <c r="W121" s="81"/>
      <c r="X121" s="81"/>
      <c r="Y121" s="81"/>
      <c r="Z121" s="81"/>
      <c r="AA121" s="81"/>
      <c r="AB121" s="81"/>
      <c r="AC121" s="81"/>
      <c r="AD121" s="81"/>
      <c r="AE121" s="81"/>
      <c r="AF121" s="81"/>
      <c r="AG121" s="81"/>
      <c r="AH121" s="81"/>
      <c r="AI121" s="81"/>
      <c r="AJ121" s="81"/>
      <c r="AK121" s="81"/>
      <c r="AL121" s="81"/>
    </row>
    <row r="122" spans="1:38" ht="21" customHeight="1" outlineLevel="1" thickBot="1" x14ac:dyDescent="0.4">
      <c r="E122" s="30"/>
      <c r="F122" s="81"/>
      <c r="G122" s="81"/>
      <c r="H122" s="81"/>
      <c r="I122" s="81"/>
      <c r="J122" s="81"/>
      <c r="K122" s="81"/>
      <c r="L122" s="81"/>
      <c r="M122" s="81"/>
      <c r="N122" s="81"/>
      <c r="O122" s="81"/>
      <c r="P122" s="81"/>
      <c r="Q122" s="81"/>
      <c r="R122" s="81"/>
      <c r="S122" s="81"/>
      <c r="T122" s="81"/>
      <c r="U122" s="81"/>
      <c r="V122" s="81"/>
      <c r="W122" s="81"/>
      <c r="X122" s="81"/>
      <c r="Y122" s="81"/>
      <c r="Z122" s="81"/>
      <c r="AA122" s="81"/>
      <c r="AB122" s="81"/>
      <c r="AC122" s="81"/>
      <c r="AD122" s="81"/>
      <c r="AE122" s="81"/>
      <c r="AF122" s="81"/>
      <c r="AG122" s="81"/>
      <c r="AH122" s="81"/>
      <c r="AI122" s="81"/>
      <c r="AJ122" s="81"/>
      <c r="AK122" s="81"/>
      <c r="AL122" s="81"/>
    </row>
    <row r="123" spans="1:38" ht="21" customHeight="1" outlineLevel="1" thickBot="1" x14ac:dyDescent="0.4">
      <c r="E123" s="29"/>
      <c r="F123" s="81"/>
      <c r="G123" s="81"/>
      <c r="H123" s="81"/>
      <c r="I123" s="81"/>
      <c r="J123" s="81"/>
      <c r="K123" s="81"/>
      <c r="L123" s="81"/>
      <c r="M123" s="81"/>
      <c r="N123" s="81"/>
      <c r="O123" s="81"/>
      <c r="P123" s="81"/>
      <c r="Q123" s="81"/>
      <c r="R123" s="81"/>
      <c r="S123" s="81"/>
      <c r="T123" s="81"/>
      <c r="U123" s="81"/>
      <c r="V123" s="81"/>
      <c r="W123" s="81"/>
      <c r="X123" s="81"/>
      <c r="Y123" s="81"/>
      <c r="Z123" s="81"/>
      <c r="AA123" s="81"/>
      <c r="AB123" s="81"/>
      <c r="AC123" s="81"/>
      <c r="AD123" s="81"/>
      <c r="AE123" s="81"/>
      <c r="AF123" s="81"/>
      <c r="AG123" s="81"/>
      <c r="AH123" s="81"/>
      <c r="AI123" s="81"/>
      <c r="AJ123" s="81"/>
      <c r="AK123" s="81"/>
      <c r="AL123" s="81"/>
    </row>
    <row r="124" spans="1:38" ht="21" customHeight="1" outlineLevel="1" thickBot="1" x14ac:dyDescent="0.4">
      <c r="E124" s="30"/>
      <c r="G124" s="81"/>
      <c r="H124" s="81"/>
      <c r="I124" s="81"/>
      <c r="J124" s="81"/>
      <c r="K124" s="81"/>
      <c r="L124" s="81"/>
      <c r="M124" s="81"/>
      <c r="N124" s="81"/>
      <c r="O124" s="81"/>
      <c r="P124" s="81"/>
      <c r="Q124" s="81"/>
      <c r="R124" s="81"/>
      <c r="S124" s="81"/>
      <c r="T124" s="81"/>
      <c r="U124" s="81"/>
      <c r="V124" s="81"/>
      <c r="W124" s="81"/>
      <c r="X124" s="81"/>
      <c r="Y124" s="81"/>
      <c r="Z124" s="81"/>
      <c r="AA124" s="81"/>
      <c r="AB124" s="81"/>
      <c r="AC124" s="81"/>
      <c r="AD124" s="81"/>
      <c r="AE124" s="81"/>
      <c r="AF124" s="81"/>
      <c r="AG124" s="81"/>
      <c r="AH124" s="81"/>
      <c r="AI124" s="81"/>
      <c r="AJ124" s="81"/>
      <c r="AK124" s="81"/>
      <c r="AL124" s="81"/>
    </row>
    <row r="125" spans="1:38" ht="21" customHeight="1" outlineLevel="1" thickBot="1" x14ac:dyDescent="0.4">
      <c r="E125" s="30"/>
      <c r="G125" s="81"/>
      <c r="H125" s="81"/>
      <c r="I125" s="81"/>
      <c r="J125" s="81"/>
      <c r="K125" s="81"/>
      <c r="L125" s="81"/>
      <c r="M125" s="81"/>
      <c r="N125" s="81"/>
      <c r="O125" s="81"/>
      <c r="P125" s="81"/>
      <c r="Q125" s="81"/>
      <c r="R125" s="81"/>
      <c r="S125" s="81"/>
      <c r="T125" s="81"/>
      <c r="U125" s="81"/>
      <c r="V125" s="81"/>
      <c r="W125" s="81"/>
      <c r="X125" s="81"/>
      <c r="Y125" s="81"/>
      <c r="Z125" s="81"/>
      <c r="AA125" s="81"/>
      <c r="AB125" s="81"/>
      <c r="AC125" s="81"/>
      <c r="AD125" s="81"/>
      <c r="AE125" s="81"/>
      <c r="AF125" s="81"/>
      <c r="AG125" s="81"/>
      <c r="AH125" s="81"/>
      <c r="AI125" s="81"/>
      <c r="AJ125" s="81"/>
      <c r="AK125" s="81"/>
      <c r="AL125" s="81"/>
    </row>
    <row r="126" spans="1:38" ht="21" customHeight="1" outlineLevel="1" thickTop="1" thickBot="1" x14ac:dyDescent="0.4">
      <c r="E126" s="9">
        <f t="array" aca="1" ref="E126:AL139" ca="1">OFFSET(E117,0,0,C118,C119+1)</f>
        <v>0</v>
      </c>
      <c r="F126" s="9">
        <f ca="1"/>
        <v>273.10000000000002</v>
      </c>
      <c r="G126" s="9">
        <f ca="1"/>
        <v>293.3</v>
      </c>
      <c r="H126" s="9">
        <f ca="1"/>
        <v>313.5</v>
      </c>
      <c r="I126" s="9">
        <f ca="1"/>
        <v>333.7</v>
      </c>
      <c r="J126" s="9">
        <f ca="1"/>
        <v>353.9</v>
      </c>
      <c r="K126" s="9">
        <f ca="1"/>
        <v>434.7</v>
      </c>
      <c r="L126" s="9">
        <f ca="1"/>
        <v>454.9</v>
      </c>
      <c r="M126" s="9">
        <f ca="1"/>
        <v>475.1</v>
      </c>
      <c r="N126" s="9">
        <f ca="1"/>
        <v>495.2</v>
      </c>
      <c r="O126" s="9">
        <f ca="1"/>
        <v>515.4</v>
      </c>
      <c r="P126" s="9">
        <f ca="1"/>
        <v>535.6</v>
      </c>
      <c r="Q126" s="9">
        <f ca="1"/>
        <v>555.79999999999995</v>
      </c>
      <c r="R126" s="9">
        <f ca="1"/>
        <v>576</v>
      </c>
      <c r="S126" s="9">
        <f ca="1"/>
        <v>596.20000000000005</v>
      </c>
      <c r="T126" s="9">
        <f ca="1"/>
        <v>677</v>
      </c>
      <c r="U126" s="9">
        <f ca="1"/>
        <v>697.1</v>
      </c>
      <c r="V126" s="9">
        <f ca="1"/>
        <v>717.3</v>
      </c>
      <c r="W126" s="9">
        <f ca="1"/>
        <v>737.5</v>
      </c>
      <c r="X126" s="9">
        <f ca="1"/>
        <v>757.7</v>
      </c>
      <c r="Y126" s="9">
        <f ca="1"/>
        <v>777.9</v>
      </c>
      <c r="Z126" s="9">
        <f ca="1"/>
        <v>798.1</v>
      </c>
      <c r="AA126" s="9">
        <f ca="1"/>
        <v>818.3</v>
      </c>
      <c r="AB126" s="9">
        <f ca="1"/>
        <v>838.5</v>
      </c>
      <c r="AC126" s="9">
        <f ca="1"/>
        <v>919.2</v>
      </c>
      <c r="AD126" s="9">
        <f ca="1"/>
        <v>939.4</v>
      </c>
      <c r="AE126" s="9">
        <f ca="1"/>
        <v>959.6</v>
      </c>
      <c r="AF126" s="9">
        <f ca="1"/>
        <v>979.8</v>
      </c>
      <c r="AG126" s="9">
        <f ca="1"/>
        <v>959.6</v>
      </c>
      <c r="AH126" s="9">
        <f ca="1"/>
        <v>979.8</v>
      </c>
      <c r="AI126" s="9">
        <f ca="1"/>
        <v>1000</v>
      </c>
      <c r="AJ126" s="9" t="e">
        <f ca="1"/>
        <v>#N/A</v>
      </c>
      <c r="AK126" s="9" t="e">
        <f ca="1"/>
        <v>#N/A</v>
      </c>
      <c r="AL126" s="9" t="e">
        <f ca="1"/>
        <v>#N/A</v>
      </c>
    </row>
    <row r="127" spans="1:38" ht="21" customHeight="1" outlineLevel="1" thickTop="1" thickBot="1" x14ac:dyDescent="0.4">
      <c r="E127" s="29" t="str">
        <f ca="1"/>
        <v xml:space="preserve">Расвор: </v>
      </c>
      <c r="F127" s="59">
        <f ca="1"/>
        <v>0</v>
      </c>
      <c r="G127" s="59">
        <f ca="1"/>
        <v>0</v>
      </c>
      <c r="H127" s="59">
        <f ca="1"/>
        <v>0</v>
      </c>
      <c r="I127" s="59">
        <f ca="1"/>
        <v>0</v>
      </c>
      <c r="J127" s="59">
        <f ca="1"/>
        <v>0</v>
      </c>
      <c r="K127" s="59">
        <f ca="1"/>
        <v>0</v>
      </c>
      <c r="L127" s="59">
        <f ca="1"/>
        <v>-6.0260684118777312E-33</v>
      </c>
      <c r="M127" s="59">
        <f ca="1"/>
        <v>0</v>
      </c>
      <c r="N127" s="59">
        <f ca="1"/>
        <v>0</v>
      </c>
      <c r="O127" s="59">
        <f ca="1"/>
        <v>0</v>
      </c>
      <c r="P127" s="59">
        <f ca="1"/>
        <v>0</v>
      </c>
      <c r="Q127" s="59">
        <f ca="1"/>
        <v>-2.3616805941163908E-24</v>
      </c>
      <c r="R127" s="59">
        <f ca="1"/>
        <v>-5.9595436508759842E-17</v>
      </c>
      <c r="S127" s="59">
        <f ca="1"/>
        <v>-6.0890658220882064E-14</v>
      </c>
      <c r="T127" s="59">
        <f ca="1"/>
        <v>-1.447695673092034E-9</v>
      </c>
      <c r="U127" s="59">
        <f ca="1"/>
        <v>-2.0163004946385837E-9</v>
      </c>
      <c r="V127" s="59">
        <f ca="1"/>
        <v>-3.1460605564850316E-8</v>
      </c>
      <c r="W127" s="59">
        <f ca="1"/>
        <v>0</v>
      </c>
      <c r="X127" s="59">
        <f ca="1"/>
        <v>-1.1548832452920305E-6</v>
      </c>
      <c r="Y127" s="59">
        <f ca="1"/>
        <v>-1.4229594544952662E-5</v>
      </c>
      <c r="Z127" s="59">
        <f ca="1"/>
        <v>-55.338014475837284</v>
      </c>
      <c r="AA127" s="59">
        <f ca="1"/>
        <v>-59.231458053311513</v>
      </c>
      <c r="AB127" s="59">
        <f ca="1"/>
        <v>-62.760113661289452</v>
      </c>
      <c r="AC127" s="59">
        <f ca="1"/>
        <v>-80.464864406176645</v>
      </c>
      <c r="AD127" s="59">
        <f ca="1"/>
        <v>-86.299602132197109</v>
      </c>
      <c r="AE127" s="59">
        <f ca="1"/>
        <v>-92.96334958427056</v>
      </c>
      <c r="AF127" s="59">
        <f ca="1"/>
        <v>-100.64782264944117</v>
      </c>
      <c r="AG127" s="59">
        <f ca="1"/>
        <v>-92.96334958427056</v>
      </c>
      <c r="AH127" s="59">
        <f ca="1"/>
        <v>-100.64782264944117</v>
      </c>
      <c r="AI127" s="59">
        <f ca="1"/>
        <v>-109.6611097265625</v>
      </c>
      <c r="AJ127" s="59" t="e">
        <f ca="1"/>
        <v>#N/A</v>
      </c>
      <c r="AK127" s="59" t="e">
        <f ca="1"/>
        <v>#N/A</v>
      </c>
      <c r="AL127" s="59" t="e">
        <f ca="1"/>
        <v>#N/A</v>
      </c>
    </row>
    <row r="128" spans="1:38" ht="21" customHeight="1" outlineLevel="1" thickBot="1" x14ac:dyDescent="0.4">
      <c r="E128" s="29" t="str">
        <f ca="1"/>
        <v xml:space="preserve">Газовая без Ar: </v>
      </c>
      <c r="F128" s="59">
        <f ca="1"/>
        <v>-230.40690922650006</v>
      </c>
      <c r="G128" s="59">
        <f ca="1"/>
        <v>-232.28073146250003</v>
      </c>
      <c r="H128" s="59">
        <f ca="1"/>
        <v>-234.22869409500004</v>
      </c>
      <c r="I128" s="59">
        <f ca="1"/>
        <v>-236.26669029075001</v>
      </c>
      <c r="J128" s="59">
        <f ca="1"/>
        <v>-238.35733805774998</v>
      </c>
      <c r="K128" s="59">
        <f ca="1"/>
        <v>-247.41780668325003</v>
      </c>
      <c r="L128" s="59">
        <f ca="1"/>
        <v>-249.76193861175</v>
      </c>
      <c r="M128" s="59">
        <f ca="1"/>
        <v>-252.26098214700002</v>
      </c>
      <c r="N128" s="59">
        <f ca="1"/>
        <v>-254.69867714399999</v>
      </c>
      <c r="O128" s="59">
        <f ca="1"/>
        <v>-257.31043619850004</v>
      </c>
      <c r="P128" s="59">
        <f ca="1"/>
        <v>-259.91371446300002</v>
      </c>
      <c r="Q128" s="59">
        <f ca="1"/>
        <v>-262.5996388575</v>
      </c>
      <c r="R128" s="59">
        <f ca="1"/>
        <v>-265.27112927999997</v>
      </c>
      <c r="S128" s="59">
        <f ca="1"/>
        <v>-268.00587641850001</v>
      </c>
      <c r="T128" s="59">
        <f ca="1"/>
        <v>-279.39127047798826</v>
      </c>
      <c r="U128" s="59">
        <f ca="1"/>
        <v>-282.35398874405763</v>
      </c>
      <c r="V128" s="59">
        <f ca="1"/>
        <v>-285.31732243309773</v>
      </c>
      <c r="W128" s="59">
        <f ca="1"/>
        <v>-255.37665644097916</v>
      </c>
      <c r="X128" s="59">
        <f ca="1"/>
        <v>-58.267346763214711</v>
      </c>
      <c r="Y128" s="59">
        <f ca="1"/>
        <v>-16.714552091683714</v>
      </c>
      <c r="Z128" s="59">
        <f ca="1"/>
        <v>-4.4774826090056319</v>
      </c>
      <c r="AA128" s="59">
        <f ca="1"/>
        <v>-0.48275362431490199</v>
      </c>
      <c r="AB128" s="59">
        <f ca="1"/>
        <v>-5.6455385912539249E-2</v>
      </c>
      <c r="AC128" s="59">
        <f ca="1"/>
        <v>-8.3539646365768486E-5</v>
      </c>
      <c r="AD128" s="59">
        <f ca="1"/>
        <v>-6.252582522268019E-5</v>
      </c>
      <c r="AE128" s="59">
        <f ca="1"/>
        <v>-5.4880431815735983E-5</v>
      </c>
      <c r="AF128" s="59">
        <f ca="1"/>
        <v>-4.8795533264072239E-5</v>
      </c>
      <c r="AG128" s="59">
        <f ca="1"/>
        <v>-5.4880431815735983E-5</v>
      </c>
      <c r="AH128" s="59">
        <f ca="1"/>
        <v>-4.8795533264072239E-5</v>
      </c>
      <c r="AI128" s="59">
        <f ca="1"/>
        <v>-4.2648508691565544E-5</v>
      </c>
      <c r="AJ128" s="59" t="e">
        <f ca="1"/>
        <v>#N/A</v>
      </c>
      <c r="AK128" s="59" t="e">
        <f ca="1"/>
        <v>#N/A</v>
      </c>
      <c r="AL128" s="59" t="e">
        <f ca="1"/>
        <v>#N/A</v>
      </c>
    </row>
    <row r="129" spans="1:38" ht="21" customHeight="1" outlineLevel="1" thickBot="1" x14ac:dyDescent="0.4">
      <c r="E129" s="29" t="str">
        <f ca="1"/>
        <v>Раствор + газовая без Ar</v>
      </c>
      <c r="F129" s="59">
        <f ca="1"/>
        <v>-230.40690922650006</v>
      </c>
      <c r="G129" s="59">
        <f ca="1"/>
        <v>-232.28073146250003</v>
      </c>
      <c r="H129" s="59">
        <f ca="1"/>
        <v>-234.22869409500004</v>
      </c>
      <c r="I129" s="59">
        <f ca="1"/>
        <v>-236.26669029075001</v>
      </c>
      <c r="J129" s="59">
        <f ca="1"/>
        <v>-238.35733805774998</v>
      </c>
      <c r="K129" s="59">
        <f ca="1"/>
        <v>-247.41780668325003</v>
      </c>
      <c r="L129" s="59">
        <f ca="1"/>
        <v>-249.76193861175</v>
      </c>
      <c r="M129" s="59">
        <f ca="1"/>
        <v>-252.26098214700002</v>
      </c>
      <c r="N129" s="59">
        <f ca="1"/>
        <v>-254.69867714399999</v>
      </c>
      <c r="O129" s="59">
        <f ca="1"/>
        <v>-257.31043619850004</v>
      </c>
      <c r="P129" s="59">
        <f ca="1"/>
        <v>-259.91371446300002</v>
      </c>
      <c r="Q129" s="59">
        <f ca="1"/>
        <v>-262.5996388575</v>
      </c>
      <c r="R129" s="59">
        <f ca="1"/>
        <v>-265.27112927999997</v>
      </c>
      <c r="S129" s="59">
        <f ca="1"/>
        <v>-268.00587641850007</v>
      </c>
      <c r="T129" s="59">
        <f ca="1"/>
        <v>-279.39127047943595</v>
      </c>
      <c r="U129" s="59">
        <f ca="1"/>
        <v>-282.35398874607392</v>
      </c>
      <c r="V129" s="59">
        <f ca="1"/>
        <v>-285.31732246455834</v>
      </c>
      <c r="W129" s="59">
        <f ca="1"/>
        <v>-255.37665644097916</v>
      </c>
      <c r="X129" s="59">
        <f ca="1"/>
        <v>-58.267347918097954</v>
      </c>
      <c r="Y129" s="59">
        <f ca="1"/>
        <v>-16.714566321278259</v>
      </c>
      <c r="Z129" s="59">
        <f ca="1"/>
        <v>-59.815497084842917</v>
      </c>
      <c r="AA129" s="59">
        <f ca="1"/>
        <v>-59.714211677626416</v>
      </c>
      <c r="AB129" s="59">
        <f ca="1"/>
        <v>-62.816569047201995</v>
      </c>
      <c r="AC129" s="59">
        <f ca="1"/>
        <v>-80.464947945823013</v>
      </c>
      <c r="AD129" s="59">
        <f ca="1"/>
        <v>-86.299664658022337</v>
      </c>
      <c r="AE129" s="59">
        <f ca="1"/>
        <v>-92.963404464702379</v>
      </c>
      <c r="AF129" s="59">
        <f ca="1"/>
        <v>-100.64787144497443</v>
      </c>
      <c r="AG129" s="59">
        <f ca="1"/>
        <v>-92.963404464702379</v>
      </c>
      <c r="AH129" s="59">
        <f ca="1"/>
        <v>-100.64787144497443</v>
      </c>
      <c r="AI129" s="59">
        <f ca="1"/>
        <v>-109.6611523750712</v>
      </c>
      <c r="AJ129" s="59" t="e">
        <f ca="1"/>
        <v>#N/A</v>
      </c>
      <c r="AK129" s="59" t="e">
        <f ca="1"/>
        <v>#N/A</v>
      </c>
      <c r="AL129" s="59" t="e">
        <f ca="1"/>
        <v>#N/A</v>
      </c>
    </row>
    <row r="130" spans="1:38" ht="21" customHeight="1" outlineLevel="1" thickBot="1" x14ac:dyDescent="0.4">
      <c r="E130" s="29" t="e">
        <f ca="1"/>
        <v>#N/A</v>
      </c>
      <c r="F130" s="59" t="e">
        <f ca="1"/>
        <v>#N/A</v>
      </c>
      <c r="G130" s="59" t="e">
        <f ca="1"/>
        <v>#N/A</v>
      </c>
      <c r="H130" s="59" t="e">
        <f ca="1"/>
        <v>#N/A</v>
      </c>
      <c r="I130" s="59" t="e">
        <f ca="1"/>
        <v>#N/A</v>
      </c>
      <c r="J130" s="59" t="e">
        <f ca="1"/>
        <v>#N/A</v>
      </c>
      <c r="K130" s="59" t="e">
        <f ca="1"/>
        <v>#N/A</v>
      </c>
      <c r="L130" s="59" t="e">
        <f ca="1"/>
        <v>#N/A</v>
      </c>
      <c r="M130" s="59" t="e">
        <f ca="1"/>
        <v>#N/A</v>
      </c>
      <c r="N130" s="59" t="e">
        <f ca="1"/>
        <v>#N/A</v>
      </c>
      <c r="O130" s="59" t="e">
        <f ca="1"/>
        <v>#N/A</v>
      </c>
      <c r="P130" s="59" t="e">
        <f ca="1"/>
        <v>#N/A</v>
      </c>
      <c r="Q130" s="59" t="e">
        <f ca="1"/>
        <v>#N/A</v>
      </c>
      <c r="R130" s="59" t="e">
        <f ca="1"/>
        <v>#N/A</v>
      </c>
      <c r="S130" s="59" t="e">
        <f ca="1"/>
        <v>#N/A</v>
      </c>
      <c r="T130" s="59" t="e">
        <f ca="1"/>
        <v>#N/A</v>
      </c>
      <c r="U130" s="59" t="e">
        <f ca="1"/>
        <v>#N/A</v>
      </c>
      <c r="V130" s="59" t="e">
        <f ca="1"/>
        <v>#N/A</v>
      </c>
      <c r="W130" s="59" t="e">
        <f ca="1"/>
        <v>#N/A</v>
      </c>
      <c r="X130" s="59" t="e">
        <f ca="1"/>
        <v>#N/A</v>
      </c>
      <c r="Y130" s="59" t="e">
        <f ca="1"/>
        <v>#N/A</v>
      </c>
      <c r="Z130" s="59" t="e">
        <f ca="1"/>
        <v>#N/A</v>
      </c>
      <c r="AA130" s="59" t="e">
        <f ca="1"/>
        <v>#N/A</v>
      </c>
      <c r="AB130" s="59" t="e">
        <f ca="1"/>
        <v>#N/A</v>
      </c>
      <c r="AC130" s="59" t="e">
        <f ca="1"/>
        <v>#N/A</v>
      </c>
      <c r="AD130" s="59" t="e">
        <f ca="1"/>
        <v>#N/A</v>
      </c>
      <c r="AE130" s="59" t="e">
        <f ca="1"/>
        <v>#N/A</v>
      </c>
      <c r="AF130" s="59" t="e">
        <f ca="1"/>
        <v>#N/A</v>
      </c>
      <c r="AG130" s="59" t="e">
        <f ca="1"/>
        <v>#N/A</v>
      </c>
      <c r="AH130" s="59" t="e">
        <f ca="1"/>
        <v>#N/A</v>
      </c>
      <c r="AI130" s="59" t="e">
        <f ca="1"/>
        <v>#N/A</v>
      </c>
      <c r="AJ130" s="59" t="e">
        <f ca="1"/>
        <v>#N/A</v>
      </c>
      <c r="AK130" s="59" t="e">
        <f ca="1"/>
        <v>#N/A</v>
      </c>
      <c r="AL130" s="59" t="e">
        <f ca="1"/>
        <v>#N/A</v>
      </c>
    </row>
    <row r="131" spans="1:38" ht="21" customHeight="1" outlineLevel="1" thickBot="1" x14ac:dyDescent="0.4">
      <c r="E131" s="29" t="e">
        <f ca="1"/>
        <v>#N/A</v>
      </c>
      <c r="F131" s="59" t="e">
        <f ca="1"/>
        <v>#N/A</v>
      </c>
      <c r="G131" s="59" t="e">
        <f ca="1"/>
        <v>#N/A</v>
      </c>
      <c r="H131" s="59" t="e">
        <f ca="1"/>
        <v>#N/A</v>
      </c>
      <c r="I131" s="59" t="e">
        <f ca="1"/>
        <v>#N/A</v>
      </c>
      <c r="J131" s="59" t="e">
        <f ca="1"/>
        <v>#N/A</v>
      </c>
      <c r="K131" s="59" t="e">
        <f ca="1"/>
        <v>#N/A</v>
      </c>
      <c r="L131" s="59" t="e">
        <f ca="1"/>
        <v>#N/A</v>
      </c>
      <c r="M131" s="59" t="e">
        <f ca="1"/>
        <v>#N/A</v>
      </c>
      <c r="N131" s="59" t="e">
        <f ca="1"/>
        <v>#N/A</v>
      </c>
      <c r="O131" s="59" t="e">
        <f ca="1"/>
        <v>#N/A</v>
      </c>
      <c r="P131" s="59" t="e">
        <f ca="1"/>
        <v>#N/A</v>
      </c>
      <c r="Q131" s="59" t="e">
        <f ca="1"/>
        <v>#N/A</v>
      </c>
      <c r="R131" s="59" t="e">
        <f ca="1"/>
        <v>#N/A</v>
      </c>
      <c r="S131" s="59" t="e">
        <f ca="1"/>
        <v>#N/A</v>
      </c>
      <c r="T131" s="59" t="e">
        <f ca="1"/>
        <v>#N/A</v>
      </c>
      <c r="U131" s="59" t="e">
        <f ca="1"/>
        <v>#N/A</v>
      </c>
      <c r="V131" s="59" t="e">
        <f ca="1"/>
        <v>#N/A</v>
      </c>
      <c r="W131" s="59" t="e">
        <f ca="1"/>
        <v>#N/A</v>
      </c>
      <c r="X131" s="59" t="e">
        <f ca="1"/>
        <v>#N/A</v>
      </c>
      <c r="Y131" s="59" t="e">
        <f ca="1"/>
        <v>#N/A</v>
      </c>
      <c r="Z131" s="59" t="e">
        <f ca="1"/>
        <v>#N/A</v>
      </c>
      <c r="AA131" s="59" t="e">
        <f ca="1"/>
        <v>#N/A</v>
      </c>
      <c r="AB131" s="59" t="e">
        <f ca="1"/>
        <v>#N/A</v>
      </c>
      <c r="AC131" s="59" t="e">
        <f ca="1"/>
        <v>#N/A</v>
      </c>
      <c r="AD131" s="59" t="e">
        <f ca="1"/>
        <v>#N/A</v>
      </c>
      <c r="AE131" s="59" t="e">
        <f ca="1"/>
        <v>#N/A</v>
      </c>
      <c r="AF131" s="59" t="e">
        <f ca="1"/>
        <v>#N/A</v>
      </c>
      <c r="AG131" s="59" t="e">
        <f ca="1"/>
        <v>#N/A</v>
      </c>
      <c r="AH131" s="59" t="e">
        <f ca="1"/>
        <v>#N/A</v>
      </c>
      <c r="AI131" s="59" t="e">
        <f ca="1"/>
        <v>#N/A</v>
      </c>
      <c r="AJ131" s="59" t="e">
        <f ca="1"/>
        <v>#N/A</v>
      </c>
      <c r="AK131" s="59" t="e">
        <f ca="1"/>
        <v>#N/A</v>
      </c>
      <c r="AL131" s="59" t="e">
        <f ca="1"/>
        <v>#N/A</v>
      </c>
    </row>
    <row r="132" spans="1:38" ht="21" customHeight="1" outlineLevel="1" thickBot="1" x14ac:dyDescent="0.4">
      <c r="E132" s="29" t="e">
        <f ca="1"/>
        <v>#N/A</v>
      </c>
      <c r="F132" s="59" t="e">
        <f ca="1"/>
        <v>#N/A</v>
      </c>
      <c r="G132" s="59" t="e">
        <f ca="1"/>
        <v>#N/A</v>
      </c>
      <c r="H132" s="59" t="e">
        <f ca="1"/>
        <v>#N/A</v>
      </c>
      <c r="I132" s="59" t="e">
        <f ca="1"/>
        <v>#N/A</v>
      </c>
      <c r="J132" s="59" t="e">
        <f ca="1"/>
        <v>#N/A</v>
      </c>
      <c r="K132" s="59" t="e">
        <f ca="1"/>
        <v>#N/A</v>
      </c>
      <c r="L132" s="59" t="e">
        <f ca="1"/>
        <v>#N/A</v>
      </c>
      <c r="M132" s="59" t="e">
        <f ca="1"/>
        <v>#N/A</v>
      </c>
      <c r="N132" s="59" t="e">
        <f ca="1"/>
        <v>#N/A</v>
      </c>
      <c r="O132" s="59" t="e">
        <f ca="1"/>
        <v>#N/A</v>
      </c>
      <c r="P132" s="59" t="e">
        <f ca="1"/>
        <v>#N/A</v>
      </c>
      <c r="Q132" s="59" t="e">
        <f ca="1"/>
        <v>#N/A</v>
      </c>
      <c r="R132" s="59" t="e">
        <f ca="1"/>
        <v>#N/A</v>
      </c>
      <c r="S132" s="59" t="e">
        <f ca="1"/>
        <v>#N/A</v>
      </c>
      <c r="T132" s="59" t="e">
        <f ca="1"/>
        <v>#N/A</v>
      </c>
      <c r="U132" s="59" t="e">
        <f ca="1"/>
        <v>#N/A</v>
      </c>
      <c r="V132" s="59" t="e">
        <f ca="1"/>
        <v>#N/A</v>
      </c>
      <c r="W132" s="59" t="e">
        <f ca="1"/>
        <v>#N/A</v>
      </c>
      <c r="X132" s="59" t="e">
        <f ca="1"/>
        <v>#N/A</v>
      </c>
      <c r="Y132" s="59" t="e">
        <f ca="1"/>
        <v>#N/A</v>
      </c>
      <c r="Z132" s="59" t="e">
        <f ca="1"/>
        <v>#N/A</v>
      </c>
      <c r="AA132" s="59" t="e">
        <f ca="1"/>
        <v>#N/A</v>
      </c>
      <c r="AB132" s="59" t="e">
        <f ca="1"/>
        <v>#N/A</v>
      </c>
      <c r="AC132" s="59" t="e">
        <f ca="1"/>
        <v>#N/A</v>
      </c>
      <c r="AD132" s="59" t="e">
        <f ca="1"/>
        <v>#N/A</v>
      </c>
      <c r="AE132" s="59" t="e">
        <f ca="1"/>
        <v>#N/A</v>
      </c>
      <c r="AF132" s="59" t="e">
        <f ca="1"/>
        <v>#N/A</v>
      </c>
      <c r="AG132" s="59" t="e">
        <f ca="1"/>
        <v>#N/A</v>
      </c>
      <c r="AH132" s="59" t="e">
        <f ca="1"/>
        <v>#N/A</v>
      </c>
      <c r="AI132" s="59" t="e">
        <f ca="1"/>
        <v>#N/A</v>
      </c>
      <c r="AJ132" s="59" t="e">
        <f ca="1"/>
        <v>#N/A</v>
      </c>
      <c r="AK132" s="59" t="e">
        <f ca="1"/>
        <v>#N/A</v>
      </c>
      <c r="AL132" s="59" t="e">
        <f ca="1"/>
        <v>#N/A</v>
      </c>
    </row>
    <row r="133" spans="1:38" ht="21" customHeight="1" outlineLevel="1" thickBot="1" x14ac:dyDescent="0.4">
      <c r="E133" s="29" t="e">
        <f ca="1"/>
        <v>#N/A</v>
      </c>
      <c r="F133" s="59" t="e">
        <f ca="1"/>
        <v>#N/A</v>
      </c>
      <c r="G133" s="59" t="e">
        <f ca="1"/>
        <v>#N/A</v>
      </c>
      <c r="H133" s="59" t="e">
        <f ca="1"/>
        <v>#N/A</v>
      </c>
      <c r="I133" s="59" t="e">
        <f ca="1"/>
        <v>#N/A</v>
      </c>
      <c r="J133" s="59" t="e">
        <f ca="1"/>
        <v>#N/A</v>
      </c>
      <c r="K133" s="59" t="e">
        <f ca="1"/>
        <v>#N/A</v>
      </c>
      <c r="L133" s="59" t="e">
        <f ca="1"/>
        <v>#N/A</v>
      </c>
      <c r="M133" s="59" t="e">
        <f ca="1"/>
        <v>#N/A</v>
      </c>
      <c r="N133" s="59" t="e">
        <f ca="1"/>
        <v>#N/A</v>
      </c>
      <c r="O133" s="59" t="e">
        <f ca="1"/>
        <v>#N/A</v>
      </c>
      <c r="P133" s="59" t="e">
        <f ca="1"/>
        <v>#N/A</v>
      </c>
      <c r="Q133" s="59" t="e">
        <f ca="1"/>
        <v>#N/A</v>
      </c>
      <c r="R133" s="59" t="e">
        <f ca="1"/>
        <v>#N/A</v>
      </c>
      <c r="S133" s="59" t="e">
        <f ca="1"/>
        <v>#N/A</v>
      </c>
      <c r="T133" s="59" t="e">
        <f ca="1"/>
        <v>#N/A</v>
      </c>
      <c r="U133" s="59" t="e">
        <f ca="1"/>
        <v>#N/A</v>
      </c>
      <c r="V133" s="59" t="e">
        <f ca="1"/>
        <v>#N/A</v>
      </c>
      <c r="W133" s="59" t="e">
        <f ca="1"/>
        <v>#N/A</v>
      </c>
      <c r="X133" s="59" t="e">
        <f ca="1"/>
        <v>#N/A</v>
      </c>
      <c r="Y133" s="59" t="e">
        <f ca="1"/>
        <v>#N/A</v>
      </c>
      <c r="Z133" s="59" t="e">
        <f ca="1"/>
        <v>#N/A</v>
      </c>
      <c r="AA133" s="59" t="e">
        <f ca="1"/>
        <v>#N/A</v>
      </c>
      <c r="AB133" s="59" t="e">
        <f ca="1"/>
        <v>#N/A</v>
      </c>
      <c r="AC133" s="59" t="e">
        <f ca="1"/>
        <v>#N/A</v>
      </c>
      <c r="AD133" s="59" t="e">
        <f ca="1"/>
        <v>#N/A</v>
      </c>
      <c r="AE133" s="59" t="e">
        <f ca="1"/>
        <v>#N/A</v>
      </c>
      <c r="AF133" s="59" t="e">
        <f ca="1"/>
        <v>#N/A</v>
      </c>
      <c r="AG133" s="59" t="e">
        <f ca="1"/>
        <v>#N/A</v>
      </c>
      <c r="AH133" s="59" t="e">
        <f ca="1"/>
        <v>#N/A</v>
      </c>
      <c r="AI133" s="59" t="e">
        <f ca="1"/>
        <v>#N/A</v>
      </c>
      <c r="AJ133" s="59" t="e">
        <f ca="1"/>
        <v>#N/A</v>
      </c>
      <c r="AK133" s="59" t="e">
        <f ca="1"/>
        <v>#N/A</v>
      </c>
      <c r="AL133" s="59" t="e">
        <f ca="1"/>
        <v>#N/A</v>
      </c>
    </row>
    <row r="134" spans="1:38" ht="21" customHeight="1" outlineLevel="1" thickBot="1" x14ac:dyDescent="0.4">
      <c r="E134" s="29" t="e">
        <f ca="1"/>
        <v>#N/A</v>
      </c>
      <c r="F134" s="59" t="e">
        <f ca="1"/>
        <v>#N/A</v>
      </c>
      <c r="G134" s="59" t="e">
        <f ca="1"/>
        <v>#N/A</v>
      </c>
      <c r="H134" s="59" t="e">
        <f ca="1"/>
        <v>#N/A</v>
      </c>
      <c r="I134" s="59" t="e">
        <f ca="1"/>
        <v>#N/A</v>
      </c>
      <c r="J134" s="59" t="e">
        <f ca="1"/>
        <v>#N/A</v>
      </c>
      <c r="K134" s="59" t="e">
        <f ca="1"/>
        <v>#N/A</v>
      </c>
      <c r="L134" s="59" t="e">
        <f ca="1"/>
        <v>#N/A</v>
      </c>
      <c r="M134" s="59" t="e">
        <f ca="1"/>
        <v>#N/A</v>
      </c>
      <c r="N134" s="59" t="e">
        <f ca="1"/>
        <v>#N/A</v>
      </c>
      <c r="O134" s="59" t="e">
        <f ca="1"/>
        <v>#N/A</v>
      </c>
      <c r="P134" s="59" t="e">
        <f ca="1"/>
        <v>#N/A</v>
      </c>
      <c r="Q134" s="59" t="e">
        <f ca="1"/>
        <v>#N/A</v>
      </c>
      <c r="R134" s="59" t="e">
        <f ca="1"/>
        <v>#N/A</v>
      </c>
      <c r="S134" s="59" t="e">
        <f ca="1"/>
        <v>#N/A</v>
      </c>
      <c r="T134" s="59" t="e">
        <f ca="1"/>
        <v>#N/A</v>
      </c>
      <c r="U134" s="59" t="e">
        <f ca="1"/>
        <v>#N/A</v>
      </c>
      <c r="V134" s="59" t="e">
        <f ca="1"/>
        <v>#N/A</v>
      </c>
      <c r="W134" s="59" t="e">
        <f ca="1"/>
        <v>#N/A</v>
      </c>
      <c r="X134" s="59" t="e">
        <f ca="1"/>
        <v>#N/A</v>
      </c>
      <c r="Y134" s="59" t="e">
        <f ca="1"/>
        <v>#N/A</v>
      </c>
      <c r="Z134" s="59" t="e">
        <f ca="1"/>
        <v>#N/A</v>
      </c>
      <c r="AA134" s="59" t="e">
        <f ca="1"/>
        <v>#N/A</v>
      </c>
      <c r="AB134" s="59" t="e">
        <f ca="1"/>
        <v>#N/A</v>
      </c>
      <c r="AC134" s="59" t="e">
        <f ca="1"/>
        <v>#N/A</v>
      </c>
      <c r="AD134" s="59" t="e">
        <f ca="1"/>
        <v>#N/A</v>
      </c>
      <c r="AE134" s="59" t="e">
        <f ca="1"/>
        <v>#N/A</v>
      </c>
      <c r="AF134" s="59" t="e">
        <f ca="1"/>
        <v>#N/A</v>
      </c>
      <c r="AG134" s="59" t="e">
        <f ca="1"/>
        <v>#N/A</v>
      </c>
      <c r="AH134" s="59" t="e">
        <f ca="1"/>
        <v>#N/A</v>
      </c>
      <c r="AI134" s="59" t="e">
        <f ca="1"/>
        <v>#N/A</v>
      </c>
      <c r="AJ134" s="59" t="e">
        <f ca="1"/>
        <v>#N/A</v>
      </c>
      <c r="AK134" s="59" t="e">
        <f ca="1"/>
        <v>#N/A</v>
      </c>
      <c r="AL134" s="59" t="e">
        <f ca="1"/>
        <v>#N/A</v>
      </c>
    </row>
    <row r="135" spans="1:38" ht="21" customHeight="1" outlineLevel="1" thickBot="1" x14ac:dyDescent="0.4">
      <c r="E135" s="29" t="e">
        <f ca="1"/>
        <v>#N/A</v>
      </c>
      <c r="F135" s="59" t="e">
        <f ca="1"/>
        <v>#N/A</v>
      </c>
      <c r="G135" s="59" t="e">
        <f ca="1"/>
        <v>#N/A</v>
      </c>
      <c r="H135" s="59" t="e">
        <f ca="1"/>
        <v>#N/A</v>
      </c>
      <c r="I135" s="59" t="e">
        <f ca="1"/>
        <v>#N/A</v>
      </c>
      <c r="J135" s="59" t="e">
        <f ca="1"/>
        <v>#N/A</v>
      </c>
      <c r="K135" s="59" t="e">
        <f ca="1"/>
        <v>#N/A</v>
      </c>
      <c r="L135" s="59" t="e">
        <f ca="1"/>
        <v>#N/A</v>
      </c>
      <c r="M135" s="59" t="e">
        <f ca="1"/>
        <v>#N/A</v>
      </c>
      <c r="N135" s="59" t="e">
        <f ca="1"/>
        <v>#N/A</v>
      </c>
      <c r="O135" s="59" t="e">
        <f ca="1"/>
        <v>#N/A</v>
      </c>
      <c r="P135" s="59" t="e">
        <f ca="1"/>
        <v>#N/A</v>
      </c>
      <c r="Q135" s="59" t="e">
        <f ca="1"/>
        <v>#N/A</v>
      </c>
      <c r="R135" s="59" t="e">
        <f ca="1"/>
        <v>#N/A</v>
      </c>
      <c r="S135" s="59" t="e">
        <f ca="1"/>
        <v>#N/A</v>
      </c>
      <c r="T135" s="59" t="e">
        <f ca="1"/>
        <v>#N/A</v>
      </c>
      <c r="U135" s="59" t="e">
        <f ca="1"/>
        <v>#N/A</v>
      </c>
      <c r="V135" s="59" t="e">
        <f ca="1"/>
        <v>#N/A</v>
      </c>
      <c r="W135" s="59" t="e">
        <f ca="1"/>
        <v>#N/A</v>
      </c>
      <c r="X135" s="59" t="e">
        <f ca="1"/>
        <v>#N/A</v>
      </c>
      <c r="Y135" s="59" t="e">
        <f ca="1"/>
        <v>#N/A</v>
      </c>
      <c r="Z135" s="59" t="e">
        <f ca="1"/>
        <v>#N/A</v>
      </c>
      <c r="AA135" s="59" t="e">
        <f ca="1"/>
        <v>#N/A</v>
      </c>
      <c r="AB135" s="59" t="e">
        <f ca="1"/>
        <v>#N/A</v>
      </c>
      <c r="AC135" s="59" t="e">
        <f ca="1"/>
        <v>#N/A</v>
      </c>
      <c r="AD135" s="59" t="e">
        <f ca="1"/>
        <v>#N/A</v>
      </c>
      <c r="AE135" s="59" t="e">
        <f ca="1"/>
        <v>#N/A</v>
      </c>
      <c r="AF135" s="59" t="e">
        <f ca="1"/>
        <v>#N/A</v>
      </c>
      <c r="AG135" s="59" t="e">
        <f ca="1"/>
        <v>#N/A</v>
      </c>
      <c r="AH135" s="59" t="e">
        <f ca="1"/>
        <v>#N/A</v>
      </c>
      <c r="AI135" s="59" t="e">
        <f ca="1"/>
        <v>#N/A</v>
      </c>
      <c r="AJ135" s="59" t="e">
        <f ca="1"/>
        <v>#N/A</v>
      </c>
      <c r="AK135" s="59" t="e">
        <f ca="1"/>
        <v>#N/A</v>
      </c>
      <c r="AL135" s="59" t="e">
        <f ca="1"/>
        <v>#N/A</v>
      </c>
    </row>
    <row r="136" spans="1:38" ht="21" customHeight="1" outlineLevel="1" thickBot="1" x14ac:dyDescent="0.4">
      <c r="E136" s="29" t="e">
        <f ca="1"/>
        <v>#N/A</v>
      </c>
      <c r="F136" s="59" t="e">
        <f ca="1"/>
        <v>#N/A</v>
      </c>
      <c r="G136" s="59" t="e">
        <f ca="1"/>
        <v>#N/A</v>
      </c>
      <c r="H136" s="59" t="e">
        <f ca="1"/>
        <v>#N/A</v>
      </c>
      <c r="I136" s="59" t="e">
        <f ca="1"/>
        <v>#N/A</v>
      </c>
      <c r="J136" s="59" t="e">
        <f ca="1"/>
        <v>#N/A</v>
      </c>
      <c r="K136" s="59" t="e">
        <f ca="1"/>
        <v>#N/A</v>
      </c>
      <c r="L136" s="59" t="e">
        <f ca="1"/>
        <v>#N/A</v>
      </c>
      <c r="M136" s="59" t="e">
        <f ca="1"/>
        <v>#N/A</v>
      </c>
      <c r="N136" s="59" t="e">
        <f ca="1"/>
        <v>#N/A</v>
      </c>
      <c r="O136" s="59" t="e">
        <f ca="1"/>
        <v>#N/A</v>
      </c>
      <c r="P136" s="59" t="e">
        <f ca="1"/>
        <v>#N/A</v>
      </c>
      <c r="Q136" s="59" t="e">
        <f ca="1"/>
        <v>#N/A</v>
      </c>
      <c r="R136" s="59" t="e">
        <f ca="1"/>
        <v>#N/A</v>
      </c>
      <c r="S136" s="59" t="e">
        <f ca="1"/>
        <v>#N/A</v>
      </c>
      <c r="T136" s="59" t="e">
        <f ca="1"/>
        <v>#N/A</v>
      </c>
      <c r="U136" s="59" t="e">
        <f ca="1"/>
        <v>#N/A</v>
      </c>
      <c r="V136" s="59" t="e">
        <f ca="1"/>
        <v>#N/A</v>
      </c>
      <c r="W136" s="59" t="e">
        <f ca="1"/>
        <v>#N/A</v>
      </c>
      <c r="X136" s="59" t="e">
        <f ca="1"/>
        <v>#N/A</v>
      </c>
      <c r="Y136" s="59" t="e">
        <f ca="1"/>
        <v>#N/A</v>
      </c>
      <c r="Z136" s="59" t="e">
        <f ca="1"/>
        <v>#N/A</v>
      </c>
      <c r="AA136" s="59" t="e">
        <f ca="1"/>
        <v>#N/A</v>
      </c>
      <c r="AB136" s="59" t="e">
        <f ca="1"/>
        <v>#N/A</v>
      </c>
      <c r="AC136" s="59" t="e">
        <f ca="1"/>
        <v>#N/A</v>
      </c>
      <c r="AD136" s="59" t="e">
        <f ca="1"/>
        <v>#N/A</v>
      </c>
      <c r="AE136" s="59" t="e">
        <f ca="1"/>
        <v>#N/A</v>
      </c>
      <c r="AF136" s="59" t="e">
        <f ca="1"/>
        <v>#N/A</v>
      </c>
      <c r="AG136" s="59" t="e">
        <f ca="1"/>
        <v>#N/A</v>
      </c>
      <c r="AH136" s="59" t="e">
        <f ca="1"/>
        <v>#N/A</v>
      </c>
      <c r="AI136" s="59" t="e">
        <f ca="1"/>
        <v>#N/A</v>
      </c>
      <c r="AJ136" s="59" t="e">
        <f ca="1"/>
        <v>#N/A</v>
      </c>
      <c r="AK136" s="59" t="e">
        <f ca="1"/>
        <v>#N/A</v>
      </c>
      <c r="AL136" s="59" t="e">
        <f ca="1"/>
        <v>#N/A</v>
      </c>
    </row>
    <row r="137" spans="1:38" ht="21" customHeight="1" outlineLevel="1" thickBot="1" x14ac:dyDescent="0.4">
      <c r="E137" s="29" t="e">
        <f ca="1"/>
        <v>#N/A</v>
      </c>
      <c r="F137" s="59" t="e">
        <f ca="1"/>
        <v>#N/A</v>
      </c>
      <c r="G137" s="59" t="e">
        <f ca="1"/>
        <v>#N/A</v>
      </c>
      <c r="H137" s="59" t="e">
        <f ca="1"/>
        <v>#N/A</v>
      </c>
      <c r="I137" s="59" t="e">
        <f ca="1"/>
        <v>#N/A</v>
      </c>
      <c r="J137" s="59" t="e">
        <f ca="1"/>
        <v>#N/A</v>
      </c>
      <c r="K137" s="59" t="e">
        <f ca="1"/>
        <v>#N/A</v>
      </c>
      <c r="L137" s="59" t="e">
        <f ca="1"/>
        <v>#N/A</v>
      </c>
      <c r="M137" s="59" t="e">
        <f ca="1"/>
        <v>#N/A</v>
      </c>
      <c r="N137" s="59" t="e">
        <f ca="1"/>
        <v>#N/A</v>
      </c>
      <c r="O137" s="59" t="e">
        <f ca="1"/>
        <v>#N/A</v>
      </c>
      <c r="P137" s="59" t="e">
        <f ca="1"/>
        <v>#N/A</v>
      </c>
      <c r="Q137" s="59" t="e">
        <f ca="1"/>
        <v>#N/A</v>
      </c>
      <c r="R137" s="59" t="e">
        <f ca="1"/>
        <v>#N/A</v>
      </c>
      <c r="S137" s="59" t="e">
        <f ca="1"/>
        <v>#N/A</v>
      </c>
      <c r="T137" s="59" t="e">
        <f ca="1"/>
        <v>#N/A</v>
      </c>
      <c r="U137" s="59" t="e">
        <f ca="1"/>
        <v>#N/A</v>
      </c>
      <c r="V137" s="59" t="e">
        <f ca="1"/>
        <v>#N/A</v>
      </c>
      <c r="W137" s="59" t="e">
        <f ca="1"/>
        <v>#N/A</v>
      </c>
      <c r="X137" s="59" t="e">
        <f ca="1"/>
        <v>#N/A</v>
      </c>
      <c r="Y137" s="59" t="e">
        <f ca="1"/>
        <v>#N/A</v>
      </c>
      <c r="Z137" s="59" t="e">
        <f ca="1"/>
        <v>#N/A</v>
      </c>
      <c r="AA137" s="59" t="e">
        <f ca="1"/>
        <v>#N/A</v>
      </c>
      <c r="AB137" s="59" t="e">
        <f ca="1"/>
        <v>#N/A</v>
      </c>
      <c r="AC137" s="59" t="e">
        <f ca="1"/>
        <v>#N/A</v>
      </c>
      <c r="AD137" s="59" t="e">
        <f ca="1"/>
        <v>#N/A</v>
      </c>
      <c r="AE137" s="59" t="e">
        <f ca="1"/>
        <v>#N/A</v>
      </c>
      <c r="AF137" s="59" t="e">
        <f ca="1"/>
        <v>#N/A</v>
      </c>
      <c r="AG137" s="59" t="e">
        <f ca="1"/>
        <v>#N/A</v>
      </c>
      <c r="AH137" s="59" t="e">
        <f ca="1"/>
        <v>#N/A</v>
      </c>
      <c r="AI137" s="59" t="e">
        <f ca="1"/>
        <v>#N/A</v>
      </c>
      <c r="AJ137" s="59" t="e">
        <f ca="1"/>
        <v>#N/A</v>
      </c>
      <c r="AK137" s="59" t="e">
        <f ca="1"/>
        <v>#N/A</v>
      </c>
      <c r="AL137" s="59" t="e">
        <f ca="1"/>
        <v>#N/A</v>
      </c>
    </row>
    <row r="138" spans="1:38" ht="21" customHeight="1" outlineLevel="1" thickBot="1" x14ac:dyDescent="0.4">
      <c r="E138" s="29" t="e">
        <f ca="1"/>
        <v>#N/A</v>
      </c>
      <c r="F138" s="59" t="e">
        <f ca="1"/>
        <v>#N/A</v>
      </c>
      <c r="G138" s="59" t="e">
        <f ca="1"/>
        <v>#N/A</v>
      </c>
      <c r="H138" s="59" t="e">
        <f ca="1"/>
        <v>#N/A</v>
      </c>
      <c r="I138" s="59" t="e">
        <f ca="1"/>
        <v>#N/A</v>
      </c>
      <c r="J138" s="59" t="e">
        <f ca="1"/>
        <v>#N/A</v>
      </c>
      <c r="K138" s="59" t="e">
        <f ca="1"/>
        <v>#N/A</v>
      </c>
      <c r="L138" s="59" t="e">
        <f ca="1"/>
        <v>#N/A</v>
      </c>
      <c r="M138" s="59" t="e">
        <f ca="1"/>
        <v>#N/A</v>
      </c>
      <c r="N138" s="59" t="e">
        <f ca="1"/>
        <v>#N/A</v>
      </c>
      <c r="O138" s="59" t="e">
        <f ca="1"/>
        <v>#N/A</v>
      </c>
      <c r="P138" s="59" t="e">
        <f ca="1"/>
        <v>#N/A</v>
      </c>
      <c r="Q138" s="59" t="e">
        <f ca="1"/>
        <v>#N/A</v>
      </c>
      <c r="R138" s="59" t="e">
        <f ca="1"/>
        <v>#N/A</v>
      </c>
      <c r="S138" s="59" t="e">
        <f ca="1"/>
        <v>#N/A</v>
      </c>
      <c r="T138" s="59" t="e">
        <f ca="1"/>
        <v>#N/A</v>
      </c>
      <c r="U138" s="59" t="e">
        <f ca="1"/>
        <v>#N/A</v>
      </c>
      <c r="V138" s="59" t="e">
        <f ca="1"/>
        <v>#N/A</v>
      </c>
      <c r="W138" s="59" t="e">
        <f ca="1"/>
        <v>#N/A</v>
      </c>
      <c r="X138" s="59" t="e">
        <f ca="1"/>
        <v>#N/A</v>
      </c>
      <c r="Y138" s="59" t="e">
        <f ca="1"/>
        <v>#N/A</v>
      </c>
      <c r="Z138" s="59" t="e">
        <f ca="1"/>
        <v>#N/A</v>
      </c>
      <c r="AA138" s="59" t="e">
        <f ca="1"/>
        <v>#N/A</v>
      </c>
      <c r="AB138" s="59" t="e">
        <f ca="1"/>
        <v>#N/A</v>
      </c>
      <c r="AC138" s="59" t="e">
        <f ca="1"/>
        <v>#N/A</v>
      </c>
      <c r="AD138" s="59" t="e">
        <f ca="1"/>
        <v>#N/A</v>
      </c>
      <c r="AE138" s="59" t="e">
        <f ca="1"/>
        <v>#N/A</v>
      </c>
      <c r="AF138" s="59" t="e">
        <f ca="1"/>
        <v>#N/A</v>
      </c>
      <c r="AG138" s="59" t="e">
        <f ca="1"/>
        <v>#N/A</v>
      </c>
      <c r="AH138" s="59" t="e">
        <f ca="1"/>
        <v>#N/A</v>
      </c>
      <c r="AI138" s="59" t="e">
        <f ca="1"/>
        <v>#N/A</v>
      </c>
      <c r="AJ138" s="59" t="e">
        <f ca="1"/>
        <v>#N/A</v>
      </c>
      <c r="AK138" s="59" t="e">
        <f ca="1"/>
        <v>#N/A</v>
      </c>
      <c r="AL138" s="59" t="e">
        <f ca="1"/>
        <v>#N/A</v>
      </c>
    </row>
    <row r="139" spans="1:38" ht="21" customHeight="1" outlineLevel="1" thickBot="1" x14ac:dyDescent="0.4">
      <c r="E139" s="29" t="e">
        <f ca="1"/>
        <v>#N/A</v>
      </c>
      <c r="F139" s="59" t="e">
        <f ca="1"/>
        <v>#N/A</v>
      </c>
      <c r="G139" s="59" t="e">
        <f ca="1"/>
        <v>#N/A</v>
      </c>
      <c r="H139" s="59" t="e">
        <f ca="1"/>
        <v>#N/A</v>
      </c>
      <c r="I139" s="59" t="e">
        <f ca="1"/>
        <v>#N/A</v>
      </c>
      <c r="J139" s="59" t="e">
        <f ca="1"/>
        <v>#N/A</v>
      </c>
      <c r="K139" s="59" t="e">
        <f ca="1"/>
        <v>#N/A</v>
      </c>
      <c r="L139" s="59" t="e">
        <f ca="1"/>
        <v>#N/A</v>
      </c>
      <c r="M139" s="59" t="e">
        <f ca="1"/>
        <v>#N/A</v>
      </c>
      <c r="N139" s="59" t="e">
        <f ca="1"/>
        <v>#N/A</v>
      </c>
      <c r="O139" s="59" t="e">
        <f ca="1"/>
        <v>#N/A</v>
      </c>
      <c r="P139" s="59" t="e">
        <f ca="1"/>
        <v>#N/A</v>
      </c>
      <c r="Q139" s="59" t="e">
        <f ca="1"/>
        <v>#N/A</v>
      </c>
      <c r="R139" s="59" t="e">
        <f ca="1"/>
        <v>#N/A</v>
      </c>
      <c r="S139" s="59" t="e">
        <f ca="1"/>
        <v>#N/A</v>
      </c>
      <c r="T139" s="59" t="e">
        <f ca="1"/>
        <v>#N/A</v>
      </c>
      <c r="U139" s="59" t="e">
        <f ca="1"/>
        <v>#N/A</v>
      </c>
      <c r="V139" s="59" t="e">
        <f ca="1"/>
        <v>#N/A</v>
      </c>
      <c r="W139" s="59" t="e">
        <f ca="1"/>
        <v>#N/A</v>
      </c>
      <c r="X139" s="59" t="e">
        <f ca="1"/>
        <v>#N/A</v>
      </c>
      <c r="Y139" s="59" t="e">
        <f ca="1"/>
        <v>#N/A</v>
      </c>
      <c r="Z139" s="59" t="e">
        <f ca="1"/>
        <v>#N/A</v>
      </c>
      <c r="AA139" s="59" t="e">
        <f ca="1"/>
        <v>#N/A</v>
      </c>
      <c r="AB139" s="59" t="e">
        <f ca="1"/>
        <v>#N/A</v>
      </c>
      <c r="AC139" s="59" t="e">
        <f ca="1"/>
        <v>#N/A</v>
      </c>
      <c r="AD139" s="59" t="e">
        <f ca="1"/>
        <v>#N/A</v>
      </c>
      <c r="AE139" s="59" t="e">
        <f ca="1"/>
        <v>#N/A</v>
      </c>
      <c r="AF139" s="59" t="e">
        <f ca="1"/>
        <v>#N/A</v>
      </c>
      <c r="AG139" s="59" t="e">
        <f ca="1"/>
        <v>#N/A</v>
      </c>
      <c r="AH139" s="59" t="e">
        <f ca="1"/>
        <v>#N/A</v>
      </c>
      <c r="AI139" s="59" t="e">
        <f ca="1"/>
        <v>#N/A</v>
      </c>
      <c r="AJ139" s="59" t="e">
        <f ca="1"/>
        <v>#N/A</v>
      </c>
      <c r="AK139" s="59" t="e">
        <f ca="1"/>
        <v>#N/A</v>
      </c>
      <c r="AL139" s="59" t="e">
        <f ca="1"/>
        <v>#N/A</v>
      </c>
    </row>
    <row r="140" spans="1:38" ht="21" customHeight="1" outlineLevel="1" thickBot="1" x14ac:dyDescent="0.4">
      <c r="E140" s="30"/>
    </row>
    <row r="141" spans="1:38" ht="21" customHeight="1" thickBot="1" x14ac:dyDescent="0.4"/>
    <row r="142" spans="1:38" ht="21" customHeight="1" thickBot="1" x14ac:dyDescent="0.45">
      <c r="A142" s="3"/>
      <c r="B142" s="3"/>
      <c r="C142" s="3"/>
      <c r="D142" s="3"/>
      <c r="E142" s="4" t="s">
        <v>18</v>
      </c>
      <c r="F142" s="5"/>
      <c r="G142" s="4"/>
      <c r="H142" s="4"/>
      <c r="I142" s="4"/>
      <c r="J142" s="4"/>
      <c r="K142" s="31"/>
      <c r="L142" s="31"/>
      <c r="M142" s="31"/>
      <c r="N142" s="31"/>
      <c r="O142" s="31"/>
      <c r="P142" s="31"/>
      <c r="Q142" s="31"/>
      <c r="R142" s="31"/>
      <c r="S142" s="32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</row>
    <row r="143" spans="1:38" ht="21" customHeight="1" outlineLevel="1" x14ac:dyDescent="0.35">
      <c r="A143" s="81"/>
      <c r="B143" s="81"/>
      <c r="C143" s="81"/>
      <c r="D143" s="81"/>
      <c r="E143" s="81"/>
      <c r="F143" s="81"/>
      <c r="G143" s="59">
        <v>0</v>
      </c>
      <c r="H143" s="59">
        <v>0</v>
      </c>
      <c r="I143" s="59">
        <v>0</v>
      </c>
      <c r="J143" s="59">
        <v>0</v>
      </c>
      <c r="K143" s="59">
        <v>7.1047999999999997E-37</v>
      </c>
      <c r="L143" s="59">
        <v>2.6937000000000002E-31</v>
      </c>
      <c r="M143" s="59">
        <v>4.1582E-39</v>
      </c>
      <c r="N143" s="59">
        <v>0</v>
      </c>
      <c r="O143" s="59">
        <v>0</v>
      </c>
      <c r="P143" s="59">
        <v>7.8265000000000004E-41</v>
      </c>
      <c r="Q143" s="59">
        <v>1.4296E-24</v>
      </c>
      <c r="R143" s="59">
        <v>2.5993E-17</v>
      </c>
      <c r="S143" s="59">
        <v>1.953E-14</v>
      </c>
      <c r="T143" s="59">
        <v>1.4264000000000001E-10</v>
      </c>
      <c r="U143" s="59">
        <v>1.2626000000000001E-10</v>
      </c>
      <c r="V143" s="59">
        <v>1.0119E-9</v>
      </c>
      <c r="W143" s="59">
        <v>0</v>
      </c>
      <c r="X143" s="59">
        <v>9.7267000000000003E-9</v>
      </c>
      <c r="Y143" s="59">
        <v>7.2993999999999998E-8</v>
      </c>
      <c r="Z143" s="59">
        <v>0.18548000000000001</v>
      </c>
      <c r="AA143" s="59">
        <v>0.19289000000000001</v>
      </c>
      <c r="AB143" s="59">
        <v>0.19889000000000001</v>
      </c>
      <c r="AC143" s="59">
        <v>0.23233000000000001</v>
      </c>
      <c r="AD143" s="59">
        <v>0.24440999999999999</v>
      </c>
      <c r="AE143" s="59">
        <v>0.25866</v>
      </c>
      <c r="AF143" s="59">
        <v>0.27559</v>
      </c>
      <c r="AG143" s="59">
        <v>0.25866</v>
      </c>
      <c r="AH143" s="59">
        <v>0.27559</v>
      </c>
      <c r="AI143" s="59">
        <v>0.29603000000000002</v>
      </c>
    </row>
    <row r="144" spans="1:38" ht="21" customHeight="1" outlineLevel="1" x14ac:dyDescent="0.35">
      <c r="A144" s="81"/>
      <c r="B144" s="81"/>
      <c r="C144" s="81"/>
      <c r="D144" s="81"/>
      <c r="E144" s="81"/>
      <c r="F144" s="81"/>
    </row>
    <row r="145" spans="1:19" ht="21" customHeight="1" outlineLevel="1" x14ac:dyDescent="0.35">
      <c r="A145" s="81"/>
      <c r="B145" s="81"/>
      <c r="C145" s="81"/>
      <c r="D145" s="81"/>
      <c r="E145" s="81"/>
      <c r="F145" s="81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1:19" ht="21" customHeight="1" outlineLevel="1" x14ac:dyDescent="0.35">
      <c r="A146" s="81"/>
      <c r="B146" s="81"/>
      <c r="C146" s="81"/>
      <c r="D146" s="81"/>
      <c r="E146" s="81"/>
      <c r="F146" s="81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 ht="21" customHeight="1" outlineLevel="1" x14ac:dyDescent="0.35"/>
  </sheetData>
  <mergeCells count="2">
    <mergeCell ref="A1:BB1"/>
    <mergeCell ref="A117:B117"/>
  </mergeCells>
  <conditionalFormatting sqref="A4:D33">
    <cfRule type="cellIs" dxfId="6" priority="3" operator="equal">
      <formula>0</formula>
    </cfRule>
  </conditionalFormatting>
  <conditionalFormatting sqref="A50:D80">
    <cfRule type="cellIs" dxfId="5" priority="2" operator="equal">
      <formula>0</formula>
    </cfRule>
  </conditionalFormatting>
  <conditionalFormatting sqref="A84:D11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D37:AL37" evalError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theme="2" tint="-0.499984740745262"/>
  </sheetPr>
  <dimension ref="A1:CP157"/>
  <sheetViews>
    <sheetView zoomScaleNormal="100" workbookViewId="0">
      <pane ySplit="1" topLeftCell="A2" activePane="bottomLeft" state="frozen"/>
      <selection pane="bottomLeft" activeCell="DD105" sqref="DD105"/>
    </sheetView>
  </sheetViews>
  <sheetFormatPr defaultRowHeight="21" outlineLevelRow="1" x14ac:dyDescent="0.35"/>
  <cols>
    <col min="1" max="1" width="13.81640625" bestFit="1" customWidth="1"/>
    <col min="2" max="5" width="4.26953125" style="60" customWidth="1"/>
    <col min="6" max="94" width="4.26953125" hidden="1" customWidth="1"/>
    <col min="95" max="16384" width="8.7265625" style="59"/>
  </cols>
  <sheetData>
    <row r="1" spans="1:35" ht="37.5" customHeight="1" thickBot="1" x14ac:dyDescent="0.4">
      <c r="A1" s="56" t="s">
        <v>25</v>
      </c>
      <c r="B1" s="61">
        <v>290</v>
      </c>
      <c r="C1" s="164">
        <v>1000</v>
      </c>
      <c r="D1" s="165" t="s">
        <v>26</v>
      </c>
      <c r="E1" s="166">
        <v>80</v>
      </c>
      <c r="F1" s="59"/>
      <c r="G1" s="59"/>
      <c r="H1" s="59"/>
      <c r="I1" s="59"/>
      <c r="J1" s="59"/>
    </row>
    <row r="2" spans="1:35" ht="23.25" customHeight="1" thickTop="1" thickBot="1" x14ac:dyDescent="0.4">
      <c r="A2" s="9" t="s">
        <v>36</v>
      </c>
      <c r="B2" s="167">
        <f>FLUID!F49</f>
        <v>273.10000000000002</v>
      </c>
      <c r="C2" s="167">
        <f>FLUID!G49</f>
        <v>353.9</v>
      </c>
      <c r="D2" s="167">
        <f>FLUID!H49</f>
        <v>434.7</v>
      </c>
      <c r="E2" s="167">
        <f>FLUID!I49</f>
        <v>515.4</v>
      </c>
      <c r="F2" s="9">
        <f>FLUID!J49</f>
        <v>596.20000000000005</v>
      </c>
      <c r="G2" s="9">
        <f>FLUID!K49</f>
        <v>677</v>
      </c>
      <c r="H2" s="9">
        <f>FLUID!L49</f>
        <v>757.7</v>
      </c>
      <c r="I2" s="9">
        <f>FLUID!M49</f>
        <v>838.5</v>
      </c>
      <c r="J2" s="9">
        <f>FLUID!N49</f>
        <v>919.2</v>
      </c>
      <c r="K2" s="9">
        <f>FLUID!O49</f>
        <v>1000</v>
      </c>
      <c r="L2" s="9">
        <f>FLUID!P49</f>
        <v>0</v>
      </c>
      <c r="M2" s="9">
        <f>FLUID!Q49</f>
        <v>0</v>
      </c>
      <c r="N2" s="9">
        <f>FLUID!R49</f>
        <v>0</v>
      </c>
      <c r="O2" s="9">
        <f>FLUID!S49</f>
        <v>0</v>
      </c>
      <c r="P2" s="9">
        <f>FLUID!T49</f>
        <v>0</v>
      </c>
      <c r="Q2" s="9">
        <f>FLUID!U49</f>
        <v>0</v>
      </c>
      <c r="R2" s="9">
        <f>FLUID!V49</f>
        <v>0</v>
      </c>
      <c r="S2" s="9">
        <f>FLUID!W49</f>
        <v>0</v>
      </c>
      <c r="T2" s="9">
        <f>FLUID!X49</f>
        <v>0</v>
      </c>
      <c r="U2" s="9">
        <f>FLUID!Y49</f>
        <v>0</v>
      </c>
      <c r="V2" s="9">
        <f>FLUID!Z49</f>
        <v>0</v>
      </c>
      <c r="W2" s="9">
        <f>FLUID!AA49</f>
        <v>0</v>
      </c>
      <c r="X2" s="9">
        <f>FLUID!AB49</f>
        <v>0</v>
      </c>
      <c r="Y2" s="9">
        <f>FLUID!AC49</f>
        <v>0</v>
      </c>
      <c r="Z2" s="9">
        <f>FLUID!AD49</f>
        <v>0</v>
      </c>
      <c r="AA2" s="9">
        <f>FLUID!AE49</f>
        <v>0</v>
      </c>
      <c r="AB2" s="9">
        <f>FLUID!AF49</f>
        <v>0</v>
      </c>
      <c r="AC2" s="9">
        <f>FLUID!AG49</f>
        <v>0</v>
      </c>
      <c r="AD2" s="9">
        <f>FLUID!AH49</f>
        <v>0</v>
      </c>
      <c r="AE2" s="9">
        <f>FLUID!AI49</f>
        <v>0</v>
      </c>
      <c r="AF2" s="9">
        <f>FLUID!AJ49</f>
        <v>0</v>
      </c>
      <c r="AG2" s="9">
        <f>FLUID!AK49</f>
        <v>0</v>
      </c>
      <c r="AH2" s="9">
        <f>FLUID!AL49</f>
        <v>0</v>
      </c>
      <c r="AI2" s="9">
        <f>FLUID!AM49</f>
        <v>0</v>
      </c>
    </row>
    <row r="3" spans="1:35" ht="22.5" hidden="1" outlineLevel="1" thickTop="1" thickBot="1" x14ac:dyDescent="0.4">
      <c r="A3" s="72" t="str">
        <f>FLUID!E50</f>
        <v>*Se[l]</v>
      </c>
      <c r="B3" s="28">
        <f ca="1">FLUID!F50</f>
        <v>-4.7</v>
      </c>
      <c r="C3" s="28">
        <f ca="1">FLUID!G50</f>
        <v>-5.6130000000000004</v>
      </c>
      <c r="D3" s="28">
        <f ca="1">FLUID!H50</f>
        <v>-5.6130000000000004</v>
      </c>
      <c r="E3" s="28">
        <f ca="1">FLUID!I50</f>
        <v>-6.0679999999999996</v>
      </c>
      <c r="F3" s="26">
        <f ca="1">FLUID!J50</f>
        <v>-6.4809999999999999</v>
      </c>
      <c r="G3" s="26">
        <f ca="1">FLUID!K50</f>
        <v>-6.8319999999999999</v>
      </c>
      <c r="H3" s="26">
        <f ca="1">FLUID!L50</f>
        <v>-7.15</v>
      </c>
      <c r="I3" s="26">
        <f ca="1">FLUID!M50</f>
        <v>-7.47</v>
      </c>
      <c r="J3" s="26">
        <f ca="1">FLUID!N50</f>
        <v>-7.8230000000000004</v>
      </c>
      <c r="K3" s="26">
        <f ca="1">FLUID!O50</f>
        <v>-8.2680000000000007</v>
      </c>
      <c r="L3" s="26">
        <f ca="1">FLUID!P50</f>
        <v>7.8265000000000004E-41</v>
      </c>
      <c r="M3" s="26">
        <f ca="1">FLUID!Q50</f>
        <v>1.4296E-24</v>
      </c>
      <c r="N3" s="26">
        <f ca="1">FLUID!R50</f>
        <v>2.5993E-17</v>
      </c>
      <c r="O3" s="26">
        <f ca="1">FLUID!S50</f>
        <v>1.953E-14</v>
      </c>
      <c r="P3" s="26">
        <f ca="1">FLUID!T50</f>
        <v>1.4264000000000001E-10</v>
      </c>
      <c r="Q3" s="26">
        <f ca="1">FLUID!U50</f>
        <v>1.2626000000000001E-10</v>
      </c>
      <c r="R3" s="26">
        <f ca="1">FLUID!V50</f>
        <v>1.0119E-9</v>
      </c>
      <c r="S3" s="26">
        <f ca="1">FLUID!W50</f>
        <v>0</v>
      </c>
      <c r="T3" s="26">
        <f ca="1">FLUID!X50</f>
        <v>9.7267000000000003E-9</v>
      </c>
      <c r="U3" s="26">
        <f ca="1">FLUID!Y50</f>
        <v>7.2993999999999998E-8</v>
      </c>
      <c r="V3" s="26">
        <f ca="1">FLUID!Z50</f>
        <v>0.18548000000000001</v>
      </c>
      <c r="W3" s="26">
        <f ca="1">FLUID!AA50</f>
        <v>0.19289000000000001</v>
      </c>
      <c r="X3" s="26">
        <f ca="1">FLUID!AB50</f>
        <v>0.19889000000000001</v>
      </c>
      <c r="Y3" s="26">
        <f ca="1">FLUID!AC50</f>
        <v>0.23233000000000001</v>
      </c>
      <c r="Z3" s="26">
        <f ca="1">FLUID!AD50</f>
        <v>0.24440999999999999</v>
      </c>
      <c r="AA3" s="26">
        <f ca="1">FLUID!AE50</f>
        <v>0.25866</v>
      </c>
      <c r="AB3" s="26">
        <f ca="1">FLUID!AF50</f>
        <v>0.27559</v>
      </c>
      <c r="AC3" s="26">
        <f ca="1">FLUID!AG50</f>
        <v>0.25866</v>
      </c>
      <c r="AD3" s="26">
        <f ca="1">FLUID!AH50</f>
        <v>0.27559</v>
      </c>
      <c r="AE3" s="26">
        <f ca="1">FLUID!AI50</f>
        <v>0.29603000000000002</v>
      </c>
      <c r="AF3" s="26">
        <f ca="1">FLUID!AJ50</f>
        <v>0</v>
      </c>
      <c r="AG3" s="26">
        <f ca="1">FLUID!AK50</f>
        <v>0</v>
      </c>
      <c r="AH3" s="26">
        <f ca="1">FLUID!AL50</f>
        <v>0</v>
      </c>
      <c r="AI3" s="26">
        <f>FLUID!AM50</f>
        <v>0</v>
      </c>
    </row>
    <row r="4" spans="1:35" ht="21.75" hidden="1" outlineLevel="1" thickBot="1" x14ac:dyDescent="0.4">
      <c r="A4" s="58" t="str">
        <f>FLUID!E51</f>
        <v>Se3</v>
      </c>
      <c r="B4" s="28">
        <f ca="1">FLUID!F51</f>
        <v>-14.100000000000001</v>
      </c>
      <c r="C4" s="28">
        <f ca="1">FLUID!G51</f>
        <v>-16.839000000000002</v>
      </c>
      <c r="D4" s="28">
        <f ca="1">FLUID!H51</f>
        <v>-16.839000000000002</v>
      </c>
      <c r="E4" s="28">
        <f ca="1">FLUID!I51</f>
        <v>-18.204000000000001</v>
      </c>
      <c r="F4" s="26">
        <f ca="1">FLUID!J51</f>
        <v>-19.442999999999998</v>
      </c>
      <c r="G4" s="26">
        <f ca="1">FLUID!K51</f>
        <v>-20.495999999999999</v>
      </c>
      <c r="H4" s="26">
        <f ca="1">FLUID!L51</f>
        <v>-21.450000000000003</v>
      </c>
      <c r="I4" s="26">
        <f ca="1">FLUID!M51</f>
        <v>-22.41</v>
      </c>
      <c r="J4" s="26">
        <f ca="1">FLUID!N51</f>
        <v>-23.469000000000001</v>
      </c>
      <c r="K4" s="26">
        <f ca="1">FLUID!O51</f>
        <v>-24.804000000000002</v>
      </c>
      <c r="L4" s="26">
        <f ca="1">FLUID!P51</f>
        <v>2.34795E-40</v>
      </c>
      <c r="M4" s="26">
        <f ca="1">FLUID!Q51</f>
        <v>4.2888000000000003E-24</v>
      </c>
      <c r="N4" s="26">
        <f ca="1">FLUID!R51</f>
        <v>7.7978999999999995E-17</v>
      </c>
      <c r="O4" s="26">
        <f ca="1">FLUID!S51</f>
        <v>5.8590000000000006E-14</v>
      </c>
      <c r="P4" s="26">
        <f ca="1">FLUID!T51</f>
        <v>4.2792000000000001E-10</v>
      </c>
      <c r="Q4" s="26">
        <f ca="1">FLUID!U51</f>
        <v>3.7878000000000001E-10</v>
      </c>
      <c r="R4" s="26">
        <f ca="1">FLUID!V51</f>
        <v>3.0357000000000002E-9</v>
      </c>
      <c r="S4" s="26">
        <f ca="1">FLUID!W51</f>
        <v>0</v>
      </c>
      <c r="T4" s="26">
        <f ca="1">FLUID!X51</f>
        <v>2.9180099999999999E-8</v>
      </c>
      <c r="U4" s="26">
        <f ca="1">FLUID!Y51</f>
        <v>2.18982E-7</v>
      </c>
      <c r="V4" s="26">
        <f ca="1">FLUID!Z51</f>
        <v>0.55644000000000005</v>
      </c>
      <c r="W4" s="26">
        <f ca="1">FLUID!AA51</f>
        <v>0.57867000000000002</v>
      </c>
      <c r="X4" s="26">
        <f ca="1">FLUID!AB51</f>
        <v>0.59667000000000003</v>
      </c>
      <c r="Y4" s="26">
        <f ca="1">FLUID!AC51</f>
        <v>0.69699</v>
      </c>
      <c r="Z4" s="26">
        <f ca="1">FLUID!AD51</f>
        <v>0.73322999999999994</v>
      </c>
      <c r="AA4" s="26">
        <f ca="1">FLUID!AE51</f>
        <v>0.77598</v>
      </c>
      <c r="AB4" s="26">
        <f ca="1">FLUID!AF51</f>
        <v>0.82677</v>
      </c>
      <c r="AC4" s="26">
        <f ca="1">FLUID!AG51</f>
        <v>0.77598</v>
      </c>
      <c r="AD4" s="26">
        <f ca="1">FLUID!AH51</f>
        <v>0.82677</v>
      </c>
      <c r="AE4" s="26">
        <f ca="1">FLUID!AI51</f>
        <v>0.88809000000000005</v>
      </c>
      <c r="AF4" s="26">
        <f ca="1">FLUID!AJ51</f>
        <v>0</v>
      </c>
      <c r="AG4" s="26">
        <f ca="1">FLUID!AK51</f>
        <v>0</v>
      </c>
      <c r="AH4" s="26">
        <f ca="1">FLUID!AL51</f>
        <v>0</v>
      </c>
      <c r="AI4" s="26">
        <f>FLUID!AM51</f>
        <v>0</v>
      </c>
    </row>
    <row r="5" spans="1:35" ht="21.75" hidden="1" outlineLevel="1" thickBot="1" x14ac:dyDescent="0.4">
      <c r="A5" s="58" t="str">
        <f>FLUID!E52</f>
        <v>Se4</v>
      </c>
      <c r="B5" s="28">
        <f ca="1">FLUID!F52</f>
        <v>-18.8</v>
      </c>
      <c r="C5" s="28">
        <f ca="1">FLUID!G52</f>
        <v>-22.452000000000002</v>
      </c>
      <c r="D5" s="28">
        <f ca="1">FLUID!H52</f>
        <v>-22.452000000000002</v>
      </c>
      <c r="E5" s="28">
        <f ca="1">FLUID!I52</f>
        <v>-24.271999999999998</v>
      </c>
      <c r="F5" s="26">
        <f ca="1">FLUID!J52</f>
        <v>-25.923999999999999</v>
      </c>
      <c r="G5" s="26">
        <f ca="1">FLUID!K52</f>
        <v>-27.327999999999999</v>
      </c>
      <c r="H5" s="26">
        <f ca="1">FLUID!L52</f>
        <v>-28.6</v>
      </c>
      <c r="I5" s="26">
        <f ca="1">FLUID!M52</f>
        <v>-29.88</v>
      </c>
      <c r="J5" s="26">
        <f ca="1">FLUID!N52</f>
        <v>-31.292000000000002</v>
      </c>
      <c r="K5" s="26">
        <f ca="1">FLUID!O52</f>
        <v>-33.072000000000003</v>
      </c>
      <c r="L5" s="26">
        <f ca="1">FLUID!P52</f>
        <v>3.1306000000000001E-40</v>
      </c>
      <c r="M5" s="26">
        <f ca="1">FLUID!Q52</f>
        <v>5.7184E-24</v>
      </c>
      <c r="N5" s="26">
        <f ca="1">FLUID!R52</f>
        <v>1.03972E-16</v>
      </c>
      <c r="O5" s="26">
        <f ca="1">FLUID!S52</f>
        <v>7.8119999999999999E-14</v>
      </c>
      <c r="P5" s="26">
        <f ca="1">FLUID!T52</f>
        <v>5.7056000000000004E-10</v>
      </c>
      <c r="Q5" s="26">
        <f ca="1">FLUID!U52</f>
        <v>5.0504000000000005E-10</v>
      </c>
      <c r="R5" s="26">
        <f ca="1">FLUID!V52</f>
        <v>4.0476E-9</v>
      </c>
      <c r="S5" s="26">
        <f ca="1">FLUID!W52</f>
        <v>0</v>
      </c>
      <c r="T5" s="26">
        <f ca="1">FLUID!X52</f>
        <v>3.8906800000000001E-8</v>
      </c>
      <c r="U5" s="26">
        <f ca="1">FLUID!Y52</f>
        <v>2.9197599999999999E-7</v>
      </c>
      <c r="V5" s="26">
        <f ca="1">FLUID!Z52</f>
        <v>0.74192000000000002</v>
      </c>
      <c r="W5" s="26">
        <f ca="1">FLUID!AA52</f>
        <v>0.77156000000000002</v>
      </c>
      <c r="X5" s="26">
        <f ca="1">FLUID!AB52</f>
        <v>0.79556000000000004</v>
      </c>
      <c r="Y5" s="26">
        <f ca="1">FLUID!AC52</f>
        <v>0.92932000000000003</v>
      </c>
      <c r="Z5" s="26">
        <f ca="1">FLUID!AD52</f>
        <v>0.97763999999999995</v>
      </c>
      <c r="AA5" s="26">
        <f ca="1">FLUID!AE52</f>
        <v>1.03464</v>
      </c>
      <c r="AB5" s="26">
        <f ca="1">FLUID!AF52</f>
        <v>1.10236</v>
      </c>
      <c r="AC5" s="26">
        <f ca="1">FLUID!AG52</f>
        <v>1.03464</v>
      </c>
      <c r="AD5" s="26">
        <f ca="1">FLUID!AH52</f>
        <v>1.10236</v>
      </c>
      <c r="AE5" s="26">
        <f ca="1">FLUID!AI52</f>
        <v>1.1841200000000001</v>
      </c>
      <c r="AF5" s="26">
        <f ca="1">FLUID!AJ52</f>
        <v>0</v>
      </c>
      <c r="AG5" s="26">
        <f ca="1">FLUID!AK52</f>
        <v>0</v>
      </c>
      <c r="AH5" s="26">
        <f ca="1">FLUID!AL52</f>
        <v>0</v>
      </c>
      <c r="AI5" s="26">
        <f>FLUID!AM52</f>
        <v>0</v>
      </c>
    </row>
    <row r="6" spans="1:35" ht="21.75" hidden="1" outlineLevel="1" thickBot="1" x14ac:dyDescent="0.4">
      <c r="A6" s="58" t="str">
        <f>FLUID!E53</f>
        <v>Se5</v>
      </c>
      <c r="B6" s="28">
        <f ca="1">FLUID!F53</f>
        <v>-23.5</v>
      </c>
      <c r="C6" s="28">
        <f ca="1">FLUID!G53</f>
        <v>-28.065000000000001</v>
      </c>
      <c r="D6" s="28">
        <f ca="1">FLUID!H53</f>
        <v>-28.065000000000001</v>
      </c>
      <c r="E6" s="28">
        <f ca="1">FLUID!I53</f>
        <v>-30.339999999999996</v>
      </c>
      <c r="F6" s="26">
        <f ca="1">FLUID!J53</f>
        <v>-32.405000000000001</v>
      </c>
      <c r="G6" s="26">
        <f ca="1">FLUID!K53</f>
        <v>-34.159999999999997</v>
      </c>
      <c r="H6" s="26">
        <f ca="1">FLUID!L53</f>
        <v>-35.75</v>
      </c>
      <c r="I6" s="26">
        <f ca="1">FLUID!M53</f>
        <v>-37.35</v>
      </c>
      <c r="J6" s="26">
        <f ca="1">FLUID!N53</f>
        <v>-39.115000000000002</v>
      </c>
      <c r="K6" s="26">
        <f ca="1">FLUID!O53</f>
        <v>-41.34</v>
      </c>
      <c r="L6" s="26">
        <f ca="1">FLUID!P53</f>
        <v>3.9132500000000003E-40</v>
      </c>
      <c r="M6" s="26">
        <f ca="1">FLUID!Q53</f>
        <v>7.1479999999999996E-24</v>
      </c>
      <c r="N6" s="26">
        <f ca="1">FLUID!R53</f>
        <v>1.2996500000000001E-16</v>
      </c>
      <c r="O6" s="26">
        <f ca="1">FLUID!S53</f>
        <v>9.7649999999999993E-14</v>
      </c>
      <c r="P6" s="26">
        <f ca="1">FLUID!T53</f>
        <v>7.1320000000000008E-10</v>
      </c>
      <c r="Q6" s="26">
        <f ca="1">FLUID!U53</f>
        <v>6.3130000000000008E-10</v>
      </c>
      <c r="R6" s="26">
        <f ca="1">FLUID!V53</f>
        <v>5.0594999999999997E-9</v>
      </c>
      <c r="S6" s="26">
        <f ca="1">FLUID!W53</f>
        <v>0</v>
      </c>
      <c r="T6" s="26">
        <f ca="1">FLUID!X53</f>
        <v>4.8633500000000003E-8</v>
      </c>
      <c r="U6" s="26">
        <f ca="1">FLUID!Y53</f>
        <v>3.6497000000000002E-7</v>
      </c>
      <c r="V6" s="26">
        <f ca="1">FLUID!Z53</f>
        <v>0.9274</v>
      </c>
      <c r="W6" s="26">
        <f ca="1">FLUID!AA53</f>
        <v>0.96445000000000003</v>
      </c>
      <c r="X6" s="26">
        <f ca="1">FLUID!AB53</f>
        <v>0.99445000000000006</v>
      </c>
      <c r="Y6" s="26">
        <f ca="1">FLUID!AC53</f>
        <v>1.1616500000000001</v>
      </c>
      <c r="Z6" s="26">
        <f ca="1">FLUID!AD53</f>
        <v>1.2220499999999999</v>
      </c>
      <c r="AA6" s="26">
        <f ca="1">FLUID!AE53</f>
        <v>1.2932999999999999</v>
      </c>
      <c r="AB6" s="26">
        <f ca="1">FLUID!AF53</f>
        <v>1.37795</v>
      </c>
      <c r="AC6" s="26">
        <f ca="1">FLUID!AG53</f>
        <v>1.2932999999999999</v>
      </c>
      <c r="AD6" s="26">
        <f ca="1">FLUID!AH53</f>
        <v>1.37795</v>
      </c>
      <c r="AE6" s="26">
        <f ca="1">FLUID!AI53</f>
        <v>1.4801500000000001</v>
      </c>
      <c r="AF6" s="26">
        <f ca="1">FLUID!AJ53</f>
        <v>0</v>
      </c>
      <c r="AG6" s="26">
        <f ca="1">FLUID!AK53</f>
        <v>0</v>
      </c>
      <c r="AH6" s="26">
        <f ca="1">FLUID!AL53</f>
        <v>0</v>
      </c>
      <c r="AI6" s="26">
        <f>FLUID!AM53</f>
        <v>0</v>
      </c>
    </row>
    <row r="7" spans="1:35" ht="21.75" hidden="1" outlineLevel="1" thickBot="1" x14ac:dyDescent="0.4">
      <c r="A7" s="58" t="str">
        <f>FLUID!E54</f>
        <v>Se6</v>
      </c>
      <c r="B7" s="28">
        <f ca="1">FLUID!F54</f>
        <v>-28.200000000000003</v>
      </c>
      <c r="C7" s="28">
        <f ca="1">FLUID!G54</f>
        <v>-33.678000000000004</v>
      </c>
      <c r="D7" s="28">
        <f ca="1">FLUID!H54</f>
        <v>-33.678000000000004</v>
      </c>
      <c r="E7" s="28">
        <f ca="1">FLUID!I54</f>
        <v>-36.408000000000001</v>
      </c>
      <c r="F7" s="26">
        <f ca="1">FLUID!J54</f>
        <v>-38.885999999999996</v>
      </c>
      <c r="G7" s="26">
        <f ca="1">FLUID!K54</f>
        <v>-40.991999999999997</v>
      </c>
      <c r="H7" s="26">
        <f ca="1">FLUID!L54</f>
        <v>-42.900000000000006</v>
      </c>
      <c r="I7" s="26">
        <f ca="1">FLUID!M54</f>
        <v>-44.82</v>
      </c>
      <c r="J7" s="26">
        <f ca="1">FLUID!N54</f>
        <v>-46.938000000000002</v>
      </c>
      <c r="K7" s="26">
        <f ca="1">FLUID!O54</f>
        <v>-49.608000000000004</v>
      </c>
      <c r="L7" s="26">
        <f ca="1">FLUID!P54</f>
        <v>4.6959E-40</v>
      </c>
      <c r="M7" s="26">
        <f ca="1">FLUID!Q54</f>
        <v>8.5776000000000007E-24</v>
      </c>
      <c r="N7" s="26">
        <f ca="1">FLUID!R54</f>
        <v>1.5595799999999999E-16</v>
      </c>
      <c r="O7" s="26">
        <f ca="1">FLUID!S54</f>
        <v>1.1718000000000001E-13</v>
      </c>
      <c r="P7" s="26">
        <f ca="1">FLUID!T54</f>
        <v>8.5584000000000001E-10</v>
      </c>
      <c r="Q7" s="26">
        <f ca="1">FLUID!U54</f>
        <v>7.5756000000000002E-10</v>
      </c>
      <c r="R7" s="26">
        <f ca="1">FLUID!V54</f>
        <v>6.0714000000000004E-9</v>
      </c>
      <c r="S7" s="26">
        <f ca="1">FLUID!W54</f>
        <v>0</v>
      </c>
      <c r="T7" s="26">
        <f ca="1">FLUID!X54</f>
        <v>5.8360199999999999E-8</v>
      </c>
      <c r="U7" s="26">
        <f ca="1">FLUID!Y54</f>
        <v>4.3796399999999999E-7</v>
      </c>
      <c r="V7" s="26">
        <f ca="1">FLUID!Z54</f>
        <v>1.1128800000000001</v>
      </c>
      <c r="W7" s="26">
        <f ca="1">FLUID!AA54</f>
        <v>1.15734</v>
      </c>
      <c r="X7" s="26">
        <f ca="1">FLUID!AB54</f>
        <v>1.1933400000000001</v>
      </c>
      <c r="Y7" s="26">
        <f ca="1">FLUID!AC54</f>
        <v>1.39398</v>
      </c>
      <c r="Z7" s="26">
        <f ca="1">FLUID!AD54</f>
        <v>1.4664599999999999</v>
      </c>
      <c r="AA7" s="26">
        <f ca="1">FLUID!AE54</f>
        <v>1.55196</v>
      </c>
      <c r="AB7" s="26">
        <f ca="1">FLUID!AF54</f>
        <v>1.65354</v>
      </c>
      <c r="AC7" s="26">
        <f ca="1">FLUID!AG54</f>
        <v>1.55196</v>
      </c>
      <c r="AD7" s="26">
        <f ca="1">FLUID!AH54</f>
        <v>1.65354</v>
      </c>
      <c r="AE7" s="26">
        <f ca="1">FLUID!AI54</f>
        <v>1.7761800000000001</v>
      </c>
      <c r="AF7" s="26">
        <f ca="1">FLUID!AJ54</f>
        <v>0</v>
      </c>
      <c r="AG7" s="26">
        <f ca="1">FLUID!AK54</f>
        <v>0</v>
      </c>
      <c r="AH7" s="26">
        <f ca="1">FLUID!AL54</f>
        <v>0</v>
      </c>
      <c r="AI7" s="26">
        <f>FLUID!AM54</f>
        <v>0</v>
      </c>
    </row>
    <row r="8" spans="1:35" ht="21.75" hidden="1" outlineLevel="1" thickBot="1" x14ac:dyDescent="0.4">
      <c r="A8" s="58" t="str">
        <f>FLUID!E55</f>
        <v>Se7</v>
      </c>
      <c r="B8" s="28">
        <f ca="1">FLUID!F55</f>
        <v>-32.9</v>
      </c>
      <c r="C8" s="28">
        <f ca="1">FLUID!G55</f>
        <v>-39.291000000000004</v>
      </c>
      <c r="D8" s="28">
        <f ca="1">FLUID!H55</f>
        <v>-39.291000000000004</v>
      </c>
      <c r="E8" s="28">
        <f ca="1">FLUID!I55</f>
        <v>-42.475999999999999</v>
      </c>
      <c r="F8" s="26">
        <f ca="1">FLUID!J55</f>
        <v>-45.366999999999997</v>
      </c>
      <c r="G8" s="26">
        <f ca="1">FLUID!K55</f>
        <v>-47.823999999999998</v>
      </c>
      <c r="H8" s="26">
        <f ca="1">FLUID!L55</f>
        <v>-50.050000000000004</v>
      </c>
      <c r="I8" s="26">
        <f ca="1">FLUID!M55</f>
        <v>-52.29</v>
      </c>
      <c r="J8" s="26">
        <f ca="1">FLUID!N55</f>
        <v>-54.761000000000003</v>
      </c>
      <c r="K8" s="26">
        <f ca="1">FLUID!O55</f>
        <v>-57.876000000000005</v>
      </c>
      <c r="L8" s="26">
        <f ca="1">FLUID!P55</f>
        <v>5.4785500000000006E-40</v>
      </c>
      <c r="M8" s="26">
        <f ca="1">FLUID!Q55</f>
        <v>1.00072E-23</v>
      </c>
      <c r="N8" s="26">
        <f ca="1">FLUID!R55</f>
        <v>1.81951E-16</v>
      </c>
      <c r="O8" s="26">
        <f ca="1">FLUID!S55</f>
        <v>1.3671000000000001E-13</v>
      </c>
      <c r="P8" s="26">
        <f ca="1">FLUID!T55</f>
        <v>9.9848000000000005E-10</v>
      </c>
      <c r="Q8" s="26">
        <f ca="1">FLUID!U55</f>
        <v>8.8382000000000006E-10</v>
      </c>
      <c r="R8" s="26">
        <f ca="1">FLUID!V55</f>
        <v>7.0833000000000001E-9</v>
      </c>
      <c r="S8" s="26">
        <f ca="1">FLUID!W55</f>
        <v>0</v>
      </c>
      <c r="T8" s="26">
        <f ca="1">FLUID!X55</f>
        <v>6.8086900000000001E-8</v>
      </c>
      <c r="U8" s="26">
        <f ca="1">FLUID!Y55</f>
        <v>5.1095799999999996E-7</v>
      </c>
      <c r="V8" s="26">
        <f ca="1">FLUID!Z55</f>
        <v>1.29836</v>
      </c>
      <c r="W8" s="26">
        <f ca="1">FLUID!AA55</f>
        <v>1.35023</v>
      </c>
      <c r="X8" s="26">
        <f ca="1">FLUID!AB55</f>
        <v>1.3922300000000001</v>
      </c>
      <c r="Y8" s="26">
        <f ca="1">FLUID!AC55</f>
        <v>1.6263100000000001</v>
      </c>
      <c r="Z8" s="26">
        <f ca="1">FLUID!AD55</f>
        <v>1.7108699999999999</v>
      </c>
      <c r="AA8" s="26">
        <f ca="1">FLUID!AE55</f>
        <v>1.8106200000000001</v>
      </c>
      <c r="AB8" s="26">
        <f ca="1">FLUID!AF55</f>
        <v>1.92913</v>
      </c>
      <c r="AC8" s="26">
        <f ca="1">FLUID!AG55</f>
        <v>1.8106200000000001</v>
      </c>
      <c r="AD8" s="26">
        <f ca="1">FLUID!AH55</f>
        <v>1.92913</v>
      </c>
      <c r="AE8" s="26">
        <f ca="1">FLUID!AI55</f>
        <v>2.0722100000000001</v>
      </c>
      <c r="AF8" s="26">
        <f ca="1">FLUID!AJ55</f>
        <v>0</v>
      </c>
      <c r="AG8" s="26">
        <f ca="1">FLUID!AK55</f>
        <v>0</v>
      </c>
      <c r="AH8" s="26">
        <f ca="1">FLUID!AL55</f>
        <v>0</v>
      </c>
      <c r="AI8" s="26">
        <f>FLUID!AM55</f>
        <v>0</v>
      </c>
    </row>
    <row r="9" spans="1:35" ht="21.75" hidden="1" outlineLevel="1" thickBot="1" x14ac:dyDescent="0.4">
      <c r="A9" s="58" t="str">
        <f>FLUID!E56</f>
        <v>Se8</v>
      </c>
      <c r="B9" s="28">
        <f ca="1">FLUID!F56</f>
        <v>-37.6</v>
      </c>
      <c r="C9" s="28">
        <f ca="1">FLUID!G56</f>
        <v>-44.904000000000003</v>
      </c>
      <c r="D9" s="28">
        <f ca="1">FLUID!H56</f>
        <v>-44.904000000000003</v>
      </c>
      <c r="E9" s="28">
        <f ca="1">FLUID!I56</f>
        <v>-48.543999999999997</v>
      </c>
      <c r="F9" s="26">
        <f ca="1">FLUID!J56</f>
        <v>-51.847999999999999</v>
      </c>
      <c r="G9" s="26">
        <f ca="1">FLUID!K56</f>
        <v>-54.655999999999999</v>
      </c>
      <c r="H9" s="26">
        <f ca="1">FLUID!L56</f>
        <v>-57.2</v>
      </c>
      <c r="I9" s="26">
        <f ca="1">FLUID!M56</f>
        <v>-59.76</v>
      </c>
      <c r="J9" s="26">
        <f ca="1">FLUID!N56</f>
        <v>-62.584000000000003</v>
      </c>
      <c r="K9" s="26">
        <f ca="1">FLUID!O56</f>
        <v>-66.144000000000005</v>
      </c>
      <c r="L9" s="26">
        <f ca="1">FLUID!P56</f>
        <v>6.2612000000000003E-40</v>
      </c>
      <c r="M9" s="26">
        <f ca="1">FLUID!Q56</f>
        <v>1.14368E-23</v>
      </c>
      <c r="N9" s="26">
        <f ca="1">FLUID!R56</f>
        <v>2.07944E-16</v>
      </c>
      <c r="O9" s="26">
        <f ca="1">FLUID!S56</f>
        <v>1.5624E-13</v>
      </c>
      <c r="P9" s="26">
        <f ca="1">FLUID!T56</f>
        <v>1.1411200000000001E-9</v>
      </c>
      <c r="Q9" s="26">
        <f ca="1">FLUID!U56</f>
        <v>1.0100800000000001E-9</v>
      </c>
      <c r="R9" s="26">
        <f ca="1">FLUID!V56</f>
        <v>8.0951999999999999E-9</v>
      </c>
      <c r="S9" s="26">
        <f ca="1">FLUID!W56</f>
        <v>0</v>
      </c>
      <c r="T9" s="26">
        <f ca="1">FLUID!X56</f>
        <v>7.7813600000000003E-8</v>
      </c>
      <c r="U9" s="26">
        <f ca="1">FLUID!Y56</f>
        <v>5.8395199999999999E-7</v>
      </c>
      <c r="V9" s="26">
        <f ca="1">FLUID!Z56</f>
        <v>1.48384</v>
      </c>
      <c r="W9" s="26">
        <f ca="1">FLUID!AA56</f>
        <v>1.54312</v>
      </c>
      <c r="X9" s="26">
        <f ca="1">FLUID!AB56</f>
        <v>1.5911200000000001</v>
      </c>
      <c r="Y9" s="26">
        <f ca="1">FLUID!AC56</f>
        <v>1.8586400000000001</v>
      </c>
      <c r="Z9" s="26">
        <f ca="1">FLUID!AD56</f>
        <v>1.9552799999999999</v>
      </c>
      <c r="AA9" s="26">
        <f ca="1">FLUID!AE56</f>
        <v>2.06928</v>
      </c>
      <c r="AB9" s="26">
        <f ca="1">FLUID!AF56</f>
        <v>2.20472</v>
      </c>
      <c r="AC9" s="26">
        <f ca="1">FLUID!AG56</f>
        <v>2.06928</v>
      </c>
      <c r="AD9" s="26">
        <f ca="1">FLUID!AH56</f>
        <v>2.20472</v>
      </c>
      <c r="AE9" s="26">
        <f ca="1">FLUID!AI56</f>
        <v>2.3682400000000001</v>
      </c>
      <c r="AF9" s="26">
        <f ca="1">FLUID!AJ56</f>
        <v>0</v>
      </c>
      <c r="AG9" s="26">
        <f ca="1">FLUID!AK56</f>
        <v>0</v>
      </c>
      <c r="AH9" s="26">
        <f ca="1">FLUID!AL56</f>
        <v>0</v>
      </c>
      <c r="AI9" s="26">
        <f>FLUID!AM56</f>
        <v>0</v>
      </c>
    </row>
    <row r="10" spans="1:35" ht="21.75" hidden="1" outlineLevel="1" thickBot="1" x14ac:dyDescent="0.4">
      <c r="A10" s="58" t="str">
        <f>FLUID!E57</f>
        <v>Se2</v>
      </c>
      <c r="B10" s="28">
        <f ca="1">FLUID!F57</f>
        <v>-9.4</v>
      </c>
      <c r="C10" s="28">
        <f ca="1">FLUID!G57</f>
        <v>-11.226000000000001</v>
      </c>
      <c r="D10" s="28">
        <f ca="1">FLUID!H57</f>
        <v>-11.226000000000001</v>
      </c>
      <c r="E10" s="28">
        <f ca="1">FLUID!I57</f>
        <v>-12.135999999999999</v>
      </c>
      <c r="F10" s="26">
        <f ca="1">FLUID!J57</f>
        <v>-12.962</v>
      </c>
      <c r="G10" s="26">
        <f ca="1">FLUID!K57</f>
        <v>-13.664</v>
      </c>
      <c r="H10" s="26">
        <f ca="1">FLUID!L57</f>
        <v>-14.3</v>
      </c>
      <c r="I10" s="26">
        <f ca="1">FLUID!M57</f>
        <v>-14.94</v>
      </c>
      <c r="J10" s="26">
        <f ca="1">FLUID!N57</f>
        <v>-15.646000000000001</v>
      </c>
      <c r="K10" s="26">
        <f ca="1">FLUID!O57</f>
        <v>-16.536000000000001</v>
      </c>
      <c r="L10" s="26">
        <f ca="1">FLUID!P57</f>
        <v>1.5653000000000001E-40</v>
      </c>
      <c r="M10" s="26">
        <f ca="1">FLUID!Q57</f>
        <v>2.8592E-24</v>
      </c>
      <c r="N10" s="26">
        <f ca="1">FLUID!R57</f>
        <v>5.1986000000000001E-17</v>
      </c>
      <c r="O10" s="26">
        <f ca="1">FLUID!S57</f>
        <v>3.906E-14</v>
      </c>
      <c r="P10" s="26">
        <f ca="1">FLUID!T57</f>
        <v>2.8528000000000002E-10</v>
      </c>
      <c r="Q10" s="26">
        <f ca="1">FLUID!U57</f>
        <v>2.5252000000000002E-10</v>
      </c>
      <c r="R10" s="26">
        <f ca="1">FLUID!V57</f>
        <v>2.0238E-9</v>
      </c>
      <c r="S10" s="26">
        <f ca="1">FLUID!W57</f>
        <v>0</v>
      </c>
      <c r="T10" s="26">
        <f ca="1">FLUID!X57</f>
        <v>1.9453400000000001E-8</v>
      </c>
      <c r="U10" s="26">
        <f ca="1">FLUID!Y57</f>
        <v>1.45988E-7</v>
      </c>
      <c r="V10" s="26">
        <f ca="1">FLUID!Z57</f>
        <v>0.37096000000000001</v>
      </c>
      <c r="W10" s="26">
        <f ca="1">FLUID!AA57</f>
        <v>0.38578000000000001</v>
      </c>
      <c r="X10" s="26">
        <f ca="1">FLUID!AB57</f>
        <v>0.39778000000000002</v>
      </c>
      <c r="Y10" s="26">
        <f ca="1">FLUID!AC57</f>
        <v>0.46466000000000002</v>
      </c>
      <c r="Z10" s="26">
        <f ca="1">FLUID!AD57</f>
        <v>0.48881999999999998</v>
      </c>
      <c r="AA10" s="26">
        <f ca="1">FLUID!AE57</f>
        <v>0.51732</v>
      </c>
      <c r="AB10" s="26">
        <f ca="1">FLUID!AF57</f>
        <v>0.55118</v>
      </c>
      <c r="AC10" s="26">
        <f ca="1">FLUID!AG57</f>
        <v>0.51732</v>
      </c>
      <c r="AD10" s="26">
        <f ca="1">FLUID!AH57</f>
        <v>0.55118</v>
      </c>
      <c r="AE10" s="26">
        <f ca="1">FLUID!AI57</f>
        <v>0.59206000000000003</v>
      </c>
      <c r="AF10" s="26">
        <f ca="1">FLUID!AJ57</f>
        <v>0</v>
      </c>
      <c r="AG10" s="26">
        <f ca="1">FLUID!AK57</f>
        <v>0</v>
      </c>
      <c r="AH10" s="26">
        <f ca="1">FLUID!AL57</f>
        <v>0</v>
      </c>
      <c r="AI10" s="26">
        <f>FLUID!AM57</f>
        <v>0</v>
      </c>
    </row>
    <row r="11" spans="1:35" ht="21.75" hidden="1" outlineLevel="1" thickBot="1" x14ac:dyDescent="0.4">
      <c r="A11" s="58" t="str">
        <f>FLUID!E58</f>
        <v>Se</v>
      </c>
      <c r="B11" s="28">
        <f ca="1">FLUID!F58</f>
        <v>-4.7</v>
      </c>
      <c r="C11" s="28">
        <f ca="1">FLUID!G58</f>
        <v>-5.6130000000000004</v>
      </c>
      <c r="D11" s="28">
        <f ca="1">FLUID!H58</f>
        <v>-5.6130000000000004</v>
      </c>
      <c r="E11" s="28">
        <f ca="1">FLUID!I58</f>
        <v>-6.0679999999999996</v>
      </c>
      <c r="F11" s="26">
        <f ca="1">FLUID!J58</f>
        <v>-6.4809999999999999</v>
      </c>
      <c r="G11" s="26">
        <f ca="1">FLUID!K58</f>
        <v>-6.8319999999999999</v>
      </c>
      <c r="H11" s="26">
        <f ca="1">FLUID!L58</f>
        <v>-7.15</v>
      </c>
      <c r="I11" s="26">
        <f ca="1">FLUID!M58</f>
        <v>-7.47</v>
      </c>
      <c r="J11" s="26">
        <f ca="1">FLUID!N58</f>
        <v>-7.8230000000000004</v>
      </c>
      <c r="K11" s="26">
        <f ca="1">FLUID!O58</f>
        <v>-8.2680000000000007</v>
      </c>
      <c r="L11" s="26">
        <f ca="1">FLUID!P58</f>
        <v>7.8265000000000004E-41</v>
      </c>
      <c r="M11" s="26">
        <f ca="1">FLUID!Q58</f>
        <v>1.4296E-24</v>
      </c>
      <c r="N11" s="26">
        <f ca="1">FLUID!R58</f>
        <v>2.5993E-17</v>
      </c>
      <c r="O11" s="26">
        <f ca="1">FLUID!S58</f>
        <v>1.953E-14</v>
      </c>
      <c r="P11" s="26">
        <f ca="1">FLUID!T58</f>
        <v>1.4264000000000001E-10</v>
      </c>
      <c r="Q11" s="26">
        <f ca="1">FLUID!U58</f>
        <v>1.2626000000000001E-10</v>
      </c>
      <c r="R11" s="26">
        <f ca="1">FLUID!V58</f>
        <v>1.0119E-9</v>
      </c>
      <c r="S11" s="26">
        <f ca="1">FLUID!W58</f>
        <v>0</v>
      </c>
      <c r="T11" s="26">
        <f ca="1">FLUID!X58</f>
        <v>9.7267000000000003E-9</v>
      </c>
      <c r="U11" s="26">
        <f ca="1">FLUID!Y58</f>
        <v>7.2993999999999998E-8</v>
      </c>
      <c r="V11" s="26">
        <f ca="1">FLUID!Z58</f>
        <v>0.18548000000000001</v>
      </c>
      <c r="W11" s="26">
        <f ca="1">FLUID!AA58</f>
        <v>0.19289000000000001</v>
      </c>
      <c r="X11" s="26">
        <f ca="1">FLUID!AB58</f>
        <v>0.19889000000000001</v>
      </c>
      <c r="Y11" s="26">
        <f ca="1">FLUID!AC58</f>
        <v>0.23233000000000001</v>
      </c>
      <c r="Z11" s="26">
        <f ca="1">FLUID!AD58</f>
        <v>0.24440999999999999</v>
      </c>
      <c r="AA11" s="26">
        <f ca="1">FLUID!AE58</f>
        <v>0.25866</v>
      </c>
      <c r="AB11" s="26">
        <f ca="1">FLUID!AF58</f>
        <v>0.27559</v>
      </c>
      <c r="AC11" s="26">
        <f ca="1">FLUID!AG58</f>
        <v>0.25866</v>
      </c>
      <c r="AD11" s="26">
        <f ca="1">FLUID!AH58</f>
        <v>0.27559</v>
      </c>
      <c r="AE11" s="26">
        <f ca="1">FLUID!AI58</f>
        <v>0.29603000000000002</v>
      </c>
      <c r="AF11" s="26">
        <f ca="1">FLUID!AJ58</f>
        <v>0</v>
      </c>
      <c r="AG11" s="26">
        <f ca="1">FLUID!AK58</f>
        <v>0</v>
      </c>
      <c r="AH11" s="26">
        <f ca="1">FLUID!AL58</f>
        <v>0</v>
      </c>
      <c r="AI11" s="26">
        <f>FLUID!AM58</f>
        <v>0</v>
      </c>
    </row>
    <row r="12" spans="1:35" ht="21.75" hidden="1" outlineLevel="1" thickBot="1" x14ac:dyDescent="0.4">
      <c r="A12" s="58" t="str">
        <f>FLUID!E59</f>
        <v>Ga2Se</v>
      </c>
      <c r="B12" s="28">
        <f ca="1">FLUID!F59</f>
        <v>-17.254000000000001</v>
      </c>
      <c r="C12" s="28">
        <f ca="1">FLUID!G59</f>
        <v>-20.391000000000002</v>
      </c>
      <c r="D12" s="28">
        <f ca="1">FLUID!H59</f>
        <v>-20.391000000000002</v>
      </c>
      <c r="E12" s="28">
        <f ca="1">FLUID!I59</f>
        <v>-21.763999999999999</v>
      </c>
      <c r="F12" s="26">
        <f ca="1">FLUID!J59</f>
        <v>-23.104999999999997</v>
      </c>
      <c r="G12" s="26">
        <f ca="1">FLUID!K59</f>
        <v>-24.682000000000002</v>
      </c>
      <c r="H12" s="26">
        <f ca="1">FLUID!L59</f>
        <v>-26.502000000000002</v>
      </c>
      <c r="I12" s="26">
        <f ca="1">FLUID!M59</f>
        <v>-28.25</v>
      </c>
      <c r="J12" s="26">
        <f ca="1">FLUID!N59</f>
        <v>-29.882999999999999</v>
      </c>
      <c r="K12" s="26">
        <f ca="1">FLUID!O59</f>
        <v>-31.408000000000001</v>
      </c>
      <c r="L12" s="26">
        <f ca="1">FLUID!P59</f>
        <v>7.8265000000000004E-41</v>
      </c>
      <c r="M12" s="26">
        <f ca="1">FLUID!Q59</f>
        <v>1.4296E-24</v>
      </c>
      <c r="N12" s="26">
        <f ca="1">FLUID!R59</f>
        <v>2.5993E-17</v>
      </c>
      <c r="O12" s="26">
        <f ca="1">FLUID!S59</f>
        <v>1.953E-14</v>
      </c>
      <c r="P12" s="26">
        <f ca="1">FLUID!T59</f>
        <v>1.4264000000000001E-10</v>
      </c>
      <c r="Q12" s="26">
        <f ca="1">FLUID!U59</f>
        <v>1.2626000000000001E-10</v>
      </c>
      <c r="R12" s="26">
        <f ca="1">FLUID!V59</f>
        <v>1.0119E-9</v>
      </c>
      <c r="S12" s="26">
        <f ca="1">FLUID!W59</f>
        <v>0</v>
      </c>
      <c r="T12" s="26">
        <f ca="1">FLUID!X59</f>
        <v>9.7267000000000003E-9</v>
      </c>
      <c r="U12" s="26">
        <f ca="1">FLUID!Y59</f>
        <v>7.2993999999999998E-8</v>
      </c>
      <c r="V12" s="26">
        <f ca="1">FLUID!Z59</f>
        <v>0.18548000000000001</v>
      </c>
      <c r="W12" s="26">
        <f ca="1">FLUID!AA59</f>
        <v>0.19289000000000001</v>
      </c>
      <c r="X12" s="26">
        <f ca="1">FLUID!AB59</f>
        <v>0.19889000000000001</v>
      </c>
      <c r="Y12" s="26">
        <f ca="1">FLUID!AC59</f>
        <v>0.23233000000000001</v>
      </c>
      <c r="Z12" s="26">
        <f ca="1">FLUID!AD59</f>
        <v>0.24440999999999999</v>
      </c>
      <c r="AA12" s="26">
        <f ca="1">FLUID!AE59</f>
        <v>0.25866</v>
      </c>
      <c r="AB12" s="26">
        <f ca="1">FLUID!AF59</f>
        <v>0.27559</v>
      </c>
      <c r="AC12" s="26">
        <f ca="1">FLUID!AG59</f>
        <v>0.25866</v>
      </c>
      <c r="AD12" s="26">
        <f ca="1">FLUID!AH59</f>
        <v>0.27559</v>
      </c>
      <c r="AE12" s="26">
        <f ca="1">FLUID!AI59</f>
        <v>0.29603000000000002</v>
      </c>
      <c r="AF12" s="26">
        <f ca="1">FLUID!AJ59</f>
        <v>0</v>
      </c>
      <c r="AG12" s="26">
        <f ca="1">FLUID!AK59</f>
        <v>0</v>
      </c>
      <c r="AH12" s="26">
        <f ca="1">FLUID!AL59</f>
        <v>0</v>
      </c>
      <c r="AI12" s="26">
        <f>FLUID!AM59</f>
        <v>0</v>
      </c>
    </row>
    <row r="13" spans="1:35" ht="21.75" hidden="1" outlineLevel="1" thickBot="1" x14ac:dyDescent="0.4">
      <c r="A13" s="58" t="str">
        <f>FLUID!E60</f>
        <v>Ar</v>
      </c>
      <c r="B13" s="28">
        <f ca="1">FLUID!F60</f>
        <v>-18.62</v>
      </c>
      <c r="C13" s="28">
        <f ca="1">FLUID!G60</f>
        <v>-18.77</v>
      </c>
      <c r="D13" s="28">
        <f ca="1">FLUID!H60</f>
        <v>-18.77</v>
      </c>
      <c r="E13" s="28">
        <f ca="1">FLUID!I60</f>
        <v>-18.93</v>
      </c>
      <c r="F13" s="26">
        <f ca="1">FLUID!J60</f>
        <v>-19.13</v>
      </c>
      <c r="G13" s="26">
        <f ca="1">FLUID!K60</f>
        <v>-19.399999999999999</v>
      </c>
      <c r="H13" s="26">
        <f ca="1">FLUID!L60</f>
        <v>-19.649999999999999</v>
      </c>
      <c r="I13" s="26">
        <f ca="1">FLUID!M60</f>
        <v>-19.89</v>
      </c>
      <c r="J13" s="26">
        <f ca="1">FLUID!N60</f>
        <v>-20.149999999999999</v>
      </c>
      <c r="K13" s="26">
        <f ca="1">FLUID!O60</f>
        <v>-20.46</v>
      </c>
      <c r="L13" s="26">
        <f ca="1">FLUID!P60</f>
        <v>0</v>
      </c>
      <c r="M13" s="26">
        <f ca="1">FLUID!Q60</f>
        <v>0</v>
      </c>
      <c r="N13" s="26">
        <f ca="1">FLUID!R60</f>
        <v>0</v>
      </c>
      <c r="O13" s="26">
        <f ca="1">FLUID!S60</f>
        <v>0</v>
      </c>
      <c r="P13" s="26">
        <f ca="1">FLUID!T60</f>
        <v>0</v>
      </c>
      <c r="Q13" s="26">
        <f ca="1">FLUID!U60</f>
        <v>0</v>
      </c>
      <c r="R13" s="26">
        <f ca="1">FLUID!V60</f>
        <v>0</v>
      </c>
      <c r="S13" s="26">
        <f ca="1">FLUID!W60</f>
        <v>0</v>
      </c>
      <c r="T13" s="26">
        <f ca="1">FLUID!X60</f>
        <v>0</v>
      </c>
      <c r="U13" s="26">
        <f ca="1">FLUID!Y60</f>
        <v>0</v>
      </c>
      <c r="V13" s="26">
        <f ca="1">FLUID!Z60</f>
        <v>0</v>
      </c>
      <c r="W13" s="26">
        <f ca="1">FLUID!AA60</f>
        <v>0</v>
      </c>
      <c r="X13" s="26">
        <f ca="1">FLUID!AB60</f>
        <v>0</v>
      </c>
      <c r="Y13" s="26">
        <f ca="1">FLUID!AC60</f>
        <v>0</v>
      </c>
      <c r="Z13" s="26">
        <f ca="1">FLUID!AD60</f>
        <v>0</v>
      </c>
      <c r="AA13" s="26">
        <f ca="1">FLUID!AE60</f>
        <v>0</v>
      </c>
      <c r="AB13" s="26">
        <f ca="1">FLUID!AF60</f>
        <v>0</v>
      </c>
      <c r="AC13" s="26">
        <f ca="1">FLUID!AG60</f>
        <v>0</v>
      </c>
      <c r="AD13" s="26">
        <f ca="1">FLUID!AH60</f>
        <v>0</v>
      </c>
      <c r="AE13" s="26">
        <f ca="1">FLUID!AI60</f>
        <v>0</v>
      </c>
      <c r="AF13" s="26">
        <f ca="1">FLUID!AJ60</f>
        <v>0</v>
      </c>
      <c r="AG13" s="26">
        <f ca="1">FLUID!AK60</f>
        <v>0</v>
      </c>
      <c r="AH13" s="26">
        <f ca="1">FLUID!AL60</f>
        <v>0</v>
      </c>
      <c r="AI13" s="26">
        <f>FLUID!AM60</f>
        <v>0</v>
      </c>
    </row>
    <row r="14" spans="1:35" ht="21.75" hidden="1" outlineLevel="1" thickBot="1" x14ac:dyDescent="0.4">
      <c r="A14" s="58" t="str">
        <f>FLUID!E61</f>
        <v>(l)Ga[l]</v>
      </c>
      <c r="B14" s="28">
        <f ca="1">FLUID!F61</f>
        <v>-6.2770000000000001</v>
      </c>
      <c r="C14" s="28">
        <f ca="1">FLUID!G61</f>
        <v>-7.3890000000000002</v>
      </c>
      <c r="D14" s="28">
        <f ca="1">FLUID!H61</f>
        <v>-7.3890000000000002</v>
      </c>
      <c r="E14" s="28">
        <f ca="1">FLUID!I61</f>
        <v>-7.8479999999999999</v>
      </c>
      <c r="F14" s="26">
        <f ca="1">FLUID!J61</f>
        <v>-8.3119999999999994</v>
      </c>
      <c r="G14" s="26">
        <f ca="1">FLUID!K61</f>
        <v>-8.9250000000000007</v>
      </c>
      <c r="H14" s="26">
        <f ca="1">FLUID!L61</f>
        <v>-9.6760000000000002</v>
      </c>
      <c r="I14" s="26">
        <f ca="1">FLUID!M61</f>
        <v>-10.39</v>
      </c>
      <c r="J14" s="26">
        <f ca="1">FLUID!N61</f>
        <v>-11.03</v>
      </c>
      <c r="K14" s="26">
        <f ca="1">FLUID!O61</f>
        <v>-11.57</v>
      </c>
      <c r="L14" s="26">
        <f ca="1">FLUID!P61</f>
        <v>0</v>
      </c>
      <c r="M14" s="26">
        <f ca="1">FLUID!Q61</f>
        <v>0</v>
      </c>
      <c r="N14" s="26">
        <f ca="1">FLUID!R61</f>
        <v>0</v>
      </c>
      <c r="O14" s="26">
        <f ca="1">FLUID!S61</f>
        <v>0</v>
      </c>
      <c r="P14" s="26">
        <f ca="1">FLUID!T61</f>
        <v>0</v>
      </c>
      <c r="Q14" s="26">
        <f ca="1">FLUID!U61</f>
        <v>0</v>
      </c>
      <c r="R14" s="26">
        <f ca="1">FLUID!V61</f>
        <v>0</v>
      </c>
      <c r="S14" s="26">
        <f ca="1">FLUID!W61</f>
        <v>0</v>
      </c>
      <c r="T14" s="26">
        <f ca="1">FLUID!X61</f>
        <v>0</v>
      </c>
      <c r="U14" s="26">
        <f ca="1">FLUID!Y61</f>
        <v>0</v>
      </c>
      <c r="V14" s="26">
        <f ca="1">FLUID!Z61</f>
        <v>0</v>
      </c>
      <c r="W14" s="26">
        <f ca="1">FLUID!AA61</f>
        <v>0</v>
      </c>
      <c r="X14" s="26">
        <f ca="1">FLUID!AB61</f>
        <v>0</v>
      </c>
      <c r="Y14" s="26">
        <f ca="1">FLUID!AC61</f>
        <v>0</v>
      </c>
      <c r="Z14" s="26">
        <f ca="1">FLUID!AD61</f>
        <v>0</v>
      </c>
      <c r="AA14" s="26">
        <f ca="1">FLUID!AE61</f>
        <v>0</v>
      </c>
      <c r="AB14" s="26">
        <f ca="1">FLUID!AF61</f>
        <v>0</v>
      </c>
      <c r="AC14" s="26">
        <f ca="1">FLUID!AG61</f>
        <v>0</v>
      </c>
      <c r="AD14" s="26">
        <f ca="1">FLUID!AH61</f>
        <v>0</v>
      </c>
      <c r="AE14" s="26">
        <f ca="1">FLUID!AI61</f>
        <v>0</v>
      </c>
      <c r="AF14" s="26">
        <f ca="1">FLUID!AJ61</f>
        <v>0</v>
      </c>
      <c r="AG14" s="26">
        <f ca="1">FLUID!AK61</f>
        <v>0</v>
      </c>
      <c r="AH14" s="26">
        <f ca="1">FLUID!AL61</f>
        <v>0</v>
      </c>
      <c r="AI14" s="26">
        <f>FLUID!AM61</f>
        <v>0</v>
      </c>
    </row>
    <row r="15" spans="1:35" ht="21.75" hidden="1" outlineLevel="1" thickBot="1" x14ac:dyDescent="0.4">
      <c r="A15" s="58" t="str">
        <f>FLUID!E62</f>
        <v>(l)Ge[l]</v>
      </c>
      <c r="B15" s="28">
        <f ca="1">FLUID!F62</f>
        <v>6.952</v>
      </c>
      <c r="C15" s="28">
        <f ca="1">FLUID!G62</f>
        <v>0.94920000000000004</v>
      </c>
      <c r="D15" s="28">
        <f ca="1">FLUID!H62</f>
        <v>0.94920000000000004</v>
      </c>
      <c r="E15" s="28">
        <f ca="1">FLUID!I62</f>
        <v>-0.79530000000000001</v>
      </c>
      <c r="F15" s="26">
        <f ca="1">FLUID!J62</f>
        <v>-2.113</v>
      </c>
      <c r="G15" s="26">
        <f ca="1">FLUID!K62</f>
        <v>-3.1059999999999999</v>
      </c>
      <c r="H15" s="26">
        <f ca="1">FLUID!L62</f>
        <v>-3.8969999999999998</v>
      </c>
      <c r="I15" s="26">
        <f ca="1">FLUID!M62</f>
        <v>-4.5529999999999999</v>
      </c>
      <c r="J15" s="26">
        <f ca="1">FLUID!N62</f>
        <v>-5.0380000000000003</v>
      </c>
      <c r="K15" s="26">
        <f ca="1">FLUID!O62</f>
        <v>-5.3250000000000002</v>
      </c>
      <c r="L15" s="26">
        <f ca="1">FLUID!P62</f>
        <v>0.28000000000000003</v>
      </c>
      <c r="M15" s="26">
        <f ca="1">FLUID!Q62</f>
        <v>0.28000000000000003</v>
      </c>
      <c r="N15" s="26">
        <f ca="1">FLUID!R62</f>
        <v>0.28000000000000003</v>
      </c>
      <c r="O15" s="26">
        <f ca="1">FLUID!S62</f>
        <v>0.28000000000000003</v>
      </c>
      <c r="P15" s="26">
        <f ca="1">FLUID!T62</f>
        <v>0.28000000000000003</v>
      </c>
      <c r="Q15" s="26">
        <f ca="1">FLUID!U62</f>
        <v>0.28000000000000003</v>
      </c>
      <c r="R15" s="26">
        <f ca="1">FLUID!V62</f>
        <v>0.28000000000000003</v>
      </c>
      <c r="S15" s="26">
        <f ca="1">FLUID!W62</f>
        <v>0.27079999999999999</v>
      </c>
      <c r="T15" s="26">
        <f ca="1">FLUID!X62</f>
        <v>0.21576000000000001</v>
      </c>
      <c r="U15" s="26">
        <f ca="1">FLUID!Y62</f>
        <v>0.20441000000000001</v>
      </c>
      <c r="V15" s="26">
        <f ca="1">FLUID!Z62</f>
        <v>0.20115</v>
      </c>
      <c r="W15" s="26">
        <f ca="1">FLUID!AA62</f>
        <v>0.20011999999999999</v>
      </c>
      <c r="X15" s="26">
        <f ca="1">FLUID!AB62</f>
        <v>0.20000999999999999</v>
      </c>
      <c r="Y15" s="26">
        <f ca="1">FLUID!AC62</f>
        <v>0.2</v>
      </c>
      <c r="Z15" s="26">
        <f ca="1">FLUID!AD62</f>
        <v>0.2</v>
      </c>
      <c r="AA15" s="26">
        <f ca="1">FLUID!AE62</f>
        <v>0.2</v>
      </c>
      <c r="AB15" s="26">
        <f ca="1">FLUID!AF62</f>
        <v>0.2</v>
      </c>
      <c r="AC15" s="26">
        <f ca="1">FLUID!AG62</f>
        <v>0.2</v>
      </c>
      <c r="AD15" s="26">
        <f ca="1">FLUID!AH62</f>
        <v>0.2</v>
      </c>
      <c r="AE15" s="26">
        <f ca="1">FLUID!AI62</f>
        <v>0.2</v>
      </c>
      <c r="AF15" s="26">
        <f ca="1">FLUID!AJ62</f>
        <v>0</v>
      </c>
      <c r="AG15" s="26">
        <f ca="1">FLUID!AK62</f>
        <v>0</v>
      </c>
      <c r="AH15" s="26">
        <f ca="1">FLUID!AL62</f>
        <v>0</v>
      </c>
      <c r="AI15" s="26">
        <f>FLUID!AM62</f>
        <v>0</v>
      </c>
    </row>
    <row r="16" spans="1:35" ht="21.75" hidden="1" outlineLevel="1" thickBot="1" x14ac:dyDescent="0.4">
      <c r="A16" s="58" t="str">
        <f>FLUID!E63</f>
        <v>(l)Se[l]</v>
      </c>
      <c r="B16" s="28">
        <f ca="1">FLUID!F63</f>
        <v>-4.7</v>
      </c>
      <c r="C16" s="28">
        <f ca="1">FLUID!G63</f>
        <v>-5.6130000000000004</v>
      </c>
      <c r="D16" s="28">
        <f ca="1">FLUID!H63</f>
        <v>-5.6130000000000004</v>
      </c>
      <c r="E16" s="28">
        <f ca="1">FLUID!I63</f>
        <v>-6.0679999999999996</v>
      </c>
      <c r="F16" s="26">
        <f ca="1">FLUID!J63</f>
        <v>-6.4809999999999999</v>
      </c>
      <c r="G16" s="26">
        <f ca="1">FLUID!K63</f>
        <v>-6.8319999999999999</v>
      </c>
      <c r="H16" s="26">
        <f ca="1">FLUID!L63</f>
        <v>-7.15</v>
      </c>
      <c r="I16" s="26">
        <f ca="1">FLUID!M63</f>
        <v>-7.47</v>
      </c>
      <c r="J16" s="26">
        <f ca="1">FLUID!N63</f>
        <v>-7.8230000000000004</v>
      </c>
      <c r="K16" s="26">
        <f ca="1">FLUID!O63</f>
        <v>-8.2680000000000007</v>
      </c>
      <c r="L16" s="26">
        <f ca="1">FLUID!P63</f>
        <v>7.8265000000000004E-41</v>
      </c>
      <c r="M16" s="26">
        <f ca="1">FLUID!Q63</f>
        <v>1.4296E-24</v>
      </c>
      <c r="N16" s="26">
        <f ca="1">FLUID!R63</f>
        <v>2.5993E-17</v>
      </c>
      <c r="O16" s="26">
        <f ca="1">FLUID!S63</f>
        <v>1.953E-14</v>
      </c>
      <c r="P16" s="26">
        <f ca="1">FLUID!T63</f>
        <v>1.4264000000000001E-10</v>
      </c>
      <c r="Q16" s="26">
        <f ca="1">FLUID!U63</f>
        <v>1.2626000000000001E-10</v>
      </c>
      <c r="R16" s="26">
        <f ca="1">FLUID!V63</f>
        <v>1.0119E-9</v>
      </c>
      <c r="S16" s="26">
        <f ca="1">FLUID!W63</f>
        <v>0</v>
      </c>
      <c r="T16" s="26">
        <f ca="1">FLUID!X63</f>
        <v>9.7267000000000003E-9</v>
      </c>
      <c r="U16" s="26">
        <f ca="1">FLUID!Y63</f>
        <v>7.2993999999999998E-8</v>
      </c>
      <c r="V16" s="26">
        <f ca="1">FLUID!Z63</f>
        <v>0.18548000000000001</v>
      </c>
      <c r="W16" s="26">
        <f ca="1">FLUID!AA63</f>
        <v>0.19289000000000001</v>
      </c>
      <c r="X16" s="26">
        <f ca="1">FLUID!AB63</f>
        <v>0.19889000000000001</v>
      </c>
      <c r="Y16" s="26">
        <f ca="1">FLUID!AC63</f>
        <v>0.23233000000000001</v>
      </c>
      <c r="Z16" s="26">
        <f ca="1">FLUID!AD63</f>
        <v>0.24440999999999999</v>
      </c>
      <c r="AA16" s="26">
        <f ca="1">FLUID!AE63</f>
        <v>0.25866</v>
      </c>
      <c r="AB16" s="26">
        <f ca="1">FLUID!AF63</f>
        <v>0.27559</v>
      </c>
      <c r="AC16" s="26">
        <f ca="1">FLUID!AG63</f>
        <v>0.25866</v>
      </c>
      <c r="AD16" s="26">
        <f ca="1">FLUID!AH63</f>
        <v>0.27559</v>
      </c>
      <c r="AE16" s="26">
        <f ca="1">FLUID!AI63</f>
        <v>0.29603000000000002</v>
      </c>
      <c r="AF16" s="26">
        <f ca="1">FLUID!AJ63</f>
        <v>0</v>
      </c>
      <c r="AG16" s="26">
        <f ca="1">FLUID!AK63</f>
        <v>0</v>
      </c>
      <c r="AH16" s="26">
        <f ca="1">FLUID!AL63</f>
        <v>0</v>
      </c>
      <c r="AI16" s="26">
        <f>FLUID!AM63</f>
        <v>0</v>
      </c>
    </row>
    <row r="17" spans="1:35" ht="21.75" hidden="1" outlineLevel="1" thickBot="1" x14ac:dyDescent="0.4">
      <c r="A17" s="58" t="str">
        <f>FLUID!E64</f>
        <v>H (Ar)</v>
      </c>
      <c r="B17" s="28">
        <f ca="1">FLUID!F64</f>
        <v>-18.62</v>
      </c>
      <c r="C17" s="28">
        <f ca="1">FLUID!G64</f>
        <v>-18.77</v>
      </c>
      <c r="D17" s="28">
        <f ca="1">FLUID!H64</f>
        <v>-18.77</v>
      </c>
      <c r="E17" s="28">
        <f ca="1">FLUID!I64</f>
        <v>-18.93</v>
      </c>
      <c r="F17" s="26">
        <f ca="1">FLUID!J64</f>
        <v>-19.13</v>
      </c>
      <c r="G17" s="26">
        <f ca="1">FLUID!K64</f>
        <v>-19.399999999999999</v>
      </c>
      <c r="H17" s="26">
        <f ca="1">FLUID!L64</f>
        <v>-19.649999999999999</v>
      </c>
      <c r="I17" s="26">
        <f ca="1">FLUID!M64</f>
        <v>-19.89</v>
      </c>
      <c r="J17" s="26">
        <f ca="1">FLUID!N64</f>
        <v>-20.149999999999999</v>
      </c>
      <c r="K17" s="26">
        <f ca="1">FLUID!O64</f>
        <v>-20.46</v>
      </c>
      <c r="L17" s="26">
        <f ca="1">FLUID!P64</f>
        <v>0</v>
      </c>
      <c r="M17" s="26">
        <f ca="1">FLUID!Q64</f>
        <v>0</v>
      </c>
      <c r="N17" s="26">
        <f ca="1">FLUID!R64</f>
        <v>0</v>
      </c>
      <c r="O17" s="26">
        <f ca="1">FLUID!S64</f>
        <v>0</v>
      </c>
      <c r="P17" s="26">
        <f ca="1">FLUID!T64</f>
        <v>0</v>
      </c>
      <c r="Q17" s="26">
        <f ca="1">FLUID!U64</f>
        <v>0</v>
      </c>
      <c r="R17" s="26">
        <f ca="1">FLUID!V64</f>
        <v>0</v>
      </c>
      <c r="S17" s="26">
        <f ca="1">FLUID!W64</f>
        <v>0</v>
      </c>
      <c r="T17" s="26">
        <f ca="1">FLUID!X64</f>
        <v>0</v>
      </c>
      <c r="U17" s="26">
        <f ca="1">FLUID!Y64</f>
        <v>0</v>
      </c>
      <c r="V17" s="26">
        <f ca="1">FLUID!Z64</f>
        <v>0</v>
      </c>
      <c r="W17" s="26">
        <f ca="1">FLUID!AA64</f>
        <v>0</v>
      </c>
      <c r="X17" s="26">
        <f ca="1">FLUID!AB64</f>
        <v>0</v>
      </c>
      <c r="Y17" s="26">
        <f ca="1">FLUID!AC64</f>
        <v>0</v>
      </c>
      <c r="Z17" s="26">
        <f ca="1">FLUID!AD64</f>
        <v>0</v>
      </c>
      <c r="AA17" s="26">
        <f ca="1">FLUID!AE64</f>
        <v>0</v>
      </c>
      <c r="AB17" s="26">
        <f ca="1">FLUID!AF64</f>
        <v>0</v>
      </c>
      <c r="AC17" s="26">
        <f ca="1">FLUID!AG64</f>
        <v>0</v>
      </c>
      <c r="AD17" s="26">
        <f ca="1">FLUID!AH64</f>
        <v>0</v>
      </c>
      <c r="AE17" s="26">
        <f ca="1">FLUID!AI64</f>
        <v>0</v>
      </c>
      <c r="AF17" s="26">
        <f ca="1">FLUID!AJ64</f>
        <v>0</v>
      </c>
      <c r="AG17" s="26">
        <f ca="1">FLUID!AK64</f>
        <v>0</v>
      </c>
      <c r="AH17" s="26">
        <f ca="1">FLUID!AL64</f>
        <v>0</v>
      </c>
      <c r="AI17" s="26">
        <f>FLUID!AM64</f>
        <v>0</v>
      </c>
    </row>
    <row r="18" spans="1:35" ht="21.75" hidden="1" outlineLevel="1" thickBot="1" x14ac:dyDescent="0.4">
      <c r="A18" s="58" t="str">
        <f>FLUID!E65</f>
        <v>H (Ga)</v>
      </c>
      <c r="B18" s="28">
        <f ca="1">FLUID!F65</f>
        <v>-6.2770000000000001</v>
      </c>
      <c r="C18" s="28">
        <f ca="1">FLUID!G65</f>
        <v>-7.3890000000000002</v>
      </c>
      <c r="D18" s="28">
        <f ca="1">FLUID!H65</f>
        <v>-7.3890000000000002</v>
      </c>
      <c r="E18" s="28">
        <f ca="1">FLUID!I65</f>
        <v>-7.8479999999999999</v>
      </c>
      <c r="F18" s="26">
        <f ca="1">FLUID!J65</f>
        <v>-8.3119999999999994</v>
      </c>
      <c r="G18" s="26">
        <f ca="1">FLUID!K65</f>
        <v>-8.9250000000000007</v>
      </c>
      <c r="H18" s="26">
        <f ca="1">FLUID!L65</f>
        <v>-9.6760000000000002</v>
      </c>
      <c r="I18" s="26">
        <f ca="1">FLUID!M65</f>
        <v>-10.39</v>
      </c>
      <c r="J18" s="26">
        <f ca="1">FLUID!N65</f>
        <v>-11.03</v>
      </c>
      <c r="K18" s="26">
        <f ca="1">FLUID!O65</f>
        <v>-11.57</v>
      </c>
      <c r="L18" s="26">
        <f ca="1">FLUID!P65</f>
        <v>0</v>
      </c>
      <c r="M18" s="26">
        <f ca="1">FLUID!Q65</f>
        <v>0</v>
      </c>
      <c r="N18" s="26">
        <f ca="1">FLUID!R65</f>
        <v>0</v>
      </c>
      <c r="O18" s="26">
        <f ca="1">FLUID!S65</f>
        <v>0</v>
      </c>
      <c r="P18" s="26">
        <f ca="1">FLUID!T65</f>
        <v>0</v>
      </c>
      <c r="Q18" s="26">
        <f ca="1">FLUID!U65</f>
        <v>0</v>
      </c>
      <c r="R18" s="26">
        <f ca="1">FLUID!V65</f>
        <v>0</v>
      </c>
      <c r="S18" s="26">
        <f ca="1">FLUID!W65</f>
        <v>0</v>
      </c>
      <c r="T18" s="26">
        <f ca="1">FLUID!X65</f>
        <v>0</v>
      </c>
      <c r="U18" s="26">
        <f ca="1">FLUID!Y65</f>
        <v>0</v>
      </c>
      <c r="V18" s="26">
        <f ca="1">FLUID!Z65</f>
        <v>0</v>
      </c>
      <c r="W18" s="26">
        <f ca="1">FLUID!AA65</f>
        <v>0</v>
      </c>
      <c r="X18" s="26">
        <f ca="1">FLUID!AB65</f>
        <v>0</v>
      </c>
      <c r="Y18" s="26">
        <f ca="1">FLUID!AC65</f>
        <v>0</v>
      </c>
      <c r="Z18" s="26">
        <f ca="1">FLUID!AD65</f>
        <v>0</v>
      </c>
      <c r="AA18" s="26">
        <f ca="1">FLUID!AE65</f>
        <v>0</v>
      </c>
      <c r="AB18" s="26">
        <f ca="1">FLUID!AF65</f>
        <v>0</v>
      </c>
      <c r="AC18" s="26">
        <f ca="1">FLUID!AG65</f>
        <v>0</v>
      </c>
      <c r="AD18" s="26">
        <f ca="1">FLUID!AH65</f>
        <v>0</v>
      </c>
      <c r="AE18" s="26">
        <f ca="1">FLUID!AI65</f>
        <v>0</v>
      </c>
      <c r="AF18" s="26">
        <f ca="1">FLUID!AJ65</f>
        <v>0</v>
      </c>
      <c r="AG18" s="26">
        <f ca="1">FLUID!AK65</f>
        <v>0</v>
      </c>
      <c r="AH18" s="26">
        <f ca="1">FLUID!AL65</f>
        <v>0</v>
      </c>
      <c r="AI18" s="26">
        <f>FLUID!AM65</f>
        <v>0</v>
      </c>
    </row>
    <row r="19" spans="1:35" ht="22.5" hidden="1" customHeight="1" outlineLevel="1" thickBot="1" x14ac:dyDescent="0.4">
      <c r="A19" s="58" t="str">
        <f>FLUID!E66</f>
        <v>H (Ge)</v>
      </c>
      <c r="B19" s="28">
        <f ca="1">FLUID!F66</f>
        <v>6.952</v>
      </c>
      <c r="C19" s="28">
        <f ca="1">FLUID!G66</f>
        <v>0.94920000000000004</v>
      </c>
      <c r="D19" s="28">
        <f ca="1">FLUID!H66</f>
        <v>0.94920000000000004</v>
      </c>
      <c r="E19" s="28">
        <f ca="1">FLUID!I66</f>
        <v>-0.79530000000000001</v>
      </c>
      <c r="F19" s="26">
        <f ca="1">FLUID!J66</f>
        <v>-2.113</v>
      </c>
      <c r="G19" s="26">
        <f ca="1">FLUID!K66</f>
        <v>-3.1059999999999999</v>
      </c>
      <c r="H19" s="26">
        <f ca="1">FLUID!L66</f>
        <v>-3.8969999999999998</v>
      </c>
      <c r="I19" s="26">
        <f ca="1">FLUID!M66</f>
        <v>-4.5529999999999999</v>
      </c>
      <c r="J19" s="26">
        <f ca="1">FLUID!N66</f>
        <v>-5.0380000000000003</v>
      </c>
      <c r="K19" s="26">
        <f ca="1">FLUID!O66</f>
        <v>-5.3250000000000002</v>
      </c>
      <c r="L19" s="26">
        <f ca="1">FLUID!P66</f>
        <v>0.28000000000000003</v>
      </c>
      <c r="M19" s="26">
        <f ca="1">FLUID!Q66</f>
        <v>0.28000000000000003</v>
      </c>
      <c r="N19" s="26">
        <f ca="1">FLUID!R66</f>
        <v>0.28000000000000003</v>
      </c>
      <c r="O19" s="26">
        <f ca="1">FLUID!S66</f>
        <v>0.28000000000000003</v>
      </c>
      <c r="P19" s="26">
        <f ca="1">FLUID!T66</f>
        <v>0.28000000000000003</v>
      </c>
      <c r="Q19" s="26">
        <f ca="1">FLUID!U66</f>
        <v>0.28000000000000003</v>
      </c>
      <c r="R19" s="26">
        <f ca="1">FLUID!V66</f>
        <v>0.28000000000000003</v>
      </c>
      <c r="S19" s="26">
        <f ca="1">FLUID!W66</f>
        <v>0.27079999999999999</v>
      </c>
      <c r="T19" s="26">
        <f ca="1">FLUID!X66</f>
        <v>0.21576000000000001</v>
      </c>
      <c r="U19" s="26">
        <f ca="1">FLUID!Y66</f>
        <v>0.20441000000000001</v>
      </c>
      <c r="V19" s="26">
        <f ca="1">FLUID!Z66</f>
        <v>0.20115</v>
      </c>
      <c r="W19" s="26">
        <f ca="1">FLUID!AA66</f>
        <v>0.20011999999999999</v>
      </c>
      <c r="X19" s="26">
        <f ca="1">FLUID!AB66</f>
        <v>0.20000999999999999</v>
      </c>
      <c r="Y19" s="26">
        <f ca="1">FLUID!AC66</f>
        <v>0.2</v>
      </c>
      <c r="Z19" s="26">
        <f ca="1">FLUID!AD66</f>
        <v>0.2</v>
      </c>
      <c r="AA19" s="26">
        <f ca="1">FLUID!AE66</f>
        <v>0.2</v>
      </c>
      <c r="AB19" s="26">
        <f ca="1">FLUID!AF66</f>
        <v>0.2</v>
      </c>
      <c r="AC19" s="26">
        <f ca="1">FLUID!AG66</f>
        <v>0.2</v>
      </c>
      <c r="AD19" s="26">
        <f ca="1">FLUID!AH66</f>
        <v>0.2</v>
      </c>
      <c r="AE19" s="26">
        <f ca="1">FLUID!AI66</f>
        <v>0.2</v>
      </c>
      <c r="AF19" s="26">
        <f ca="1">FLUID!AJ66</f>
        <v>0</v>
      </c>
      <c r="AG19" s="26">
        <f ca="1">FLUID!AK66</f>
        <v>0</v>
      </c>
      <c r="AH19" s="26">
        <f ca="1">FLUID!AL66</f>
        <v>0</v>
      </c>
      <c r="AI19" s="26">
        <f>FLUID!AM66</f>
        <v>0</v>
      </c>
    </row>
    <row r="20" spans="1:35" ht="22.5" hidden="1" customHeight="1" outlineLevel="1" thickBot="1" x14ac:dyDescent="0.4">
      <c r="A20" s="58" t="str">
        <f>FLUID!E67</f>
        <v>H (Se)</v>
      </c>
      <c r="B20" s="28">
        <f ca="1">FLUID!F67</f>
        <v>-4.7</v>
      </c>
      <c r="C20" s="28">
        <f ca="1">FLUID!G67</f>
        <v>-5.6130000000000004</v>
      </c>
      <c r="D20" s="28">
        <f ca="1">FLUID!H67</f>
        <v>-5.6130000000000004</v>
      </c>
      <c r="E20" s="28">
        <f ca="1">FLUID!I67</f>
        <v>-6.0679999999999996</v>
      </c>
      <c r="F20" s="26">
        <f ca="1">FLUID!J67</f>
        <v>-6.4809999999999999</v>
      </c>
      <c r="G20" s="26">
        <f ca="1">FLUID!K67</f>
        <v>-6.8319999999999999</v>
      </c>
      <c r="H20" s="26">
        <f ca="1">FLUID!L67</f>
        <v>-7.15</v>
      </c>
      <c r="I20" s="26">
        <f ca="1">FLUID!M67</f>
        <v>-7.47</v>
      </c>
      <c r="J20" s="26">
        <f ca="1">FLUID!N67</f>
        <v>-7.8230000000000004</v>
      </c>
      <c r="K20" s="26">
        <f ca="1">FLUID!O67</f>
        <v>-8.2680000000000007</v>
      </c>
      <c r="L20" s="26">
        <f ca="1">FLUID!P67</f>
        <v>7.8265000000000004E-41</v>
      </c>
      <c r="M20" s="26">
        <f ca="1">FLUID!Q67</f>
        <v>1.4296E-24</v>
      </c>
      <c r="N20" s="26">
        <f ca="1">FLUID!R67</f>
        <v>2.5993E-17</v>
      </c>
      <c r="O20" s="26">
        <f ca="1">FLUID!S67</f>
        <v>1.953E-14</v>
      </c>
      <c r="P20" s="26">
        <f ca="1">FLUID!T67</f>
        <v>1.4264000000000001E-10</v>
      </c>
      <c r="Q20" s="26">
        <f ca="1">FLUID!U67</f>
        <v>1.2626000000000001E-10</v>
      </c>
      <c r="R20" s="26">
        <f ca="1">FLUID!V67</f>
        <v>1.0119E-9</v>
      </c>
      <c r="S20" s="26">
        <f ca="1">FLUID!W67</f>
        <v>0</v>
      </c>
      <c r="T20" s="26">
        <f ca="1">FLUID!X67</f>
        <v>9.7267000000000003E-9</v>
      </c>
      <c r="U20" s="26">
        <f ca="1">FLUID!Y67</f>
        <v>7.2993999999999998E-8</v>
      </c>
      <c r="V20" s="26">
        <f ca="1">FLUID!Z67</f>
        <v>0.18548000000000001</v>
      </c>
      <c r="W20" s="26">
        <f ca="1">FLUID!AA67</f>
        <v>0.19289000000000001</v>
      </c>
      <c r="X20" s="26">
        <f ca="1">FLUID!AB67</f>
        <v>0.19889000000000001</v>
      </c>
      <c r="Y20" s="26">
        <f ca="1">FLUID!AC67</f>
        <v>0.23233000000000001</v>
      </c>
      <c r="Z20" s="26">
        <f ca="1">FLUID!AD67</f>
        <v>0.24440999999999999</v>
      </c>
      <c r="AA20" s="26">
        <f ca="1">FLUID!AE67</f>
        <v>0.25866</v>
      </c>
      <c r="AB20" s="26">
        <f ca="1">FLUID!AF67</f>
        <v>0.27559</v>
      </c>
      <c r="AC20" s="26">
        <f ca="1">FLUID!AG67</f>
        <v>0.25866</v>
      </c>
      <c r="AD20" s="26">
        <f ca="1">FLUID!AH67</f>
        <v>0.27559</v>
      </c>
      <c r="AE20" s="26">
        <f ca="1">FLUID!AI67</f>
        <v>0.29603000000000002</v>
      </c>
      <c r="AF20" s="26">
        <f ca="1">FLUID!AJ67</f>
        <v>0</v>
      </c>
      <c r="AG20" s="26">
        <f ca="1">FLUID!AK67</f>
        <v>0</v>
      </c>
      <c r="AH20" s="26">
        <f ca="1">FLUID!AL67</f>
        <v>0</v>
      </c>
      <c r="AI20" s="26">
        <f>FLUID!AM67</f>
        <v>0</v>
      </c>
    </row>
    <row r="21" spans="1:35" ht="22.5" hidden="1" customHeight="1" outlineLevel="1" thickBot="1" x14ac:dyDescent="0.4">
      <c r="A21" s="58">
        <f>FLUID!E68</f>
        <v>0</v>
      </c>
      <c r="B21" s="28">
        <f ca="1">FLUID!F68</f>
        <v>0</v>
      </c>
      <c r="C21" s="28">
        <f ca="1">FLUID!G68</f>
        <v>0</v>
      </c>
      <c r="D21" s="28">
        <f ca="1">FLUID!H68</f>
        <v>0</v>
      </c>
      <c r="E21" s="28">
        <f ca="1">FLUID!I68</f>
        <v>0</v>
      </c>
      <c r="F21" s="26">
        <f ca="1">FLUID!J68</f>
        <v>0</v>
      </c>
      <c r="G21" s="26">
        <f ca="1">FLUID!K68</f>
        <v>0</v>
      </c>
      <c r="H21" s="26">
        <f ca="1">FLUID!L68</f>
        <v>0</v>
      </c>
      <c r="I21" s="26">
        <f ca="1">FLUID!M68</f>
        <v>0</v>
      </c>
      <c r="J21" s="26">
        <f ca="1">FLUID!N68</f>
        <v>0</v>
      </c>
      <c r="K21" s="26">
        <f ca="1">FLUID!O68</f>
        <v>0</v>
      </c>
      <c r="L21" s="26">
        <f ca="1">FLUID!P68</f>
        <v>0</v>
      </c>
      <c r="M21" s="26">
        <f ca="1">FLUID!Q68</f>
        <v>0</v>
      </c>
      <c r="N21" s="26">
        <f ca="1">FLUID!R68</f>
        <v>0</v>
      </c>
      <c r="O21" s="26">
        <f ca="1">FLUID!S68</f>
        <v>0</v>
      </c>
      <c r="P21" s="26">
        <f ca="1">FLUID!T68</f>
        <v>0</v>
      </c>
      <c r="Q21" s="26">
        <f ca="1">FLUID!U68</f>
        <v>0</v>
      </c>
      <c r="R21" s="26">
        <f ca="1">FLUID!V68</f>
        <v>0</v>
      </c>
      <c r="S21" s="26">
        <f ca="1">FLUID!W68</f>
        <v>0</v>
      </c>
      <c r="T21" s="26">
        <f ca="1">FLUID!X68</f>
        <v>0</v>
      </c>
      <c r="U21" s="26">
        <f ca="1">FLUID!Y68</f>
        <v>0</v>
      </c>
      <c r="V21" s="26">
        <f ca="1">FLUID!Z68</f>
        <v>0</v>
      </c>
      <c r="W21" s="26">
        <f ca="1">FLUID!AA68</f>
        <v>0</v>
      </c>
      <c r="X21" s="26">
        <f ca="1">FLUID!AB68</f>
        <v>0</v>
      </c>
      <c r="Y21" s="26">
        <f ca="1">FLUID!AC68</f>
        <v>0</v>
      </c>
      <c r="Z21" s="26">
        <f ca="1">FLUID!AD68</f>
        <v>0</v>
      </c>
      <c r="AA21" s="26">
        <f ca="1">FLUID!AE68</f>
        <v>0</v>
      </c>
      <c r="AB21" s="26">
        <f ca="1">FLUID!AF68</f>
        <v>0</v>
      </c>
      <c r="AC21" s="26">
        <f ca="1">FLUID!AG68</f>
        <v>0</v>
      </c>
      <c r="AD21" s="26">
        <f ca="1">FLUID!AH68</f>
        <v>0</v>
      </c>
      <c r="AE21" s="26">
        <f ca="1">FLUID!AI68</f>
        <v>0</v>
      </c>
      <c r="AF21" s="26">
        <f ca="1">FLUID!AJ68</f>
        <v>0</v>
      </c>
      <c r="AG21" s="26">
        <f ca="1">FLUID!AK68</f>
        <v>0</v>
      </c>
      <c r="AH21" s="26">
        <f ca="1">FLUID!AL68</f>
        <v>0</v>
      </c>
      <c r="AI21" s="26">
        <f>FLUID!AM68</f>
        <v>0</v>
      </c>
    </row>
    <row r="22" spans="1:35" ht="22.5" hidden="1" customHeight="1" outlineLevel="1" thickBot="1" x14ac:dyDescent="0.4">
      <c r="A22" s="58">
        <f>FLUID!E69</f>
        <v>0</v>
      </c>
      <c r="B22" s="28">
        <f ca="1">FLUID!F69</f>
        <v>0</v>
      </c>
      <c r="C22" s="28">
        <f ca="1">FLUID!G69</f>
        <v>0</v>
      </c>
      <c r="D22" s="28">
        <f ca="1">FLUID!H69</f>
        <v>0</v>
      </c>
      <c r="E22" s="28">
        <f ca="1">FLUID!I69</f>
        <v>0</v>
      </c>
      <c r="F22" s="26">
        <f ca="1">FLUID!J69</f>
        <v>0</v>
      </c>
      <c r="G22" s="26">
        <f ca="1">FLUID!K69</f>
        <v>0</v>
      </c>
      <c r="H22" s="26">
        <f ca="1">FLUID!L69</f>
        <v>0</v>
      </c>
      <c r="I22" s="26">
        <f ca="1">FLUID!M69</f>
        <v>0</v>
      </c>
      <c r="J22" s="26">
        <f ca="1">FLUID!N69</f>
        <v>0</v>
      </c>
      <c r="K22" s="26">
        <f ca="1">FLUID!O69</f>
        <v>0</v>
      </c>
      <c r="L22" s="26">
        <f ca="1">FLUID!P69</f>
        <v>0</v>
      </c>
      <c r="M22" s="26">
        <f ca="1">FLUID!Q69</f>
        <v>0</v>
      </c>
      <c r="N22" s="26">
        <f ca="1">FLUID!R69</f>
        <v>0</v>
      </c>
      <c r="O22" s="26">
        <f ca="1">FLUID!S69</f>
        <v>0</v>
      </c>
      <c r="P22" s="26">
        <f ca="1">FLUID!T69</f>
        <v>0</v>
      </c>
      <c r="Q22" s="26">
        <f ca="1">FLUID!U69</f>
        <v>0</v>
      </c>
      <c r="R22" s="26">
        <f ca="1">FLUID!V69</f>
        <v>0</v>
      </c>
      <c r="S22" s="26">
        <f ca="1">FLUID!W69</f>
        <v>0</v>
      </c>
      <c r="T22" s="26">
        <f ca="1">FLUID!X69</f>
        <v>0</v>
      </c>
      <c r="U22" s="26">
        <f ca="1">FLUID!Y69</f>
        <v>0</v>
      </c>
      <c r="V22" s="26">
        <f ca="1">FLUID!Z69</f>
        <v>0</v>
      </c>
      <c r="W22" s="26">
        <f ca="1">FLUID!AA69</f>
        <v>0</v>
      </c>
      <c r="X22" s="26">
        <f ca="1">FLUID!AB69</f>
        <v>0</v>
      </c>
      <c r="Y22" s="26">
        <f ca="1">FLUID!AC69</f>
        <v>0</v>
      </c>
      <c r="Z22" s="26">
        <f ca="1">FLUID!AD69</f>
        <v>0</v>
      </c>
      <c r="AA22" s="26">
        <f ca="1">FLUID!AE69</f>
        <v>0</v>
      </c>
      <c r="AB22" s="26">
        <f ca="1">FLUID!AF69</f>
        <v>0</v>
      </c>
      <c r="AC22" s="26">
        <f ca="1">FLUID!AG69</f>
        <v>0</v>
      </c>
      <c r="AD22" s="26">
        <f ca="1">FLUID!AH69</f>
        <v>0</v>
      </c>
      <c r="AE22" s="26">
        <f ca="1">FLUID!AI69</f>
        <v>0</v>
      </c>
      <c r="AF22" s="26">
        <f ca="1">FLUID!AJ69</f>
        <v>0</v>
      </c>
      <c r="AG22" s="26">
        <f ca="1">FLUID!AK69</f>
        <v>0</v>
      </c>
      <c r="AH22" s="26">
        <f ca="1">FLUID!AL69</f>
        <v>0</v>
      </c>
      <c r="AI22" s="26">
        <f>FLUID!AM69</f>
        <v>0</v>
      </c>
    </row>
    <row r="23" spans="1:35" ht="22.5" hidden="1" customHeight="1" outlineLevel="1" thickBot="1" x14ac:dyDescent="0.4">
      <c r="A23" s="58">
        <f>FLUID!E70</f>
        <v>0</v>
      </c>
      <c r="B23" s="28">
        <f ca="1">FLUID!F70</f>
        <v>0</v>
      </c>
      <c r="C23" s="28">
        <f ca="1">FLUID!G70</f>
        <v>0</v>
      </c>
      <c r="D23" s="28">
        <f ca="1">FLUID!H70</f>
        <v>0</v>
      </c>
      <c r="E23" s="28">
        <f ca="1">FLUID!I70</f>
        <v>0</v>
      </c>
      <c r="F23" s="26">
        <f ca="1">FLUID!J70</f>
        <v>0</v>
      </c>
      <c r="G23" s="26">
        <f ca="1">FLUID!K70</f>
        <v>0</v>
      </c>
      <c r="H23" s="26">
        <f ca="1">FLUID!L70</f>
        <v>0</v>
      </c>
      <c r="I23" s="26">
        <f ca="1">FLUID!M70</f>
        <v>0</v>
      </c>
      <c r="J23" s="26">
        <f ca="1">FLUID!N70</f>
        <v>0</v>
      </c>
      <c r="K23" s="26">
        <f ca="1">FLUID!O70</f>
        <v>0</v>
      </c>
      <c r="L23" s="26">
        <f ca="1">FLUID!P70</f>
        <v>0</v>
      </c>
      <c r="M23" s="26">
        <f ca="1">FLUID!Q70</f>
        <v>0</v>
      </c>
      <c r="N23" s="26">
        <f ca="1">FLUID!R70</f>
        <v>0</v>
      </c>
      <c r="O23" s="26">
        <f ca="1">FLUID!S70</f>
        <v>0</v>
      </c>
      <c r="P23" s="26">
        <f ca="1">FLUID!T70</f>
        <v>0</v>
      </c>
      <c r="Q23" s="26">
        <f ca="1">FLUID!U70</f>
        <v>0</v>
      </c>
      <c r="R23" s="26">
        <f ca="1">FLUID!V70</f>
        <v>0</v>
      </c>
      <c r="S23" s="26">
        <f ca="1">FLUID!W70</f>
        <v>0</v>
      </c>
      <c r="T23" s="26">
        <f ca="1">FLUID!X70</f>
        <v>0</v>
      </c>
      <c r="U23" s="26">
        <f ca="1">FLUID!Y70</f>
        <v>0</v>
      </c>
      <c r="V23" s="26">
        <f ca="1">FLUID!Z70</f>
        <v>0</v>
      </c>
      <c r="W23" s="26">
        <f ca="1">FLUID!AA70</f>
        <v>0</v>
      </c>
      <c r="X23" s="26">
        <f ca="1">FLUID!AB70</f>
        <v>0</v>
      </c>
      <c r="Y23" s="26">
        <f ca="1">FLUID!AC70</f>
        <v>0</v>
      </c>
      <c r="Z23" s="26">
        <f ca="1">FLUID!AD70</f>
        <v>0</v>
      </c>
      <c r="AA23" s="26">
        <f ca="1">FLUID!AE70</f>
        <v>0</v>
      </c>
      <c r="AB23" s="26">
        <f ca="1">FLUID!AF70</f>
        <v>0</v>
      </c>
      <c r="AC23" s="26">
        <f ca="1">FLUID!AG70</f>
        <v>0</v>
      </c>
      <c r="AD23" s="26">
        <f ca="1">FLUID!AH70</f>
        <v>0</v>
      </c>
      <c r="AE23" s="26">
        <f ca="1">FLUID!AI70</f>
        <v>0</v>
      </c>
      <c r="AF23" s="26">
        <f ca="1">FLUID!AJ70</f>
        <v>0</v>
      </c>
      <c r="AG23" s="26">
        <f ca="1">FLUID!AK70</f>
        <v>0</v>
      </c>
      <c r="AH23" s="26">
        <f ca="1">FLUID!AL70</f>
        <v>0</v>
      </c>
      <c r="AI23" s="26">
        <f>FLUID!AM70</f>
        <v>0</v>
      </c>
    </row>
    <row r="24" spans="1:35" ht="22.5" hidden="1" customHeight="1" outlineLevel="1" thickBot="1" x14ac:dyDescent="0.4">
      <c r="A24" s="58">
        <f>FLUID!E71</f>
        <v>0</v>
      </c>
      <c r="B24" s="28">
        <f ca="1">FLUID!F71</f>
        <v>0</v>
      </c>
      <c r="C24" s="28">
        <f ca="1">FLUID!G71</f>
        <v>0</v>
      </c>
      <c r="D24" s="28">
        <f ca="1">FLUID!H71</f>
        <v>0</v>
      </c>
      <c r="E24" s="28">
        <f ca="1">FLUID!I71</f>
        <v>0</v>
      </c>
      <c r="F24" s="26">
        <f ca="1">FLUID!J71</f>
        <v>0</v>
      </c>
      <c r="G24" s="26">
        <f ca="1">FLUID!K71</f>
        <v>0</v>
      </c>
      <c r="H24" s="26">
        <f ca="1">FLUID!L71</f>
        <v>0</v>
      </c>
      <c r="I24" s="26">
        <f ca="1">FLUID!M71</f>
        <v>0</v>
      </c>
      <c r="J24" s="26">
        <f ca="1">FLUID!N71</f>
        <v>0</v>
      </c>
      <c r="K24" s="26">
        <f ca="1">FLUID!O71</f>
        <v>0</v>
      </c>
      <c r="L24" s="26">
        <f ca="1">FLUID!P71</f>
        <v>0</v>
      </c>
      <c r="M24" s="26">
        <f ca="1">FLUID!Q71</f>
        <v>0</v>
      </c>
      <c r="N24" s="26">
        <f ca="1">FLUID!R71</f>
        <v>0</v>
      </c>
      <c r="O24" s="26">
        <f ca="1">FLUID!S71</f>
        <v>0</v>
      </c>
      <c r="P24" s="26">
        <f ca="1">FLUID!T71</f>
        <v>0</v>
      </c>
      <c r="Q24" s="26">
        <f ca="1">FLUID!U71</f>
        <v>0</v>
      </c>
      <c r="R24" s="26">
        <f ca="1">FLUID!V71</f>
        <v>0</v>
      </c>
      <c r="S24" s="26">
        <f ca="1">FLUID!W71</f>
        <v>0</v>
      </c>
      <c r="T24" s="26">
        <f ca="1">FLUID!X71</f>
        <v>0</v>
      </c>
      <c r="U24" s="26">
        <f ca="1">FLUID!Y71</f>
        <v>0</v>
      </c>
      <c r="V24" s="26">
        <f ca="1">FLUID!Z71</f>
        <v>0</v>
      </c>
      <c r="W24" s="26">
        <f ca="1">FLUID!AA71</f>
        <v>0</v>
      </c>
      <c r="X24" s="26">
        <f ca="1">FLUID!AB71</f>
        <v>0</v>
      </c>
      <c r="Y24" s="26">
        <f ca="1">FLUID!AC71</f>
        <v>0</v>
      </c>
      <c r="Z24" s="26">
        <f ca="1">FLUID!AD71</f>
        <v>0</v>
      </c>
      <c r="AA24" s="26">
        <f ca="1">FLUID!AE71</f>
        <v>0</v>
      </c>
      <c r="AB24" s="26">
        <f ca="1">FLUID!AF71</f>
        <v>0</v>
      </c>
      <c r="AC24" s="26">
        <f ca="1">FLUID!AG71</f>
        <v>0</v>
      </c>
      <c r="AD24" s="26">
        <f ca="1">FLUID!AH71</f>
        <v>0</v>
      </c>
      <c r="AE24" s="26">
        <f ca="1">FLUID!AI71</f>
        <v>0</v>
      </c>
      <c r="AF24" s="26">
        <f ca="1">FLUID!AJ71</f>
        <v>0</v>
      </c>
      <c r="AG24" s="26">
        <f ca="1">FLUID!AK71</f>
        <v>0</v>
      </c>
      <c r="AH24" s="26">
        <f ca="1">FLUID!AL71</f>
        <v>0</v>
      </c>
      <c r="AI24" s="26">
        <f>FLUID!AM71</f>
        <v>0</v>
      </c>
    </row>
    <row r="25" spans="1:35" ht="22.5" hidden="1" customHeight="1" outlineLevel="1" thickBot="1" x14ac:dyDescent="0.4">
      <c r="A25" s="58">
        <f>FLUID!E72</f>
        <v>0</v>
      </c>
      <c r="B25" s="28">
        <f ca="1">FLUID!F72</f>
        <v>0</v>
      </c>
      <c r="C25" s="28">
        <f ca="1">FLUID!G72</f>
        <v>0</v>
      </c>
      <c r="D25" s="28">
        <f ca="1">FLUID!H72</f>
        <v>0</v>
      </c>
      <c r="E25" s="28">
        <f ca="1">FLUID!I72</f>
        <v>0</v>
      </c>
      <c r="F25" s="26">
        <f ca="1">FLUID!J72</f>
        <v>0</v>
      </c>
      <c r="G25" s="26">
        <f ca="1">FLUID!K72</f>
        <v>0</v>
      </c>
      <c r="H25" s="26">
        <f ca="1">FLUID!L72</f>
        <v>0</v>
      </c>
      <c r="I25" s="26">
        <f ca="1">FLUID!M72</f>
        <v>0</v>
      </c>
      <c r="J25" s="26">
        <f ca="1">FLUID!N72</f>
        <v>0</v>
      </c>
      <c r="K25" s="26">
        <f ca="1">FLUID!O72</f>
        <v>0</v>
      </c>
      <c r="L25" s="26">
        <f ca="1">FLUID!P72</f>
        <v>0</v>
      </c>
      <c r="M25" s="26">
        <f ca="1">FLUID!Q72</f>
        <v>0</v>
      </c>
      <c r="N25" s="26">
        <f ca="1">FLUID!R72</f>
        <v>0</v>
      </c>
      <c r="O25" s="26">
        <f ca="1">FLUID!S72</f>
        <v>0</v>
      </c>
      <c r="P25" s="26">
        <f ca="1">FLUID!T72</f>
        <v>0</v>
      </c>
      <c r="Q25" s="26">
        <f ca="1">FLUID!U72</f>
        <v>0</v>
      </c>
      <c r="R25" s="26">
        <f ca="1">FLUID!V72</f>
        <v>0</v>
      </c>
      <c r="S25" s="26">
        <f ca="1">FLUID!W72</f>
        <v>0</v>
      </c>
      <c r="T25" s="26">
        <f ca="1">FLUID!X72</f>
        <v>0</v>
      </c>
      <c r="U25" s="26">
        <f ca="1">FLUID!Y72</f>
        <v>0</v>
      </c>
      <c r="V25" s="26">
        <f ca="1">FLUID!Z72</f>
        <v>0</v>
      </c>
      <c r="W25" s="26">
        <f ca="1">FLUID!AA72</f>
        <v>0</v>
      </c>
      <c r="X25" s="26">
        <f ca="1">FLUID!AB72</f>
        <v>0</v>
      </c>
      <c r="Y25" s="26">
        <f ca="1">FLUID!AC72</f>
        <v>0</v>
      </c>
      <c r="Z25" s="26">
        <f ca="1">FLUID!AD72</f>
        <v>0</v>
      </c>
      <c r="AA25" s="26">
        <f ca="1">FLUID!AE72</f>
        <v>0</v>
      </c>
      <c r="AB25" s="26">
        <f ca="1">FLUID!AF72</f>
        <v>0</v>
      </c>
      <c r="AC25" s="26">
        <f ca="1">FLUID!AG72</f>
        <v>0</v>
      </c>
      <c r="AD25" s="26">
        <f ca="1">FLUID!AH72</f>
        <v>0</v>
      </c>
      <c r="AE25" s="26">
        <f ca="1">FLUID!AI72</f>
        <v>0</v>
      </c>
      <c r="AF25" s="26">
        <f ca="1">FLUID!AJ72</f>
        <v>0</v>
      </c>
      <c r="AG25" s="26">
        <f ca="1">FLUID!AK72</f>
        <v>0</v>
      </c>
      <c r="AH25" s="26">
        <f ca="1">FLUID!AL72</f>
        <v>0</v>
      </c>
      <c r="AI25" s="26">
        <f>FLUID!AM72</f>
        <v>0</v>
      </c>
    </row>
    <row r="26" spans="1:35" ht="22.5" hidden="1" customHeight="1" outlineLevel="1" thickBot="1" x14ac:dyDescent="0.4">
      <c r="A26" s="58">
        <f>FLUID!E73</f>
        <v>0</v>
      </c>
      <c r="B26" s="28">
        <f ca="1">FLUID!F73</f>
        <v>0</v>
      </c>
      <c r="C26" s="28">
        <f ca="1">FLUID!G73</f>
        <v>0</v>
      </c>
      <c r="D26" s="28">
        <f ca="1">FLUID!H73</f>
        <v>0</v>
      </c>
      <c r="E26" s="28">
        <f ca="1">FLUID!I73</f>
        <v>0</v>
      </c>
      <c r="F26" s="26">
        <f ca="1">FLUID!J73</f>
        <v>0</v>
      </c>
      <c r="G26" s="26">
        <f ca="1">FLUID!K73</f>
        <v>0</v>
      </c>
      <c r="H26" s="26">
        <f ca="1">FLUID!L73</f>
        <v>0</v>
      </c>
      <c r="I26" s="26">
        <f ca="1">FLUID!M73</f>
        <v>0</v>
      </c>
      <c r="J26" s="26">
        <f ca="1">FLUID!N73</f>
        <v>0</v>
      </c>
      <c r="K26" s="26">
        <f ca="1">FLUID!O73</f>
        <v>0</v>
      </c>
      <c r="L26" s="26">
        <f ca="1">FLUID!P73</f>
        <v>0</v>
      </c>
      <c r="M26" s="26">
        <f ca="1">FLUID!Q73</f>
        <v>0</v>
      </c>
      <c r="N26" s="26">
        <f ca="1">FLUID!R73</f>
        <v>0</v>
      </c>
      <c r="O26" s="26">
        <f ca="1">FLUID!S73</f>
        <v>0</v>
      </c>
      <c r="P26" s="26">
        <f ca="1">FLUID!T73</f>
        <v>0</v>
      </c>
      <c r="Q26" s="26">
        <f ca="1">FLUID!U73</f>
        <v>0</v>
      </c>
      <c r="R26" s="26">
        <f ca="1">FLUID!V73</f>
        <v>0</v>
      </c>
      <c r="S26" s="26">
        <f ca="1">FLUID!W73</f>
        <v>0</v>
      </c>
      <c r="T26" s="26">
        <f ca="1">FLUID!X73</f>
        <v>0</v>
      </c>
      <c r="U26" s="26">
        <f ca="1">FLUID!Y73</f>
        <v>0</v>
      </c>
      <c r="V26" s="26">
        <f ca="1">FLUID!Z73</f>
        <v>0</v>
      </c>
      <c r="W26" s="26">
        <f ca="1">FLUID!AA73</f>
        <v>0</v>
      </c>
      <c r="X26" s="26">
        <f ca="1">FLUID!AB73</f>
        <v>0</v>
      </c>
      <c r="Y26" s="26">
        <f ca="1">FLUID!AC73</f>
        <v>0</v>
      </c>
      <c r="Z26" s="26">
        <f ca="1">FLUID!AD73</f>
        <v>0</v>
      </c>
      <c r="AA26" s="26">
        <f ca="1">FLUID!AE73</f>
        <v>0</v>
      </c>
      <c r="AB26" s="26">
        <f ca="1">FLUID!AF73</f>
        <v>0</v>
      </c>
      <c r="AC26" s="26">
        <f ca="1">FLUID!AG73</f>
        <v>0</v>
      </c>
      <c r="AD26" s="26">
        <f ca="1">FLUID!AH73</f>
        <v>0</v>
      </c>
      <c r="AE26" s="26">
        <f ca="1">FLUID!AI73</f>
        <v>0</v>
      </c>
      <c r="AF26" s="26">
        <f ca="1">FLUID!AJ73</f>
        <v>0</v>
      </c>
      <c r="AG26" s="26">
        <f ca="1">FLUID!AK73</f>
        <v>0</v>
      </c>
      <c r="AH26" s="26">
        <f ca="1">FLUID!AL73</f>
        <v>0</v>
      </c>
      <c r="AI26" s="26">
        <f>FLUID!AM73</f>
        <v>0</v>
      </c>
    </row>
    <row r="27" spans="1:35" ht="22.5" hidden="1" customHeight="1" outlineLevel="1" thickBot="1" x14ac:dyDescent="0.4">
      <c r="A27" s="58">
        <f>FLUID!E74</f>
        <v>0</v>
      </c>
      <c r="B27" s="28">
        <f ca="1">FLUID!F74</f>
        <v>0</v>
      </c>
      <c r="C27" s="28">
        <f ca="1">FLUID!G74</f>
        <v>0</v>
      </c>
      <c r="D27" s="28">
        <f ca="1">FLUID!H74</f>
        <v>0</v>
      </c>
      <c r="E27" s="28">
        <f ca="1">FLUID!I74</f>
        <v>0</v>
      </c>
      <c r="F27" s="26">
        <f ca="1">FLUID!J74</f>
        <v>0</v>
      </c>
      <c r="G27" s="26">
        <f ca="1">FLUID!K74</f>
        <v>0</v>
      </c>
      <c r="H27" s="26">
        <f ca="1">FLUID!L74</f>
        <v>0</v>
      </c>
      <c r="I27" s="26">
        <f ca="1">FLUID!M74</f>
        <v>0</v>
      </c>
      <c r="J27" s="26">
        <f ca="1">FLUID!N74</f>
        <v>0</v>
      </c>
      <c r="K27" s="26">
        <f ca="1">FLUID!O74</f>
        <v>0</v>
      </c>
      <c r="L27" s="26">
        <f ca="1">FLUID!P74</f>
        <v>0</v>
      </c>
      <c r="M27" s="26">
        <f ca="1">FLUID!Q74</f>
        <v>0</v>
      </c>
      <c r="N27" s="26">
        <f ca="1">FLUID!R74</f>
        <v>0</v>
      </c>
      <c r="O27" s="26">
        <f ca="1">FLUID!S74</f>
        <v>0</v>
      </c>
      <c r="P27" s="26">
        <f ca="1">FLUID!T74</f>
        <v>0</v>
      </c>
      <c r="Q27" s="26">
        <f ca="1">FLUID!U74</f>
        <v>0</v>
      </c>
      <c r="R27" s="26">
        <f ca="1">FLUID!V74</f>
        <v>0</v>
      </c>
      <c r="S27" s="26">
        <f ca="1">FLUID!W74</f>
        <v>0</v>
      </c>
      <c r="T27" s="26">
        <f ca="1">FLUID!X74</f>
        <v>0</v>
      </c>
      <c r="U27" s="26">
        <f ca="1">FLUID!Y74</f>
        <v>0</v>
      </c>
      <c r="V27" s="26">
        <f ca="1">FLUID!Z74</f>
        <v>0</v>
      </c>
      <c r="W27" s="26">
        <f ca="1">FLUID!AA74</f>
        <v>0</v>
      </c>
      <c r="X27" s="26">
        <f ca="1">FLUID!AB74</f>
        <v>0</v>
      </c>
      <c r="Y27" s="26">
        <f ca="1">FLUID!AC74</f>
        <v>0</v>
      </c>
      <c r="Z27" s="26">
        <f ca="1">FLUID!AD74</f>
        <v>0</v>
      </c>
      <c r="AA27" s="26">
        <f ca="1">FLUID!AE74</f>
        <v>0</v>
      </c>
      <c r="AB27" s="26">
        <f ca="1">FLUID!AF74</f>
        <v>0</v>
      </c>
      <c r="AC27" s="26">
        <f ca="1">FLUID!AG74</f>
        <v>0</v>
      </c>
      <c r="AD27" s="26">
        <f ca="1">FLUID!AH74</f>
        <v>0</v>
      </c>
      <c r="AE27" s="26">
        <f ca="1">FLUID!AI74</f>
        <v>0</v>
      </c>
      <c r="AF27" s="26">
        <f ca="1">FLUID!AJ74</f>
        <v>0</v>
      </c>
      <c r="AG27" s="26">
        <f ca="1">FLUID!AK74</f>
        <v>0</v>
      </c>
      <c r="AH27" s="26">
        <f ca="1">FLUID!AL74</f>
        <v>0</v>
      </c>
      <c r="AI27" s="26">
        <f>FLUID!AM74</f>
        <v>0</v>
      </c>
    </row>
    <row r="28" spans="1:35" ht="22.5" hidden="1" customHeight="1" outlineLevel="1" thickBot="1" x14ac:dyDescent="0.4">
      <c r="A28" s="58">
        <f>FLUID!E75</f>
        <v>0</v>
      </c>
      <c r="B28" s="28">
        <f ca="1">FLUID!F75</f>
        <v>0</v>
      </c>
      <c r="C28" s="28">
        <f ca="1">FLUID!G75</f>
        <v>0</v>
      </c>
      <c r="D28" s="28">
        <f ca="1">FLUID!H75</f>
        <v>0</v>
      </c>
      <c r="E28" s="28">
        <f ca="1">FLUID!I75</f>
        <v>0</v>
      </c>
      <c r="F28" s="26">
        <f ca="1">FLUID!J75</f>
        <v>0</v>
      </c>
      <c r="G28" s="26">
        <f ca="1">FLUID!K75</f>
        <v>0</v>
      </c>
      <c r="H28" s="26">
        <f ca="1">FLUID!L75</f>
        <v>0</v>
      </c>
      <c r="I28" s="26">
        <f ca="1">FLUID!M75</f>
        <v>0</v>
      </c>
      <c r="J28" s="26">
        <f ca="1">FLUID!N75</f>
        <v>0</v>
      </c>
      <c r="K28" s="26">
        <f ca="1">FLUID!O75</f>
        <v>0</v>
      </c>
      <c r="L28" s="26">
        <f ca="1">FLUID!P75</f>
        <v>0</v>
      </c>
      <c r="M28" s="26">
        <f ca="1">FLUID!Q75</f>
        <v>0</v>
      </c>
      <c r="N28" s="26">
        <f ca="1">FLUID!R75</f>
        <v>0</v>
      </c>
      <c r="O28" s="26">
        <f ca="1">FLUID!S75</f>
        <v>0</v>
      </c>
      <c r="P28" s="26">
        <f ca="1">FLUID!T75</f>
        <v>0</v>
      </c>
      <c r="Q28" s="26">
        <f ca="1">FLUID!U75</f>
        <v>0</v>
      </c>
      <c r="R28" s="26">
        <f ca="1">FLUID!V75</f>
        <v>0</v>
      </c>
      <c r="S28" s="26">
        <f ca="1">FLUID!W75</f>
        <v>0</v>
      </c>
      <c r="T28" s="26">
        <f ca="1">FLUID!X75</f>
        <v>0</v>
      </c>
      <c r="U28" s="26">
        <f ca="1">FLUID!Y75</f>
        <v>0</v>
      </c>
      <c r="V28" s="26">
        <f ca="1">FLUID!Z75</f>
        <v>0</v>
      </c>
      <c r="W28" s="26">
        <f ca="1">FLUID!AA75</f>
        <v>0</v>
      </c>
      <c r="X28" s="26">
        <f ca="1">FLUID!AB75</f>
        <v>0</v>
      </c>
      <c r="Y28" s="26">
        <f ca="1">FLUID!AC75</f>
        <v>0</v>
      </c>
      <c r="Z28" s="26">
        <f ca="1">FLUID!AD75</f>
        <v>0</v>
      </c>
      <c r="AA28" s="26">
        <f ca="1">FLUID!AE75</f>
        <v>0</v>
      </c>
      <c r="AB28" s="26">
        <f ca="1">FLUID!AF75</f>
        <v>0</v>
      </c>
      <c r="AC28" s="26">
        <f ca="1">FLUID!AG75</f>
        <v>0</v>
      </c>
      <c r="AD28" s="26">
        <f ca="1">FLUID!AH75</f>
        <v>0</v>
      </c>
      <c r="AE28" s="26">
        <f ca="1">FLUID!AI75</f>
        <v>0</v>
      </c>
      <c r="AF28" s="26">
        <f ca="1">FLUID!AJ75</f>
        <v>0</v>
      </c>
      <c r="AG28" s="26">
        <f ca="1">FLUID!AK75</f>
        <v>0</v>
      </c>
      <c r="AH28" s="26">
        <f ca="1">FLUID!AL75</f>
        <v>0</v>
      </c>
      <c r="AI28" s="26">
        <f>FLUID!AM75</f>
        <v>0</v>
      </c>
    </row>
    <row r="29" spans="1:35" ht="22.5" hidden="1" customHeight="1" outlineLevel="1" thickBot="1" x14ac:dyDescent="0.4">
      <c r="A29" s="58">
        <f>FLUID!E76</f>
        <v>0</v>
      </c>
      <c r="B29" s="28">
        <f ca="1">FLUID!F76</f>
        <v>0</v>
      </c>
      <c r="C29" s="28">
        <f ca="1">FLUID!G76</f>
        <v>0</v>
      </c>
      <c r="D29" s="28">
        <f ca="1">FLUID!H76</f>
        <v>0</v>
      </c>
      <c r="E29" s="28">
        <f ca="1">FLUID!I76</f>
        <v>0</v>
      </c>
      <c r="F29" s="26">
        <f ca="1">FLUID!J76</f>
        <v>0</v>
      </c>
      <c r="G29" s="26">
        <f ca="1">FLUID!K76</f>
        <v>0</v>
      </c>
      <c r="H29" s="26">
        <f ca="1">FLUID!L76</f>
        <v>0</v>
      </c>
      <c r="I29" s="26">
        <f ca="1">FLUID!M76</f>
        <v>0</v>
      </c>
      <c r="J29" s="26">
        <f ca="1">FLUID!N76</f>
        <v>0</v>
      </c>
      <c r="K29" s="26">
        <f ca="1">FLUID!O76</f>
        <v>0</v>
      </c>
      <c r="L29" s="26">
        <f ca="1">FLUID!P76</f>
        <v>0</v>
      </c>
      <c r="M29" s="26">
        <f ca="1">FLUID!Q76</f>
        <v>0</v>
      </c>
      <c r="N29" s="26">
        <f ca="1">FLUID!R76</f>
        <v>0</v>
      </c>
      <c r="O29" s="26">
        <f ca="1">FLUID!S76</f>
        <v>0</v>
      </c>
      <c r="P29" s="26">
        <f ca="1">FLUID!T76</f>
        <v>0</v>
      </c>
      <c r="Q29" s="26">
        <f ca="1">FLUID!U76</f>
        <v>0</v>
      </c>
      <c r="R29" s="26">
        <f ca="1">FLUID!V76</f>
        <v>0</v>
      </c>
      <c r="S29" s="26">
        <f ca="1">FLUID!W76</f>
        <v>0</v>
      </c>
      <c r="T29" s="26">
        <f ca="1">FLUID!X76</f>
        <v>0</v>
      </c>
      <c r="U29" s="26">
        <f ca="1">FLUID!Y76</f>
        <v>0</v>
      </c>
      <c r="V29" s="26">
        <f ca="1">FLUID!Z76</f>
        <v>0</v>
      </c>
      <c r="W29" s="26">
        <f ca="1">FLUID!AA76</f>
        <v>0</v>
      </c>
      <c r="X29" s="26">
        <f ca="1">FLUID!AB76</f>
        <v>0</v>
      </c>
      <c r="Y29" s="26">
        <f ca="1">FLUID!AC76</f>
        <v>0</v>
      </c>
      <c r="Z29" s="26">
        <f ca="1">FLUID!AD76</f>
        <v>0</v>
      </c>
      <c r="AA29" s="26">
        <f ca="1">FLUID!AE76</f>
        <v>0</v>
      </c>
      <c r="AB29" s="26">
        <f ca="1">FLUID!AF76</f>
        <v>0</v>
      </c>
      <c r="AC29" s="26">
        <f ca="1">FLUID!AG76</f>
        <v>0</v>
      </c>
      <c r="AD29" s="26">
        <f ca="1">FLUID!AH76</f>
        <v>0</v>
      </c>
      <c r="AE29" s="26">
        <f ca="1">FLUID!AI76</f>
        <v>0</v>
      </c>
      <c r="AF29" s="26">
        <f ca="1">FLUID!AJ76</f>
        <v>0</v>
      </c>
      <c r="AG29" s="26">
        <f ca="1">FLUID!AK76</f>
        <v>0</v>
      </c>
      <c r="AH29" s="26">
        <f ca="1">FLUID!AL76</f>
        <v>0</v>
      </c>
      <c r="AI29" s="26">
        <f>FLUID!AM76</f>
        <v>0</v>
      </c>
    </row>
    <row r="30" spans="1:35" ht="22.5" hidden="1" customHeight="1" outlineLevel="1" thickBot="1" x14ac:dyDescent="0.4">
      <c r="A30" s="58">
        <f>FLUID!E77</f>
        <v>0</v>
      </c>
      <c r="B30" s="28">
        <f ca="1">FLUID!F77</f>
        <v>0</v>
      </c>
      <c r="C30" s="28">
        <f ca="1">FLUID!G77</f>
        <v>0</v>
      </c>
      <c r="D30" s="28">
        <f ca="1">FLUID!H77</f>
        <v>0</v>
      </c>
      <c r="E30" s="28">
        <f ca="1">FLUID!I77</f>
        <v>0</v>
      </c>
      <c r="F30" s="26">
        <f ca="1">FLUID!J77</f>
        <v>0</v>
      </c>
      <c r="G30" s="26">
        <f ca="1">FLUID!K77</f>
        <v>0</v>
      </c>
      <c r="H30" s="26">
        <f ca="1">FLUID!L77</f>
        <v>0</v>
      </c>
      <c r="I30" s="26">
        <f ca="1">FLUID!M77</f>
        <v>0</v>
      </c>
      <c r="J30" s="26">
        <f ca="1">FLUID!N77</f>
        <v>0</v>
      </c>
      <c r="K30" s="26">
        <f ca="1">FLUID!O77</f>
        <v>0</v>
      </c>
      <c r="L30" s="26">
        <f ca="1">FLUID!P77</f>
        <v>0</v>
      </c>
      <c r="M30" s="26">
        <f ca="1">FLUID!Q77</f>
        <v>0</v>
      </c>
      <c r="N30" s="26">
        <f ca="1">FLUID!R77</f>
        <v>0</v>
      </c>
      <c r="O30" s="26">
        <f ca="1">FLUID!S77</f>
        <v>0</v>
      </c>
      <c r="P30" s="26">
        <f ca="1">FLUID!T77</f>
        <v>0</v>
      </c>
      <c r="Q30" s="26">
        <f ca="1">FLUID!U77</f>
        <v>0</v>
      </c>
      <c r="R30" s="26">
        <f ca="1">FLUID!V77</f>
        <v>0</v>
      </c>
      <c r="S30" s="26">
        <f ca="1">FLUID!W77</f>
        <v>0</v>
      </c>
      <c r="T30" s="26">
        <f ca="1">FLUID!X77</f>
        <v>0</v>
      </c>
      <c r="U30" s="26">
        <f ca="1">FLUID!Y77</f>
        <v>0</v>
      </c>
      <c r="V30" s="26">
        <f ca="1">FLUID!Z77</f>
        <v>0</v>
      </c>
      <c r="W30" s="26">
        <f ca="1">FLUID!AA77</f>
        <v>0</v>
      </c>
      <c r="X30" s="26">
        <f ca="1">FLUID!AB77</f>
        <v>0</v>
      </c>
      <c r="Y30" s="26">
        <f ca="1">FLUID!AC77</f>
        <v>0</v>
      </c>
      <c r="Z30" s="26">
        <f ca="1">FLUID!AD77</f>
        <v>0</v>
      </c>
      <c r="AA30" s="26">
        <f ca="1">FLUID!AE77</f>
        <v>0</v>
      </c>
      <c r="AB30" s="26">
        <f ca="1">FLUID!AF77</f>
        <v>0</v>
      </c>
      <c r="AC30" s="26">
        <f ca="1">FLUID!AG77</f>
        <v>0</v>
      </c>
      <c r="AD30" s="26">
        <f ca="1">FLUID!AH77</f>
        <v>0</v>
      </c>
      <c r="AE30" s="26">
        <f ca="1">FLUID!AI77</f>
        <v>0</v>
      </c>
      <c r="AF30" s="26">
        <f ca="1">FLUID!AJ77</f>
        <v>0</v>
      </c>
      <c r="AG30" s="26">
        <f ca="1">FLUID!AK77</f>
        <v>0</v>
      </c>
      <c r="AH30" s="26">
        <f ca="1">FLUID!AL77</f>
        <v>0</v>
      </c>
      <c r="AI30" s="26">
        <f>FLUID!AM77</f>
        <v>0</v>
      </c>
    </row>
    <row r="31" spans="1:35" ht="22.5" hidden="1" customHeight="1" outlineLevel="1" thickBot="1" x14ac:dyDescent="0.4">
      <c r="A31" s="58">
        <f>FLUID!E78</f>
        <v>0</v>
      </c>
      <c r="B31" s="28">
        <f ca="1">FLUID!F78</f>
        <v>0</v>
      </c>
      <c r="C31" s="28">
        <f ca="1">FLUID!G78</f>
        <v>0</v>
      </c>
      <c r="D31" s="28">
        <f ca="1">FLUID!H78</f>
        <v>0</v>
      </c>
      <c r="E31" s="28">
        <f ca="1">FLUID!I78</f>
        <v>0</v>
      </c>
      <c r="F31" s="26">
        <f ca="1">FLUID!J78</f>
        <v>0</v>
      </c>
      <c r="G31" s="26">
        <f ca="1">FLUID!K78</f>
        <v>0</v>
      </c>
      <c r="H31" s="26">
        <f ca="1">FLUID!L78</f>
        <v>0</v>
      </c>
      <c r="I31" s="26">
        <f ca="1">FLUID!M78</f>
        <v>0</v>
      </c>
      <c r="J31" s="26">
        <f ca="1">FLUID!N78</f>
        <v>0</v>
      </c>
      <c r="K31" s="26">
        <f ca="1">FLUID!O78</f>
        <v>0</v>
      </c>
      <c r="L31" s="26">
        <f ca="1">FLUID!P78</f>
        <v>0</v>
      </c>
      <c r="M31" s="26">
        <f ca="1">FLUID!Q78</f>
        <v>0</v>
      </c>
      <c r="N31" s="26">
        <f ca="1">FLUID!R78</f>
        <v>0</v>
      </c>
      <c r="O31" s="26">
        <f ca="1">FLUID!S78</f>
        <v>0</v>
      </c>
      <c r="P31" s="26">
        <f ca="1">FLUID!T78</f>
        <v>0</v>
      </c>
      <c r="Q31" s="26">
        <f ca="1">FLUID!U78</f>
        <v>0</v>
      </c>
      <c r="R31" s="26">
        <f ca="1">FLUID!V78</f>
        <v>0</v>
      </c>
      <c r="S31" s="26">
        <f ca="1">FLUID!W78</f>
        <v>0</v>
      </c>
      <c r="T31" s="26">
        <f ca="1">FLUID!X78</f>
        <v>0</v>
      </c>
      <c r="U31" s="26">
        <f ca="1">FLUID!Y78</f>
        <v>0</v>
      </c>
      <c r="V31" s="26">
        <f ca="1">FLUID!Z78</f>
        <v>0</v>
      </c>
      <c r="W31" s="26">
        <f ca="1">FLUID!AA78</f>
        <v>0</v>
      </c>
      <c r="X31" s="26">
        <f ca="1">FLUID!AB78</f>
        <v>0</v>
      </c>
      <c r="Y31" s="26">
        <f ca="1">FLUID!AC78</f>
        <v>0</v>
      </c>
      <c r="Z31" s="26">
        <f ca="1">FLUID!AD78</f>
        <v>0</v>
      </c>
      <c r="AA31" s="26">
        <f ca="1">FLUID!AE78</f>
        <v>0</v>
      </c>
      <c r="AB31" s="26">
        <f ca="1">FLUID!AF78</f>
        <v>0</v>
      </c>
      <c r="AC31" s="26">
        <f ca="1">FLUID!AG78</f>
        <v>0</v>
      </c>
      <c r="AD31" s="26">
        <f ca="1">FLUID!AH78</f>
        <v>0</v>
      </c>
      <c r="AE31" s="26">
        <f ca="1">FLUID!AI78</f>
        <v>0</v>
      </c>
      <c r="AF31" s="26">
        <f ca="1">FLUID!AJ78</f>
        <v>0</v>
      </c>
      <c r="AG31" s="26">
        <f ca="1">FLUID!AK78</f>
        <v>0</v>
      </c>
      <c r="AH31" s="26">
        <f ca="1">FLUID!AL78</f>
        <v>0</v>
      </c>
      <c r="AI31" s="26">
        <f>FLUID!AM78</f>
        <v>0</v>
      </c>
    </row>
    <row r="32" spans="1:35" ht="22.5" hidden="1" customHeight="1" outlineLevel="1" thickBot="1" x14ac:dyDescent="0.4">
      <c r="A32" s="58">
        <f>FLUID!E79</f>
        <v>1</v>
      </c>
      <c r="B32" s="28">
        <f>FLUID!F79</f>
        <v>0</v>
      </c>
      <c r="C32" s="28">
        <f>FLUID!G79</f>
        <v>0</v>
      </c>
      <c r="D32" s="28">
        <f>FLUID!H79</f>
        <v>0</v>
      </c>
      <c r="E32" s="28">
        <f>FLUID!I79</f>
        <v>0</v>
      </c>
      <c r="F32" s="26">
        <f>FLUID!J79</f>
        <v>0</v>
      </c>
      <c r="G32" s="26">
        <f>FLUID!K79</f>
        <v>0</v>
      </c>
      <c r="H32" s="26">
        <f>FLUID!L79</f>
        <v>0</v>
      </c>
      <c r="I32" s="26">
        <f>FLUID!M79</f>
        <v>0</v>
      </c>
      <c r="J32" s="26">
        <f>FLUID!N79</f>
        <v>0</v>
      </c>
      <c r="K32" s="26">
        <f>FLUID!O79</f>
        <v>0</v>
      </c>
      <c r="L32" s="26">
        <f>FLUID!P79</f>
        <v>0</v>
      </c>
      <c r="M32" s="26">
        <f>FLUID!Q79</f>
        <v>0</v>
      </c>
      <c r="N32" s="26">
        <f>FLUID!R79</f>
        <v>0</v>
      </c>
      <c r="O32" s="26">
        <f>FLUID!S79</f>
        <v>0</v>
      </c>
      <c r="P32" s="26">
        <f>FLUID!T79</f>
        <v>0</v>
      </c>
      <c r="Q32" s="26">
        <f>FLUID!U79</f>
        <v>0</v>
      </c>
      <c r="R32" s="26">
        <f>FLUID!V79</f>
        <v>0</v>
      </c>
      <c r="S32" s="26">
        <f>FLUID!W79</f>
        <v>0</v>
      </c>
      <c r="T32" s="26">
        <f>FLUID!X79</f>
        <v>0</v>
      </c>
      <c r="U32" s="26">
        <f>FLUID!Y79</f>
        <v>0</v>
      </c>
      <c r="V32" s="26">
        <f>FLUID!Z79</f>
        <v>0</v>
      </c>
      <c r="W32" s="26">
        <f>FLUID!AA79</f>
        <v>0</v>
      </c>
      <c r="X32" s="26">
        <f>FLUID!AB79</f>
        <v>0</v>
      </c>
      <c r="Y32" s="26">
        <f>FLUID!AC79</f>
        <v>0</v>
      </c>
      <c r="Z32" s="26">
        <f>FLUID!AD79</f>
        <v>0</v>
      </c>
      <c r="AA32" s="26">
        <f>FLUID!AE79</f>
        <v>0</v>
      </c>
      <c r="AB32" s="26">
        <f>FLUID!AF79</f>
        <v>0</v>
      </c>
      <c r="AC32" s="26">
        <f>FLUID!AG79</f>
        <v>0</v>
      </c>
      <c r="AD32" s="26">
        <f>FLUID!AH79</f>
        <v>0</v>
      </c>
      <c r="AE32" s="26">
        <f>FLUID!AI79</f>
        <v>0</v>
      </c>
      <c r="AF32" s="26">
        <f>FLUID!AJ79</f>
        <v>0</v>
      </c>
      <c r="AG32" s="26">
        <f>FLUID!AK79</f>
        <v>0</v>
      </c>
      <c r="AH32" s="26">
        <f>FLUID!AL79</f>
        <v>0</v>
      </c>
      <c r="AI32" s="26">
        <f>FLUID!AM79</f>
        <v>0</v>
      </c>
    </row>
    <row r="33" spans="1:45" ht="22.5" collapsed="1" thickTop="1" thickBot="1" x14ac:dyDescent="0.4">
      <c r="A33" s="60"/>
    </row>
    <row r="34" spans="1:45" ht="22.5" thickTop="1" thickBot="1" x14ac:dyDescent="0.4">
      <c r="A34" s="9" t="s">
        <v>37</v>
      </c>
      <c r="B34" s="167">
        <f>SOLID!F49</f>
        <v>273.10000000000002</v>
      </c>
      <c r="C34" s="167">
        <f>SOLID!G49</f>
        <v>293.3</v>
      </c>
      <c r="D34" s="167">
        <f>SOLID!H49</f>
        <v>313.5</v>
      </c>
      <c r="E34" s="167">
        <f>SOLID!I49</f>
        <v>333.7</v>
      </c>
      <c r="F34" s="9">
        <f>SOLID!J49</f>
        <v>353.9</v>
      </c>
      <c r="G34" s="9">
        <f>SOLID!K49</f>
        <v>434.7</v>
      </c>
      <c r="H34" s="9">
        <f>SOLID!L49</f>
        <v>454.9</v>
      </c>
      <c r="I34" s="9">
        <f>SOLID!M49</f>
        <v>475.1</v>
      </c>
      <c r="J34" s="9">
        <f>SOLID!N49</f>
        <v>495.2</v>
      </c>
      <c r="K34" s="9">
        <f>SOLID!O49</f>
        <v>515.4</v>
      </c>
      <c r="L34" s="9">
        <f>SOLID!P49</f>
        <v>535.6</v>
      </c>
      <c r="M34" s="9">
        <f>SOLID!Q49</f>
        <v>555.79999999999995</v>
      </c>
      <c r="N34" s="9">
        <f>SOLID!R49</f>
        <v>576</v>
      </c>
      <c r="O34" s="9">
        <f>SOLID!S49</f>
        <v>596.20000000000005</v>
      </c>
      <c r="P34" s="9">
        <f>SOLID!T49</f>
        <v>677</v>
      </c>
      <c r="Q34" s="9">
        <f>SOLID!U49</f>
        <v>697.1</v>
      </c>
      <c r="R34" s="9">
        <f>SOLID!V49</f>
        <v>717.3</v>
      </c>
      <c r="S34" s="9">
        <f>SOLID!W49</f>
        <v>737.5</v>
      </c>
      <c r="T34" s="9">
        <f>SOLID!X49</f>
        <v>757.7</v>
      </c>
      <c r="U34" s="9">
        <f>SOLID!Y49</f>
        <v>777.9</v>
      </c>
      <c r="V34" s="9">
        <f>SOLID!Z49</f>
        <v>798.1</v>
      </c>
      <c r="W34" s="9">
        <f>SOLID!AA49</f>
        <v>818.3</v>
      </c>
      <c r="X34" s="9">
        <f>SOLID!AB49</f>
        <v>838.5</v>
      </c>
      <c r="Y34" s="9">
        <f>SOLID!AC49</f>
        <v>919.2</v>
      </c>
      <c r="Z34" s="9">
        <f>SOLID!AD49</f>
        <v>939.4</v>
      </c>
      <c r="AA34" s="9">
        <f>SOLID!AE49</f>
        <v>959.6</v>
      </c>
      <c r="AB34" s="9">
        <f>SOLID!AF49</f>
        <v>979.8</v>
      </c>
      <c r="AC34" s="9">
        <f>SOLID!AG49</f>
        <v>959.6</v>
      </c>
      <c r="AD34" s="9">
        <f>SOLID!AH49</f>
        <v>979.8</v>
      </c>
      <c r="AE34" s="9">
        <f>SOLID!AI49</f>
        <v>1000</v>
      </c>
      <c r="AF34" s="9">
        <f>SOLID!AJ49</f>
        <v>0</v>
      </c>
      <c r="AG34" s="9">
        <f>SOLID!AK49</f>
        <v>0</v>
      </c>
      <c r="AH34" s="9">
        <f>SOLID!AL49</f>
        <v>0</v>
      </c>
      <c r="AI34" s="9">
        <f>SOLID!AM49</f>
        <v>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</row>
    <row r="35" spans="1:45" ht="22.5" outlineLevel="1" thickTop="1" thickBot="1" x14ac:dyDescent="0.4">
      <c r="A35" s="57" t="str">
        <f>SOLID!E50</f>
        <v>*Ge</v>
      </c>
      <c r="B35" s="28">
        <f ca="1">SOLID!F50</f>
        <v>-16.29</v>
      </c>
      <c r="C35" s="28">
        <f ca="1">SOLID!G50</f>
        <v>-15.52</v>
      </c>
      <c r="D35" s="28">
        <f ca="1">SOLID!H50</f>
        <v>-14.86</v>
      </c>
      <c r="E35" s="28">
        <f ca="1">SOLID!I50</f>
        <v>-14.3</v>
      </c>
      <c r="F35" s="26">
        <f ca="1">SOLID!J50</f>
        <v>-13.17</v>
      </c>
      <c r="G35" s="26">
        <f ca="1">SOLID!K50</f>
        <v>-7.9130000000000003</v>
      </c>
      <c r="H35" s="26">
        <f ca="1">SOLID!L50</f>
        <v>-6.851</v>
      </c>
      <c r="I35" s="26">
        <f ca="1">SOLID!M50</f>
        <v>-5.867</v>
      </c>
      <c r="J35" s="26">
        <f ca="1">SOLID!N50</f>
        <v>-4.9489999999999998</v>
      </c>
      <c r="K35" s="26">
        <f ca="1">SOLID!O50</f>
        <v>-4.101</v>
      </c>
      <c r="L35" s="26">
        <f ca="1">SOLID!P50</f>
        <v>-4.1500000000000004</v>
      </c>
      <c r="M35" s="26">
        <f ca="1">SOLID!Q50</f>
        <v>-4.2</v>
      </c>
      <c r="N35" s="26">
        <f ca="1">SOLID!R50</f>
        <v>-4.2489999999999997</v>
      </c>
      <c r="O35" s="26">
        <f ca="1">SOLID!S50</f>
        <v>-4.2990000000000004</v>
      </c>
      <c r="P35" s="26">
        <f ca="1">SOLID!T50</f>
        <v>-4.4989999999999997</v>
      </c>
      <c r="Q35" s="26">
        <f ca="1">SOLID!U50</f>
        <v>-4.5490000000000004</v>
      </c>
      <c r="R35" s="26">
        <f ca="1">SOLID!V50</f>
        <v>-4.5979999999999999</v>
      </c>
      <c r="S35" s="26">
        <f ca="1">SOLID!W50</f>
        <v>-4.6470000000000002</v>
      </c>
      <c r="T35" s="26">
        <f ca="1">SOLID!X50</f>
        <v>-4.6959999999999997</v>
      </c>
      <c r="U35" s="26">
        <f ca="1">SOLID!Y50</f>
        <v>-4.7439999999999998</v>
      </c>
      <c r="V35" s="26">
        <f ca="1">SOLID!Z50</f>
        <v>-4.7919999999999998</v>
      </c>
      <c r="W35" s="26">
        <f ca="1">SOLID!AA50</f>
        <v>-4.84</v>
      </c>
      <c r="X35" s="26">
        <f ca="1">SOLID!AB50</f>
        <v>-4.8869999999999996</v>
      </c>
      <c r="Y35" s="26">
        <f ca="1">SOLID!AC50</f>
        <v>-5.0709999999999997</v>
      </c>
      <c r="Z35" s="26">
        <f ca="1">SOLID!AD50</f>
        <v>-5.1159999999999997</v>
      </c>
      <c r="AA35" s="26">
        <f ca="1">SOLID!AE50</f>
        <v>-5.1609999999999996</v>
      </c>
      <c r="AB35" s="26">
        <f ca="1">SOLID!AF50</f>
        <v>-5.2060000000000004</v>
      </c>
      <c r="AC35" s="26">
        <f ca="1">SOLID!AG50</f>
        <v>-5.1609999999999996</v>
      </c>
      <c r="AD35" s="26">
        <f ca="1">SOLID!AH50</f>
        <v>-5.2060000000000004</v>
      </c>
      <c r="AE35" s="26">
        <f ca="1">SOLID!AI50</f>
        <v>-5.25</v>
      </c>
      <c r="AF35" s="26">
        <f ca="1">SOLID!AJ50</f>
        <v>0</v>
      </c>
      <c r="AG35" s="26">
        <f ca="1">SOLID!AK50</f>
        <v>0</v>
      </c>
      <c r="AH35" s="26">
        <f ca="1">SOLID!AL50</f>
        <v>0</v>
      </c>
      <c r="AI35" s="26">
        <f>SOLID!AM50</f>
        <v>0</v>
      </c>
    </row>
    <row r="36" spans="1:45" ht="21.75" outlineLevel="1" thickBot="1" x14ac:dyDescent="0.4">
      <c r="A36" s="57" t="str">
        <f>SOLID!E51</f>
        <v>*GeSe</v>
      </c>
      <c r="B36" s="28">
        <f ca="1">SOLID!F51</f>
        <v>-39.81</v>
      </c>
      <c r="C36" s="28">
        <f ca="1">SOLID!G51</f>
        <v>-37.700000000000003</v>
      </c>
      <c r="D36" s="28">
        <f ca="1">SOLID!H51</f>
        <v>-35.879999999999995</v>
      </c>
      <c r="E36" s="28">
        <f ca="1">SOLID!I51</f>
        <v>-34.31</v>
      </c>
      <c r="F36" s="26">
        <f ca="1">SOLID!J51</f>
        <v>-32.94</v>
      </c>
      <c r="G36" s="26">
        <f ca="1">SOLID!K51</f>
        <v>-28.882999999999999</v>
      </c>
      <c r="H36" s="26">
        <f ca="1">SOLID!L51</f>
        <v>-28.120999999999999</v>
      </c>
      <c r="I36" s="26">
        <f ca="1">SOLID!M51</f>
        <v>-27.446999999999999</v>
      </c>
      <c r="J36" s="26">
        <f ca="1">SOLID!N51</f>
        <v>-26.829000000000001</v>
      </c>
      <c r="K36" s="26">
        <f ca="1">SOLID!O51</f>
        <v>-26.291</v>
      </c>
      <c r="L36" s="26">
        <f ca="1">SOLID!P51</f>
        <v>-26.64</v>
      </c>
      <c r="M36" s="26">
        <f ca="1">SOLID!Q51</f>
        <v>-26.99</v>
      </c>
      <c r="N36" s="26">
        <f ca="1">SOLID!R51</f>
        <v>-27.328999999999997</v>
      </c>
      <c r="O36" s="26">
        <f ca="1">SOLID!S51</f>
        <v>-27.669</v>
      </c>
      <c r="P36" s="26">
        <f ca="1">SOLID!T51</f>
        <v>-29.009</v>
      </c>
      <c r="Q36" s="26">
        <f ca="1">SOLID!U51</f>
        <v>-29.338999999999999</v>
      </c>
      <c r="R36" s="26">
        <f ca="1">SOLID!V51</f>
        <v>-29.657999999999998</v>
      </c>
      <c r="S36" s="26">
        <f ca="1">SOLID!W51</f>
        <v>-29.976999999999997</v>
      </c>
      <c r="T36" s="26">
        <f ca="1">SOLID!X51</f>
        <v>-30.295999999999999</v>
      </c>
      <c r="U36" s="26">
        <f ca="1">SOLID!Y51</f>
        <v>-30.614000000000001</v>
      </c>
      <c r="V36" s="26">
        <f ca="1">SOLID!Z51</f>
        <v>-30.921999999999997</v>
      </c>
      <c r="W36" s="26">
        <f ca="1">SOLID!AA51</f>
        <v>-31.23</v>
      </c>
      <c r="X36" s="26">
        <f ca="1">SOLID!AB51</f>
        <v>-31.536999999999999</v>
      </c>
      <c r="Y36" s="26">
        <f ca="1">SOLID!AC51</f>
        <v>-32.720999999999997</v>
      </c>
      <c r="Z36" s="26">
        <f ca="1">SOLID!AD51</f>
        <v>-33.006</v>
      </c>
      <c r="AA36" s="26">
        <f ca="1">SOLID!AE51</f>
        <v>-33.301000000000002</v>
      </c>
      <c r="AB36" s="26">
        <f ca="1">SOLID!AF51</f>
        <v>-33.585999999999999</v>
      </c>
      <c r="AC36" s="26">
        <f ca="1">SOLID!AG51</f>
        <v>-33.301000000000002</v>
      </c>
      <c r="AD36" s="26">
        <f ca="1">SOLID!AH51</f>
        <v>-33.585999999999999</v>
      </c>
      <c r="AE36" s="26">
        <f ca="1">SOLID!AI51</f>
        <v>-33.870000000000005</v>
      </c>
      <c r="AF36" s="26">
        <f ca="1">SOLID!AJ51</f>
        <v>0</v>
      </c>
      <c r="AG36" s="26">
        <f ca="1">SOLID!AK51</f>
        <v>0</v>
      </c>
      <c r="AH36" s="26">
        <f ca="1">SOLID!AL51</f>
        <v>0</v>
      </c>
      <c r="AI36" s="26">
        <f>SOLID!AM51</f>
        <v>0</v>
      </c>
    </row>
    <row r="37" spans="1:45" ht="21.75" outlineLevel="1" thickBot="1" x14ac:dyDescent="0.4">
      <c r="A37" s="57" t="str">
        <f>SOLID!E52</f>
        <v>*Ga[l]</v>
      </c>
      <c r="B37" s="28">
        <f ca="1">SOLID!F52</f>
        <v>-66.19</v>
      </c>
      <c r="C37" s="28">
        <f ca="1">SOLID!G52</f>
        <v>-61.98</v>
      </c>
      <c r="D37" s="28">
        <f ca="1">SOLID!H52</f>
        <v>-58.33</v>
      </c>
      <c r="E37" s="28">
        <f ca="1">SOLID!I52</f>
        <v>-55.14</v>
      </c>
      <c r="F37" s="26">
        <f ca="1">SOLID!J52</f>
        <v>-51.35</v>
      </c>
      <c r="G37" s="26">
        <f ca="1">SOLID!K52</f>
        <v>-37</v>
      </c>
      <c r="H37" s="26">
        <f ca="1">SOLID!L52</f>
        <v>-34.130000000000003</v>
      </c>
      <c r="I37" s="26">
        <f ca="1">SOLID!M52</f>
        <v>-31.49</v>
      </c>
      <c r="J37" s="26">
        <f ca="1">SOLID!N52</f>
        <v>-29.04</v>
      </c>
      <c r="K37" s="26">
        <f ca="1">SOLID!O52</f>
        <v>-26.76</v>
      </c>
      <c r="L37" s="26">
        <f ca="1">SOLID!P52</f>
        <v>-24.63</v>
      </c>
      <c r="M37" s="26">
        <f ca="1">SOLID!Q52</f>
        <v>-22.64</v>
      </c>
      <c r="N37" s="26">
        <f ca="1">SOLID!R52</f>
        <v>-20.77</v>
      </c>
      <c r="O37" s="26">
        <f ca="1">SOLID!S52</f>
        <v>-19.010000000000002</v>
      </c>
      <c r="P37" s="26">
        <f ca="1">SOLID!T52</f>
        <v>-12.87</v>
      </c>
      <c r="Q37" s="26">
        <f ca="1">SOLID!U52</f>
        <v>-11.53</v>
      </c>
      <c r="R37" s="26">
        <f ca="1">SOLID!V52</f>
        <v>-10.25</v>
      </c>
      <c r="S37" s="26">
        <f ca="1">SOLID!W52</f>
        <v>-9.0690000000000008</v>
      </c>
      <c r="T37" s="26">
        <f ca="1">SOLID!X52</f>
        <v>-8.5370000000000008</v>
      </c>
      <c r="U37" s="26">
        <f ca="1">SOLID!Y52</f>
        <v>-8.0269999999999992</v>
      </c>
      <c r="V37" s="26">
        <f ca="1">SOLID!Z52</f>
        <v>-7.617</v>
      </c>
      <c r="W37" s="26">
        <f ca="1">SOLID!AA52</f>
        <v>-7.7149999999999999</v>
      </c>
      <c r="X37" s="26">
        <f ca="1">SOLID!AB52</f>
        <v>-7.8150000000000004</v>
      </c>
      <c r="Y37" s="26">
        <f ca="1">SOLID!AC52</f>
        <v>-8.2360000000000007</v>
      </c>
      <c r="Z37" s="26">
        <f ca="1">SOLID!AD52</f>
        <v>-8.35</v>
      </c>
      <c r="AA37" s="26">
        <f ca="1">SOLID!AE52</f>
        <v>-8.4689999999999994</v>
      </c>
      <c r="AB37" s="26">
        <f ca="1">SOLID!AF52</f>
        <v>-8.593</v>
      </c>
      <c r="AC37" s="26">
        <f ca="1">SOLID!AG52</f>
        <v>-8.4689999999999994</v>
      </c>
      <c r="AD37" s="26">
        <f ca="1">SOLID!AH52</f>
        <v>-8.593</v>
      </c>
      <c r="AE37" s="26">
        <f ca="1">SOLID!AI52</f>
        <v>-8.7249999999999996</v>
      </c>
      <c r="AF37" s="26">
        <f ca="1">SOLID!AJ52</f>
        <v>0</v>
      </c>
      <c r="AG37" s="26">
        <f ca="1">SOLID!AK52</f>
        <v>0</v>
      </c>
      <c r="AH37" s="26">
        <f ca="1">SOLID!AL52</f>
        <v>0</v>
      </c>
      <c r="AI37" s="26">
        <f>SOLID!AM52</f>
        <v>0</v>
      </c>
    </row>
    <row r="38" spans="1:45" ht="21.75" outlineLevel="1" thickBot="1" x14ac:dyDescent="0.4">
      <c r="A38" s="57" t="str">
        <f>SOLID!E53</f>
        <v>*Ga2Se</v>
      </c>
      <c r="B38" s="28">
        <f ca="1">SOLID!F53</f>
        <v>-155.9</v>
      </c>
      <c r="C38" s="28">
        <f ca="1">SOLID!G53</f>
        <v>-146.13999999999999</v>
      </c>
      <c r="D38" s="28">
        <f ca="1">SOLID!H53</f>
        <v>-137.68</v>
      </c>
      <c r="E38" s="28">
        <f ca="1">SOLID!I53</f>
        <v>-130.29</v>
      </c>
      <c r="F38" s="26">
        <f ca="1">SOLID!J53</f>
        <v>-122.47</v>
      </c>
      <c r="G38" s="26">
        <f ca="1">SOLID!K53</f>
        <v>-94.97</v>
      </c>
      <c r="H38" s="26">
        <f ca="1">SOLID!L53</f>
        <v>-89.53</v>
      </c>
      <c r="I38" s="26">
        <f ca="1">SOLID!M53</f>
        <v>-84.56</v>
      </c>
      <c r="J38" s="26">
        <f ca="1">SOLID!N53</f>
        <v>-79.959999999999994</v>
      </c>
      <c r="K38" s="26">
        <f ca="1">SOLID!O53</f>
        <v>-75.710000000000008</v>
      </c>
      <c r="L38" s="26">
        <f ca="1">SOLID!P53</f>
        <v>-71.75</v>
      </c>
      <c r="M38" s="26">
        <f ca="1">SOLID!Q53</f>
        <v>-68.069999999999993</v>
      </c>
      <c r="N38" s="26">
        <f ca="1">SOLID!R53</f>
        <v>-64.62</v>
      </c>
      <c r="O38" s="26">
        <f ca="1">SOLID!S53</f>
        <v>-61.39</v>
      </c>
      <c r="P38" s="26">
        <f ca="1">SOLID!T53</f>
        <v>-50.25</v>
      </c>
      <c r="Q38" s="26">
        <f ca="1">SOLID!U53</f>
        <v>-47.849999999999994</v>
      </c>
      <c r="R38" s="26">
        <f ca="1">SOLID!V53</f>
        <v>-45.56</v>
      </c>
      <c r="S38" s="26">
        <f ca="1">SOLID!W53</f>
        <v>-43.468000000000004</v>
      </c>
      <c r="T38" s="26">
        <f ca="1">SOLID!X53</f>
        <v>-42.674000000000007</v>
      </c>
      <c r="U38" s="26">
        <f ca="1">SOLID!Y53</f>
        <v>-41.923999999999999</v>
      </c>
      <c r="V38" s="26">
        <f ca="1">SOLID!Z53</f>
        <v>-41.363999999999997</v>
      </c>
      <c r="W38" s="26">
        <f ca="1">SOLID!AA53</f>
        <v>-41.82</v>
      </c>
      <c r="X38" s="26">
        <f ca="1">SOLID!AB53</f>
        <v>-42.28</v>
      </c>
      <c r="Y38" s="26">
        <f ca="1">SOLID!AC53</f>
        <v>-44.122</v>
      </c>
      <c r="Z38" s="26">
        <f ca="1">SOLID!AD53</f>
        <v>-44.59</v>
      </c>
      <c r="AA38" s="26">
        <f ca="1">SOLID!AE53</f>
        <v>-45.078000000000003</v>
      </c>
      <c r="AB38" s="26">
        <f ca="1">SOLID!AF53</f>
        <v>-45.566000000000003</v>
      </c>
      <c r="AC38" s="26">
        <f ca="1">SOLID!AG53</f>
        <v>-45.078000000000003</v>
      </c>
      <c r="AD38" s="26">
        <f ca="1">SOLID!AH53</f>
        <v>-45.566000000000003</v>
      </c>
      <c r="AE38" s="26">
        <f ca="1">SOLID!AI53</f>
        <v>-46.07</v>
      </c>
      <c r="AF38" s="26">
        <f ca="1">SOLID!AJ53</f>
        <v>0</v>
      </c>
      <c r="AG38" s="26">
        <f ca="1">SOLID!AK53</f>
        <v>0</v>
      </c>
      <c r="AH38" s="26">
        <f ca="1">SOLID!AL53</f>
        <v>0</v>
      </c>
      <c r="AI38" s="26">
        <f>SOLID!AM53</f>
        <v>0</v>
      </c>
    </row>
    <row r="39" spans="1:45" ht="21.75" outlineLevel="1" thickBot="1" x14ac:dyDescent="0.4">
      <c r="A39" s="57" t="str">
        <f>SOLID!E54</f>
        <v>*Ge[c]</v>
      </c>
      <c r="B39" s="28">
        <f ca="1">SOLID!F54</f>
        <v>-16.29</v>
      </c>
      <c r="C39" s="28">
        <f ca="1">SOLID!G54</f>
        <v>-15.52</v>
      </c>
      <c r="D39" s="28">
        <f ca="1">SOLID!H54</f>
        <v>-14.86</v>
      </c>
      <c r="E39" s="28">
        <f ca="1">SOLID!I54</f>
        <v>-14.3</v>
      </c>
      <c r="F39" s="26">
        <f ca="1">SOLID!J54</f>
        <v>-13.17</v>
      </c>
      <c r="G39" s="26">
        <f ca="1">SOLID!K54</f>
        <v>-7.9130000000000003</v>
      </c>
      <c r="H39" s="26">
        <f ca="1">SOLID!L54</f>
        <v>-6.851</v>
      </c>
      <c r="I39" s="26">
        <f ca="1">SOLID!M54</f>
        <v>-5.867</v>
      </c>
      <c r="J39" s="26">
        <f ca="1">SOLID!N54</f>
        <v>-4.9489999999999998</v>
      </c>
      <c r="K39" s="26">
        <f ca="1">SOLID!O54</f>
        <v>-4.101</v>
      </c>
      <c r="L39" s="26">
        <f ca="1">SOLID!P54</f>
        <v>-4.1500000000000004</v>
      </c>
      <c r="M39" s="26">
        <f ca="1">SOLID!Q54</f>
        <v>-4.2</v>
      </c>
      <c r="N39" s="26">
        <f ca="1">SOLID!R54</f>
        <v>-4.2489999999999997</v>
      </c>
      <c r="O39" s="26">
        <f ca="1">SOLID!S54</f>
        <v>-4.2990000000000004</v>
      </c>
      <c r="P39" s="26">
        <f ca="1">SOLID!T54</f>
        <v>-4.4989999999999997</v>
      </c>
      <c r="Q39" s="26">
        <f ca="1">SOLID!U54</f>
        <v>-4.5490000000000004</v>
      </c>
      <c r="R39" s="26">
        <f ca="1">SOLID!V54</f>
        <v>-4.5979999999999999</v>
      </c>
      <c r="S39" s="26">
        <f ca="1">SOLID!W54</f>
        <v>-4.6470000000000002</v>
      </c>
      <c r="T39" s="26">
        <f ca="1">SOLID!X54</f>
        <v>-4.6959999999999997</v>
      </c>
      <c r="U39" s="26">
        <f ca="1">SOLID!Y54</f>
        <v>-4.7439999999999998</v>
      </c>
      <c r="V39" s="26">
        <f ca="1">SOLID!Z54</f>
        <v>-4.7919999999999998</v>
      </c>
      <c r="W39" s="26">
        <f ca="1">SOLID!AA54</f>
        <v>-4.84</v>
      </c>
      <c r="X39" s="26">
        <f ca="1">SOLID!AB54</f>
        <v>-4.8869999999999996</v>
      </c>
      <c r="Y39" s="26">
        <f ca="1">SOLID!AC54</f>
        <v>-5.0709999999999997</v>
      </c>
      <c r="Z39" s="26">
        <f ca="1">SOLID!AD54</f>
        <v>-5.1159999999999997</v>
      </c>
      <c r="AA39" s="26">
        <f ca="1">SOLID!AE54</f>
        <v>-5.1609999999999996</v>
      </c>
      <c r="AB39" s="26">
        <f ca="1">SOLID!AF54</f>
        <v>-5.2060000000000004</v>
      </c>
      <c r="AC39" s="26">
        <f ca="1">SOLID!AG54</f>
        <v>-5.1609999999999996</v>
      </c>
      <c r="AD39" s="26">
        <f ca="1">SOLID!AH54</f>
        <v>-5.2060000000000004</v>
      </c>
      <c r="AE39" s="26">
        <f ca="1">SOLID!AI54</f>
        <v>-5.25</v>
      </c>
      <c r="AF39" s="26">
        <f ca="1">SOLID!AJ54</f>
        <v>0</v>
      </c>
      <c r="AG39" s="26">
        <f ca="1">SOLID!AK54</f>
        <v>0</v>
      </c>
      <c r="AH39" s="26">
        <f ca="1">SOLID!AL54</f>
        <v>0</v>
      </c>
      <c r="AI39" s="26">
        <f>SOLID!AM54</f>
        <v>0</v>
      </c>
    </row>
    <row r="40" spans="1:45" ht="21.75" outlineLevel="1" thickBot="1" x14ac:dyDescent="0.4">
      <c r="A40" s="57" t="str">
        <f>SOLID!E55</f>
        <v>*Se[m]</v>
      </c>
      <c r="B40" s="28">
        <f ca="1">SOLID!F55</f>
        <v>-23.52</v>
      </c>
      <c r="C40" s="28">
        <f ca="1">SOLID!G55</f>
        <v>-22.18</v>
      </c>
      <c r="D40" s="28">
        <f ca="1">SOLID!H55</f>
        <v>-21.02</v>
      </c>
      <c r="E40" s="28">
        <f ca="1">SOLID!I55</f>
        <v>-20.010000000000002</v>
      </c>
      <c r="F40" s="26">
        <f ca="1">SOLID!J55</f>
        <v>-19.77</v>
      </c>
      <c r="G40" s="26">
        <f ca="1">SOLID!K55</f>
        <v>-20.97</v>
      </c>
      <c r="H40" s="26">
        <f ca="1">SOLID!L55</f>
        <v>-21.27</v>
      </c>
      <c r="I40" s="26">
        <f ca="1">SOLID!M55</f>
        <v>-21.58</v>
      </c>
      <c r="J40" s="26">
        <f ca="1">SOLID!N55</f>
        <v>-21.88</v>
      </c>
      <c r="K40" s="26">
        <f ca="1">SOLID!O55</f>
        <v>-22.19</v>
      </c>
      <c r="L40" s="26">
        <f ca="1">SOLID!P55</f>
        <v>-22.49</v>
      </c>
      <c r="M40" s="26">
        <f ca="1">SOLID!Q55</f>
        <v>-22.79</v>
      </c>
      <c r="N40" s="26">
        <f ca="1">SOLID!R55</f>
        <v>-23.08</v>
      </c>
      <c r="O40" s="26">
        <f ca="1">SOLID!S55</f>
        <v>-23.37</v>
      </c>
      <c r="P40" s="26">
        <f ca="1">SOLID!T55</f>
        <v>-24.51</v>
      </c>
      <c r="Q40" s="26">
        <f ca="1">SOLID!U55</f>
        <v>-24.79</v>
      </c>
      <c r="R40" s="26">
        <f ca="1">SOLID!V55</f>
        <v>-25.06</v>
      </c>
      <c r="S40" s="26">
        <f ca="1">SOLID!W55</f>
        <v>-25.33</v>
      </c>
      <c r="T40" s="26">
        <f ca="1">SOLID!X55</f>
        <v>-25.6</v>
      </c>
      <c r="U40" s="26">
        <f ca="1">SOLID!Y55</f>
        <v>-25.87</v>
      </c>
      <c r="V40" s="26">
        <f ca="1">SOLID!Z55</f>
        <v>-26.13</v>
      </c>
      <c r="W40" s="26">
        <f ca="1">SOLID!AA55</f>
        <v>-26.39</v>
      </c>
      <c r="X40" s="26">
        <f ca="1">SOLID!AB55</f>
        <v>-26.65</v>
      </c>
      <c r="Y40" s="26">
        <f ca="1">SOLID!AC55</f>
        <v>-27.65</v>
      </c>
      <c r="Z40" s="26">
        <f ca="1">SOLID!AD55</f>
        <v>-27.89</v>
      </c>
      <c r="AA40" s="26">
        <f ca="1">SOLID!AE55</f>
        <v>-28.14</v>
      </c>
      <c r="AB40" s="26">
        <f ca="1">SOLID!AF55</f>
        <v>-28.38</v>
      </c>
      <c r="AC40" s="26">
        <f ca="1">SOLID!AG55</f>
        <v>-28.14</v>
      </c>
      <c r="AD40" s="26">
        <f ca="1">SOLID!AH55</f>
        <v>-28.38</v>
      </c>
      <c r="AE40" s="26">
        <f ca="1">SOLID!AI55</f>
        <v>-28.62</v>
      </c>
      <c r="AF40" s="26">
        <f ca="1">SOLID!AJ55</f>
        <v>0</v>
      </c>
      <c r="AG40" s="26">
        <f ca="1">SOLID!AK55</f>
        <v>0</v>
      </c>
      <c r="AH40" s="26">
        <f ca="1">SOLID!AL55</f>
        <v>0</v>
      </c>
      <c r="AI40" s="26">
        <f>SOLID!AM55</f>
        <v>0</v>
      </c>
    </row>
    <row r="41" spans="1:45" ht="21.75" outlineLevel="1" thickBot="1" x14ac:dyDescent="0.4">
      <c r="A41" s="57" t="str">
        <f>SOLID!E56</f>
        <v>*GeSe2</v>
      </c>
      <c r="B41" s="28">
        <f ca="1">SOLID!F56</f>
        <v>-63.33</v>
      </c>
      <c r="C41" s="28">
        <f ca="1">SOLID!G56</f>
        <v>-59.879999999999995</v>
      </c>
      <c r="D41" s="28">
        <f ca="1">SOLID!H56</f>
        <v>-56.9</v>
      </c>
      <c r="E41" s="28">
        <f ca="1">SOLID!I56</f>
        <v>-54.320000000000007</v>
      </c>
      <c r="F41" s="26">
        <f ca="1">SOLID!J56</f>
        <v>-52.71</v>
      </c>
      <c r="G41" s="26">
        <f ca="1">SOLID!K56</f>
        <v>-49.852999999999994</v>
      </c>
      <c r="H41" s="26">
        <f ca="1">SOLID!L56</f>
        <v>-49.390999999999998</v>
      </c>
      <c r="I41" s="26">
        <f ca="1">SOLID!M56</f>
        <v>-49.026999999999994</v>
      </c>
      <c r="J41" s="26">
        <f ca="1">SOLID!N56</f>
        <v>-48.708999999999996</v>
      </c>
      <c r="K41" s="26">
        <f ca="1">SOLID!O56</f>
        <v>-48.481000000000002</v>
      </c>
      <c r="L41" s="26">
        <f ca="1">SOLID!P56</f>
        <v>-49.129999999999995</v>
      </c>
      <c r="M41" s="26">
        <f ca="1">SOLID!Q56</f>
        <v>-49.78</v>
      </c>
      <c r="N41" s="26">
        <f ca="1">SOLID!R56</f>
        <v>-50.408999999999999</v>
      </c>
      <c r="O41" s="26">
        <f ca="1">SOLID!S56</f>
        <v>-51.039000000000001</v>
      </c>
      <c r="P41" s="26">
        <f ca="1">SOLID!T56</f>
        <v>-53.519000000000005</v>
      </c>
      <c r="Q41" s="26">
        <f ca="1">SOLID!U56</f>
        <v>-54.128999999999998</v>
      </c>
      <c r="R41" s="26">
        <f ca="1">SOLID!V56</f>
        <v>-54.717999999999996</v>
      </c>
      <c r="S41" s="26">
        <f ca="1">SOLID!W56</f>
        <v>-55.306999999999995</v>
      </c>
      <c r="T41" s="26">
        <f ca="1">SOLID!X56</f>
        <v>-55.896000000000001</v>
      </c>
      <c r="U41" s="26">
        <f ca="1">SOLID!Y56</f>
        <v>-56.484000000000002</v>
      </c>
      <c r="V41" s="26">
        <f ca="1">SOLID!Z56</f>
        <v>-57.052</v>
      </c>
      <c r="W41" s="26">
        <f ca="1">SOLID!AA56</f>
        <v>-57.620000000000005</v>
      </c>
      <c r="X41" s="26">
        <f ca="1">SOLID!AB56</f>
        <v>-58.186999999999998</v>
      </c>
      <c r="Y41" s="26">
        <f ca="1">SOLID!AC56</f>
        <v>-60.370999999999995</v>
      </c>
      <c r="Z41" s="26">
        <f ca="1">SOLID!AD56</f>
        <v>-60.896000000000001</v>
      </c>
      <c r="AA41" s="26">
        <f ca="1">SOLID!AE56</f>
        <v>-61.441000000000003</v>
      </c>
      <c r="AB41" s="26">
        <f ca="1">SOLID!AF56</f>
        <v>-61.966000000000001</v>
      </c>
      <c r="AC41" s="26">
        <f ca="1">SOLID!AG56</f>
        <v>-61.441000000000003</v>
      </c>
      <c r="AD41" s="26">
        <f ca="1">SOLID!AH56</f>
        <v>-61.966000000000001</v>
      </c>
      <c r="AE41" s="26">
        <f ca="1">SOLID!AI56</f>
        <v>-62.49</v>
      </c>
      <c r="AF41" s="26">
        <f ca="1">SOLID!AJ56</f>
        <v>0</v>
      </c>
      <c r="AG41" s="26">
        <f ca="1">SOLID!AK56</f>
        <v>0</v>
      </c>
      <c r="AH41" s="26">
        <f ca="1">SOLID!AL56</f>
        <v>0</v>
      </c>
      <c r="AI41" s="26">
        <f>SOLID!AM56</f>
        <v>0</v>
      </c>
    </row>
    <row r="42" spans="1:45" ht="21.75" outlineLevel="1" thickBot="1" x14ac:dyDescent="0.4">
      <c r="A42" s="57" t="str">
        <f>SOLID!E57</f>
        <v>Ga2Se3</v>
      </c>
      <c r="B42" s="28">
        <f ca="1">SOLID!F57</f>
        <v>-202.94</v>
      </c>
      <c r="C42" s="28">
        <f ca="1">SOLID!G57</f>
        <v>-190.5</v>
      </c>
      <c r="D42" s="28">
        <f ca="1">SOLID!H57</f>
        <v>-179.72</v>
      </c>
      <c r="E42" s="28">
        <f ca="1">SOLID!I57</f>
        <v>-170.31</v>
      </c>
      <c r="F42" s="26">
        <f ca="1">SOLID!J57</f>
        <v>-162.01</v>
      </c>
      <c r="G42" s="26">
        <f ca="1">SOLID!K57</f>
        <v>-136.91</v>
      </c>
      <c r="H42" s="26">
        <f ca="1">SOLID!L57</f>
        <v>-132.07</v>
      </c>
      <c r="I42" s="26">
        <f ca="1">SOLID!M57</f>
        <v>-127.72</v>
      </c>
      <c r="J42" s="26">
        <f ca="1">SOLID!N57</f>
        <v>-123.72</v>
      </c>
      <c r="K42" s="26">
        <f ca="1">SOLID!O57</f>
        <v>-120.09</v>
      </c>
      <c r="L42" s="26">
        <f ca="1">SOLID!P57</f>
        <v>-116.72999999999999</v>
      </c>
      <c r="M42" s="26">
        <f ca="1">SOLID!Q57</f>
        <v>-113.65</v>
      </c>
      <c r="N42" s="26">
        <f ca="1">SOLID!R57</f>
        <v>-110.78</v>
      </c>
      <c r="O42" s="26">
        <f ca="1">SOLID!S57</f>
        <v>-108.13</v>
      </c>
      <c r="P42" s="26">
        <f ca="1">SOLID!T57</f>
        <v>-99.27</v>
      </c>
      <c r="Q42" s="26">
        <f ca="1">SOLID!U57</f>
        <v>-97.43</v>
      </c>
      <c r="R42" s="26">
        <f ca="1">SOLID!V57</f>
        <v>-95.679999999999993</v>
      </c>
      <c r="S42" s="26">
        <f ca="1">SOLID!W57</f>
        <v>-94.128</v>
      </c>
      <c r="T42" s="26">
        <f ca="1">SOLID!X57</f>
        <v>-93.874000000000009</v>
      </c>
      <c r="U42" s="26">
        <f ca="1">SOLID!Y57</f>
        <v>-93.664000000000001</v>
      </c>
      <c r="V42" s="26">
        <f ca="1">SOLID!Z57</f>
        <v>-93.623999999999995</v>
      </c>
      <c r="W42" s="26">
        <f ca="1">SOLID!AA57</f>
        <v>-94.6</v>
      </c>
      <c r="X42" s="26">
        <f ca="1">SOLID!AB57</f>
        <v>-95.579999999999984</v>
      </c>
      <c r="Y42" s="26">
        <f ca="1">SOLID!AC57</f>
        <v>-99.421999999999997</v>
      </c>
      <c r="Z42" s="26">
        <f ca="1">SOLID!AD57</f>
        <v>-100.37</v>
      </c>
      <c r="AA42" s="26">
        <f ca="1">SOLID!AE57</f>
        <v>-101.358</v>
      </c>
      <c r="AB42" s="26">
        <f ca="1">SOLID!AF57</f>
        <v>-102.32599999999999</v>
      </c>
      <c r="AC42" s="26">
        <f ca="1">SOLID!AG57</f>
        <v>-101.358</v>
      </c>
      <c r="AD42" s="26">
        <f ca="1">SOLID!AH57</f>
        <v>-102.32599999999999</v>
      </c>
      <c r="AE42" s="26">
        <f ca="1">SOLID!AI57</f>
        <v>-103.31</v>
      </c>
      <c r="AF42" s="26">
        <f ca="1">SOLID!AJ57</f>
        <v>0</v>
      </c>
      <c r="AG42" s="26">
        <f ca="1">SOLID!AK57</f>
        <v>0</v>
      </c>
      <c r="AH42" s="26">
        <f ca="1">SOLID!AL57</f>
        <v>0</v>
      </c>
      <c r="AI42" s="26">
        <f>SOLID!AM57</f>
        <v>0</v>
      </c>
    </row>
    <row r="43" spans="1:45" ht="21.75" outlineLevel="1" thickBot="1" x14ac:dyDescent="0.4">
      <c r="A43" s="57" t="str">
        <f>SOLID!E58</f>
        <v>Ga2Se</v>
      </c>
      <c r="B43" s="28">
        <f ca="1">SOLID!F58</f>
        <v>-155.9</v>
      </c>
      <c r="C43" s="28">
        <f ca="1">SOLID!G58</f>
        <v>-146.13999999999999</v>
      </c>
      <c r="D43" s="28">
        <f ca="1">SOLID!H58</f>
        <v>-137.68</v>
      </c>
      <c r="E43" s="28">
        <f ca="1">SOLID!I58</f>
        <v>-130.29</v>
      </c>
      <c r="F43" s="26">
        <f ca="1">SOLID!J58</f>
        <v>-122.47</v>
      </c>
      <c r="G43" s="26">
        <f ca="1">SOLID!K58</f>
        <v>-94.97</v>
      </c>
      <c r="H43" s="26">
        <f ca="1">SOLID!L58</f>
        <v>-89.53</v>
      </c>
      <c r="I43" s="26">
        <f ca="1">SOLID!M58</f>
        <v>-84.56</v>
      </c>
      <c r="J43" s="26">
        <f ca="1">SOLID!N58</f>
        <v>-79.959999999999994</v>
      </c>
      <c r="K43" s="26">
        <f ca="1">SOLID!O58</f>
        <v>-75.710000000000008</v>
      </c>
      <c r="L43" s="26">
        <f ca="1">SOLID!P58</f>
        <v>-71.75</v>
      </c>
      <c r="M43" s="26">
        <f ca="1">SOLID!Q58</f>
        <v>-68.069999999999993</v>
      </c>
      <c r="N43" s="26">
        <f ca="1">SOLID!R58</f>
        <v>-64.62</v>
      </c>
      <c r="O43" s="26">
        <f ca="1">SOLID!S58</f>
        <v>-61.39</v>
      </c>
      <c r="P43" s="26">
        <f ca="1">SOLID!T58</f>
        <v>-50.25</v>
      </c>
      <c r="Q43" s="26">
        <f ca="1">SOLID!U58</f>
        <v>-47.849999999999994</v>
      </c>
      <c r="R43" s="26">
        <f ca="1">SOLID!V58</f>
        <v>-45.56</v>
      </c>
      <c r="S43" s="26">
        <f ca="1">SOLID!W58</f>
        <v>-43.468000000000004</v>
      </c>
      <c r="T43" s="26">
        <f ca="1">SOLID!X58</f>
        <v>-42.674000000000007</v>
      </c>
      <c r="U43" s="26">
        <f ca="1">SOLID!Y58</f>
        <v>-41.923999999999999</v>
      </c>
      <c r="V43" s="26">
        <f ca="1">SOLID!Z58</f>
        <v>-41.363999999999997</v>
      </c>
      <c r="W43" s="26">
        <f ca="1">SOLID!AA58</f>
        <v>-41.82</v>
      </c>
      <c r="X43" s="26">
        <f ca="1">SOLID!AB58</f>
        <v>-42.28</v>
      </c>
      <c r="Y43" s="26">
        <f ca="1">SOLID!AC58</f>
        <v>-44.122</v>
      </c>
      <c r="Z43" s="26">
        <f ca="1">SOLID!AD58</f>
        <v>-44.59</v>
      </c>
      <c r="AA43" s="26">
        <f ca="1">SOLID!AE58</f>
        <v>-45.078000000000003</v>
      </c>
      <c r="AB43" s="26">
        <f ca="1">SOLID!AF58</f>
        <v>-45.566000000000003</v>
      </c>
      <c r="AC43" s="26">
        <f ca="1">SOLID!AG58</f>
        <v>-45.078000000000003</v>
      </c>
      <c r="AD43" s="26">
        <f ca="1">SOLID!AH58</f>
        <v>-45.566000000000003</v>
      </c>
      <c r="AE43" s="26">
        <f ca="1">SOLID!AI58</f>
        <v>-46.07</v>
      </c>
      <c r="AF43" s="26">
        <f ca="1">SOLID!AJ58</f>
        <v>0</v>
      </c>
      <c r="AG43" s="26">
        <f ca="1">SOLID!AK58</f>
        <v>0</v>
      </c>
      <c r="AH43" s="26">
        <f ca="1">SOLID!AL58</f>
        <v>0</v>
      </c>
      <c r="AI43" s="26">
        <f>SOLID!AM58</f>
        <v>0</v>
      </c>
    </row>
    <row r="44" spans="1:45" ht="21.75" outlineLevel="1" thickBot="1" x14ac:dyDescent="0.4">
      <c r="A44" s="57" t="str">
        <f>SOLID!E59</f>
        <v>Ar</v>
      </c>
      <c r="B44" s="28">
        <f ca="1">SOLID!F59</f>
        <v>-18.96</v>
      </c>
      <c r="C44" s="28">
        <f ca="1">SOLID!G59</f>
        <v>-18.95</v>
      </c>
      <c r="D44" s="28">
        <f ca="1">SOLID!H59</f>
        <v>-18.95</v>
      </c>
      <c r="E44" s="28">
        <f ca="1">SOLID!I59</f>
        <v>-18.96</v>
      </c>
      <c r="F44" s="26">
        <f ca="1">SOLID!J59</f>
        <v>-18.98</v>
      </c>
      <c r="G44" s="26">
        <f ca="1">SOLID!K59</f>
        <v>-19.100000000000001</v>
      </c>
      <c r="H44" s="26">
        <f ca="1">SOLID!L59</f>
        <v>-19.14</v>
      </c>
      <c r="I44" s="26">
        <f ca="1">SOLID!M59</f>
        <v>-19.18</v>
      </c>
      <c r="J44" s="26">
        <f ca="1">SOLID!N59</f>
        <v>-19.22</v>
      </c>
      <c r="K44" s="26">
        <f ca="1">SOLID!O59</f>
        <v>-19.260000000000002</v>
      </c>
      <c r="L44" s="26">
        <f ca="1">SOLID!P59</f>
        <v>-19.3</v>
      </c>
      <c r="M44" s="26">
        <f ca="1">SOLID!Q59</f>
        <v>-19.350000000000001</v>
      </c>
      <c r="N44" s="26">
        <f ca="1">SOLID!R59</f>
        <v>-19.39</v>
      </c>
      <c r="O44" s="26">
        <f ca="1">SOLID!S59</f>
        <v>-19.43</v>
      </c>
      <c r="P44" s="26">
        <f ca="1">SOLID!T59</f>
        <v>-19.600000000000001</v>
      </c>
      <c r="Q44" s="26">
        <f ca="1">SOLID!U59</f>
        <v>-19.64</v>
      </c>
      <c r="R44" s="26">
        <f ca="1">SOLID!V59</f>
        <v>-19.68</v>
      </c>
      <c r="S44" s="26">
        <f ca="1">SOLID!W59</f>
        <v>-19.690000000000001</v>
      </c>
      <c r="T44" s="26">
        <f ca="1">SOLID!X59</f>
        <v>-19.5</v>
      </c>
      <c r="U44" s="26">
        <f ca="1">SOLID!Y59</f>
        <v>-19.489999999999998</v>
      </c>
      <c r="V44" s="26">
        <f ca="1">SOLID!Z59</f>
        <v>-19.510000000000002</v>
      </c>
      <c r="W44" s="26">
        <f ca="1">SOLID!AA59</f>
        <v>-19.55</v>
      </c>
      <c r="X44" s="26">
        <f ca="1">SOLID!AB59</f>
        <v>-19.59</v>
      </c>
      <c r="Y44" s="26">
        <f ca="1">SOLID!AC59</f>
        <v>-19.739999999999998</v>
      </c>
      <c r="Z44" s="26">
        <f ca="1">SOLID!AD59</f>
        <v>-19.77</v>
      </c>
      <c r="AA44" s="26">
        <f ca="1">SOLID!AE59</f>
        <v>-19.809999999999999</v>
      </c>
      <c r="AB44" s="26">
        <f ca="1">SOLID!AF59</f>
        <v>-19.850000000000001</v>
      </c>
      <c r="AC44" s="26">
        <f ca="1">SOLID!AG59</f>
        <v>-19.809999999999999</v>
      </c>
      <c r="AD44" s="26">
        <f ca="1">SOLID!AH59</f>
        <v>-19.850000000000001</v>
      </c>
      <c r="AE44" s="26">
        <f ca="1">SOLID!AI59</f>
        <v>-19.88</v>
      </c>
      <c r="AF44" s="26">
        <f ca="1">SOLID!AJ59</f>
        <v>0</v>
      </c>
      <c r="AG44" s="26">
        <f ca="1">SOLID!AK59</f>
        <v>0</v>
      </c>
      <c r="AH44" s="26">
        <f ca="1">SOLID!AL59</f>
        <v>0</v>
      </c>
      <c r="AI44" s="26">
        <f>SOLID!AM59</f>
        <v>0</v>
      </c>
    </row>
    <row r="45" spans="1:45" ht="21.75" outlineLevel="1" thickBot="1" x14ac:dyDescent="0.4">
      <c r="A45" s="57" t="str">
        <f>SOLID!E60</f>
        <v>(l)Ga[l]</v>
      </c>
      <c r="B45" s="28">
        <f ca="1">SOLID!F60</f>
        <v>-66.19</v>
      </c>
      <c r="C45" s="28">
        <f ca="1">SOLID!G60</f>
        <v>-61.98</v>
      </c>
      <c r="D45" s="28">
        <f ca="1">SOLID!H60</f>
        <v>-58.33</v>
      </c>
      <c r="E45" s="28">
        <f ca="1">SOLID!I60</f>
        <v>-55.14</v>
      </c>
      <c r="F45" s="26">
        <f ca="1">SOLID!J60</f>
        <v>-51.35</v>
      </c>
      <c r="G45" s="26">
        <f ca="1">SOLID!K60</f>
        <v>-37</v>
      </c>
      <c r="H45" s="26">
        <f ca="1">SOLID!L60</f>
        <v>-34.130000000000003</v>
      </c>
      <c r="I45" s="26">
        <f ca="1">SOLID!M60</f>
        <v>-31.49</v>
      </c>
      <c r="J45" s="26">
        <f ca="1">SOLID!N60</f>
        <v>-29.04</v>
      </c>
      <c r="K45" s="26">
        <f ca="1">SOLID!O60</f>
        <v>-26.76</v>
      </c>
      <c r="L45" s="26">
        <f ca="1">SOLID!P60</f>
        <v>-24.63</v>
      </c>
      <c r="M45" s="26">
        <f ca="1">SOLID!Q60</f>
        <v>-22.64</v>
      </c>
      <c r="N45" s="26">
        <f ca="1">SOLID!R60</f>
        <v>-20.77</v>
      </c>
      <c r="O45" s="26">
        <f ca="1">SOLID!S60</f>
        <v>-19.010000000000002</v>
      </c>
      <c r="P45" s="26">
        <f ca="1">SOLID!T60</f>
        <v>-12.87</v>
      </c>
      <c r="Q45" s="26">
        <f ca="1">SOLID!U60</f>
        <v>-11.53</v>
      </c>
      <c r="R45" s="26">
        <f ca="1">SOLID!V60</f>
        <v>-10.25</v>
      </c>
      <c r="S45" s="26">
        <f ca="1">SOLID!W60</f>
        <v>-9.0690000000000008</v>
      </c>
      <c r="T45" s="26">
        <f ca="1">SOLID!X60</f>
        <v>-8.5370000000000008</v>
      </c>
      <c r="U45" s="26">
        <f ca="1">SOLID!Y60</f>
        <v>-8.0269999999999992</v>
      </c>
      <c r="V45" s="26">
        <f ca="1">SOLID!Z60</f>
        <v>-7.617</v>
      </c>
      <c r="W45" s="26">
        <f ca="1">SOLID!AA60</f>
        <v>-7.7149999999999999</v>
      </c>
      <c r="X45" s="26">
        <f ca="1">SOLID!AB60</f>
        <v>-7.8150000000000004</v>
      </c>
      <c r="Y45" s="26">
        <f ca="1">SOLID!AC60</f>
        <v>-8.2360000000000007</v>
      </c>
      <c r="Z45" s="26">
        <f ca="1">SOLID!AD60</f>
        <v>-8.35</v>
      </c>
      <c r="AA45" s="26">
        <f ca="1">SOLID!AE60</f>
        <v>-8.4689999999999994</v>
      </c>
      <c r="AB45" s="26">
        <f ca="1">SOLID!AF60</f>
        <v>-8.593</v>
      </c>
      <c r="AC45" s="26">
        <f ca="1">SOLID!AG60</f>
        <v>-8.4689999999999994</v>
      </c>
      <c r="AD45" s="26">
        <f ca="1">SOLID!AH60</f>
        <v>-8.593</v>
      </c>
      <c r="AE45" s="26">
        <f ca="1">SOLID!AI60</f>
        <v>-8.7249999999999996</v>
      </c>
      <c r="AF45" s="26">
        <f ca="1">SOLID!AJ60</f>
        <v>0</v>
      </c>
      <c r="AG45" s="26">
        <f ca="1">SOLID!AK60</f>
        <v>0</v>
      </c>
      <c r="AH45" s="26">
        <f ca="1">SOLID!AL60</f>
        <v>0</v>
      </c>
      <c r="AI45" s="26">
        <f>SOLID!AM60</f>
        <v>0</v>
      </c>
    </row>
    <row r="46" spans="1:45" ht="21.75" outlineLevel="1" thickBot="1" x14ac:dyDescent="0.4">
      <c r="A46" s="57" t="str">
        <f>SOLID!E61</f>
        <v>(l)Ge[l]</v>
      </c>
      <c r="B46" s="28">
        <f ca="1">SOLID!F61</f>
        <v>-16.29</v>
      </c>
      <c r="C46" s="28">
        <f ca="1">SOLID!G61</f>
        <v>-15.52</v>
      </c>
      <c r="D46" s="28">
        <f ca="1">SOLID!H61</f>
        <v>-14.86</v>
      </c>
      <c r="E46" s="28">
        <f ca="1">SOLID!I61</f>
        <v>-14.3</v>
      </c>
      <c r="F46" s="26">
        <f ca="1">SOLID!J61</f>
        <v>-13.17</v>
      </c>
      <c r="G46" s="26">
        <f ca="1">SOLID!K61</f>
        <v>-7.9130000000000003</v>
      </c>
      <c r="H46" s="26">
        <f ca="1">SOLID!L61</f>
        <v>-6.851</v>
      </c>
      <c r="I46" s="26">
        <f ca="1">SOLID!M61</f>
        <v>-5.867</v>
      </c>
      <c r="J46" s="26">
        <f ca="1">SOLID!N61</f>
        <v>-4.9489999999999998</v>
      </c>
      <c r="K46" s="26">
        <f ca="1">SOLID!O61</f>
        <v>-4.101</v>
      </c>
      <c r="L46" s="26">
        <f ca="1">SOLID!P61</f>
        <v>-4.1500000000000004</v>
      </c>
      <c r="M46" s="26">
        <f ca="1">SOLID!Q61</f>
        <v>-4.2</v>
      </c>
      <c r="N46" s="26">
        <f ca="1">SOLID!R61</f>
        <v>-4.2489999999999997</v>
      </c>
      <c r="O46" s="26">
        <f ca="1">SOLID!S61</f>
        <v>-4.2990000000000004</v>
      </c>
      <c r="P46" s="26">
        <f ca="1">SOLID!T61</f>
        <v>-4.4989999999999997</v>
      </c>
      <c r="Q46" s="26">
        <f ca="1">SOLID!U61</f>
        <v>-4.5490000000000004</v>
      </c>
      <c r="R46" s="26">
        <f ca="1">SOLID!V61</f>
        <v>-4.5979999999999999</v>
      </c>
      <c r="S46" s="26">
        <f ca="1">SOLID!W61</f>
        <v>-4.6470000000000002</v>
      </c>
      <c r="T46" s="26">
        <f ca="1">SOLID!X61</f>
        <v>-4.6959999999999997</v>
      </c>
      <c r="U46" s="26">
        <f ca="1">SOLID!Y61</f>
        <v>-4.7439999999999998</v>
      </c>
      <c r="V46" s="26">
        <f ca="1">SOLID!Z61</f>
        <v>-4.7919999999999998</v>
      </c>
      <c r="W46" s="26">
        <f ca="1">SOLID!AA61</f>
        <v>-4.84</v>
      </c>
      <c r="X46" s="26">
        <f ca="1">SOLID!AB61</f>
        <v>-4.8869999999999996</v>
      </c>
      <c r="Y46" s="26">
        <f ca="1">SOLID!AC61</f>
        <v>-5.0709999999999997</v>
      </c>
      <c r="Z46" s="26">
        <f ca="1">SOLID!AD61</f>
        <v>-5.1159999999999997</v>
      </c>
      <c r="AA46" s="26">
        <f ca="1">SOLID!AE61</f>
        <v>-5.1609999999999996</v>
      </c>
      <c r="AB46" s="26">
        <f ca="1">SOLID!AF61</f>
        <v>-5.2060000000000004</v>
      </c>
      <c r="AC46" s="26">
        <f ca="1">SOLID!AG61</f>
        <v>-5.1609999999999996</v>
      </c>
      <c r="AD46" s="26">
        <f ca="1">SOLID!AH61</f>
        <v>-5.2060000000000004</v>
      </c>
      <c r="AE46" s="26">
        <f ca="1">SOLID!AI61</f>
        <v>-5.25</v>
      </c>
      <c r="AF46" s="26">
        <f ca="1">SOLID!AJ61</f>
        <v>0</v>
      </c>
      <c r="AG46" s="26">
        <f ca="1">SOLID!AK61</f>
        <v>0</v>
      </c>
      <c r="AH46" s="26">
        <f ca="1">SOLID!AL61</f>
        <v>0</v>
      </c>
      <c r="AI46" s="26">
        <f>SOLID!AM61</f>
        <v>0</v>
      </c>
    </row>
    <row r="47" spans="1:45" ht="21.75" outlineLevel="1" thickBot="1" x14ac:dyDescent="0.4">
      <c r="A47" s="57" t="str">
        <f>SOLID!E62</f>
        <v>H (Ar)</v>
      </c>
      <c r="B47" s="28">
        <f ca="1">SOLID!F62</f>
        <v>-18.96</v>
      </c>
      <c r="C47" s="28">
        <f ca="1">SOLID!G62</f>
        <v>-18.95</v>
      </c>
      <c r="D47" s="28">
        <f ca="1">SOLID!H62</f>
        <v>-18.95</v>
      </c>
      <c r="E47" s="28">
        <f ca="1">SOLID!I62</f>
        <v>-18.96</v>
      </c>
      <c r="F47" s="26">
        <f ca="1">SOLID!J62</f>
        <v>-18.98</v>
      </c>
      <c r="G47" s="26">
        <f ca="1">SOLID!K62</f>
        <v>-19.100000000000001</v>
      </c>
      <c r="H47" s="26">
        <f ca="1">SOLID!L62</f>
        <v>-19.14</v>
      </c>
      <c r="I47" s="26">
        <f ca="1">SOLID!M62</f>
        <v>-19.18</v>
      </c>
      <c r="J47" s="26">
        <f ca="1">SOLID!N62</f>
        <v>-19.22</v>
      </c>
      <c r="K47" s="26">
        <f ca="1">SOLID!O62</f>
        <v>-19.260000000000002</v>
      </c>
      <c r="L47" s="26">
        <f ca="1">SOLID!P62</f>
        <v>-19.3</v>
      </c>
      <c r="M47" s="26">
        <f ca="1">SOLID!Q62</f>
        <v>-19.350000000000001</v>
      </c>
      <c r="N47" s="26">
        <f ca="1">SOLID!R62</f>
        <v>-19.39</v>
      </c>
      <c r="O47" s="26">
        <f ca="1">SOLID!S62</f>
        <v>-19.43</v>
      </c>
      <c r="P47" s="26">
        <f ca="1">SOLID!T62</f>
        <v>-19.600000000000001</v>
      </c>
      <c r="Q47" s="26">
        <f ca="1">SOLID!U62</f>
        <v>-19.64</v>
      </c>
      <c r="R47" s="26">
        <f ca="1">SOLID!V62</f>
        <v>-19.68</v>
      </c>
      <c r="S47" s="26">
        <f ca="1">SOLID!W62</f>
        <v>-19.690000000000001</v>
      </c>
      <c r="T47" s="26">
        <f ca="1">SOLID!X62</f>
        <v>-19.5</v>
      </c>
      <c r="U47" s="26">
        <f ca="1">SOLID!Y62</f>
        <v>-19.489999999999998</v>
      </c>
      <c r="V47" s="26">
        <f ca="1">SOLID!Z62</f>
        <v>-19.510000000000002</v>
      </c>
      <c r="W47" s="26">
        <f ca="1">SOLID!AA62</f>
        <v>-19.55</v>
      </c>
      <c r="X47" s="26">
        <f ca="1">SOLID!AB62</f>
        <v>-19.59</v>
      </c>
      <c r="Y47" s="26">
        <f ca="1">SOLID!AC62</f>
        <v>-19.739999999999998</v>
      </c>
      <c r="Z47" s="26">
        <f ca="1">SOLID!AD62</f>
        <v>-19.77</v>
      </c>
      <c r="AA47" s="26">
        <f ca="1">SOLID!AE62</f>
        <v>-19.809999999999999</v>
      </c>
      <c r="AB47" s="26">
        <f ca="1">SOLID!AF62</f>
        <v>-19.850000000000001</v>
      </c>
      <c r="AC47" s="26">
        <f ca="1">SOLID!AG62</f>
        <v>-19.809999999999999</v>
      </c>
      <c r="AD47" s="26">
        <f ca="1">SOLID!AH62</f>
        <v>-19.850000000000001</v>
      </c>
      <c r="AE47" s="26">
        <f ca="1">SOLID!AI62</f>
        <v>-19.88</v>
      </c>
      <c r="AF47" s="26">
        <f ca="1">SOLID!AJ62</f>
        <v>0</v>
      </c>
      <c r="AG47" s="26">
        <f ca="1">SOLID!AK62</f>
        <v>0</v>
      </c>
      <c r="AH47" s="26">
        <f ca="1">SOLID!AL62</f>
        <v>0</v>
      </c>
      <c r="AI47" s="26">
        <f>SOLID!AM62</f>
        <v>0</v>
      </c>
    </row>
    <row r="48" spans="1:45" ht="21.75" outlineLevel="1" thickBot="1" x14ac:dyDescent="0.4">
      <c r="A48" s="57" t="str">
        <f>SOLID!E63</f>
        <v>H (Ga)</v>
      </c>
      <c r="B48" s="28">
        <f ca="1">SOLID!F63</f>
        <v>-66.19</v>
      </c>
      <c r="C48" s="28">
        <f ca="1">SOLID!G63</f>
        <v>-61.98</v>
      </c>
      <c r="D48" s="28">
        <f ca="1">SOLID!H63</f>
        <v>-58.33</v>
      </c>
      <c r="E48" s="28">
        <f ca="1">SOLID!I63</f>
        <v>-55.14</v>
      </c>
      <c r="F48" s="26">
        <f ca="1">SOLID!J63</f>
        <v>-51.35</v>
      </c>
      <c r="G48" s="26">
        <f ca="1">SOLID!K63</f>
        <v>-37</v>
      </c>
      <c r="H48" s="26">
        <f ca="1">SOLID!L63</f>
        <v>-34.130000000000003</v>
      </c>
      <c r="I48" s="26">
        <f ca="1">SOLID!M63</f>
        <v>-31.49</v>
      </c>
      <c r="J48" s="26">
        <f ca="1">SOLID!N63</f>
        <v>-29.04</v>
      </c>
      <c r="K48" s="26">
        <f ca="1">SOLID!O63</f>
        <v>-26.76</v>
      </c>
      <c r="L48" s="26">
        <f ca="1">SOLID!P63</f>
        <v>-24.63</v>
      </c>
      <c r="M48" s="26">
        <f ca="1">SOLID!Q63</f>
        <v>-22.64</v>
      </c>
      <c r="N48" s="26">
        <f ca="1">SOLID!R63</f>
        <v>-20.77</v>
      </c>
      <c r="O48" s="26">
        <f ca="1">SOLID!S63</f>
        <v>-19.010000000000002</v>
      </c>
      <c r="P48" s="26">
        <f ca="1">SOLID!T63</f>
        <v>-12.87</v>
      </c>
      <c r="Q48" s="26">
        <f ca="1">SOLID!U63</f>
        <v>-11.53</v>
      </c>
      <c r="R48" s="26">
        <f ca="1">SOLID!V63</f>
        <v>-10.25</v>
      </c>
      <c r="S48" s="26">
        <f ca="1">SOLID!W63</f>
        <v>-9.0690000000000008</v>
      </c>
      <c r="T48" s="26">
        <f ca="1">SOLID!X63</f>
        <v>-8.5370000000000008</v>
      </c>
      <c r="U48" s="26">
        <f ca="1">SOLID!Y63</f>
        <v>-8.0269999999999992</v>
      </c>
      <c r="V48" s="26">
        <f ca="1">SOLID!Z63</f>
        <v>-7.617</v>
      </c>
      <c r="W48" s="26">
        <f ca="1">SOLID!AA63</f>
        <v>-7.7149999999999999</v>
      </c>
      <c r="X48" s="26">
        <f ca="1">SOLID!AB63</f>
        <v>-7.8150000000000004</v>
      </c>
      <c r="Y48" s="26">
        <f ca="1">SOLID!AC63</f>
        <v>-8.2360000000000007</v>
      </c>
      <c r="Z48" s="26">
        <f ca="1">SOLID!AD63</f>
        <v>-8.35</v>
      </c>
      <c r="AA48" s="26">
        <f ca="1">SOLID!AE63</f>
        <v>-8.4689999999999994</v>
      </c>
      <c r="AB48" s="26">
        <f ca="1">SOLID!AF63</f>
        <v>-8.593</v>
      </c>
      <c r="AC48" s="26">
        <f ca="1">SOLID!AG63</f>
        <v>-8.4689999999999994</v>
      </c>
      <c r="AD48" s="26">
        <f ca="1">SOLID!AH63</f>
        <v>-8.593</v>
      </c>
      <c r="AE48" s="26">
        <f ca="1">SOLID!AI63</f>
        <v>-8.7249999999999996</v>
      </c>
      <c r="AF48" s="26">
        <f ca="1">SOLID!AJ63</f>
        <v>0</v>
      </c>
      <c r="AG48" s="26">
        <f ca="1">SOLID!AK63</f>
        <v>0</v>
      </c>
      <c r="AH48" s="26">
        <f ca="1">SOLID!AL63</f>
        <v>0</v>
      </c>
      <c r="AI48" s="26">
        <f>SOLID!AM63</f>
        <v>0</v>
      </c>
    </row>
    <row r="49" spans="1:35" ht="21.75" outlineLevel="1" thickBot="1" x14ac:dyDescent="0.4">
      <c r="A49" s="57" t="str">
        <f>SOLID!E64</f>
        <v>H (Ge)</v>
      </c>
      <c r="B49" s="28">
        <f ca="1">SOLID!F64</f>
        <v>-16.29</v>
      </c>
      <c r="C49" s="28">
        <f ca="1">SOLID!G64</f>
        <v>-15.52</v>
      </c>
      <c r="D49" s="28">
        <f ca="1">SOLID!H64</f>
        <v>-14.86</v>
      </c>
      <c r="E49" s="28">
        <f ca="1">SOLID!I64</f>
        <v>-14.3</v>
      </c>
      <c r="F49" s="26">
        <f ca="1">SOLID!J64</f>
        <v>-13.17</v>
      </c>
      <c r="G49" s="26">
        <f ca="1">SOLID!K64</f>
        <v>-7.9130000000000003</v>
      </c>
      <c r="H49" s="26">
        <f ca="1">SOLID!L64</f>
        <v>-6.851</v>
      </c>
      <c r="I49" s="26">
        <f ca="1">SOLID!M64</f>
        <v>-5.867</v>
      </c>
      <c r="J49" s="26">
        <f ca="1">SOLID!N64</f>
        <v>-4.9489999999999998</v>
      </c>
      <c r="K49" s="26">
        <f ca="1">SOLID!O64</f>
        <v>-4.101</v>
      </c>
      <c r="L49" s="26">
        <f ca="1">SOLID!P64</f>
        <v>-4.1500000000000004</v>
      </c>
      <c r="M49" s="26">
        <f ca="1">SOLID!Q64</f>
        <v>-4.2</v>
      </c>
      <c r="N49" s="26">
        <f ca="1">SOLID!R64</f>
        <v>-4.2489999999999997</v>
      </c>
      <c r="O49" s="26">
        <f ca="1">SOLID!S64</f>
        <v>-4.2990000000000004</v>
      </c>
      <c r="P49" s="26">
        <f ca="1">SOLID!T64</f>
        <v>-4.4989999999999997</v>
      </c>
      <c r="Q49" s="26">
        <f ca="1">SOLID!U64</f>
        <v>-4.5490000000000004</v>
      </c>
      <c r="R49" s="26">
        <f ca="1">SOLID!V64</f>
        <v>-4.5979999999999999</v>
      </c>
      <c r="S49" s="26">
        <f ca="1">SOLID!W64</f>
        <v>-4.6470000000000002</v>
      </c>
      <c r="T49" s="26">
        <f ca="1">SOLID!X64</f>
        <v>-4.6959999999999997</v>
      </c>
      <c r="U49" s="26">
        <f ca="1">SOLID!Y64</f>
        <v>-4.7439999999999998</v>
      </c>
      <c r="V49" s="26">
        <f ca="1">SOLID!Z64</f>
        <v>-4.7919999999999998</v>
      </c>
      <c r="W49" s="26">
        <f ca="1">SOLID!AA64</f>
        <v>-4.84</v>
      </c>
      <c r="X49" s="26">
        <f ca="1">SOLID!AB64</f>
        <v>-4.8869999999999996</v>
      </c>
      <c r="Y49" s="26">
        <f ca="1">SOLID!AC64</f>
        <v>-5.0709999999999997</v>
      </c>
      <c r="Z49" s="26">
        <f ca="1">SOLID!AD64</f>
        <v>-5.1159999999999997</v>
      </c>
      <c r="AA49" s="26">
        <f ca="1">SOLID!AE64</f>
        <v>-5.1609999999999996</v>
      </c>
      <c r="AB49" s="26">
        <f ca="1">SOLID!AF64</f>
        <v>-5.2060000000000004</v>
      </c>
      <c r="AC49" s="26">
        <f ca="1">SOLID!AG64</f>
        <v>-5.1609999999999996</v>
      </c>
      <c r="AD49" s="26">
        <f ca="1">SOLID!AH64</f>
        <v>-5.2060000000000004</v>
      </c>
      <c r="AE49" s="26">
        <f ca="1">SOLID!AI64</f>
        <v>-5.25</v>
      </c>
      <c r="AF49" s="26">
        <f ca="1">SOLID!AJ64</f>
        <v>0</v>
      </c>
      <c r="AG49" s="26">
        <f ca="1">SOLID!AK64</f>
        <v>0</v>
      </c>
      <c r="AH49" s="26">
        <f ca="1">SOLID!AL64</f>
        <v>0</v>
      </c>
      <c r="AI49" s="26">
        <f>SOLID!AM64</f>
        <v>0</v>
      </c>
    </row>
    <row r="50" spans="1:35" ht="21.75" outlineLevel="1" thickBot="1" x14ac:dyDescent="0.4">
      <c r="A50" s="57" t="str">
        <f>SOLID!E65</f>
        <v>H (Se)</v>
      </c>
      <c r="B50" s="28">
        <f ca="1">SOLID!F65</f>
        <v>-23.52</v>
      </c>
      <c r="C50" s="28">
        <f ca="1">SOLID!G65</f>
        <v>-22.18</v>
      </c>
      <c r="D50" s="28">
        <f ca="1">SOLID!H65</f>
        <v>-21.02</v>
      </c>
      <c r="E50" s="28">
        <f ca="1">SOLID!I65</f>
        <v>-20.010000000000002</v>
      </c>
      <c r="F50" s="26">
        <f ca="1">SOLID!J65</f>
        <v>-19.77</v>
      </c>
      <c r="G50" s="26">
        <f ca="1">SOLID!K65</f>
        <v>-20.97</v>
      </c>
      <c r="H50" s="26">
        <f ca="1">SOLID!L65</f>
        <v>-21.27</v>
      </c>
      <c r="I50" s="26">
        <f ca="1">SOLID!M65</f>
        <v>-21.58</v>
      </c>
      <c r="J50" s="26">
        <f ca="1">SOLID!N65</f>
        <v>-21.88</v>
      </c>
      <c r="K50" s="26">
        <f ca="1">SOLID!O65</f>
        <v>-22.19</v>
      </c>
      <c r="L50" s="26">
        <f ca="1">SOLID!P65</f>
        <v>-22.49</v>
      </c>
      <c r="M50" s="26">
        <f ca="1">SOLID!Q65</f>
        <v>-22.79</v>
      </c>
      <c r="N50" s="26">
        <f ca="1">SOLID!R65</f>
        <v>-23.08</v>
      </c>
      <c r="O50" s="26">
        <f ca="1">SOLID!S65</f>
        <v>-23.37</v>
      </c>
      <c r="P50" s="26">
        <f ca="1">SOLID!T65</f>
        <v>-24.51</v>
      </c>
      <c r="Q50" s="26">
        <f ca="1">SOLID!U65</f>
        <v>-24.79</v>
      </c>
      <c r="R50" s="26">
        <f ca="1">SOLID!V65</f>
        <v>-25.06</v>
      </c>
      <c r="S50" s="26">
        <f ca="1">SOLID!W65</f>
        <v>-25.33</v>
      </c>
      <c r="T50" s="26">
        <f ca="1">SOLID!X65</f>
        <v>-25.6</v>
      </c>
      <c r="U50" s="26">
        <f ca="1">SOLID!Y65</f>
        <v>-25.87</v>
      </c>
      <c r="V50" s="26">
        <f ca="1">SOLID!Z65</f>
        <v>-26.13</v>
      </c>
      <c r="W50" s="26">
        <f ca="1">SOLID!AA65</f>
        <v>-26.39</v>
      </c>
      <c r="X50" s="26">
        <f ca="1">SOLID!AB65</f>
        <v>-26.65</v>
      </c>
      <c r="Y50" s="26">
        <f ca="1">SOLID!AC65</f>
        <v>-27.65</v>
      </c>
      <c r="Z50" s="26">
        <f ca="1">SOLID!AD65</f>
        <v>-27.89</v>
      </c>
      <c r="AA50" s="26">
        <f ca="1">SOLID!AE65</f>
        <v>-28.14</v>
      </c>
      <c r="AB50" s="26">
        <f ca="1">SOLID!AF65</f>
        <v>-28.38</v>
      </c>
      <c r="AC50" s="26">
        <f ca="1">SOLID!AG65</f>
        <v>-28.14</v>
      </c>
      <c r="AD50" s="26">
        <f ca="1">SOLID!AH65</f>
        <v>-28.38</v>
      </c>
      <c r="AE50" s="26">
        <f ca="1">SOLID!AI65</f>
        <v>-28.62</v>
      </c>
      <c r="AF50" s="26">
        <f ca="1">SOLID!AJ65</f>
        <v>0</v>
      </c>
      <c r="AG50" s="26">
        <f ca="1">SOLID!AK65</f>
        <v>0</v>
      </c>
      <c r="AH50" s="26">
        <f ca="1">SOLID!AL65</f>
        <v>0</v>
      </c>
      <c r="AI50" s="26">
        <f>SOLID!AM65</f>
        <v>0</v>
      </c>
    </row>
    <row r="51" spans="1:35" ht="21.75" outlineLevel="1" thickBot="1" x14ac:dyDescent="0.4">
      <c r="A51" s="57">
        <f>SOLID!E66</f>
        <v>0</v>
      </c>
      <c r="B51" s="28">
        <f ca="1">SOLID!F66</f>
        <v>0</v>
      </c>
      <c r="C51" s="28">
        <f ca="1">SOLID!G66</f>
        <v>0</v>
      </c>
      <c r="D51" s="28">
        <f ca="1">SOLID!H66</f>
        <v>0</v>
      </c>
      <c r="E51" s="28">
        <f ca="1">SOLID!I66</f>
        <v>0</v>
      </c>
      <c r="F51" s="26">
        <f ca="1">SOLID!J66</f>
        <v>0</v>
      </c>
      <c r="G51" s="26">
        <f ca="1">SOLID!K66</f>
        <v>0</v>
      </c>
      <c r="H51" s="26">
        <f ca="1">SOLID!L66</f>
        <v>0</v>
      </c>
      <c r="I51" s="26">
        <f ca="1">SOLID!M66</f>
        <v>0</v>
      </c>
      <c r="J51" s="26">
        <f ca="1">SOLID!N66</f>
        <v>0</v>
      </c>
      <c r="K51" s="26">
        <f ca="1">SOLID!O66</f>
        <v>0</v>
      </c>
      <c r="L51" s="26">
        <f ca="1">SOLID!P66</f>
        <v>0</v>
      </c>
      <c r="M51" s="26">
        <f ca="1">SOLID!Q66</f>
        <v>0</v>
      </c>
      <c r="N51" s="26">
        <f ca="1">SOLID!R66</f>
        <v>0</v>
      </c>
      <c r="O51" s="26">
        <f ca="1">SOLID!S66</f>
        <v>0</v>
      </c>
      <c r="P51" s="26">
        <f ca="1">SOLID!T66</f>
        <v>0</v>
      </c>
      <c r="Q51" s="26">
        <f ca="1">SOLID!U66</f>
        <v>0</v>
      </c>
      <c r="R51" s="26">
        <f ca="1">SOLID!V66</f>
        <v>0</v>
      </c>
      <c r="S51" s="26">
        <f ca="1">SOLID!W66</f>
        <v>0</v>
      </c>
      <c r="T51" s="26">
        <f ca="1">SOLID!X66</f>
        <v>0</v>
      </c>
      <c r="U51" s="26">
        <f ca="1">SOLID!Y66</f>
        <v>0</v>
      </c>
      <c r="V51" s="26">
        <f ca="1">SOLID!Z66</f>
        <v>0</v>
      </c>
      <c r="W51" s="26">
        <f ca="1">SOLID!AA66</f>
        <v>0</v>
      </c>
      <c r="X51" s="26">
        <f ca="1">SOLID!AB66</f>
        <v>0</v>
      </c>
      <c r="Y51" s="26">
        <f ca="1">SOLID!AC66</f>
        <v>0</v>
      </c>
      <c r="Z51" s="26">
        <f ca="1">SOLID!AD66</f>
        <v>0</v>
      </c>
      <c r="AA51" s="26">
        <f ca="1">SOLID!AE66</f>
        <v>0</v>
      </c>
      <c r="AB51" s="26">
        <f ca="1">SOLID!AF66</f>
        <v>0</v>
      </c>
      <c r="AC51" s="26">
        <f ca="1">SOLID!AG66</f>
        <v>0</v>
      </c>
      <c r="AD51" s="26">
        <f ca="1">SOLID!AH66</f>
        <v>0</v>
      </c>
      <c r="AE51" s="26">
        <f ca="1">SOLID!AI66</f>
        <v>0</v>
      </c>
      <c r="AF51" s="26">
        <f ca="1">SOLID!AJ66</f>
        <v>0</v>
      </c>
      <c r="AG51" s="26">
        <f ca="1">SOLID!AK66</f>
        <v>0</v>
      </c>
      <c r="AH51" s="26">
        <f ca="1">SOLID!AL66</f>
        <v>0</v>
      </c>
      <c r="AI51" s="26">
        <f>SOLID!AM66</f>
        <v>0</v>
      </c>
    </row>
    <row r="52" spans="1:35" ht="21.75" outlineLevel="1" thickBot="1" x14ac:dyDescent="0.4">
      <c r="A52" s="57">
        <f>SOLID!E67</f>
        <v>0</v>
      </c>
      <c r="B52" s="28">
        <f ca="1">SOLID!F67</f>
        <v>0</v>
      </c>
      <c r="C52" s="28">
        <f ca="1">SOLID!G67</f>
        <v>0</v>
      </c>
      <c r="D52" s="28">
        <f ca="1">SOLID!H67</f>
        <v>0</v>
      </c>
      <c r="E52" s="28">
        <f ca="1">SOLID!I67</f>
        <v>0</v>
      </c>
      <c r="F52" s="26">
        <f ca="1">SOLID!J67</f>
        <v>0</v>
      </c>
      <c r="G52" s="26">
        <f ca="1">SOLID!K67</f>
        <v>0</v>
      </c>
      <c r="H52" s="26">
        <f ca="1">SOLID!L67</f>
        <v>0</v>
      </c>
      <c r="I52" s="26">
        <f ca="1">SOLID!M67</f>
        <v>0</v>
      </c>
      <c r="J52" s="26">
        <f ca="1">SOLID!N67</f>
        <v>0</v>
      </c>
      <c r="K52" s="26">
        <f ca="1">SOLID!O67</f>
        <v>0</v>
      </c>
      <c r="L52" s="26">
        <f ca="1">SOLID!P67</f>
        <v>0</v>
      </c>
      <c r="M52" s="26">
        <f ca="1">SOLID!Q67</f>
        <v>0</v>
      </c>
      <c r="N52" s="26">
        <f ca="1">SOLID!R67</f>
        <v>0</v>
      </c>
      <c r="O52" s="26">
        <f ca="1">SOLID!S67</f>
        <v>0</v>
      </c>
      <c r="P52" s="26">
        <f ca="1">SOLID!T67</f>
        <v>0</v>
      </c>
      <c r="Q52" s="26">
        <f ca="1">SOLID!U67</f>
        <v>0</v>
      </c>
      <c r="R52" s="26">
        <f ca="1">SOLID!V67</f>
        <v>0</v>
      </c>
      <c r="S52" s="26">
        <f ca="1">SOLID!W67</f>
        <v>0</v>
      </c>
      <c r="T52" s="26">
        <f ca="1">SOLID!X67</f>
        <v>0</v>
      </c>
      <c r="U52" s="26">
        <f ca="1">SOLID!Y67</f>
        <v>0</v>
      </c>
      <c r="V52" s="26">
        <f ca="1">SOLID!Z67</f>
        <v>0</v>
      </c>
      <c r="W52" s="26">
        <f ca="1">SOLID!AA67</f>
        <v>0</v>
      </c>
      <c r="X52" s="26">
        <f ca="1">SOLID!AB67</f>
        <v>0</v>
      </c>
      <c r="Y52" s="26">
        <f ca="1">SOLID!AC67</f>
        <v>0</v>
      </c>
      <c r="Z52" s="26">
        <f ca="1">SOLID!AD67</f>
        <v>0</v>
      </c>
      <c r="AA52" s="26">
        <f ca="1">SOLID!AE67</f>
        <v>0</v>
      </c>
      <c r="AB52" s="26">
        <f ca="1">SOLID!AF67</f>
        <v>0</v>
      </c>
      <c r="AC52" s="26">
        <f ca="1">SOLID!AG67</f>
        <v>0</v>
      </c>
      <c r="AD52" s="26">
        <f ca="1">SOLID!AH67</f>
        <v>0</v>
      </c>
      <c r="AE52" s="26">
        <f ca="1">SOLID!AI67</f>
        <v>0</v>
      </c>
      <c r="AF52" s="26">
        <f ca="1">SOLID!AJ67</f>
        <v>0</v>
      </c>
      <c r="AG52" s="26">
        <f ca="1">SOLID!AK67</f>
        <v>0</v>
      </c>
      <c r="AH52" s="26">
        <f ca="1">SOLID!AL67</f>
        <v>0</v>
      </c>
      <c r="AI52" s="26">
        <f>SOLID!AM67</f>
        <v>0</v>
      </c>
    </row>
    <row r="53" spans="1:35" ht="21.75" outlineLevel="1" thickBot="1" x14ac:dyDescent="0.4">
      <c r="A53" s="57">
        <f>SOLID!E68</f>
        <v>0</v>
      </c>
      <c r="B53" s="28">
        <f ca="1">SOLID!F68</f>
        <v>0</v>
      </c>
      <c r="C53" s="28">
        <f ca="1">SOLID!G68</f>
        <v>0</v>
      </c>
      <c r="D53" s="28">
        <f ca="1">SOLID!H68</f>
        <v>0</v>
      </c>
      <c r="E53" s="28">
        <f ca="1">SOLID!I68</f>
        <v>0</v>
      </c>
      <c r="F53" s="26">
        <f ca="1">SOLID!J68</f>
        <v>0</v>
      </c>
      <c r="G53" s="26">
        <f ca="1">SOLID!K68</f>
        <v>0</v>
      </c>
      <c r="H53" s="26">
        <f ca="1">SOLID!L68</f>
        <v>0</v>
      </c>
      <c r="I53" s="26">
        <f ca="1">SOLID!M68</f>
        <v>0</v>
      </c>
      <c r="J53" s="26">
        <f ca="1">SOLID!N68</f>
        <v>0</v>
      </c>
      <c r="K53" s="26">
        <f ca="1">SOLID!O68</f>
        <v>0</v>
      </c>
      <c r="L53" s="26">
        <f ca="1">SOLID!P68</f>
        <v>0</v>
      </c>
      <c r="M53" s="26">
        <f ca="1">SOLID!Q68</f>
        <v>0</v>
      </c>
      <c r="N53" s="26">
        <f ca="1">SOLID!R68</f>
        <v>0</v>
      </c>
      <c r="O53" s="26">
        <f ca="1">SOLID!S68</f>
        <v>0</v>
      </c>
      <c r="P53" s="26">
        <f ca="1">SOLID!T68</f>
        <v>0</v>
      </c>
      <c r="Q53" s="26">
        <f ca="1">SOLID!U68</f>
        <v>0</v>
      </c>
      <c r="R53" s="26">
        <f ca="1">SOLID!V68</f>
        <v>0</v>
      </c>
      <c r="S53" s="26">
        <f ca="1">SOLID!W68</f>
        <v>0</v>
      </c>
      <c r="T53" s="26">
        <f ca="1">SOLID!X68</f>
        <v>0</v>
      </c>
      <c r="U53" s="26">
        <f ca="1">SOLID!Y68</f>
        <v>0</v>
      </c>
      <c r="V53" s="26">
        <f ca="1">SOLID!Z68</f>
        <v>0</v>
      </c>
      <c r="W53" s="26">
        <f ca="1">SOLID!AA68</f>
        <v>0</v>
      </c>
      <c r="X53" s="26">
        <f ca="1">SOLID!AB68</f>
        <v>0</v>
      </c>
      <c r="Y53" s="26">
        <f ca="1">SOLID!AC68</f>
        <v>0</v>
      </c>
      <c r="Z53" s="26">
        <f ca="1">SOLID!AD68</f>
        <v>0</v>
      </c>
      <c r="AA53" s="26">
        <f ca="1">SOLID!AE68</f>
        <v>0</v>
      </c>
      <c r="AB53" s="26">
        <f ca="1">SOLID!AF68</f>
        <v>0</v>
      </c>
      <c r="AC53" s="26">
        <f ca="1">SOLID!AG68</f>
        <v>0</v>
      </c>
      <c r="AD53" s="26">
        <f ca="1">SOLID!AH68</f>
        <v>0</v>
      </c>
      <c r="AE53" s="26">
        <f ca="1">SOLID!AI68</f>
        <v>0</v>
      </c>
      <c r="AF53" s="26">
        <f ca="1">SOLID!AJ68</f>
        <v>0</v>
      </c>
      <c r="AG53" s="26">
        <f ca="1">SOLID!AK68</f>
        <v>0</v>
      </c>
      <c r="AH53" s="26">
        <f ca="1">SOLID!AL68</f>
        <v>0</v>
      </c>
      <c r="AI53" s="26">
        <f>SOLID!AM68</f>
        <v>0</v>
      </c>
    </row>
    <row r="54" spans="1:35" ht="21.75" outlineLevel="1" thickBot="1" x14ac:dyDescent="0.4">
      <c r="A54" s="57">
        <f>SOLID!E69</f>
        <v>0</v>
      </c>
      <c r="B54" s="28">
        <f ca="1">SOLID!F69</f>
        <v>0</v>
      </c>
      <c r="C54" s="28">
        <f ca="1">SOLID!G69</f>
        <v>0</v>
      </c>
      <c r="D54" s="28">
        <f ca="1">SOLID!H69</f>
        <v>0</v>
      </c>
      <c r="E54" s="28">
        <f ca="1">SOLID!I69</f>
        <v>0</v>
      </c>
      <c r="F54" s="26">
        <f ca="1">SOLID!J69</f>
        <v>0</v>
      </c>
      <c r="G54" s="26">
        <f ca="1">SOLID!K69</f>
        <v>0</v>
      </c>
      <c r="H54" s="26">
        <f ca="1">SOLID!L69</f>
        <v>0</v>
      </c>
      <c r="I54" s="26">
        <f ca="1">SOLID!M69</f>
        <v>0</v>
      </c>
      <c r="J54" s="26">
        <f ca="1">SOLID!N69</f>
        <v>0</v>
      </c>
      <c r="K54" s="26">
        <f ca="1">SOLID!O69</f>
        <v>0</v>
      </c>
      <c r="L54" s="26">
        <f ca="1">SOLID!P69</f>
        <v>0</v>
      </c>
      <c r="M54" s="26">
        <f ca="1">SOLID!Q69</f>
        <v>0</v>
      </c>
      <c r="N54" s="26">
        <f ca="1">SOLID!R69</f>
        <v>0</v>
      </c>
      <c r="O54" s="26">
        <f ca="1">SOLID!S69</f>
        <v>0</v>
      </c>
      <c r="P54" s="26">
        <f ca="1">SOLID!T69</f>
        <v>0</v>
      </c>
      <c r="Q54" s="26">
        <f ca="1">SOLID!U69</f>
        <v>0</v>
      </c>
      <c r="R54" s="26">
        <f ca="1">SOLID!V69</f>
        <v>0</v>
      </c>
      <c r="S54" s="26">
        <f ca="1">SOLID!W69</f>
        <v>0</v>
      </c>
      <c r="T54" s="26">
        <f ca="1">SOLID!X69</f>
        <v>0</v>
      </c>
      <c r="U54" s="26">
        <f ca="1">SOLID!Y69</f>
        <v>0</v>
      </c>
      <c r="V54" s="26">
        <f ca="1">SOLID!Z69</f>
        <v>0</v>
      </c>
      <c r="W54" s="26">
        <f ca="1">SOLID!AA69</f>
        <v>0</v>
      </c>
      <c r="X54" s="26">
        <f ca="1">SOLID!AB69</f>
        <v>0</v>
      </c>
      <c r="Y54" s="26">
        <f ca="1">SOLID!AC69</f>
        <v>0</v>
      </c>
      <c r="Z54" s="26">
        <f ca="1">SOLID!AD69</f>
        <v>0</v>
      </c>
      <c r="AA54" s="26">
        <f ca="1">SOLID!AE69</f>
        <v>0</v>
      </c>
      <c r="AB54" s="26">
        <f ca="1">SOLID!AF69</f>
        <v>0</v>
      </c>
      <c r="AC54" s="26">
        <f ca="1">SOLID!AG69</f>
        <v>0</v>
      </c>
      <c r="AD54" s="26">
        <f ca="1">SOLID!AH69</f>
        <v>0</v>
      </c>
      <c r="AE54" s="26">
        <f ca="1">SOLID!AI69</f>
        <v>0</v>
      </c>
      <c r="AF54" s="26">
        <f ca="1">SOLID!AJ69</f>
        <v>0</v>
      </c>
      <c r="AG54" s="26">
        <f ca="1">SOLID!AK69</f>
        <v>0</v>
      </c>
      <c r="AH54" s="26">
        <f ca="1">SOLID!AL69</f>
        <v>0</v>
      </c>
      <c r="AI54" s="26">
        <f>SOLID!AM69</f>
        <v>0</v>
      </c>
    </row>
    <row r="55" spans="1:35" ht="21.75" outlineLevel="1" thickBot="1" x14ac:dyDescent="0.4">
      <c r="A55" s="57">
        <f>SOLID!E70</f>
        <v>0</v>
      </c>
      <c r="B55" s="28">
        <f ca="1">SOLID!F70</f>
        <v>0</v>
      </c>
      <c r="C55" s="28">
        <f ca="1">SOLID!G70</f>
        <v>0</v>
      </c>
      <c r="D55" s="28">
        <f ca="1">SOLID!H70</f>
        <v>0</v>
      </c>
      <c r="E55" s="28">
        <f ca="1">SOLID!I70</f>
        <v>0</v>
      </c>
      <c r="F55" s="26">
        <f ca="1">SOLID!J70</f>
        <v>0</v>
      </c>
      <c r="G55" s="26">
        <f ca="1">SOLID!K70</f>
        <v>0</v>
      </c>
      <c r="H55" s="26">
        <f ca="1">SOLID!L70</f>
        <v>0</v>
      </c>
      <c r="I55" s="26">
        <f ca="1">SOLID!M70</f>
        <v>0</v>
      </c>
      <c r="J55" s="26">
        <f ca="1">SOLID!N70</f>
        <v>0</v>
      </c>
      <c r="K55" s="26">
        <f ca="1">SOLID!O70</f>
        <v>0</v>
      </c>
      <c r="L55" s="26">
        <f ca="1">SOLID!P70</f>
        <v>0</v>
      </c>
      <c r="M55" s="26">
        <f ca="1">SOLID!Q70</f>
        <v>0</v>
      </c>
      <c r="N55" s="26">
        <f ca="1">SOLID!R70</f>
        <v>0</v>
      </c>
      <c r="O55" s="26">
        <f ca="1">SOLID!S70</f>
        <v>0</v>
      </c>
      <c r="P55" s="26">
        <f ca="1">SOLID!T70</f>
        <v>0</v>
      </c>
      <c r="Q55" s="26">
        <f ca="1">SOLID!U70</f>
        <v>0</v>
      </c>
      <c r="R55" s="26">
        <f ca="1">SOLID!V70</f>
        <v>0</v>
      </c>
      <c r="S55" s="26">
        <f ca="1">SOLID!W70</f>
        <v>0</v>
      </c>
      <c r="T55" s="26">
        <f ca="1">SOLID!X70</f>
        <v>0</v>
      </c>
      <c r="U55" s="26">
        <f ca="1">SOLID!Y70</f>
        <v>0</v>
      </c>
      <c r="V55" s="26">
        <f ca="1">SOLID!Z70</f>
        <v>0</v>
      </c>
      <c r="W55" s="26">
        <f ca="1">SOLID!AA70</f>
        <v>0</v>
      </c>
      <c r="X55" s="26">
        <f ca="1">SOLID!AB70</f>
        <v>0</v>
      </c>
      <c r="Y55" s="26">
        <f ca="1">SOLID!AC70</f>
        <v>0</v>
      </c>
      <c r="Z55" s="26">
        <f ca="1">SOLID!AD70</f>
        <v>0</v>
      </c>
      <c r="AA55" s="26">
        <f ca="1">SOLID!AE70</f>
        <v>0</v>
      </c>
      <c r="AB55" s="26">
        <f ca="1">SOLID!AF70</f>
        <v>0</v>
      </c>
      <c r="AC55" s="26">
        <f ca="1">SOLID!AG70</f>
        <v>0</v>
      </c>
      <c r="AD55" s="26">
        <f ca="1">SOLID!AH70</f>
        <v>0</v>
      </c>
      <c r="AE55" s="26">
        <f ca="1">SOLID!AI70</f>
        <v>0</v>
      </c>
      <c r="AF55" s="26">
        <f ca="1">SOLID!AJ70</f>
        <v>0</v>
      </c>
      <c r="AG55" s="26">
        <f ca="1">SOLID!AK70</f>
        <v>0</v>
      </c>
      <c r="AH55" s="26">
        <f ca="1">SOLID!AL70</f>
        <v>0</v>
      </c>
      <c r="AI55" s="26">
        <f>SOLID!AM70</f>
        <v>0</v>
      </c>
    </row>
    <row r="56" spans="1:35" ht="21.75" outlineLevel="1" thickBot="1" x14ac:dyDescent="0.4">
      <c r="A56" s="57">
        <f>SOLID!E71</f>
        <v>0</v>
      </c>
      <c r="B56" s="28">
        <f ca="1">SOLID!F71</f>
        <v>0</v>
      </c>
      <c r="C56" s="28">
        <f ca="1">SOLID!G71</f>
        <v>0</v>
      </c>
      <c r="D56" s="28">
        <f ca="1">SOLID!H71</f>
        <v>0</v>
      </c>
      <c r="E56" s="28">
        <f ca="1">SOLID!I71</f>
        <v>0</v>
      </c>
      <c r="F56" s="26">
        <f ca="1">SOLID!J71</f>
        <v>0</v>
      </c>
      <c r="G56" s="26">
        <f ca="1">SOLID!K71</f>
        <v>0</v>
      </c>
      <c r="H56" s="26">
        <f ca="1">SOLID!L71</f>
        <v>0</v>
      </c>
      <c r="I56" s="26">
        <f ca="1">SOLID!M71</f>
        <v>0</v>
      </c>
      <c r="J56" s="26">
        <f ca="1">SOLID!N71</f>
        <v>0</v>
      </c>
      <c r="K56" s="26">
        <f ca="1">SOLID!O71</f>
        <v>0</v>
      </c>
      <c r="L56" s="26">
        <f ca="1">SOLID!P71</f>
        <v>0</v>
      </c>
      <c r="M56" s="26">
        <f ca="1">SOLID!Q71</f>
        <v>0</v>
      </c>
      <c r="N56" s="26">
        <f ca="1">SOLID!R71</f>
        <v>0</v>
      </c>
      <c r="O56" s="26">
        <f ca="1">SOLID!S71</f>
        <v>0</v>
      </c>
      <c r="P56" s="26">
        <f ca="1">SOLID!T71</f>
        <v>0</v>
      </c>
      <c r="Q56" s="26">
        <f ca="1">SOLID!U71</f>
        <v>0</v>
      </c>
      <c r="R56" s="26">
        <f ca="1">SOLID!V71</f>
        <v>0</v>
      </c>
      <c r="S56" s="26">
        <f ca="1">SOLID!W71</f>
        <v>0</v>
      </c>
      <c r="T56" s="26">
        <f ca="1">SOLID!X71</f>
        <v>0</v>
      </c>
      <c r="U56" s="26">
        <f ca="1">SOLID!Y71</f>
        <v>0</v>
      </c>
      <c r="V56" s="26">
        <f ca="1">SOLID!Z71</f>
        <v>0</v>
      </c>
      <c r="W56" s="26">
        <f ca="1">SOLID!AA71</f>
        <v>0</v>
      </c>
      <c r="X56" s="26">
        <f ca="1">SOLID!AB71</f>
        <v>0</v>
      </c>
      <c r="Y56" s="26">
        <f ca="1">SOLID!AC71</f>
        <v>0</v>
      </c>
      <c r="Z56" s="26">
        <f ca="1">SOLID!AD71</f>
        <v>0</v>
      </c>
      <c r="AA56" s="26">
        <f ca="1">SOLID!AE71</f>
        <v>0</v>
      </c>
      <c r="AB56" s="26">
        <f ca="1">SOLID!AF71</f>
        <v>0</v>
      </c>
      <c r="AC56" s="26">
        <f ca="1">SOLID!AG71</f>
        <v>0</v>
      </c>
      <c r="AD56" s="26">
        <f ca="1">SOLID!AH71</f>
        <v>0</v>
      </c>
      <c r="AE56" s="26">
        <f ca="1">SOLID!AI71</f>
        <v>0</v>
      </c>
      <c r="AF56" s="26">
        <f ca="1">SOLID!AJ71</f>
        <v>0</v>
      </c>
      <c r="AG56" s="26">
        <f ca="1">SOLID!AK71</f>
        <v>0</v>
      </c>
      <c r="AH56" s="26">
        <f ca="1">SOLID!AL71</f>
        <v>0</v>
      </c>
      <c r="AI56" s="26">
        <f>SOLID!AM71</f>
        <v>0</v>
      </c>
    </row>
    <row r="57" spans="1:35" ht="21.75" outlineLevel="1" thickBot="1" x14ac:dyDescent="0.4">
      <c r="A57" s="57">
        <f>SOLID!E72</f>
        <v>0</v>
      </c>
      <c r="B57" s="28">
        <f ca="1">SOLID!F72</f>
        <v>0</v>
      </c>
      <c r="C57" s="28">
        <f ca="1">SOLID!G72</f>
        <v>0</v>
      </c>
      <c r="D57" s="28">
        <f ca="1">SOLID!H72</f>
        <v>0</v>
      </c>
      <c r="E57" s="28">
        <f ca="1">SOLID!I72</f>
        <v>0</v>
      </c>
      <c r="F57" s="26">
        <f ca="1">SOLID!J72</f>
        <v>0</v>
      </c>
      <c r="G57" s="26">
        <f ca="1">SOLID!K72</f>
        <v>0</v>
      </c>
      <c r="H57" s="26">
        <f ca="1">SOLID!L72</f>
        <v>0</v>
      </c>
      <c r="I57" s="26">
        <f ca="1">SOLID!M72</f>
        <v>0</v>
      </c>
      <c r="J57" s="26">
        <f ca="1">SOLID!N72</f>
        <v>0</v>
      </c>
      <c r="K57" s="26">
        <f ca="1">SOLID!O72</f>
        <v>0</v>
      </c>
      <c r="L57" s="26">
        <f ca="1">SOLID!P72</f>
        <v>0</v>
      </c>
      <c r="M57" s="26">
        <f ca="1">SOLID!Q72</f>
        <v>0</v>
      </c>
      <c r="N57" s="26">
        <f ca="1">SOLID!R72</f>
        <v>0</v>
      </c>
      <c r="O57" s="26">
        <f ca="1">SOLID!S72</f>
        <v>0</v>
      </c>
      <c r="P57" s="26">
        <f ca="1">SOLID!T72</f>
        <v>0</v>
      </c>
      <c r="Q57" s="26">
        <f ca="1">SOLID!U72</f>
        <v>0</v>
      </c>
      <c r="R57" s="26">
        <f ca="1">SOLID!V72</f>
        <v>0</v>
      </c>
      <c r="S57" s="26">
        <f ca="1">SOLID!W72</f>
        <v>0</v>
      </c>
      <c r="T57" s="26">
        <f ca="1">SOLID!X72</f>
        <v>0</v>
      </c>
      <c r="U57" s="26">
        <f ca="1">SOLID!Y72</f>
        <v>0</v>
      </c>
      <c r="V57" s="26">
        <f ca="1">SOLID!Z72</f>
        <v>0</v>
      </c>
      <c r="W57" s="26">
        <f ca="1">SOLID!AA72</f>
        <v>0</v>
      </c>
      <c r="X57" s="26">
        <f ca="1">SOLID!AB72</f>
        <v>0</v>
      </c>
      <c r="Y57" s="26">
        <f ca="1">SOLID!AC72</f>
        <v>0</v>
      </c>
      <c r="Z57" s="26">
        <f ca="1">SOLID!AD72</f>
        <v>0</v>
      </c>
      <c r="AA57" s="26">
        <f ca="1">SOLID!AE72</f>
        <v>0</v>
      </c>
      <c r="AB57" s="26">
        <f ca="1">SOLID!AF72</f>
        <v>0</v>
      </c>
      <c r="AC57" s="26">
        <f ca="1">SOLID!AG72</f>
        <v>0</v>
      </c>
      <c r="AD57" s="26">
        <f ca="1">SOLID!AH72</f>
        <v>0</v>
      </c>
      <c r="AE57" s="26">
        <f ca="1">SOLID!AI72</f>
        <v>0</v>
      </c>
      <c r="AF57" s="26">
        <f ca="1">SOLID!AJ72</f>
        <v>0</v>
      </c>
      <c r="AG57" s="26">
        <f ca="1">SOLID!AK72</f>
        <v>0</v>
      </c>
      <c r="AH57" s="26">
        <f ca="1">SOLID!AL72</f>
        <v>0</v>
      </c>
      <c r="AI57" s="26">
        <f>SOLID!AM72</f>
        <v>0</v>
      </c>
    </row>
    <row r="58" spans="1:35" ht="21.75" outlineLevel="1" thickBot="1" x14ac:dyDescent="0.4">
      <c r="A58" s="57">
        <f>SOLID!E73</f>
        <v>0</v>
      </c>
      <c r="B58" s="28">
        <f ca="1">SOLID!F73</f>
        <v>0</v>
      </c>
      <c r="C58" s="28">
        <f ca="1">SOLID!G73</f>
        <v>0</v>
      </c>
      <c r="D58" s="28">
        <f ca="1">SOLID!H73</f>
        <v>0</v>
      </c>
      <c r="E58" s="28">
        <f ca="1">SOLID!I73</f>
        <v>0</v>
      </c>
      <c r="F58" s="26">
        <f ca="1">SOLID!J73</f>
        <v>0</v>
      </c>
      <c r="G58" s="26">
        <f ca="1">SOLID!K73</f>
        <v>0</v>
      </c>
      <c r="H58" s="26">
        <f ca="1">SOLID!L73</f>
        <v>0</v>
      </c>
      <c r="I58" s="26">
        <f ca="1">SOLID!M73</f>
        <v>0</v>
      </c>
      <c r="J58" s="26">
        <f ca="1">SOLID!N73</f>
        <v>0</v>
      </c>
      <c r="K58" s="26">
        <f ca="1">SOLID!O73</f>
        <v>0</v>
      </c>
      <c r="L58" s="26">
        <f ca="1">SOLID!P73</f>
        <v>0</v>
      </c>
      <c r="M58" s="26">
        <f ca="1">SOLID!Q73</f>
        <v>0</v>
      </c>
      <c r="N58" s="26">
        <f ca="1">SOLID!R73</f>
        <v>0</v>
      </c>
      <c r="O58" s="26">
        <f ca="1">SOLID!S73</f>
        <v>0</v>
      </c>
      <c r="P58" s="26">
        <f ca="1">SOLID!T73</f>
        <v>0</v>
      </c>
      <c r="Q58" s="26">
        <f ca="1">SOLID!U73</f>
        <v>0</v>
      </c>
      <c r="R58" s="26">
        <f ca="1">SOLID!V73</f>
        <v>0</v>
      </c>
      <c r="S58" s="26">
        <f ca="1">SOLID!W73</f>
        <v>0</v>
      </c>
      <c r="T58" s="26">
        <f ca="1">SOLID!X73</f>
        <v>0</v>
      </c>
      <c r="U58" s="26">
        <f ca="1">SOLID!Y73</f>
        <v>0</v>
      </c>
      <c r="V58" s="26">
        <f ca="1">SOLID!Z73</f>
        <v>0</v>
      </c>
      <c r="W58" s="26">
        <f ca="1">SOLID!AA73</f>
        <v>0</v>
      </c>
      <c r="X58" s="26">
        <f ca="1">SOLID!AB73</f>
        <v>0</v>
      </c>
      <c r="Y58" s="26">
        <f ca="1">SOLID!AC73</f>
        <v>0</v>
      </c>
      <c r="Z58" s="26">
        <f ca="1">SOLID!AD73</f>
        <v>0</v>
      </c>
      <c r="AA58" s="26">
        <f ca="1">SOLID!AE73</f>
        <v>0</v>
      </c>
      <c r="AB58" s="26">
        <f ca="1">SOLID!AF73</f>
        <v>0</v>
      </c>
      <c r="AC58" s="26">
        <f ca="1">SOLID!AG73</f>
        <v>0</v>
      </c>
      <c r="AD58" s="26">
        <f ca="1">SOLID!AH73</f>
        <v>0</v>
      </c>
      <c r="AE58" s="26">
        <f ca="1">SOLID!AI73</f>
        <v>0</v>
      </c>
      <c r="AF58" s="26">
        <f ca="1">SOLID!AJ73</f>
        <v>0</v>
      </c>
      <c r="AG58" s="26">
        <f ca="1">SOLID!AK73</f>
        <v>0</v>
      </c>
      <c r="AH58" s="26">
        <f ca="1">SOLID!AL73</f>
        <v>0</v>
      </c>
      <c r="AI58" s="26">
        <f>SOLID!AM73</f>
        <v>0</v>
      </c>
    </row>
    <row r="59" spans="1:35" ht="21.75" outlineLevel="1" thickBot="1" x14ac:dyDescent="0.4">
      <c r="A59" s="57">
        <f>SOLID!E74</f>
        <v>0</v>
      </c>
      <c r="B59" s="28">
        <f ca="1">SOLID!F74</f>
        <v>0</v>
      </c>
      <c r="C59" s="28">
        <f ca="1">SOLID!G74</f>
        <v>0</v>
      </c>
      <c r="D59" s="28">
        <f ca="1">SOLID!H74</f>
        <v>0</v>
      </c>
      <c r="E59" s="28">
        <f ca="1">SOLID!I74</f>
        <v>0</v>
      </c>
      <c r="F59" s="26">
        <f ca="1">SOLID!J74</f>
        <v>0</v>
      </c>
      <c r="G59" s="26">
        <f ca="1">SOLID!K74</f>
        <v>0</v>
      </c>
      <c r="H59" s="26">
        <f ca="1">SOLID!L74</f>
        <v>0</v>
      </c>
      <c r="I59" s="26">
        <f ca="1">SOLID!M74</f>
        <v>0</v>
      </c>
      <c r="J59" s="26">
        <f ca="1">SOLID!N74</f>
        <v>0</v>
      </c>
      <c r="K59" s="26">
        <f ca="1">SOLID!O74</f>
        <v>0</v>
      </c>
      <c r="L59" s="26">
        <f ca="1">SOLID!P74</f>
        <v>0</v>
      </c>
      <c r="M59" s="26">
        <f ca="1">SOLID!Q74</f>
        <v>0</v>
      </c>
      <c r="N59" s="26">
        <f ca="1">SOLID!R74</f>
        <v>0</v>
      </c>
      <c r="O59" s="26">
        <f ca="1">SOLID!S74</f>
        <v>0</v>
      </c>
      <c r="P59" s="26">
        <f ca="1">SOLID!T74</f>
        <v>0</v>
      </c>
      <c r="Q59" s="26">
        <f ca="1">SOLID!U74</f>
        <v>0</v>
      </c>
      <c r="R59" s="26">
        <f ca="1">SOLID!V74</f>
        <v>0</v>
      </c>
      <c r="S59" s="26">
        <f ca="1">SOLID!W74</f>
        <v>0</v>
      </c>
      <c r="T59" s="26">
        <f ca="1">SOLID!X74</f>
        <v>0</v>
      </c>
      <c r="U59" s="26">
        <f ca="1">SOLID!Y74</f>
        <v>0</v>
      </c>
      <c r="V59" s="26">
        <f ca="1">SOLID!Z74</f>
        <v>0</v>
      </c>
      <c r="W59" s="26">
        <f ca="1">SOLID!AA74</f>
        <v>0</v>
      </c>
      <c r="X59" s="26">
        <f ca="1">SOLID!AB74</f>
        <v>0</v>
      </c>
      <c r="Y59" s="26">
        <f ca="1">SOLID!AC74</f>
        <v>0</v>
      </c>
      <c r="Z59" s="26">
        <f ca="1">SOLID!AD74</f>
        <v>0</v>
      </c>
      <c r="AA59" s="26">
        <f ca="1">SOLID!AE74</f>
        <v>0</v>
      </c>
      <c r="AB59" s="26">
        <f ca="1">SOLID!AF74</f>
        <v>0</v>
      </c>
      <c r="AC59" s="26">
        <f ca="1">SOLID!AG74</f>
        <v>0</v>
      </c>
      <c r="AD59" s="26">
        <f ca="1">SOLID!AH74</f>
        <v>0</v>
      </c>
      <c r="AE59" s="26">
        <f ca="1">SOLID!AI74</f>
        <v>0</v>
      </c>
      <c r="AF59" s="26">
        <f ca="1">SOLID!AJ74</f>
        <v>0</v>
      </c>
      <c r="AG59" s="26">
        <f ca="1">SOLID!AK74</f>
        <v>0</v>
      </c>
      <c r="AH59" s="26">
        <f ca="1">SOLID!AL74</f>
        <v>0</v>
      </c>
      <c r="AI59" s="26">
        <f>SOLID!AM74</f>
        <v>0</v>
      </c>
    </row>
    <row r="60" spans="1:35" ht="21.75" outlineLevel="1" thickBot="1" x14ac:dyDescent="0.4">
      <c r="A60" s="57">
        <f>SOLID!E75</f>
        <v>0</v>
      </c>
      <c r="B60" s="28">
        <f ca="1">SOLID!F75</f>
        <v>0</v>
      </c>
      <c r="C60" s="28">
        <f ca="1">SOLID!G75</f>
        <v>0</v>
      </c>
      <c r="D60" s="28">
        <f ca="1">SOLID!H75</f>
        <v>0</v>
      </c>
      <c r="E60" s="28">
        <f ca="1">SOLID!I75</f>
        <v>0</v>
      </c>
      <c r="F60" s="26">
        <f ca="1">SOLID!J75</f>
        <v>0</v>
      </c>
      <c r="G60" s="26">
        <f ca="1">SOLID!K75</f>
        <v>0</v>
      </c>
      <c r="H60" s="26">
        <f ca="1">SOLID!L75</f>
        <v>0</v>
      </c>
      <c r="I60" s="26">
        <f ca="1">SOLID!M75</f>
        <v>0</v>
      </c>
      <c r="J60" s="26">
        <f ca="1">SOLID!N75</f>
        <v>0</v>
      </c>
      <c r="K60" s="26">
        <f ca="1">SOLID!O75</f>
        <v>0</v>
      </c>
      <c r="L60" s="26">
        <f ca="1">SOLID!P75</f>
        <v>0</v>
      </c>
      <c r="M60" s="26">
        <f ca="1">SOLID!Q75</f>
        <v>0</v>
      </c>
      <c r="N60" s="26">
        <f ca="1">SOLID!R75</f>
        <v>0</v>
      </c>
      <c r="O60" s="26">
        <f ca="1">SOLID!S75</f>
        <v>0</v>
      </c>
      <c r="P60" s="26">
        <f ca="1">SOLID!T75</f>
        <v>0</v>
      </c>
      <c r="Q60" s="26">
        <f ca="1">SOLID!U75</f>
        <v>0</v>
      </c>
      <c r="R60" s="26">
        <f ca="1">SOLID!V75</f>
        <v>0</v>
      </c>
      <c r="S60" s="26">
        <f ca="1">SOLID!W75</f>
        <v>0</v>
      </c>
      <c r="T60" s="26">
        <f ca="1">SOLID!X75</f>
        <v>0</v>
      </c>
      <c r="U60" s="26">
        <f ca="1">SOLID!Y75</f>
        <v>0</v>
      </c>
      <c r="V60" s="26">
        <f ca="1">SOLID!Z75</f>
        <v>0</v>
      </c>
      <c r="W60" s="26">
        <f ca="1">SOLID!AA75</f>
        <v>0</v>
      </c>
      <c r="X60" s="26">
        <f ca="1">SOLID!AB75</f>
        <v>0</v>
      </c>
      <c r="Y60" s="26">
        <f ca="1">SOLID!AC75</f>
        <v>0</v>
      </c>
      <c r="Z60" s="26">
        <f ca="1">SOLID!AD75</f>
        <v>0</v>
      </c>
      <c r="AA60" s="26">
        <f ca="1">SOLID!AE75</f>
        <v>0</v>
      </c>
      <c r="AB60" s="26">
        <f ca="1">SOLID!AF75</f>
        <v>0</v>
      </c>
      <c r="AC60" s="26">
        <f ca="1">SOLID!AG75</f>
        <v>0</v>
      </c>
      <c r="AD60" s="26">
        <f ca="1">SOLID!AH75</f>
        <v>0</v>
      </c>
      <c r="AE60" s="26">
        <f ca="1">SOLID!AI75</f>
        <v>0</v>
      </c>
      <c r="AF60" s="26">
        <f ca="1">SOLID!AJ75</f>
        <v>0</v>
      </c>
      <c r="AG60" s="26">
        <f ca="1">SOLID!AK75</f>
        <v>0</v>
      </c>
      <c r="AH60" s="26">
        <f ca="1">SOLID!AL75</f>
        <v>0</v>
      </c>
      <c r="AI60" s="26">
        <f>SOLID!AM75</f>
        <v>0</v>
      </c>
    </row>
    <row r="61" spans="1:35" ht="21.75" outlineLevel="1" thickBot="1" x14ac:dyDescent="0.4">
      <c r="A61" s="57">
        <f>SOLID!E76</f>
        <v>0</v>
      </c>
      <c r="B61" s="28">
        <f ca="1">SOLID!F76</f>
        <v>0</v>
      </c>
      <c r="C61" s="28">
        <f ca="1">SOLID!G76</f>
        <v>0</v>
      </c>
      <c r="D61" s="28">
        <f ca="1">SOLID!H76</f>
        <v>0</v>
      </c>
      <c r="E61" s="28">
        <f ca="1">SOLID!I76</f>
        <v>0</v>
      </c>
      <c r="F61" s="26">
        <f ca="1">SOLID!J76</f>
        <v>0</v>
      </c>
      <c r="G61" s="26">
        <f ca="1">SOLID!K76</f>
        <v>0</v>
      </c>
      <c r="H61" s="26">
        <f ca="1">SOLID!L76</f>
        <v>0</v>
      </c>
      <c r="I61" s="26">
        <f ca="1">SOLID!M76</f>
        <v>0</v>
      </c>
      <c r="J61" s="26">
        <f ca="1">SOLID!N76</f>
        <v>0</v>
      </c>
      <c r="K61" s="26">
        <f ca="1">SOLID!O76</f>
        <v>0</v>
      </c>
      <c r="L61" s="26">
        <f ca="1">SOLID!P76</f>
        <v>0</v>
      </c>
      <c r="M61" s="26">
        <f ca="1">SOLID!Q76</f>
        <v>0</v>
      </c>
      <c r="N61" s="26">
        <f ca="1">SOLID!R76</f>
        <v>0</v>
      </c>
      <c r="O61" s="26">
        <f ca="1">SOLID!S76</f>
        <v>0</v>
      </c>
      <c r="P61" s="26">
        <f ca="1">SOLID!T76</f>
        <v>0</v>
      </c>
      <c r="Q61" s="26">
        <f ca="1">SOLID!U76</f>
        <v>0</v>
      </c>
      <c r="R61" s="26">
        <f ca="1">SOLID!V76</f>
        <v>0</v>
      </c>
      <c r="S61" s="26">
        <f ca="1">SOLID!W76</f>
        <v>0</v>
      </c>
      <c r="T61" s="26">
        <f ca="1">SOLID!X76</f>
        <v>0</v>
      </c>
      <c r="U61" s="26">
        <f ca="1">SOLID!Y76</f>
        <v>0</v>
      </c>
      <c r="V61" s="26">
        <f ca="1">SOLID!Z76</f>
        <v>0</v>
      </c>
      <c r="W61" s="26">
        <f ca="1">SOLID!AA76</f>
        <v>0</v>
      </c>
      <c r="X61" s="26">
        <f ca="1">SOLID!AB76</f>
        <v>0</v>
      </c>
      <c r="Y61" s="26">
        <f ca="1">SOLID!AC76</f>
        <v>0</v>
      </c>
      <c r="Z61" s="26">
        <f ca="1">SOLID!AD76</f>
        <v>0</v>
      </c>
      <c r="AA61" s="26">
        <f ca="1">SOLID!AE76</f>
        <v>0</v>
      </c>
      <c r="AB61" s="26">
        <f ca="1">SOLID!AF76</f>
        <v>0</v>
      </c>
      <c r="AC61" s="26">
        <f ca="1">SOLID!AG76</f>
        <v>0</v>
      </c>
      <c r="AD61" s="26">
        <f ca="1">SOLID!AH76</f>
        <v>0</v>
      </c>
      <c r="AE61" s="26">
        <f ca="1">SOLID!AI76</f>
        <v>0</v>
      </c>
      <c r="AF61" s="26">
        <f ca="1">SOLID!AJ76</f>
        <v>0</v>
      </c>
      <c r="AG61" s="26">
        <f ca="1">SOLID!AK76</f>
        <v>0</v>
      </c>
      <c r="AH61" s="26">
        <f ca="1">SOLID!AL76</f>
        <v>0</v>
      </c>
      <c r="AI61" s="26">
        <f>SOLID!AM76</f>
        <v>0</v>
      </c>
    </row>
    <row r="62" spans="1:35" ht="21.75" outlineLevel="1" thickBot="1" x14ac:dyDescent="0.4">
      <c r="A62" s="57">
        <f>SOLID!E77</f>
        <v>0</v>
      </c>
      <c r="B62" s="28">
        <f ca="1">SOLID!F77</f>
        <v>0</v>
      </c>
      <c r="C62" s="28">
        <f ca="1">SOLID!G77</f>
        <v>0</v>
      </c>
      <c r="D62" s="28">
        <f ca="1">SOLID!H77</f>
        <v>0</v>
      </c>
      <c r="E62" s="28">
        <f ca="1">SOLID!I77</f>
        <v>0</v>
      </c>
      <c r="F62" s="26">
        <f ca="1">SOLID!J77</f>
        <v>0</v>
      </c>
      <c r="G62" s="26">
        <f ca="1">SOLID!K77</f>
        <v>0</v>
      </c>
      <c r="H62" s="26">
        <f ca="1">SOLID!L77</f>
        <v>0</v>
      </c>
      <c r="I62" s="26">
        <f ca="1">SOLID!M77</f>
        <v>0</v>
      </c>
      <c r="J62" s="26">
        <f ca="1">SOLID!N77</f>
        <v>0</v>
      </c>
      <c r="K62" s="26">
        <f ca="1">SOLID!O77</f>
        <v>0</v>
      </c>
      <c r="L62" s="26">
        <f ca="1">SOLID!P77</f>
        <v>0</v>
      </c>
      <c r="M62" s="26">
        <f ca="1">SOLID!Q77</f>
        <v>0</v>
      </c>
      <c r="N62" s="26">
        <f ca="1">SOLID!R77</f>
        <v>0</v>
      </c>
      <c r="O62" s="26">
        <f ca="1">SOLID!S77</f>
        <v>0</v>
      </c>
      <c r="P62" s="26">
        <f ca="1">SOLID!T77</f>
        <v>0</v>
      </c>
      <c r="Q62" s="26">
        <f ca="1">SOLID!U77</f>
        <v>0</v>
      </c>
      <c r="R62" s="26">
        <f ca="1">SOLID!V77</f>
        <v>0</v>
      </c>
      <c r="S62" s="26">
        <f ca="1">SOLID!W77</f>
        <v>0</v>
      </c>
      <c r="T62" s="26">
        <f ca="1">SOLID!X77</f>
        <v>0</v>
      </c>
      <c r="U62" s="26">
        <f ca="1">SOLID!Y77</f>
        <v>0</v>
      </c>
      <c r="V62" s="26">
        <f ca="1">SOLID!Z77</f>
        <v>0</v>
      </c>
      <c r="W62" s="26">
        <f ca="1">SOLID!AA77</f>
        <v>0</v>
      </c>
      <c r="X62" s="26">
        <f ca="1">SOLID!AB77</f>
        <v>0</v>
      </c>
      <c r="Y62" s="26">
        <f ca="1">SOLID!AC77</f>
        <v>0</v>
      </c>
      <c r="Z62" s="26">
        <f ca="1">SOLID!AD77</f>
        <v>0</v>
      </c>
      <c r="AA62" s="26">
        <f ca="1">SOLID!AE77</f>
        <v>0</v>
      </c>
      <c r="AB62" s="26">
        <f ca="1">SOLID!AF77</f>
        <v>0</v>
      </c>
      <c r="AC62" s="26">
        <f ca="1">SOLID!AG77</f>
        <v>0</v>
      </c>
      <c r="AD62" s="26">
        <f ca="1">SOLID!AH77</f>
        <v>0</v>
      </c>
      <c r="AE62" s="26">
        <f ca="1">SOLID!AI77</f>
        <v>0</v>
      </c>
      <c r="AF62" s="26">
        <f ca="1">SOLID!AJ77</f>
        <v>0</v>
      </c>
      <c r="AG62" s="26">
        <f ca="1">SOLID!AK77</f>
        <v>0</v>
      </c>
      <c r="AH62" s="26">
        <f ca="1">SOLID!AL77</f>
        <v>0</v>
      </c>
      <c r="AI62" s="26">
        <f>SOLID!AM77</f>
        <v>0</v>
      </c>
    </row>
    <row r="63" spans="1:35" ht="21.75" outlineLevel="1" thickBot="1" x14ac:dyDescent="0.4">
      <c r="A63" s="57">
        <f>SOLID!E78</f>
        <v>0</v>
      </c>
      <c r="B63" s="28">
        <f ca="1">SOLID!F78</f>
        <v>0</v>
      </c>
      <c r="C63" s="28">
        <f ca="1">SOLID!G78</f>
        <v>0</v>
      </c>
      <c r="D63" s="28">
        <f ca="1">SOLID!H78</f>
        <v>0</v>
      </c>
      <c r="E63" s="28">
        <f ca="1">SOLID!I78</f>
        <v>0</v>
      </c>
      <c r="F63" s="26">
        <f ca="1">SOLID!J78</f>
        <v>0</v>
      </c>
      <c r="G63" s="26">
        <f ca="1">SOLID!K78</f>
        <v>0</v>
      </c>
      <c r="H63" s="26">
        <f ca="1">SOLID!L78</f>
        <v>0</v>
      </c>
      <c r="I63" s="26">
        <f ca="1">SOLID!M78</f>
        <v>0</v>
      </c>
      <c r="J63" s="26">
        <f ca="1">SOLID!N78</f>
        <v>0</v>
      </c>
      <c r="K63" s="26">
        <f ca="1">SOLID!O78</f>
        <v>0</v>
      </c>
      <c r="L63" s="26">
        <f ca="1">SOLID!P78</f>
        <v>0</v>
      </c>
      <c r="M63" s="26">
        <f ca="1">SOLID!Q78</f>
        <v>0</v>
      </c>
      <c r="N63" s="26">
        <f ca="1">SOLID!R78</f>
        <v>0</v>
      </c>
      <c r="O63" s="26">
        <f ca="1">SOLID!S78</f>
        <v>0</v>
      </c>
      <c r="P63" s="26">
        <f ca="1">SOLID!T78</f>
        <v>0</v>
      </c>
      <c r="Q63" s="26">
        <f ca="1">SOLID!U78</f>
        <v>0</v>
      </c>
      <c r="R63" s="26">
        <f ca="1">SOLID!V78</f>
        <v>0</v>
      </c>
      <c r="S63" s="26">
        <f ca="1">SOLID!W78</f>
        <v>0</v>
      </c>
      <c r="T63" s="26">
        <f ca="1">SOLID!X78</f>
        <v>0</v>
      </c>
      <c r="U63" s="26">
        <f ca="1">SOLID!Y78</f>
        <v>0</v>
      </c>
      <c r="V63" s="26">
        <f ca="1">SOLID!Z78</f>
        <v>0</v>
      </c>
      <c r="W63" s="26">
        <f ca="1">SOLID!AA78</f>
        <v>0</v>
      </c>
      <c r="X63" s="26">
        <f ca="1">SOLID!AB78</f>
        <v>0</v>
      </c>
      <c r="Y63" s="26">
        <f ca="1">SOLID!AC78</f>
        <v>0</v>
      </c>
      <c r="Z63" s="26">
        <f ca="1">SOLID!AD78</f>
        <v>0</v>
      </c>
      <c r="AA63" s="26">
        <f ca="1">SOLID!AE78</f>
        <v>0</v>
      </c>
      <c r="AB63" s="26">
        <f ca="1">SOLID!AF78</f>
        <v>0</v>
      </c>
      <c r="AC63" s="26">
        <f ca="1">SOLID!AG78</f>
        <v>0</v>
      </c>
      <c r="AD63" s="26">
        <f ca="1">SOLID!AH78</f>
        <v>0</v>
      </c>
      <c r="AE63" s="26">
        <f ca="1">SOLID!AI78</f>
        <v>0</v>
      </c>
      <c r="AF63" s="26">
        <f ca="1">SOLID!AJ78</f>
        <v>0</v>
      </c>
      <c r="AG63" s="26">
        <f ca="1">SOLID!AK78</f>
        <v>0</v>
      </c>
      <c r="AH63" s="26">
        <f ca="1">SOLID!AL78</f>
        <v>0</v>
      </c>
      <c r="AI63" s="26">
        <f>SOLID!AM78</f>
        <v>0</v>
      </c>
    </row>
    <row r="64" spans="1:35" ht="21.75" outlineLevel="1" thickBot="1" x14ac:dyDescent="0.4">
      <c r="A64" s="57">
        <f>SOLID!E79</f>
        <v>1</v>
      </c>
      <c r="B64" s="28">
        <f>SOLID!F79</f>
        <v>0</v>
      </c>
      <c r="C64" s="28">
        <f>SOLID!G79</f>
        <v>0</v>
      </c>
      <c r="D64" s="28">
        <f>SOLID!H79</f>
        <v>0</v>
      </c>
      <c r="E64" s="28">
        <f>SOLID!I79</f>
        <v>0</v>
      </c>
      <c r="F64" s="26">
        <f>SOLID!J79</f>
        <v>0</v>
      </c>
      <c r="G64" s="26">
        <f>SOLID!K79</f>
        <v>0</v>
      </c>
      <c r="H64" s="26">
        <f>SOLID!L79</f>
        <v>0</v>
      </c>
      <c r="I64" s="26">
        <f>SOLID!M79</f>
        <v>0</v>
      </c>
      <c r="J64" s="26">
        <f>SOLID!N79</f>
        <v>0</v>
      </c>
      <c r="K64" s="26">
        <f>SOLID!O79</f>
        <v>0</v>
      </c>
      <c r="L64" s="26">
        <f>SOLID!P79</f>
        <v>0</v>
      </c>
      <c r="M64" s="26">
        <f>SOLID!Q79</f>
        <v>0</v>
      </c>
      <c r="N64" s="26">
        <f>SOLID!R79</f>
        <v>0</v>
      </c>
      <c r="O64" s="26">
        <f>SOLID!S79</f>
        <v>0</v>
      </c>
      <c r="P64" s="26">
        <f>SOLID!T79</f>
        <v>0</v>
      </c>
      <c r="Q64" s="26">
        <f>SOLID!U79</f>
        <v>0</v>
      </c>
      <c r="R64" s="26">
        <f>SOLID!V79</f>
        <v>0</v>
      </c>
      <c r="S64" s="26">
        <f>SOLID!W79</f>
        <v>0</v>
      </c>
      <c r="T64" s="26">
        <f>SOLID!X79</f>
        <v>0</v>
      </c>
      <c r="U64" s="26">
        <f>SOLID!Y79</f>
        <v>0</v>
      </c>
      <c r="V64" s="26">
        <f>SOLID!Z79</f>
        <v>0</v>
      </c>
      <c r="W64" s="26">
        <f>SOLID!AA79</f>
        <v>0</v>
      </c>
      <c r="X64" s="26">
        <f>SOLID!AB79</f>
        <v>0</v>
      </c>
      <c r="Y64" s="26">
        <f>SOLID!AC79</f>
        <v>0</v>
      </c>
      <c r="Z64" s="26">
        <f>SOLID!AD79</f>
        <v>0</v>
      </c>
      <c r="AA64" s="26">
        <f>SOLID!AE79</f>
        <v>0</v>
      </c>
      <c r="AB64" s="26">
        <f>SOLID!AF79</f>
        <v>0</v>
      </c>
      <c r="AC64" s="26">
        <f>SOLID!AG79</f>
        <v>0</v>
      </c>
      <c r="AD64" s="26">
        <f>SOLID!AH79</f>
        <v>0</v>
      </c>
      <c r="AE64" s="26">
        <f>SOLID!AI79</f>
        <v>0</v>
      </c>
      <c r="AF64" s="26">
        <f>SOLID!AJ79</f>
        <v>0</v>
      </c>
      <c r="AG64" s="26">
        <f>SOLID!AK79</f>
        <v>0</v>
      </c>
      <c r="AH64" s="26">
        <f>SOLID!AL79</f>
        <v>0</v>
      </c>
      <c r="AI64" s="26">
        <f>SOLID!AM79</f>
        <v>0</v>
      </c>
    </row>
    <row r="65" spans="1:35" ht="21.75" thickBot="1" x14ac:dyDescent="0.4">
      <c r="A65" s="60"/>
    </row>
    <row r="66" spans="1:35" ht="22.5" thickTop="1" thickBot="1" x14ac:dyDescent="0.4">
      <c r="A66" s="9" t="s">
        <v>38</v>
      </c>
      <c r="B66" s="167">
        <f>ALL!F49</f>
        <v>273.10000000000002</v>
      </c>
      <c r="C66" s="167">
        <f>ALL!G49</f>
        <v>293.3</v>
      </c>
      <c r="D66" s="167">
        <f>ALL!H49</f>
        <v>313.5</v>
      </c>
      <c r="E66" s="167">
        <f>ALL!I49</f>
        <v>333.7</v>
      </c>
      <c r="F66" s="9">
        <f>ALL!J49</f>
        <v>353.9</v>
      </c>
      <c r="G66" s="9">
        <f>ALL!K49</f>
        <v>374.1</v>
      </c>
      <c r="H66" s="9">
        <f>ALL!L49</f>
        <v>394.3</v>
      </c>
      <c r="I66" s="9">
        <f>ALL!M49</f>
        <v>414.5</v>
      </c>
      <c r="J66" s="9">
        <f>ALL!N49</f>
        <v>434.7</v>
      </c>
      <c r="K66" s="9">
        <f>ALL!O49</f>
        <v>515.4</v>
      </c>
      <c r="L66" s="9">
        <f>ALL!P49</f>
        <v>535.6</v>
      </c>
      <c r="M66" s="9">
        <f>ALL!Q49</f>
        <v>555.79999999999995</v>
      </c>
      <c r="N66" s="9">
        <f>ALL!R49</f>
        <v>576</v>
      </c>
      <c r="O66" s="9">
        <f>ALL!S49</f>
        <v>596.20000000000005</v>
      </c>
      <c r="P66" s="9">
        <f>ALL!T49</f>
        <v>616.4</v>
      </c>
      <c r="Q66" s="9">
        <f>ALL!U49</f>
        <v>636.6</v>
      </c>
      <c r="R66" s="9">
        <f>ALL!V49</f>
        <v>656.8</v>
      </c>
      <c r="S66" s="9">
        <f>ALL!W49</f>
        <v>677</v>
      </c>
      <c r="T66" s="9">
        <f>ALL!X49</f>
        <v>757.7</v>
      </c>
      <c r="U66" s="9">
        <f>ALL!Y49</f>
        <v>777.9</v>
      </c>
      <c r="V66" s="9">
        <f>ALL!Z49</f>
        <v>798.1</v>
      </c>
      <c r="W66" s="9">
        <f>ALL!AA49</f>
        <v>818.3</v>
      </c>
      <c r="X66" s="9">
        <f>ALL!AB49</f>
        <v>838.5</v>
      </c>
      <c r="Y66" s="9">
        <f>ALL!AC49</f>
        <v>919.2</v>
      </c>
      <c r="Z66" s="9">
        <f>ALL!AD49</f>
        <v>939.4</v>
      </c>
      <c r="AA66" s="9">
        <f>ALL!AE49</f>
        <v>959.6</v>
      </c>
      <c r="AB66" s="9">
        <f>ALL!AF49</f>
        <v>979.8</v>
      </c>
      <c r="AC66" s="9">
        <f>ALL!AG49</f>
        <v>1000</v>
      </c>
      <c r="AD66" s="9">
        <f>ALL!AH49</f>
        <v>0</v>
      </c>
      <c r="AE66" s="9">
        <f>ALL!AI49</f>
        <v>0</v>
      </c>
      <c r="AF66" s="9">
        <f>ALL!AJ49</f>
        <v>0</v>
      </c>
      <c r="AG66" s="9">
        <f>ALL!AK49</f>
        <v>0</v>
      </c>
      <c r="AH66" s="9">
        <f>ALL!AL49</f>
        <v>0</v>
      </c>
      <c r="AI66" s="9">
        <f>ALL!AM49</f>
        <v>0</v>
      </c>
    </row>
    <row r="67" spans="1:35" ht="22.5" outlineLevel="1" thickTop="1" thickBot="1" x14ac:dyDescent="0.4">
      <c r="A67" s="58" t="str">
        <f>ALL!E50</f>
        <v>*GeSe</v>
      </c>
      <c r="B67" s="28">
        <f ca="1">ALL!F50</f>
        <v>-40.69</v>
      </c>
      <c r="C67" s="28">
        <f ca="1">ALL!G50</f>
        <v>-38.549999999999997</v>
      </c>
      <c r="D67" s="28">
        <f ca="1">ALL!H50</f>
        <v>-36.659999999999997</v>
      </c>
      <c r="E67" s="28">
        <f ca="1">ALL!I50</f>
        <v>-35</v>
      </c>
      <c r="F67" s="26">
        <f ca="1">ALL!J50</f>
        <v>-33.56</v>
      </c>
      <c r="G67" s="26">
        <f ca="1">ALL!K50</f>
        <v>-32.33</v>
      </c>
      <c r="H67" s="26">
        <f ca="1">ALL!L50</f>
        <v>-31.271000000000001</v>
      </c>
      <c r="I67" s="26">
        <f ca="1">ALL!M50</f>
        <v>-30.359000000000002</v>
      </c>
      <c r="J67" s="26">
        <f ca="1">ALL!N50</f>
        <v>-29.623999999999999</v>
      </c>
      <c r="K67" s="26">
        <f ca="1">ALL!O50</f>
        <v>-28.87</v>
      </c>
      <c r="L67" s="26">
        <f ca="1">ALL!P50</f>
        <v>-29.100999999999999</v>
      </c>
      <c r="M67" s="26">
        <f ca="1">ALL!Q50</f>
        <v>-29.405000000000001</v>
      </c>
      <c r="N67" s="26">
        <f ca="1">ALL!R50</f>
        <v>-29.718</v>
      </c>
      <c r="O67" s="26">
        <f ca="1">ALL!S50</f>
        <v>-30.051000000000002</v>
      </c>
      <c r="P67" s="26">
        <f ca="1">ALL!T50</f>
        <v>-30.388000000000002</v>
      </c>
      <c r="Q67" s="26">
        <f ca="1">ALL!U50</f>
        <v>-30.717999999999996</v>
      </c>
      <c r="R67" s="26">
        <f ca="1">ALL!V50</f>
        <v>-31.058</v>
      </c>
      <c r="S67" s="26">
        <f ca="1">ALL!W50</f>
        <v>-31.405000000000001</v>
      </c>
      <c r="T67" s="26">
        <f ca="1">ALL!X50</f>
        <v>-32.860999999999997</v>
      </c>
      <c r="U67" s="26">
        <f ca="1">ALL!Y50</f>
        <v>-33.183999999999997</v>
      </c>
      <c r="V67" s="26">
        <f ca="1">ALL!Z50</f>
        <v>-33.515000000000001</v>
      </c>
      <c r="W67" s="26">
        <f ca="1">ALL!AA50</f>
        <v>-33.835999999999999</v>
      </c>
      <c r="X67" s="26">
        <f ca="1">ALL!AB50</f>
        <v>-34.148000000000003</v>
      </c>
      <c r="Y67" s="26">
        <f ca="1">ALL!AC50</f>
        <v>-35.149000000000001</v>
      </c>
      <c r="Z67" s="26">
        <f ca="1">ALL!AD50</f>
        <v>-35.433</v>
      </c>
      <c r="AA67" s="26">
        <f ca="1">ALL!AE50</f>
        <v>-35.718000000000004</v>
      </c>
      <c r="AB67" s="26">
        <f ca="1">ALL!AF50</f>
        <v>-35.993000000000002</v>
      </c>
      <c r="AC67" s="26">
        <f ca="1">ALL!AG50</f>
        <v>-36.277999999999999</v>
      </c>
      <c r="AD67" s="26">
        <f ca="1">ALL!AH50</f>
        <v>0</v>
      </c>
      <c r="AE67" s="26">
        <f ca="1">ALL!AI50</f>
        <v>0</v>
      </c>
      <c r="AF67" s="26">
        <f ca="1">ALL!AJ50</f>
        <v>0</v>
      </c>
      <c r="AG67" s="26">
        <f ca="1">ALL!AK50</f>
        <v>0</v>
      </c>
      <c r="AH67" s="26">
        <f ca="1">ALL!AL50</f>
        <v>0</v>
      </c>
      <c r="AI67" s="26">
        <f>ALL!AM50</f>
        <v>0</v>
      </c>
    </row>
    <row r="68" spans="1:35" ht="21.75" outlineLevel="1" thickBot="1" x14ac:dyDescent="0.4">
      <c r="A68" s="58" t="str">
        <f>ALL!E51</f>
        <v>*Ga[l]</v>
      </c>
      <c r="B68" s="28">
        <f ca="1">ALL!F51</f>
        <v>-66.36</v>
      </c>
      <c r="C68" s="28">
        <f ca="1">ALL!G51</f>
        <v>-61.96</v>
      </c>
      <c r="D68" s="28">
        <f ca="1">ALL!H51</f>
        <v>-57.78</v>
      </c>
      <c r="E68" s="28">
        <f ca="1">ALL!I51</f>
        <v>-53.6</v>
      </c>
      <c r="F68" s="26">
        <f ca="1">ALL!J51</f>
        <v>-49.48</v>
      </c>
      <c r="G68" s="26">
        <f ca="1">ALL!K51</f>
        <v>-45.55</v>
      </c>
      <c r="H68" s="26">
        <f ca="1">ALL!L51</f>
        <v>-41.9</v>
      </c>
      <c r="I68" s="26">
        <f ca="1">ALL!M51</f>
        <v>-38.58</v>
      </c>
      <c r="J68" s="26">
        <f ca="1">ALL!N51</f>
        <v>-35.61</v>
      </c>
      <c r="K68" s="26">
        <f ca="1">ALL!O51</f>
        <v>-26.13</v>
      </c>
      <c r="L68" s="26">
        <f ca="1">ALL!P51</f>
        <v>-24.06</v>
      </c>
      <c r="M68" s="26">
        <f ca="1">ALL!Q51</f>
        <v>-22.1</v>
      </c>
      <c r="N68" s="26">
        <f ca="1">ALL!R51</f>
        <v>-20.239999999999998</v>
      </c>
      <c r="O68" s="26">
        <f ca="1">ALL!S51</f>
        <v>-18.489999999999998</v>
      </c>
      <c r="P68" s="26">
        <f ca="1">ALL!T51</f>
        <v>-16.829999999999998</v>
      </c>
      <c r="Q68" s="26">
        <f ca="1">ALL!U51</f>
        <v>-15.27</v>
      </c>
      <c r="R68" s="26">
        <f ca="1">ALL!V51</f>
        <v>-13.8</v>
      </c>
      <c r="S68" s="26">
        <f ca="1">ALL!W51</f>
        <v>-12.48</v>
      </c>
      <c r="T68" s="26">
        <f ca="1">ALL!X51</f>
        <v>-9.391</v>
      </c>
      <c r="U68" s="26">
        <f ca="1">ALL!Y51</f>
        <v>-8.8940000000000001</v>
      </c>
      <c r="V68" s="26">
        <f ca="1">ALL!Z51</f>
        <v>-8.4309999999999992</v>
      </c>
      <c r="W68" s="26">
        <f ca="1">ALL!AA51</f>
        <v>-7.9980000000000002</v>
      </c>
      <c r="X68" s="26">
        <f ca="1">ALL!AB51</f>
        <v>-7.6219999999999999</v>
      </c>
      <c r="Y68" s="26">
        <f ca="1">ALL!AC51</f>
        <v>-7.9009999999999998</v>
      </c>
      <c r="Z68" s="26">
        <f ca="1">ALL!AD51</f>
        <v>-7.9690000000000003</v>
      </c>
      <c r="AA68" s="26">
        <f ca="1">ALL!AE51</f>
        <v>-8.0350000000000001</v>
      </c>
      <c r="AB68" s="26">
        <f ca="1">ALL!AF51</f>
        <v>-8.1010000000000009</v>
      </c>
      <c r="AC68" s="26">
        <f ca="1">ALL!AG51</f>
        <v>-8.1660000000000004</v>
      </c>
      <c r="AD68" s="26">
        <f ca="1">ALL!AH51</f>
        <v>0</v>
      </c>
      <c r="AE68" s="26">
        <f ca="1">ALL!AI51</f>
        <v>0</v>
      </c>
      <c r="AF68" s="26">
        <f ca="1">ALL!AJ51</f>
        <v>0</v>
      </c>
      <c r="AG68" s="26">
        <f ca="1">ALL!AK51</f>
        <v>0</v>
      </c>
      <c r="AH68" s="26">
        <f ca="1">ALL!AL51</f>
        <v>0</v>
      </c>
      <c r="AI68" s="26">
        <f>ALL!AM51</f>
        <v>0</v>
      </c>
    </row>
    <row r="69" spans="1:35" ht="21.75" outlineLevel="1" thickBot="1" x14ac:dyDescent="0.4">
      <c r="A69" s="58" t="str">
        <f>ALL!E52</f>
        <v>*Se[m]</v>
      </c>
      <c r="B69" s="28">
        <f ca="1">ALL!F52</f>
        <v>-23.56</v>
      </c>
      <c r="C69" s="28">
        <f ca="1">ALL!G52</f>
        <v>-22.35</v>
      </c>
      <c r="D69" s="28">
        <f ca="1">ALL!H52</f>
        <v>-21.56</v>
      </c>
      <c r="E69" s="28">
        <f ca="1">ALL!I52</f>
        <v>-21.22</v>
      </c>
      <c r="F69" s="26">
        <f ca="1">ALL!J52</f>
        <v>-21.21</v>
      </c>
      <c r="G69" s="26">
        <f ca="1">ALL!K52</f>
        <v>-21.39</v>
      </c>
      <c r="H69" s="26">
        <f ca="1">ALL!L52</f>
        <v>-21.64</v>
      </c>
      <c r="I69" s="26">
        <f ca="1">ALL!M52</f>
        <v>-21.89</v>
      </c>
      <c r="J69" s="26">
        <f ca="1">ALL!N52</f>
        <v>-22.11</v>
      </c>
      <c r="K69" s="26">
        <f ca="1">ALL!O52</f>
        <v>-22.89</v>
      </c>
      <c r="L69" s="26">
        <f ca="1">ALL!P52</f>
        <v>-23.15</v>
      </c>
      <c r="M69" s="26">
        <f ca="1">ALL!Q52</f>
        <v>-23.44</v>
      </c>
      <c r="N69" s="26">
        <f ca="1">ALL!R52</f>
        <v>-23.72</v>
      </c>
      <c r="O69" s="26">
        <f ca="1">ALL!S52</f>
        <v>-24.01</v>
      </c>
      <c r="P69" s="26">
        <f ca="1">ALL!T52</f>
        <v>-24.3</v>
      </c>
      <c r="Q69" s="26">
        <f ca="1">ALL!U52</f>
        <v>-24.58</v>
      </c>
      <c r="R69" s="26">
        <f ca="1">ALL!V52</f>
        <v>-24.86</v>
      </c>
      <c r="S69" s="26">
        <f ca="1">ALL!W52</f>
        <v>-25.12</v>
      </c>
      <c r="T69" s="26">
        <f ca="1">ALL!X52</f>
        <v>-26.08</v>
      </c>
      <c r="U69" s="26">
        <f ca="1">ALL!Y52</f>
        <v>-26.34</v>
      </c>
      <c r="V69" s="26">
        <f ca="1">ALL!Z52</f>
        <v>-26.61</v>
      </c>
      <c r="W69" s="26">
        <f ca="1">ALL!AA52</f>
        <v>-26.87</v>
      </c>
      <c r="X69" s="26">
        <f ca="1">ALL!AB52</f>
        <v>-27.12</v>
      </c>
      <c r="Y69" s="26">
        <f ca="1">ALL!AC52</f>
        <v>-27.95</v>
      </c>
      <c r="Z69" s="26">
        <f ca="1">ALL!AD52</f>
        <v>-28.19</v>
      </c>
      <c r="AA69" s="26">
        <f ca="1">ALL!AE52</f>
        <v>-28.43</v>
      </c>
      <c r="AB69" s="26">
        <f ca="1">ALL!AF52</f>
        <v>-28.66</v>
      </c>
      <c r="AC69" s="26">
        <f ca="1">ALL!AG52</f>
        <v>-28.9</v>
      </c>
      <c r="AD69" s="26">
        <f ca="1">ALL!AH52</f>
        <v>0</v>
      </c>
      <c r="AE69" s="26">
        <f ca="1">ALL!AI52</f>
        <v>0</v>
      </c>
      <c r="AF69" s="26">
        <f ca="1">ALL!AJ52</f>
        <v>0</v>
      </c>
      <c r="AG69" s="26">
        <f ca="1">ALL!AK52</f>
        <v>0</v>
      </c>
      <c r="AH69" s="26">
        <f ca="1">ALL!AL52</f>
        <v>0</v>
      </c>
      <c r="AI69" s="26">
        <f>ALL!AM52</f>
        <v>0</v>
      </c>
    </row>
    <row r="70" spans="1:35" ht="21.75" outlineLevel="1" thickBot="1" x14ac:dyDescent="0.4">
      <c r="A70" s="58" t="str">
        <f>ALL!E53</f>
        <v>*GeSe2</v>
      </c>
      <c r="B70" s="28">
        <f ca="1">ALL!F53</f>
        <v>-64.25</v>
      </c>
      <c r="C70" s="28">
        <f ca="1">ALL!G53</f>
        <v>-60.900000000000006</v>
      </c>
      <c r="D70" s="28">
        <f ca="1">ALL!H53</f>
        <v>-58.22</v>
      </c>
      <c r="E70" s="28">
        <f ca="1">ALL!I53</f>
        <v>-56.22</v>
      </c>
      <c r="F70" s="26">
        <f ca="1">ALL!J53</f>
        <v>-54.77</v>
      </c>
      <c r="G70" s="26">
        <f ca="1">ALL!K53</f>
        <v>-53.72</v>
      </c>
      <c r="H70" s="26">
        <f ca="1">ALL!L53</f>
        <v>-52.911000000000001</v>
      </c>
      <c r="I70" s="26">
        <f ca="1">ALL!M53</f>
        <v>-52.249000000000002</v>
      </c>
      <c r="J70" s="26">
        <f ca="1">ALL!N53</f>
        <v>-51.734000000000002</v>
      </c>
      <c r="K70" s="26">
        <f ca="1">ALL!O53</f>
        <v>-51.760000000000005</v>
      </c>
      <c r="L70" s="26">
        <f ca="1">ALL!P53</f>
        <v>-52.250999999999998</v>
      </c>
      <c r="M70" s="26">
        <f ca="1">ALL!Q53</f>
        <v>-52.844999999999999</v>
      </c>
      <c r="N70" s="26">
        <f ca="1">ALL!R53</f>
        <v>-53.437999999999995</v>
      </c>
      <c r="O70" s="26">
        <f ca="1">ALL!S53</f>
        <v>-54.061000000000007</v>
      </c>
      <c r="P70" s="26">
        <f ca="1">ALL!T53</f>
        <v>-54.688000000000002</v>
      </c>
      <c r="Q70" s="26">
        <f ca="1">ALL!U53</f>
        <v>-55.297999999999995</v>
      </c>
      <c r="R70" s="26">
        <f ca="1">ALL!V53</f>
        <v>-55.917999999999999</v>
      </c>
      <c r="S70" s="26">
        <f ca="1">ALL!W53</f>
        <v>-56.525000000000006</v>
      </c>
      <c r="T70" s="26">
        <f ca="1">ALL!X53</f>
        <v>-58.940999999999995</v>
      </c>
      <c r="U70" s="26">
        <f ca="1">ALL!Y53</f>
        <v>-59.524000000000001</v>
      </c>
      <c r="V70" s="26">
        <f ca="1">ALL!Z53</f>
        <v>-60.125</v>
      </c>
      <c r="W70" s="26">
        <f ca="1">ALL!AA53</f>
        <v>-60.706000000000003</v>
      </c>
      <c r="X70" s="26">
        <f ca="1">ALL!AB53</f>
        <v>-61.268000000000001</v>
      </c>
      <c r="Y70" s="26">
        <f ca="1">ALL!AC53</f>
        <v>-63.098999999999997</v>
      </c>
      <c r="Z70" s="26">
        <f ca="1">ALL!AD53</f>
        <v>-63.623000000000005</v>
      </c>
      <c r="AA70" s="26">
        <f ca="1">ALL!AE53</f>
        <v>-64.147999999999996</v>
      </c>
      <c r="AB70" s="26">
        <f ca="1">ALL!AF53</f>
        <v>-64.653000000000006</v>
      </c>
      <c r="AC70" s="26">
        <f ca="1">ALL!AG53</f>
        <v>-65.177999999999997</v>
      </c>
      <c r="AD70" s="26">
        <f ca="1">ALL!AH53</f>
        <v>0</v>
      </c>
      <c r="AE70" s="26">
        <f ca="1">ALL!AI53</f>
        <v>0</v>
      </c>
      <c r="AF70" s="26">
        <f ca="1">ALL!AJ53</f>
        <v>0</v>
      </c>
      <c r="AG70" s="26">
        <f ca="1">ALL!AK53</f>
        <v>0</v>
      </c>
      <c r="AH70" s="26">
        <f ca="1">ALL!AL53</f>
        <v>0</v>
      </c>
      <c r="AI70" s="26">
        <f>ALL!AM53</f>
        <v>0</v>
      </c>
    </row>
    <row r="71" spans="1:35" ht="21.75" outlineLevel="1" thickBot="1" x14ac:dyDescent="0.4">
      <c r="A71" s="58" t="str">
        <f>ALL!E54</f>
        <v>Ga2Se3</v>
      </c>
      <c r="B71" s="28">
        <f ca="1">ALL!F54</f>
        <v>-203.39999999999998</v>
      </c>
      <c r="C71" s="28">
        <f ca="1">ALL!G54</f>
        <v>-190.97000000000003</v>
      </c>
      <c r="D71" s="28">
        <f ca="1">ALL!H54</f>
        <v>-180.24</v>
      </c>
      <c r="E71" s="28">
        <f ca="1">ALL!I54</f>
        <v>-170.86</v>
      </c>
      <c r="F71" s="26">
        <f ca="1">ALL!J54</f>
        <v>-162.59</v>
      </c>
      <c r="G71" s="26">
        <f ca="1">ALL!K54</f>
        <v>-155.26999999999998</v>
      </c>
      <c r="H71" s="26">
        <f ca="1">ALL!L54</f>
        <v>-148.72</v>
      </c>
      <c r="I71" s="26">
        <f ca="1">ALL!M54</f>
        <v>-142.82999999999998</v>
      </c>
      <c r="J71" s="26">
        <f ca="1">ALL!N54</f>
        <v>-137.55000000000001</v>
      </c>
      <c r="K71" s="26">
        <f ca="1">ALL!O54</f>
        <v>-120.93</v>
      </c>
      <c r="L71" s="26">
        <f ca="1">ALL!P54</f>
        <v>-117.57</v>
      </c>
      <c r="M71" s="26">
        <f ca="1">ALL!Q54</f>
        <v>-114.52000000000001</v>
      </c>
      <c r="N71" s="26">
        <f ca="1">ALL!R54</f>
        <v>-111.63999999999999</v>
      </c>
      <c r="O71" s="26">
        <f ca="1">ALL!S54</f>
        <v>-109.00999999999999</v>
      </c>
      <c r="P71" s="26">
        <f ca="1">ALL!T54</f>
        <v>-106.56</v>
      </c>
      <c r="Q71" s="26">
        <f ca="1">ALL!U54</f>
        <v>-104.28</v>
      </c>
      <c r="R71" s="26">
        <f ca="1">ALL!V54</f>
        <v>-102.18</v>
      </c>
      <c r="S71" s="26">
        <f ca="1">ALL!W54</f>
        <v>-100.32</v>
      </c>
      <c r="T71" s="26">
        <f ca="1">ALL!X54</f>
        <v>-97.021999999999991</v>
      </c>
      <c r="U71" s="26">
        <f ca="1">ALL!Y54</f>
        <v>-96.807999999999993</v>
      </c>
      <c r="V71" s="26">
        <f ca="1">ALL!Z54</f>
        <v>-96.691999999999993</v>
      </c>
      <c r="W71" s="26">
        <f ca="1">ALL!AA54</f>
        <v>-96.605999999999995</v>
      </c>
      <c r="X71" s="26">
        <f ca="1">ALL!AB54</f>
        <v>-96.603999999999999</v>
      </c>
      <c r="Y71" s="26">
        <f ca="1">ALL!AC54</f>
        <v>-99.651999999999987</v>
      </c>
      <c r="Z71" s="26">
        <f ca="1">ALL!AD54</f>
        <v>-100.50800000000001</v>
      </c>
      <c r="AA71" s="26">
        <f ca="1">ALL!AE54</f>
        <v>-101.35999999999999</v>
      </c>
      <c r="AB71" s="26">
        <f ca="1">ALL!AF54</f>
        <v>-102.182</v>
      </c>
      <c r="AC71" s="26">
        <f ca="1">ALL!AG54</f>
        <v>-103.03199999999998</v>
      </c>
      <c r="AD71" s="26">
        <f ca="1">ALL!AH54</f>
        <v>0</v>
      </c>
      <c r="AE71" s="26">
        <f ca="1">ALL!AI54</f>
        <v>0</v>
      </c>
      <c r="AF71" s="26">
        <f ca="1">ALL!AJ54</f>
        <v>0</v>
      </c>
      <c r="AG71" s="26">
        <f ca="1">ALL!AK54</f>
        <v>0</v>
      </c>
      <c r="AH71" s="26">
        <f ca="1">ALL!AL54</f>
        <v>0</v>
      </c>
      <c r="AI71" s="26">
        <f>ALL!AM54</f>
        <v>0</v>
      </c>
    </row>
    <row r="72" spans="1:35" ht="21.75" outlineLevel="1" thickBot="1" x14ac:dyDescent="0.4">
      <c r="A72" s="58" t="str">
        <f>ALL!E55</f>
        <v>Ga2Se</v>
      </c>
      <c r="B72" s="28">
        <f ca="1">ALL!F55</f>
        <v>-156.28</v>
      </c>
      <c r="C72" s="28">
        <f ca="1">ALL!G55</f>
        <v>-146.27000000000001</v>
      </c>
      <c r="D72" s="28">
        <f ca="1">ALL!H55</f>
        <v>-137.12</v>
      </c>
      <c r="E72" s="28">
        <f ca="1">ALL!I55</f>
        <v>-128.42000000000002</v>
      </c>
      <c r="F72" s="26">
        <f ca="1">ALL!J55</f>
        <v>-120.16999999999999</v>
      </c>
      <c r="G72" s="26">
        <f ca="1">ALL!K55</f>
        <v>-112.49</v>
      </c>
      <c r="H72" s="26">
        <f ca="1">ALL!L55</f>
        <v>-105.44</v>
      </c>
      <c r="I72" s="26">
        <f ca="1">ALL!M55</f>
        <v>-99.05</v>
      </c>
      <c r="J72" s="26">
        <f ca="1">ALL!N55</f>
        <v>-93.33</v>
      </c>
      <c r="K72" s="26">
        <f ca="1">ALL!O55</f>
        <v>-75.150000000000006</v>
      </c>
      <c r="L72" s="26">
        <f ca="1">ALL!P55</f>
        <v>-71.27</v>
      </c>
      <c r="M72" s="26">
        <f ca="1">ALL!Q55</f>
        <v>-67.64</v>
      </c>
      <c r="N72" s="26">
        <f ca="1">ALL!R55</f>
        <v>-64.199999999999989</v>
      </c>
      <c r="O72" s="26">
        <f ca="1">ALL!S55</f>
        <v>-60.989999999999995</v>
      </c>
      <c r="P72" s="26">
        <f ca="1">ALL!T55</f>
        <v>-57.959999999999994</v>
      </c>
      <c r="Q72" s="26">
        <f ca="1">ALL!U55</f>
        <v>-55.12</v>
      </c>
      <c r="R72" s="26">
        <f ca="1">ALL!V55</f>
        <v>-52.46</v>
      </c>
      <c r="S72" s="26">
        <f ca="1">ALL!W55</f>
        <v>-50.08</v>
      </c>
      <c r="T72" s="26">
        <f ca="1">ALL!X55</f>
        <v>-44.861999999999995</v>
      </c>
      <c r="U72" s="26">
        <f ca="1">ALL!Y55</f>
        <v>-44.128</v>
      </c>
      <c r="V72" s="26">
        <f ca="1">ALL!Z55</f>
        <v>-43.471999999999994</v>
      </c>
      <c r="W72" s="26">
        <f ca="1">ALL!AA55</f>
        <v>-42.866</v>
      </c>
      <c r="X72" s="26">
        <f ca="1">ALL!AB55</f>
        <v>-42.364000000000004</v>
      </c>
      <c r="Y72" s="26">
        <f ca="1">ALL!AC55</f>
        <v>-43.751999999999995</v>
      </c>
      <c r="Z72" s="26">
        <f ca="1">ALL!AD55</f>
        <v>-44.128</v>
      </c>
      <c r="AA72" s="26">
        <f ca="1">ALL!AE55</f>
        <v>-44.5</v>
      </c>
      <c r="AB72" s="26">
        <f ca="1">ALL!AF55</f>
        <v>-44.862000000000002</v>
      </c>
      <c r="AC72" s="26">
        <f ca="1">ALL!AG55</f>
        <v>-45.231999999999999</v>
      </c>
      <c r="AD72" s="26">
        <f ca="1">ALL!AH55</f>
        <v>0</v>
      </c>
      <c r="AE72" s="26">
        <f ca="1">ALL!AI55</f>
        <v>0</v>
      </c>
      <c r="AF72" s="26">
        <f ca="1">ALL!AJ55</f>
        <v>0</v>
      </c>
      <c r="AG72" s="26">
        <f ca="1">ALL!AK55</f>
        <v>0</v>
      </c>
      <c r="AH72" s="26">
        <f ca="1">ALL!AL55</f>
        <v>0</v>
      </c>
      <c r="AI72" s="26">
        <f>ALL!AM55</f>
        <v>0</v>
      </c>
    </row>
    <row r="73" spans="1:35" ht="21.75" outlineLevel="1" thickBot="1" x14ac:dyDescent="0.4">
      <c r="A73" s="58" t="str">
        <f>ALL!E56</f>
        <v>Ga</v>
      </c>
      <c r="B73" s="28">
        <f ca="1">ALL!F56</f>
        <v>-66.36</v>
      </c>
      <c r="C73" s="28">
        <f ca="1">ALL!G56</f>
        <v>-61.96</v>
      </c>
      <c r="D73" s="28">
        <f ca="1">ALL!H56</f>
        <v>-57.78</v>
      </c>
      <c r="E73" s="28">
        <f ca="1">ALL!I56</f>
        <v>-53.6</v>
      </c>
      <c r="F73" s="26">
        <f ca="1">ALL!J56</f>
        <v>-49.48</v>
      </c>
      <c r="G73" s="26">
        <f ca="1">ALL!K56</f>
        <v>-45.55</v>
      </c>
      <c r="H73" s="26">
        <f ca="1">ALL!L56</f>
        <v>-41.9</v>
      </c>
      <c r="I73" s="26">
        <f ca="1">ALL!M56</f>
        <v>-38.58</v>
      </c>
      <c r="J73" s="26">
        <f ca="1">ALL!N56</f>
        <v>-35.61</v>
      </c>
      <c r="K73" s="26">
        <f ca="1">ALL!O56</f>
        <v>-26.13</v>
      </c>
      <c r="L73" s="26">
        <f ca="1">ALL!P56</f>
        <v>-24.06</v>
      </c>
      <c r="M73" s="26">
        <f ca="1">ALL!Q56</f>
        <v>-22.1</v>
      </c>
      <c r="N73" s="26">
        <f ca="1">ALL!R56</f>
        <v>-20.239999999999998</v>
      </c>
      <c r="O73" s="26">
        <f ca="1">ALL!S56</f>
        <v>-18.489999999999998</v>
      </c>
      <c r="P73" s="26">
        <f ca="1">ALL!T56</f>
        <v>-16.829999999999998</v>
      </c>
      <c r="Q73" s="26">
        <f ca="1">ALL!U56</f>
        <v>-15.27</v>
      </c>
      <c r="R73" s="26">
        <f ca="1">ALL!V56</f>
        <v>-13.8</v>
      </c>
      <c r="S73" s="26">
        <f ca="1">ALL!W56</f>
        <v>-12.48</v>
      </c>
      <c r="T73" s="26">
        <f ca="1">ALL!X56</f>
        <v>-9.391</v>
      </c>
      <c r="U73" s="26">
        <f ca="1">ALL!Y56</f>
        <v>-8.8940000000000001</v>
      </c>
      <c r="V73" s="26">
        <f ca="1">ALL!Z56</f>
        <v>-8.4309999999999992</v>
      </c>
      <c r="W73" s="26">
        <f ca="1">ALL!AA56</f>
        <v>-7.9980000000000002</v>
      </c>
      <c r="X73" s="26">
        <f ca="1">ALL!AB56</f>
        <v>-7.6219999999999999</v>
      </c>
      <c r="Y73" s="26">
        <f ca="1">ALL!AC56</f>
        <v>-7.9009999999999998</v>
      </c>
      <c r="Z73" s="26">
        <f ca="1">ALL!AD56</f>
        <v>-7.9690000000000003</v>
      </c>
      <c r="AA73" s="26">
        <f ca="1">ALL!AE56</f>
        <v>-8.0350000000000001</v>
      </c>
      <c r="AB73" s="26">
        <f ca="1">ALL!AF56</f>
        <v>-8.1010000000000009</v>
      </c>
      <c r="AC73" s="26">
        <f ca="1">ALL!AG56</f>
        <v>-8.1660000000000004</v>
      </c>
      <c r="AD73" s="26">
        <f ca="1">ALL!AH56</f>
        <v>0</v>
      </c>
      <c r="AE73" s="26">
        <f ca="1">ALL!AI56</f>
        <v>0</v>
      </c>
      <c r="AF73" s="26">
        <f ca="1">ALL!AJ56</f>
        <v>0</v>
      </c>
      <c r="AG73" s="26">
        <f ca="1">ALL!AK56</f>
        <v>0</v>
      </c>
      <c r="AH73" s="26">
        <f ca="1">ALL!AL56</f>
        <v>0</v>
      </c>
      <c r="AI73" s="26">
        <f>ALL!AM56</f>
        <v>0</v>
      </c>
    </row>
    <row r="74" spans="1:35" ht="21.75" outlineLevel="1" thickBot="1" x14ac:dyDescent="0.4">
      <c r="A74" s="58" t="str">
        <f>ALL!E57</f>
        <v>Ar</v>
      </c>
      <c r="B74" s="28">
        <f ca="1">ALL!F57</f>
        <v>-18.82</v>
      </c>
      <c r="C74" s="28">
        <f ca="1">ALL!G57</f>
        <v>-18.809999999999999</v>
      </c>
      <c r="D74" s="28">
        <f ca="1">ALL!H57</f>
        <v>-18.8</v>
      </c>
      <c r="E74" s="28">
        <f ca="1">ALL!I57</f>
        <v>-18.809999999999999</v>
      </c>
      <c r="F74" s="26">
        <f ca="1">ALL!J57</f>
        <v>-18.82</v>
      </c>
      <c r="G74" s="26">
        <f ca="1">ALL!K57</f>
        <v>-18.84</v>
      </c>
      <c r="H74" s="26">
        <f ca="1">ALL!L57</f>
        <v>-18.87</v>
      </c>
      <c r="I74" s="26">
        <f ca="1">ALL!M57</f>
        <v>-18.899999999999999</v>
      </c>
      <c r="J74" s="26">
        <f ca="1">ALL!N57</f>
        <v>-18.93</v>
      </c>
      <c r="K74" s="26">
        <f ca="1">ALL!O57</f>
        <v>-19.059999999999999</v>
      </c>
      <c r="L74" s="26">
        <f ca="1">ALL!P57</f>
        <v>-19.100000000000001</v>
      </c>
      <c r="M74" s="26">
        <f ca="1">ALL!Q57</f>
        <v>-19.14</v>
      </c>
      <c r="N74" s="26">
        <f ca="1">ALL!R57</f>
        <v>-19.18</v>
      </c>
      <c r="O74" s="26">
        <f ca="1">ALL!S57</f>
        <v>-19.22</v>
      </c>
      <c r="P74" s="26">
        <f ca="1">ALL!T57</f>
        <v>-19.260000000000002</v>
      </c>
      <c r="Q74" s="26">
        <f ca="1">ALL!U57</f>
        <v>-19.3</v>
      </c>
      <c r="R74" s="26">
        <f ca="1">ALL!V57</f>
        <v>-19.34</v>
      </c>
      <c r="S74" s="26">
        <f ca="1">ALL!W57</f>
        <v>-19.37</v>
      </c>
      <c r="T74" s="26">
        <f ca="1">ALL!X57</f>
        <v>-19.43</v>
      </c>
      <c r="U74" s="26">
        <f ca="1">ALL!Y57</f>
        <v>-19.47</v>
      </c>
      <c r="V74" s="26">
        <f ca="1">ALL!Z57</f>
        <v>-19.510000000000002</v>
      </c>
      <c r="W74" s="26">
        <f ca="1">ALL!AA57</f>
        <v>-19.55</v>
      </c>
      <c r="X74" s="26">
        <f ca="1">ALL!AB57</f>
        <v>-19.59</v>
      </c>
      <c r="Y74" s="26">
        <f ca="1">ALL!AC57</f>
        <v>-19.739999999999998</v>
      </c>
      <c r="Z74" s="26">
        <f ca="1">ALL!AD57</f>
        <v>-19.77</v>
      </c>
      <c r="AA74" s="26">
        <f ca="1">ALL!AE57</f>
        <v>-19.809999999999999</v>
      </c>
      <c r="AB74" s="26">
        <f ca="1">ALL!AF57</f>
        <v>-19.850000000000001</v>
      </c>
      <c r="AC74" s="26">
        <f ca="1">ALL!AG57</f>
        <v>-19.88</v>
      </c>
      <c r="AD74" s="26">
        <f ca="1">ALL!AH57</f>
        <v>0</v>
      </c>
      <c r="AE74" s="26">
        <f ca="1">ALL!AI57</f>
        <v>0</v>
      </c>
      <c r="AF74" s="26">
        <f ca="1">ALL!AJ57</f>
        <v>0</v>
      </c>
      <c r="AG74" s="26">
        <f ca="1">ALL!AK57</f>
        <v>0</v>
      </c>
      <c r="AH74" s="26">
        <f ca="1">ALL!AL57</f>
        <v>0</v>
      </c>
      <c r="AI74" s="26">
        <f>ALL!AM57</f>
        <v>0</v>
      </c>
    </row>
    <row r="75" spans="1:35" ht="21.75" outlineLevel="1" thickBot="1" x14ac:dyDescent="0.4">
      <c r="A75" s="58" t="str">
        <f>ALL!E58</f>
        <v>(l)GeSe2</v>
      </c>
      <c r="B75" s="28">
        <f ca="1">ALL!F58</f>
        <v>-64.25</v>
      </c>
      <c r="C75" s="28">
        <f ca="1">ALL!G58</f>
        <v>-60.900000000000006</v>
      </c>
      <c r="D75" s="28">
        <f ca="1">ALL!H58</f>
        <v>-58.22</v>
      </c>
      <c r="E75" s="28">
        <f ca="1">ALL!I58</f>
        <v>-56.22</v>
      </c>
      <c r="F75" s="26">
        <f ca="1">ALL!J58</f>
        <v>-54.77</v>
      </c>
      <c r="G75" s="26">
        <f ca="1">ALL!K58</f>
        <v>-53.72</v>
      </c>
      <c r="H75" s="26">
        <f ca="1">ALL!L58</f>
        <v>-52.911000000000001</v>
      </c>
      <c r="I75" s="26">
        <f ca="1">ALL!M58</f>
        <v>-52.249000000000002</v>
      </c>
      <c r="J75" s="26">
        <f ca="1">ALL!N58</f>
        <v>-51.734000000000002</v>
      </c>
      <c r="K75" s="26">
        <f ca="1">ALL!O58</f>
        <v>-51.760000000000005</v>
      </c>
      <c r="L75" s="26">
        <f ca="1">ALL!P58</f>
        <v>-52.250999999999998</v>
      </c>
      <c r="M75" s="26">
        <f ca="1">ALL!Q58</f>
        <v>-52.844999999999999</v>
      </c>
      <c r="N75" s="26">
        <f ca="1">ALL!R58</f>
        <v>-53.437999999999995</v>
      </c>
      <c r="O75" s="26">
        <f ca="1">ALL!S58</f>
        <v>-54.061000000000007</v>
      </c>
      <c r="P75" s="26">
        <f ca="1">ALL!T58</f>
        <v>-54.688000000000002</v>
      </c>
      <c r="Q75" s="26">
        <f ca="1">ALL!U58</f>
        <v>-55.297999999999995</v>
      </c>
      <c r="R75" s="26">
        <f ca="1">ALL!V58</f>
        <v>-55.917999999999999</v>
      </c>
      <c r="S75" s="26">
        <f ca="1">ALL!W58</f>
        <v>-56.525000000000006</v>
      </c>
      <c r="T75" s="26">
        <f ca="1">ALL!X58</f>
        <v>-58.940999999999995</v>
      </c>
      <c r="U75" s="26">
        <f ca="1">ALL!Y58</f>
        <v>-59.524000000000001</v>
      </c>
      <c r="V75" s="26">
        <f ca="1">ALL!Z58</f>
        <v>-60.125</v>
      </c>
      <c r="W75" s="26">
        <f ca="1">ALL!AA58</f>
        <v>-60.706000000000003</v>
      </c>
      <c r="X75" s="26">
        <f ca="1">ALL!AB58</f>
        <v>-61.268000000000001</v>
      </c>
      <c r="Y75" s="26">
        <f ca="1">ALL!AC58</f>
        <v>-63.098999999999997</v>
      </c>
      <c r="Z75" s="26">
        <f ca="1">ALL!AD58</f>
        <v>-63.623000000000005</v>
      </c>
      <c r="AA75" s="26">
        <f ca="1">ALL!AE58</f>
        <v>-64.147999999999996</v>
      </c>
      <c r="AB75" s="26">
        <f ca="1">ALL!AF58</f>
        <v>-64.653000000000006</v>
      </c>
      <c r="AC75" s="26">
        <f ca="1">ALL!AG58</f>
        <v>-65.177999999999997</v>
      </c>
      <c r="AD75" s="26">
        <f ca="1">ALL!AH58</f>
        <v>0</v>
      </c>
      <c r="AE75" s="26">
        <f ca="1">ALL!AI58</f>
        <v>0</v>
      </c>
      <c r="AF75" s="26">
        <f ca="1">ALL!AJ58</f>
        <v>0</v>
      </c>
      <c r="AG75" s="26">
        <f ca="1">ALL!AK58</f>
        <v>0</v>
      </c>
      <c r="AH75" s="26">
        <f ca="1">ALL!AL58</f>
        <v>0</v>
      </c>
      <c r="AI75" s="26">
        <f>ALL!AM58</f>
        <v>0</v>
      </c>
    </row>
    <row r="76" spans="1:35" ht="21.75" outlineLevel="1" thickBot="1" x14ac:dyDescent="0.4">
      <c r="A76" s="58" t="str">
        <f>ALL!E59</f>
        <v>(l)GeSe</v>
      </c>
      <c r="B76" s="28">
        <f ca="1">ALL!F59</f>
        <v>-40.69</v>
      </c>
      <c r="C76" s="28">
        <f ca="1">ALL!G59</f>
        <v>-38.549999999999997</v>
      </c>
      <c r="D76" s="28">
        <f ca="1">ALL!H59</f>
        <v>-36.659999999999997</v>
      </c>
      <c r="E76" s="28">
        <f ca="1">ALL!I59</f>
        <v>-35</v>
      </c>
      <c r="F76" s="26">
        <f ca="1">ALL!J59</f>
        <v>-33.56</v>
      </c>
      <c r="G76" s="26">
        <f ca="1">ALL!K59</f>
        <v>-32.33</v>
      </c>
      <c r="H76" s="26">
        <f ca="1">ALL!L59</f>
        <v>-31.271000000000001</v>
      </c>
      <c r="I76" s="26">
        <f ca="1">ALL!M59</f>
        <v>-30.359000000000002</v>
      </c>
      <c r="J76" s="26">
        <f ca="1">ALL!N59</f>
        <v>-29.623999999999999</v>
      </c>
      <c r="K76" s="26">
        <f ca="1">ALL!O59</f>
        <v>-28.87</v>
      </c>
      <c r="L76" s="26">
        <f ca="1">ALL!P59</f>
        <v>-29.100999999999999</v>
      </c>
      <c r="M76" s="26">
        <f ca="1">ALL!Q59</f>
        <v>-29.405000000000001</v>
      </c>
      <c r="N76" s="26">
        <f ca="1">ALL!R59</f>
        <v>-29.718</v>
      </c>
      <c r="O76" s="26">
        <f ca="1">ALL!S59</f>
        <v>-30.051000000000002</v>
      </c>
      <c r="P76" s="26">
        <f ca="1">ALL!T59</f>
        <v>-30.388000000000002</v>
      </c>
      <c r="Q76" s="26">
        <f ca="1">ALL!U59</f>
        <v>-30.717999999999996</v>
      </c>
      <c r="R76" s="26">
        <f ca="1">ALL!V59</f>
        <v>-31.058</v>
      </c>
      <c r="S76" s="26">
        <f ca="1">ALL!W59</f>
        <v>-31.405000000000001</v>
      </c>
      <c r="T76" s="26">
        <f ca="1">ALL!X59</f>
        <v>-32.860999999999997</v>
      </c>
      <c r="U76" s="26">
        <f ca="1">ALL!Y59</f>
        <v>-33.183999999999997</v>
      </c>
      <c r="V76" s="26">
        <f ca="1">ALL!Z59</f>
        <v>-33.515000000000001</v>
      </c>
      <c r="W76" s="26">
        <f ca="1">ALL!AA59</f>
        <v>-33.835999999999999</v>
      </c>
      <c r="X76" s="26">
        <f ca="1">ALL!AB59</f>
        <v>-34.148000000000003</v>
      </c>
      <c r="Y76" s="26">
        <f ca="1">ALL!AC59</f>
        <v>-35.149000000000001</v>
      </c>
      <c r="Z76" s="26">
        <f ca="1">ALL!AD59</f>
        <v>-35.433</v>
      </c>
      <c r="AA76" s="26">
        <f ca="1">ALL!AE59</f>
        <v>-35.718000000000004</v>
      </c>
      <c r="AB76" s="26">
        <f ca="1">ALL!AF59</f>
        <v>-35.993000000000002</v>
      </c>
      <c r="AC76" s="26">
        <f ca="1">ALL!AG59</f>
        <v>-36.277999999999999</v>
      </c>
      <c r="AD76" s="26">
        <f ca="1">ALL!AH59</f>
        <v>0</v>
      </c>
      <c r="AE76" s="26">
        <f ca="1">ALL!AI59</f>
        <v>0</v>
      </c>
      <c r="AF76" s="26">
        <f ca="1">ALL!AJ59</f>
        <v>0</v>
      </c>
      <c r="AG76" s="26">
        <f ca="1">ALL!AK59</f>
        <v>0</v>
      </c>
      <c r="AH76" s="26">
        <f ca="1">ALL!AL59</f>
        <v>0</v>
      </c>
      <c r="AI76" s="26">
        <f>ALL!AM59</f>
        <v>0</v>
      </c>
    </row>
    <row r="77" spans="1:35" ht="21.75" outlineLevel="1" thickBot="1" x14ac:dyDescent="0.4">
      <c r="A77" s="58" t="str">
        <f>ALL!E60</f>
        <v>(l)Ga2Se3</v>
      </c>
      <c r="B77" s="28">
        <f ca="1">ALL!F60</f>
        <v>-203.39999999999998</v>
      </c>
      <c r="C77" s="28">
        <f ca="1">ALL!G60</f>
        <v>-190.97000000000003</v>
      </c>
      <c r="D77" s="28">
        <f ca="1">ALL!H60</f>
        <v>-180.24</v>
      </c>
      <c r="E77" s="28">
        <f ca="1">ALL!I60</f>
        <v>-170.86</v>
      </c>
      <c r="F77" s="26">
        <f ca="1">ALL!J60</f>
        <v>-162.59</v>
      </c>
      <c r="G77" s="26">
        <f ca="1">ALL!K60</f>
        <v>-155.26999999999998</v>
      </c>
      <c r="H77" s="26">
        <f ca="1">ALL!L60</f>
        <v>-148.72</v>
      </c>
      <c r="I77" s="26">
        <f ca="1">ALL!M60</f>
        <v>-142.82999999999998</v>
      </c>
      <c r="J77" s="26">
        <f ca="1">ALL!N60</f>
        <v>-137.55000000000001</v>
      </c>
      <c r="K77" s="26">
        <f ca="1">ALL!O60</f>
        <v>-120.93</v>
      </c>
      <c r="L77" s="26">
        <f ca="1">ALL!P60</f>
        <v>-117.57</v>
      </c>
      <c r="M77" s="26">
        <f ca="1">ALL!Q60</f>
        <v>-114.52000000000001</v>
      </c>
      <c r="N77" s="26">
        <f ca="1">ALL!R60</f>
        <v>-111.63999999999999</v>
      </c>
      <c r="O77" s="26">
        <f ca="1">ALL!S60</f>
        <v>-109.00999999999999</v>
      </c>
      <c r="P77" s="26">
        <f ca="1">ALL!T60</f>
        <v>-106.56</v>
      </c>
      <c r="Q77" s="26">
        <f ca="1">ALL!U60</f>
        <v>-104.28</v>
      </c>
      <c r="R77" s="26">
        <f ca="1">ALL!V60</f>
        <v>-102.18</v>
      </c>
      <c r="S77" s="26">
        <f ca="1">ALL!W60</f>
        <v>-100.32</v>
      </c>
      <c r="T77" s="26">
        <f ca="1">ALL!X60</f>
        <v>-97.021999999999991</v>
      </c>
      <c r="U77" s="26">
        <f ca="1">ALL!Y60</f>
        <v>-96.807999999999993</v>
      </c>
      <c r="V77" s="26">
        <f ca="1">ALL!Z60</f>
        <v>-96.691999999999993</v>
      </c>
      <c r="W77" s="26">
        <f ca="1">ALL!AA60</f>
        <v>-96.605999999999995</v>
      </c>
      <c r="X77" s="26">
        <f ca="1">ALL!AB60</f>
        <v>-96.603999999999999</v>
      </c>
      <c r="Y77" s="26">
        <f ca="1">ALL!AC60</f>
        <v>-99.651999999999987</v>
      </c>
      <c r="Z77" s="26">
        <f ca="1">ALL!AD60</f>
        <v>-100.50800000000001</v>
      </c>
      <c r="AA77" s="26">
        <f ca="1">ALL!AE60</f>
        <v>-101.35999999999999</v>
      </c>
      <c r="AB77" s="26">
        <f ca="1">ALL!AF60</f>
        <v>-102.182</v>
      </c>
      <c r="AC77" s="26">
        <f ca="1">ALL!AG60</f>
        <v>-103.03199999999998</v>
      </c>
      <c r="AD77" s="26">
        <f ca="1">ALL!AH60</f>
        <v>0</v>
      </c>
      <c r="AE77" s="26">
        <f ca="1">ALL!AI60</f>
        <v>0</v>
      </c>
      <c r="AF77" s="26">
        <f ca="1">ALL!AJ60</f>
        <v>0</v>
      </c>
      <c r="AG77" s="26">
        <f ca="1">ALL!AK60</f>
        <v>0</v>
      </c>
      <c r="AH77" s="26">
        <f ca="1">ALL!AL60</f>
        <v>0</v>
      </c>
      <c r="AI77" s="26">
        <f>ALL!AM60</f>
        <v>0</v>
      </c>
    </row>
    <row r="78" spans="1:35" ht="21.75" outlineLevel="1" thickBot="1" x14ac:dyDescent="0.4">
      <c r="A78" s="58" t="str">
        <f>ALL!E61</f>
        <v>(l)Ga2Se</v>
      </c>
      <c r="B78" s="28">
        <f ca="1">ALL!F61</f>
        <v>-156.28</v>
      </c>
      <c r="C78" s="28">
        <f ca="1">ALL!G61</f>
        <v>-146.27000000000001</v>
      </c>
      <c r="D78" s="28">
        <f ca="1">ALL!H61</f>
        <v>-137.12</v>
      </c>
      <c r="E78" s="28">
        <f ca="1">ALL!I61</f>
        <v>-128.42000000000002</v>
      </c>
      <c r="F78" s="26">
        <f ca="1">ALL!J61</f>
        <v>-120.16999999999999</v>
      </c>
      <c r="G78" s="26">
        <f ca="1">ALL!K61</f>
        <v>-112.49</v>
      </c>
      <c r="H78" s="26">
        <f ca="1">ALL!L61</f>
        <v>-105.44</v>
      </c>
      <c r="I78" s="26">
        <f ca="1">ALL!M61</f>
        <v>-99.05</v>
      </c>
      <c r="J78" s="26">
        <f ca="1">ALL!N61</f>
        <v>-93.33</v>
      </c>
      <c r="K78" s="26">
        <f ca="1">ALL!O61</f>
        <v>-75.150000000000006</v>
      </c>
      <c r="L78" s="26">
        <f ca="1">ALL!P61</f>
        <v>-71.27</v>
      </c>
      <c r="M78" s="26">
        <f ca="1">ALL!Q61</f>
        <v>-67.64</v>
      </c>
      <c r="N78" s="26">
        <f ca="1">ALL!R61</f>
        <v>-64.199999999999989</v>
      </c>
      <c r="O78" s="26">
        <f ca="1">ALL!S61</f>
        <v>-60.989999999999995</v>
      </c>
      <c r="P78" s="26">
        <f ca="1">ALL!T61</f>
        <v>-57.959999999999994</v>
      </c>
      <c r="Q78" s="26">
        <f ca="1">ALL!U61</f>
        <v>-55.12</v>
      </c>
      <c r="R78" s="26">
        <f ca="1">ALL!V61</f>
        <v>-52.46</v>
      </c>
      <c r="S78" s="26">
        <f ca="1">ALL!W61</f>
        <v>-50.08</v>
      </c>
      <c r="T78" s="26">
        <f ca="1">ALL!X61</f>
        <v>-44.861999999999995</v>
      </c>
      <c r="U78" s="26">
        <f ca="1">ALL!Y61</f>
        <v>-44.128</v>
      </c>
      <c r="V78" s="26">
        <f ca="1">ALL!Z61</f>
        <v>-43.471999999999994</v>
      </c>
      <c r="W78" s="26">
        <f ca="1">ALL!AA61</f>
        <v>-42.866</v>
      </c>
      <c r="X78" s="26">
        <f ca="1">ALL!AB61</f>
        <v>-42.364000000000004</v>
      </c>
      <c r="Y78" s="26">
        <f ca="1">ALL!AC61</f>
        <v>-43.751999999999995</v>
      </c>
      <c r="Z78" s="26">
        <f ca="1">ALL!AD61</f>
        <v>-44.128</v>
      </c>
      <c r="AA78" s="26">
        <f ca="1">ALL!AE61</f>
        <v>-44.5</v>
      </c>
      <c r="AB78" s="26">
        <f ca="1">ALL!AF61</f>
        <v>-44.862000000000002</v>
      </c>
      <c r="AC78" s="26">
        <f ca="1">ALL!AG61</f>
        <v>-45.231999999999999</v>
      </c>
      <c r="AD78" s="26">
        <f ca="1">ALL!AH61</f>
        <v>0</v>
      </c>
      <c r="AE78" s="26">
        <f ca="1">ALL!AI61</f>
        <v>0</v>
      </c>
      <c r="AF78" s="26">
        <f ca="1">ALL!AJ61</f>
        <v>0</v>
      </c>
      <c r="AG78" s="26">
        <f ca="1">ALL!AK61</f>
        <v>0</v>
      </c>
      <c r="AH78" s="26">
        <f ca="1">ALL!AL61</f>
        <v>0</v>
      </c>
      <c r="AI78" s="26">
        <f>ALL!AM61</f>
        <v>0</v>
      </c>
    </row>
    <row r="79" spans="1:35" ht="21.75" outlineLevel="1" thickBot="1" x14ac:dyDescent="0.4">
      <c r="A79" s="58" t="str">
        <f>ALL!E62</f>
        <v>(l)Ge</v>
      </c>
      <c r="B79" s="28">
        <f ca="1">ALL!F62</f>
        <v>-17.13</v>
      </c>
      <c r="C79" s="28">
        <f ca="1">ALL!G62</f>
        <v>-16.2</v>
      </c>
      <c r="D79" s="28">
        <f ca="1">ALL!H62</f>
        <v>-15.1</v>
      </c>
      <c r="E79" s="28">
        <f ca="1">ALL!I62</f>
        <v>-13.78</v>
      </c>
      <c r="F79" s="26">
        <f ca="1">ALL!J62</f>
        <v>-12.35</v>
      </c>
      <c r="G79" s="26">
        <f ca="1">ALL!K62</f>
        <v>-10.94</v>
      </c>
      <c r="H79" s="26">
        <f ca="1">ALL!L62</f>
        <v>-9.6310000000000002</v>
      </c>
      <c r="I79" s="26">
        <f ca="1">ALL!M62</f>
        <v>-8.4689999999999994</v>
      </c>
      <c r="J79" s="26">
        <f ca="1">ALL!N62</f>
        <v>-7.5140000000000002</v>
      </c>
      <c r="K79" s="26">
        <f ca="1">ALL!O62</f>
        <v>-5.98</v>
      </c>
      <c r="L79" s="26">
        <f ca="1">ALL!P62</f>
        <v>-5.9509999999999996</v>
      </c>
      <c r="M79" s="26">
        <f ca="1">ALL!Q62</f>
        <v>-5.9649999999999999</v>
      </c>
      <c r="N79" s="26">
        <f ca="1">ALL!R62</f>
        <v>-5.9980000000000002</v>
      </c>
      <c r="O79" s="26">
        <f ca="1">ALL!S62</f>
        <v>-6.0410000000000004</v>
      </c>
      <c r="P79" s="26">
        <f ca="1">ALL!T62</f>
        <v>-6.0880000000000001</v>
      </c>
      <c r="Q79" s="26">
        <f ca="1">ALL!U62</f>
        <v>-6.1379999999999999</v>
      </c>
      <c r="R79" s="26">
        <f ca="1">ALL!V62</f>
        <v>-6.1980000000000004</v>
      </c>
      <c r="S79" s="26">
        <f ca="1">ALL!W62</f>
        <v>-6.2850000000000001</v>
      </c>
      <c r="T79" s="26">
        <f ca="1">ALL!X62</f>
        <v>-6.7809999999999997</v>
      </c>
      <c r="U79" s="26">
        <f ca="1">ALL!Y62</f>
        <v>-6.8440000000000003</v>
      </c>
      <c r="V79" s="26">
        <f ca="1">ALL!Z62</f>
        <v>-6.9050000000000002</v>
      </c>
      <c r="W79" s="26">
        <f ca="1">ALL!AA62</f>
        <v>-6.9660000000000002</v>
      </c>
      <c r="X79" s="26">
        <f ca="1">ALL!AB62</f>
        <v>-7.0279999999999996</v>
      </c>
      <c r="Y79" s="26">
        <f ca="1">ALL!AC62</f>
        <v>-7.1989999999999998</v>
      </c>
      <c r="Z79" s="26">
        <f ca="1">ALL!AD62</f>
        <v>-7.2430000000000003</v>
      </c>
      <c r="AA79" s="26">
        <f ca="1">ALL!AE62</f>
        <v>-7.2880000000000003</v>
      </c>
      <c r="AB79" s="26">
        <f ca="1">ALL!AF62</f>
        <v>-7.3330000000000002</v>
      </c>
      <c r="AC79" s="26">
        <f ca="1">ALL!AG62</f>
        <v>-7.3780000000000001</v>
      </c>
      <c r="AD79" s="26">
        <f ca="1">ALL!AH62</f>
        <v>0</v>
      </c>
      <c r="AE79" s="26">
        <f ca="1">ALL!AI62</f>
        <v>0</v>
      </c>
      <c r="AF79" s="26">
        <f ca="1">ALL!AJ62</f>
        <v>0</v>
      </c>
      <c r="AG79" s="26">
        <f ca="1">ALL!AK62</f>
        <v>0</v>
      </c>
      <c r="AH79" s="26">
        <f ca="1">ALL!AL62</f>
        <v>0</v>
      </c>
      <c r="AI79" s="26">
        <f>ALL!AM62</f>
        <v>0</v>
      </c>
    </row>
    <row r="80" spans="1:35" ht="21.75" outlineLevel="1" thickBot="1" x14ac:dyDescent="0.4">
      <c r="A80" s="58" t="str">
        <f>ALL!E63</f>
        <v>(l)Ga</v>
      </c>
      <c r="B80" s="28">
        <f ca="1">ALL!F63</f>
        <v>-66.36</v>
      </c>
      <c r="C80" s="28">
        <f ca="1">ALL!G63</f>
        <v>-61.96</v>
      </c>
      <c r="D80" s="28">
        <f ca="1">ALL!H63</f>
        <v>-57.78</v>
      </c>
      <c r="E80" s="28">
        <f ca="1">ALL!I63</f>
        <v>-53.6</v>
      </c>
      <c r="F80" s="26">
        <f ca="1">ALL!J63</f>
        <v>-49.48</v>
      </c>
      <c r="G80" s="26">
        <f ca="1">ALL!K63</f>
        <v>-45.55</v>
      </c>
      <c r="H80" s="26">
        <f ca="1">ALL!L63</f>
        <v>-41.9</v>
      </c>
      <c r="I80" s="26">
        <f ca="1">ALL!M63</f>
        <v>-38.58</v>
      </c>
      <c r="J80" s="26">
        <f ca="1">ALL!N63</f>
        <v>-35.61</v>
      </c>
      <c r="K80" s="26">
        <f ca="1">ALL!O63</f>
        <v>-26.13</v>
      </c>
      <c r="L80" s="26">
        <f ca="1">ALL!P63</f>
        <v>-24.06</v>
      </c>
      <c r="M80" s="26">
        <f ca="1">ALL!Q63</f>
        <v>-22.1</v>
      </c>
      <c r="N80" s="26">
        <f ca="1">ALL!R63</f>
        <v>-20.239999999999998</v>
      </c>
      <c r="O80" s="26">
        <f ca="1">ALL!S63</f>
        <v>-18.489999999999998</v>
      </c>
      <c r="P80" s="26">
        <f ca="1">ALL!T63</f>
        <v>-16.829999999999998</v>
      </c>
      <c r="Q80" s="26">
        <f ca="1">ALL!U63</f>
        <v>-15.27</v>
      </c>
      <c r="R80" s="26">
        <f ca="1">ALL!V63</f>
        <v>-13.8</v>
      </c>
      <c r="S80" s="26">
        <f ca="1">ALL!W63</f>
        <v>-12.48</v>
      </c>
      <c r="T80" s="26">
        <f ca="1">ALL!X63</f>
        <v>-9.391</v>
      </c>
      <c r="U80" s="26">
        <f ca="1">ALL!Y63</f>
        <v>-8.8940000000000001</v>
      </c>
      <c r="V80" s="26">
        <f ca="1">ALL!Z63</f>
        <v>-8.4309999999999992</v>
      </c>
      <c r="W80" s="26">
        <f ca="1">ALL!AA63</f>
        <v>-7.9980000000000002</v>
      </c>
      <c r="X80" s="26">
        <f ca="1">ALL!AB63</f>
        <v>-7.6219999999999999</v>
      </c>
      <c r="Y80" s="26">
        <f ca="1">ALL!AC63</f>
        <v>-7.9009999999999998</v>
      </c>
      <c r="Z80" s="26">
        <f ca="1">ALL!AD63</f>
        <v>-7.9690000000000003</v>
      </c>
      <c r="AA80" s="26">
        <f ca="1">ALL!AE63</f>
        <v>-8.0350000000000001</v>
      </c>
      <c r="AB80" s="26">
        <f ca="1">ALL!AF63</f>
        <v>-8.1010000000000009</v>
      </c>
      <c r="AC80" s="26">
        <f ca="1">ALL!AG63</f>
        <v>-8.1660000000000004</v>
      </c>
      <c r="AD80" s="26">
        <f ca="1">ALL!AH63</f>
        <v>0</v>
      </c>
      <c r="AE80" s="26">
        <f ca="1">ALL!AI63</f>
        <v>0</v>
      </c>
      <c r="AF80" s="26">
        <f ca="1">ALL!AJ63</f>
        <v>0</v>
      </c>
      <c r="AG80" s="26">
        <f ca="1">ALL!AK63</f>
        <v>0</v>
      </c>
      <c r="AH80" s="26">
        <f ca="1">ALL!AL63</f>
        <v>0</v>
      </c>
      <c r="AI80" s="26">
        <f>ALL!AM63</f>
        <v>0</v>
      </c>
    </row>
    <row r="81" spans="1:35" ht="21.75" outlineLevel="1" thickBot="1" x14ac:dyDescent="0.4">
      <c r="A81" s="58" t="str">
        <f>ALL!E64</f>
        <v>(l)Se</v>
      </c>
      <c r="B81" s="28">
        <f ca="1">ALL!F64</f>
        <v>-23.56</v>
      </c>
      <c r="C81" s="28">
        <f ca="1">ALL!G64</f>
        <v>-22.35</v>
      </c>
      <c r="D81" s="28">
        <f ca="1">ALL!H64</f>
        <v>-21.56</v>
      </c>
      <c r="E81" s="28">
        <f ca="1">ALL!I64</f>
        <v>-21.22</v>
      </c>
      <c r="F81" s="26">
        <f ca="1">ALL!J64</f>
        <v>-21.21</v>
      </c>
      <c r="G81" s="26">
        <f ca="1">ALL!K64</f>
        <v>-21.39</v>
      </c>
      <c r="H81" s="26">
        <f ca="1">ALL!L64</f>
        <v>-21.64</v>
      </c>
      <c r="I81" s="26">
        <f ca="1">ALL!M64</f>
        <v>-21.89</v>
      </c>
      <c r="J81" s="26">
        <f ca="1">ALL!N64</f>
        <v>-22.11</v>
      </c>
      <c r="K81" s="26">
        <f ca="1">ALL!O64</f>
        <v>-22.89</v>
      </c>
      <c r="L81" s="26">
        <f ca="1">ALL!P64</f>
        <v>-23.15</v>
      </c>
      <c r="M81" s="26">
        <f ca="1">ALL!Q64</f>
        <v>-23.44</v>
      </c>
      <c r="N81" s="26">
        <f ca="1">ALL!R64</f>
        <v>-23.72</v>
      </c>
      <c r="O81" s="26">
        <f ca="1">ALL!S64</f>
        <v>-24.01</v>
      </c>
      <c r="P81" s="26">
        <f ca="1">ALL!T64</f>
        <v>-24.3</v>
      </c>
      <c r="Q81" s="26">
        <f ca="1">ALL!U64</f>
        <v>-24.58</v>
      </c>
      <c r="R81" s="26">
        <f ca="1">ALL!V64</f>
        <v>-24.86</v>
      </c>
      <c r="S81" s="26">
        <f ca="1">ALL!W64</f>
        <v>-25.12</v>
      </c>
      <c r="T81" s="26">
        <f ca="1">ALL!X64</f>
        <v>-26.08</v>
      </c>
      <c r="U81" s="26">
        <f ca="1">ALL!Y64</f>
        <v>-26.34</v>
      </c>
      <c r="V81" s="26">
        <f ca="1">ALL!Z64</f>
        <v>-26.61</v>
      </c>
      <c r="W81" s="26">
        <f ca="1">ALL!AA64</f>
        <v>-26.87</v>
      </c>
      <c r="X81" s="26">
        <f ca="1">ALL!AB64</f>
        <v>-27.12</v>
      </c>
      <c r="Y81" s="26">
        <f ca="1">ALL!AC64</f>
        <v>-27.95</v>
      </c>
      <c r="Z81" s="26">
        <f ca="1">ALL!AD64</f>
        <v>-28.19</v>
      </c>
      <c r="AA81" s="26">
        <f ca="1">ALL!AE64</f>
        <v>-28.43</v>
      </c>
      <c r="AB81" s="26">
        <f ca="1">ALL!AF64</f>
        <v>-28.66</v>
      </c>
      <c r="AC81" s="26">
        <f ca="1">ALL!AG64</f>
        <v>-28.9</v>
      </c>
      <c r="AD81" s="26">
        <f ca="1">ALL!AH64</f>
        <v>0</v>
      </c>
      <c r="AE81" s="26">
        <f ca="1">ALL!AI64</f>
        <v>0</v>
      </c>
      <c r="AF81" s="26">
        <f ca="1">ALL!AJ64</f>
        <v>0</v>
      </c>
      <c r="AG81" s="26">
        <f ca="1">ALL!AK64</f>
        <v>0</v>
      </c>
      <c r="AH81" s="26">
        <f ca="1">ALL!AL64</f>
        <v>0</v>
      </c>
      <c r="AI81" s="26">
        <f>ALL!AM64</f>
        <v>0</v>
      </c>
    </row>
    <row r="82" spans="1:35" ht="21.75" outlineLevel="1" thickBot="1" x14ac:dyDescent="0.4">
      <c r="A82" s="58" t="str">
        <f>ALL!E65</f>
        <v>(l)Se[a]</v>
      </c>
      <c r="B82" s="28">
        <f ca="1">ALL!F65</f>
        <v>-23.56</v>
      </c>
      <c r="C82" s="28">
        <f ca="1">ALL!G65</f>
        <v>-22.35</v>
      </c>
      <c r="D82" s="28">
        <f ca="1">ALL!H65</f>
        <v>-21.56</v>
      </c>
      <c r="E82" s="28">
        <f ca="1">ALL!I65</f>
        <v>-21.22</v>
      </c>
      <c r="F82" s="26">
        <f ca="1">ALL!J65</f>
        <v>-21.21</v>
      </c>
      <c r="G82" s="26">
        <f ca="1">ALL!K65</f>
        <v>-21.39</v>
      </c>
      <c r="H82" s="26">
        <f ca="1">ALL!L65</f>
        <v>-21.64</v>
      </c>
      <c r="I82" s="26">
        <f ca="1">ALL!M65</f>
        <v>-21.89</v>
      </c>
      <c r="J82" s="26">
        <f ca="1">ALL!N65</f>
        <v>-22.11</v>
      </c>
      <c r="K82" s="26">
        <f ca="1">ALL!O65</f>
        <v>-22.89</v>
      </c>
      <c r="L82" s="26">
        <f ca="1">ALL!P65</f>
        <v>-23.15</v>
      </c>
      <c r="M82" s="26">
        <f ca="1">ALL!Q65</f>
        <v>-23.44</v>
      </c>
      <c r="N82" s="26">
        <f ca="1">ALL!R65</f>
        <v>-23.72</v>
      </c>
      <c r="O82" s="26">
        <f ca="1">ALL!S65</f>
        <v>-24.01</v>
      </c>
      <c r="P82" s="26">
        <f ca="1">ALL!T65</f>
        <v>-24.3</v>
      </c>
      <c r="Q82" s="26">
        <f ca="1">ALL!U65</f>
        <v>-24.58</v>
      </c>
      <c r="R82" s="26">
        <f ca="1">ALL!V65</f>
        <v>-24.86</v>
      </c>
      <c r="S82" s="26">
        <f ca="1">ALL!W65</f>
        <v>-25.12</v>
      </c>
      <c r="T82" s="26">
        <f ca="1">ALL!X65</f>
        <v>-26.08</v>
      </c>
      <c r="U82" s="26">
        <f ca="1">ALL!Y65</f>
        <v>-26.34</v>
      </c>
      <c r="V82" s="26">
        <f ca="1">ALL!Z65</f>
        <v>-26.61</v>
      </c>
      <c r="W82" s="26">
        <f ca="1">ALL!AA65</f>
        <v>-26.87</v>
      </c>
      <c r="X82" s="26">
        <f ca="1">ALL!AB65</f>
        <v>-27.12</v>
      </c>
      <c r="Y82" s="26">
        <f ca="1">ALL!AC65</f>
        <v>-27.95</v>
      </c>
      <c r="Z82" s="26">
        <f ca="1">ALL!AD65</f>
        <v>-28.19</v>
      </c>
      <c r="AA82" s="26">
        <f ca="1">ALL!AE65</f>
        <v>-28.43</v>
      </c>
      <c r="AB82" s="26">
        <f ca="1">ALL!AF65</f>
        <v>-28.66</v>
      </c>
      <c r="AC82" s="26">
        <f ca="1">ALL!AG65</f>
        <v>-28.9</v>
      </c>
      <c r="AD82" s="26">
        <f ca="1">ALL!AH65</f>
        <v>0</v>
      </c>
      <c r="AE82" s="26">
        <f ca="1">ALL!AI65</f>
        <v>0</v>
      </c>
      <c r="AF82" s="26">
        <f ca="1">ALL!AJ65</f>
        <v>0</v>
      </c>
      <c r="AG82" s="26">
        <f ca="1">ALL!AK65</f>
        <v>0</v>
      </c>
      <c r="AH82" s="26">
        <f ca="1">ALL!AL65</f>
        <v>0</v>
      </c>
      <c r="AI82" s="26">
        <f>ALL!AM65</f>
        <v>0</v>
      </c>
    </row>
    <row r="83" spans="1:35" ht="21.75" outlineLevel="1" thickBot="1" x14ac:dyDescent="0.4">
      <c r="A83" s="58" t="str">
        <f>ALL!E66</f>
        <v>(l)Se[m]</v>
      </c>
      <c r="B83" s="28">
        <f ca="1">ALL!F66</f>
        <v>-23.56</v>
      </c>
      <c r="C83" s="28">
        <f ca="1">ALL!G66</f>
        <v>-22.35</v>
      </c>
      <c r="D83" s="28">
        <f ca="1">ALL!H66</f>
        <v>-21.56</v>
      </c>
      <c r="E83" s="28">
        <f ca="1">ALL!I66</f>
        <v>-21.22</v>
      </c>
      <c r="F83" s="26">
        <f ca="1">ALL!J66</f>
        <v>-21.21</v>
      </c>
      <c r="G83" s="26">
        <f ca="1">ALL!K66</f>
        <v>-21.39</v>
      </c>
      <c r="H83" s="26">
        <f ca="1">ALL!L66</f>
        <v>-21.64</v>
      </c>
      <c r="I83" s="26">
        <f ca="1">ALL!M66</f>
        <v>-21.89</v>
      </c>
      <c r="J83" s="26">
        <f ca="1">ALL!N66</f>
        <v>-22.11</v>
      </c>
      <c r="K83" s="26">
        <f ca="1">ALL!O66</f>
        <v>-22.89</v>
      </c>
      <c r="L83" s="26">
        <f ca="1">ALL!P66</f>
        <v>-23.15</v>
      </c>
      <c r="M83" s="26">
        <f ca="1">ALL!Q66</f>
        <v>-23.44</v>
      </c>
      <c r="N83" s="26">
        <f ca="1">ALL!R66</f>
        <v>-23.72</v>
      </c>
      <c r="O83" s="26">
        <f ca="1">ALL!S66</f>
        <v>-24.01</v>
      </c>
      <c r="P83" s="26">
        <f ca="1">ALL!T66</f>
        <v>-24.3</v>
      </c>
      <c r="Q83" s="26">
        <f ca="1">ALL!U66</f>
        <v>-24.58</v>
      </c>
      <c r="R83" s="26">
        <f ca="1">ALL!V66</f>
        <v>-24.86</v>
      </c>
      <c r="S83" s="26">
        <f ca="1">ALL!W66</f>
        <v>-25.12</v>
      </c>
      <c r="T83" s="26">
        <f ca="1">ALL!X66</f>
        <v>-26.08</v>
      </c>
      <c r="U83" s="26">
        <f ca="1">ALL!Y66</f>
        <v>-26.34</v>
      </c>
      <c r="V83" s="26">
        <f ca="1">ALL!Z66</f>
        <v>-26.61</v>
      </c>
      <c r="W83" s="26">
        <f ca="1">ALL!AA66</f>
        <v>-26.87</v>
      </c>
      <c r="X83" s="26">
        <f ca="1">ALL!AB66</f>
        <v>-27.12</v>
      </c>
      <c r="Y83" s="26">
        <f ca="1">ALL!AC66</f>
        <v>-27.95</v>
      </c>
      <c r="Z83" s="26">
        <f ca="1">ALL!AD66</f>
        <v>-28.19</v>
      </c>
      <c r="AA83" s="26">
        <f ca="1">ALL!AE66</f>
        <v>-28.43</v>
      </c>
      <c r="AB83" s="26">
        <f ca="1">ALL!AF66</f>
        <v>-28.66</v>
      </c>
      <c r="AC83" s="26">
        <f ca="1">ALL!AG66</f>
        <v>-28.9</v>
      </c>
      <c r="AD83" s="26">
        <f ca="1">ALL!AH66</f>
        <v>0</v>
      </c>
      <c r="AE83" s="26">
        <f ca="1">ALL!AI66</f>
        <v>0</v>
      </c>
      <c r="AF83" s="26">
        <f ca="1">ALL!AJ66</f>
        <v>0</v>
      </c>
      <c r="AG83" s="26">
        <f ca="1">ALL!AK66</f>
        <v>0</v>
      </c>
      <c r="AH83" s="26">
        <f ca="1">ALL!AL66</f>
        <v>0</v>
      </c>
      <c r="AI83" s="26">
        <f>ALL!AM66</f>
        <v>0</v>
      </c>
    </row>
    <row r="84" spans="1:35" ht="21.75" outlineLevel="1" thickBot="1" x14ac:dyDescent="0.4">
      <c r="A84" s="58" t="str">
        <f>ALL!E67</f>
        <v>(l)Se[r]</v>
      </c>
      <c r="B84" s="28">
        <f ca="1">ALL!F67</f>
        <v>-23.56</v>
      </c>
      <c r="C84" s="28">
        <f ca="1">ALL!G67</f>
        <v>-22.35</v>
      </c>
      <c r="D84" s="28">
        <f ca="1">ALL!H67</f>
        <v>-21.56</v>
      </c>
      <c r="E84" s="28">
        <f ca="1">ALL!I67</f>
        <v>-21.22</v>
      </c>
      <c r="F84" s="26">
        <f ca="1">ALL!J67</f>
        <v>-21.21</v>
      </c>
      <c r="G84" s="26">
        <f ca="1">ALL!K67</f>
        <v>-21.39</v>
      </c>
      <c r="H84" s="26">
        <f ca="1">ALL!L67</f>
        <v>-21.64</v>
      </c>
      <c r="I84" s="26">
        <f ca="1">ALL!M67</f>
        <v>-21.89</v>
      </c>
      <c r="J84" s="26">
        <f ca="1">ALL!N67</f>
        <v>-22.11</v>
      </c>
      <c r="K84" s="26">
        <f ca="1">ALL!O67</f>
        <v>-22.89</v>
      </c>
      <c r="L84" s="26">
        <f ca="1">ALL!P67</f>
        <v>-23.15</v>
      </c>
      <c r="M84" s="26">
        <f ca="1">ALL!Q67</f>
        <v>-23.44</v>
      </c>
      <c r="N84" s="26">
        <f ca="1">ALL!R67</f>
        <v>-23.72</v>
      </c>
      <c r="O84" s="26">
        <f ca="1">ALL!S67</f>
        <v>-24.01</v>
      </c>
      <c r="P84" s="26">
        <f ca="1">ALL!T67</f>
        <v>-24.3</v>
      </c>
      <c r="Q84" s="26">
        <f ca="1">ALL!U67</f>
        <v>-24.58</v>
      </c>
      <c r="R84" s="26">
        <f ca="1">ALL!V67</f>
        <v>-24.86</v>
      </c>
      <c r="S84" s="26">
        <f ca="1">ALL!W67</f>
        <v>-25.12</v>
      </c>
      <c r="T84" s="26">
        <f ca="1">ALL!X67</f>
        <v>-26.08</v>
      </c>
      <c r="U84" s="26">
        <f ca="1">ALL!Y67</f>
        <v>-26.34</v>
      </c>
      <c r="V84" s="26">
        <f ca="1">ALL!Z67</f>
        <v>-26.61</v>
      </c>
      <c r="W84" s="26">
        <f ca="1">ALL!AA67</f>
        <v>-26.87</v>
      </c>
      <c r="X84" s="26">
        <f ca="1">ALL!AB67</f>
        <v>-27.12</v>
      </c>
      <c r="Y84" s="26">
        <f ca="1">ALL!AC67</f>
        <v>-27.95</v>
      </c>
      <c r="Z84" s="26">
        <f ca="1">ALL!AD67</f>
        <v>-28.19</v>
      </c>
      <c r="AA84" s="26">
        <f ca="1">ALL!AE67</f>
        <v>-28.43</v>
      </c>
      <c r="AB84" s="26">
        <f ca="1">ALL!AF67</f>
        <v>-28.66</v>
      </c>
      <c r="AC84" s="26">
        <f ca="1">ALL!AG67</f>
        <v>-28.9</v>
      </c>
      <c r="AD84" s="26">
        <f ca="1">ALL!AH67</f>
        <v>0</v>
      </c>
      <c r="AE84" s="26">
        <f ca="1">ALL!AI67</f>
        <v>0</v>
      </c>
      <c r="AF84" s="26">
        <f ca="1">ALL!AJ67</f>
        <v>0</v>
      </c>
      <c r="AG84" s="26">
        <f ca="1">ALL!AK67</f>
        <v>0</v>
      </c>
      <c r="AH84" s="26">
        <f ca="1">ALL!AL67</f>
        <v>0</v>
      </c>
      <c r="AI84" s="26">
        <f>ALL!AM67</f>
        <v>0</v>
      </c>
    </row>
    <row r="85" spans="1:35" ht="21.75" outlineLevel="1" thickBot="1" x14ac:dyDescent="0.4">
      <c r="A85" s="58" t="str">
        <f>ALL!E68</f>
        <v>(l)Ge[c]</v>
      </c>
      <c r="B85" s="28">
        <f ca="1">ALL!F68</f>
        <v>-17.13</v>
      </c>
      <c r="C85" s="28">
        <f ca="1">ALL!G68</f>
        <v>-16.2</v>
      </c>
      <c r="D85" s="28">
        <f ca="1">ALL!H68</f>
        <v>-15.1</v>
      </c>
      <c r="E85" s="28">
        <f ca="1">ALL!I68</f>
        <v>-13.78</v>
      </c>
      <c r="F85" s="26">
        <f ca="1">ALL!J68</f>
        <v>-12.35</v>
      </c>
      <c r="G85" s="26">
        <f ca="1">ALL!K68</f>
        <v>-10.94</v>
      </c>
      <c r="H85" s="26">
        <f ca="1">ALL!L68</f>
        <v>-9.6310000000000002</v>
      </c>
      <c r="I85" s="26">
        <f ca="1">ALL!M68</f>
        <v>-8.4689999999999994</v>
      </c>
      <c r="J85" s="26">
        <f ca="1">ALL!N68</f>
        <v>-7.5140000000000002</v>
      </c>
      <c r="K85" s="26">
        <f ca="1">ALL!O68</f>
        <v>-5.98</v>
      </c>
      <c r="L85" s="26">
        <f ca="1">ALL!P68</f>
        <v>-5.9509999999999996</v>
      </c>
      <c r="M85" s="26">
        <f ca="1">ALL!Q68</f>
        <v>-5.9649999999999999</v>
      </c>
      <c r="N85" s="26">
        <f ca="1">ALL!R68</f>
        <v>-5.9980000000000002</v>
      </c>
      <c r="O85" s="26">
        <f ca="1">ALL!S68</f>
        <v>-6.0410000000000004</v>
      </c>
      <c r="P85" s="26">
        <f ca="1">ALL!T68</f>
        <v>-6.0880000000000001</v>
      </c>
      <c r="Q85" s="26">
        <f ca="1">ALL!U68</f>
        <v>-6.1379999999999999</v>
      </c>
      <c r="R85" s="26">
        <f ca="1">ALL!V68</f>
        <v>-6.1980000000000004</v>
      </c>
      <c r="S85" s="26">
        <f ca="1">ALL!W68</f>
        <v>-6.2850000000000001</v>
      </c>
      <c r="T85" s="26">
        <f ca="1">ALL!X68</f>
        <v>-6.7809999999999997</v>
      </c>
      <c r="U85" s="26">
        <f ca="1">ALL!Y68</f>
        <v>-6.8440000000000003</v>
      </c>
      <c r="V85" s="26">
        <f ca="1">ALL!Z68</f>
        <v>-6.9050000000000002</v>
      </c>
      <c r="W85" s="26">
        <f ca="1">ALL!AA68</f>
        <v>-6.9660000000000002</v>
      </c>
      <c r="X85" s="26">
        <f ca="1">ALL!AB68</f>
        <v>-7.0279999999999996</v>
      </c>
      <c r="Y85" s="26">
        <f ca="1">ALL!AC68</f>
        <v>-7.1989999999999998</v>
      </c>
      <c r="Z85" s="26">
        <f ca="1">ALL!AD68</f>
        <v>-7.2430000000000003</v>
      </c>
      <c r="AA85" s="26">
        <f ca="1">ALL!AE68</f>
        <v>-7.2880000000000003</v>
      </c>
      <c r="AB85" s="26">
        <f ca="1">ALL!AF68</f>
        <v>-7.3330000000000002</v>
      </c>
      <c r="AC85" s="26">
        <f ca="1">ALL!AG68</f>
        <v>-7.3780000000000001</v>
      </c>
      <c r="AD85" s="26">
        <f ca="1">ALL!AH68</f>
        <v>0</v>
      </c>
      <c r="AE85" s="26">
        <f ca="1">ALL!AI68</f>
        <v>0</v>
      </c>
      <c r="AF85" s="26">
        <f ca="1">ALL!AJ68</f>
        <v>0</v>
      </c>
      <c r="AG85" s="26">
        <f ca="1">ALL!AK68</f>
        <v>0</v>
      </c>
      <c r="AH85" s="26">
        <f ca="1">ALL!AL68</f>
        <v>0</v>
      </c>
      <c r="AI85" s="26">
        <f>ALL!AM68</f>
        <v>0</v>
      </c>
    </row>
    <row r="86" spans="1:35" ht="21.75" outlineLevel="1" thickBot="1" x14ac:dyDescent="0.4">
      <c r="A86" s="58" t="str">
        <f>ALL!E69</f>
        <v>(3)Ga[l]</v>
      </c>
      <c r="B86" s="28">
        <f ca="1">ALL!F69</f>
        <v>-66.36</v>
      </c>
      <c r="C86" s="28">
        <f ca="1">ALL!G69</f>
        <v>-61.96</v>
      </c>
      <c r="D86" s="28">
        <f ca="1">ALL!H69</f>
        <v>-57.78</v>
      </c>
      <c r="E86" s="28">
        <f ca="1">ALL!I69</f>
        <v>-53.6</v>
      </c>
      <c r="F86" s="26">
        <f ca="1">ALL!J69</f>
        <v>-49.48</v>
      </c>
      <c r="G86" s="26">
        <f ca="1">ALL!K69</f>
        <v>-45.55</v>
      </c>
      <c r="H86" s="26">
        <f ca="1">ALL!L69</f>
        <v>-41.9</v>
      </c>
      <c r="I86" s="26">
        <f ca="1">ALL!M69</f>
        <v>-38.58</v>
      </c>
      <c r="J86" s="26">
        <f ca="1">ALL!N69</f>
        <v>-35.61</v>
      </c>
      <c r="K86" s="26">
        <f ca="1">ALL!O69</f>
        <v>-26.13</v>
      </c>
      <c r="L86" s="26">
        <f ca="1">ALL!P69</f>
        <v>-24.06</v>
      </c>
      <c r="M86" s="26">
        <f ca="1">ALL!Q69</f>
        <v>-22.1</v>
      </c>
      <c r="N86" s="26">
        <f ca="1">ALL!R69</f>
        <v>-20.239999999999998</v>
      </c>
      <c r="O86" s="26">
        <f ca="1">ALL!S69</f>
        <v>-18.489999999999998</v>
      </c>
      <c r="P86" s="26">
        <f ca="1">ALL!T69</f>
        <v>-16.829999999999998</v>
      </c>
      <c r="Q86" s="26">
        <f ca="1">ALL!U69</f>
        <v>-15.27</v>
      </c>
      <c r="R86" s="26">
        <f ca="1">ALL!V69</f>
        <v>-13.8</v>
      </c>
      <c r="S86" s="26">
        <f ca="1">ALL!W69</f>
        <v>-12.48</v>
      </c>
      <c r="T86" s="26">
        <f ca="1">ALL!X69</f>
        <v>-9.391</v>
      </c>
      <c r="U86" s="26">
        <f ca="1">ALL!Y69</f>
        <v>-8.8940000000000001</v>
      </c>
      <c r="V86" s="26">
        <f ca="1">ALL!Z69</f>
        <v>-8.4309999999999992</v>
      </c>
      <c r="W86" s="26">
        <f ca="1">ALL!AA69</f>
        <v>-7.9980000000000002</v>
      </c>
      <c r="X86" s="26">
        <f ca="1">ALL!AB69</f>
        <v>-7.6219999999999999</v>
      </c>
      <c r="Y86" s="26">
        <f ca="1">ALL!AC69</f>
        <v>-7.9009999999999998</v>
      </c>
      <c r="Z86" s="26">
        <f ca="1">ALL!AD69</f>
        <v>-7.9690000000000003</v>
      </c>
      <c r="AA86" s="26">
        <f ca="1">ALL!AE69</f>
        <v>-8.0350000000000001</v>
      </c>
      <c r="AB86" s="26">
        <f ca="1">ALL!AF69</f>
        <v>-8.1010000000000009</v>
      </c>
      <c r="AC86" s="26">
        <f ca="1">ALL!AG69</f>
        <v>-8.1660000000000004</v>
      </c>
      <c r="AD86" s="26">
        <f ca="1">ALL!AH69</f>
        <v>0</v>
      </c>
      <c r="AE86" s="26">
        <f ca="1">ALL!AI69</f>
        <v>0</v>
      </c>
      <c r="AF86" s="26">
        <f ca="1">ALL!AJ69</f>
        <v>0</v>
      </c>
      <c r="AG86" s="26">
        <f ca="1">ALL!AK69</f>
        <v>0</v>
      </c>
      <c r="AH86" s="26">
        <f ca="1">ALL!AL69</f>
        <v>0</v>
      </c>
      <c r="AI86" s="26">
        <f>ALL!AM69</f>
        <v>0</v>
      </c>
    </row>
    <row r="87" spans="1:35" ht="21.75" outlineLevel="1" thickBot="1" x14ac:dyDescent="0.4">
      <c r="A87" s="58" t="str">
        <f>ALL!E70</f>
        <v>(3)Ge[l]</v>
      </c>
      <c r="B87" s="28">
        <f ca="1">ALL!F70</f>
        <v>-17.13</v>
      </c>
      <c r="C87" s="28">
        <f ca="1">ALL!G70</f>
        <v>-16.2</v>
      </c>
      <c r="D87" s="28">
        <f ca="1">ALL!H70</f>
        <v>-15.1</v>
      </c>
      <c r="E87" s="28">
        <f ca="1">ALL!I70</f>
        <v>-13.78</v>
      </c>
      <c r="F87" s="26">
        <f ca="1">ALL!J70</f>
        <v>-12.35</v>
      </c>
      <c r="G87" s="26">
        <f ca="1">ALL!K70</f>
        <v>-10.94</v>
      </c>
      <c r="H87" s="26">
        <f ca="1">ALL!L70</f>
        <v>-9.6310000000000002</v>
      </c>
      <c r="I87" s="26">
        <f ca="1">ALL!M70</f>
        <v>-8.4689999999999994</v>
      </c>
      <c r="J87" s="26">
        <f ca="1">ALL!N70</f>
        <v>-7.5140000000000002</v>
      </c>
      <c r="K87" s="26">
        <f ca="1">ALL!O70</f>
        <v>-5.98</v>
      </c>
      <c r="L87" s="26">
        <f ca="1">ALL!P70</f>
        <v>-5.9509999999999996</v>
      </c>
      <c r="M87" s="26">
        <f ca="1">ALL!Q70</f>
        <v>-5.9649999999999999</v>
      </c>
      <c r="N87" s="26">
        <f ca="1">ALL!R70</f>
        <v>-5.9980000000000002</v>
      </c>
      <c r="O87" s="26">
        <f ca="1">ALL!S70</f>
        <v>-6.0410000000000004</v>
      </c>
      <c r="P87" s="26">
        <f ca="1">ALL!T70</f>
        <v>-6.0880000000000001</v>
      </c>
      <c r="Q87" s="26">
        <f ca="1">ALL!U70</f>
        <v>-6.1379999999999999</v>
      </c>
      <c r="R87" s="26">
        <f ca="1">ALL!V70</f>
        <v>-6.1980000000000004</v>
      </c>
      <c r="S87" s="26">
        <f ca="1">ALL!W70</f>
        <v>-6.2850000000000001</v>
      </c>
      <c r="T87" s="26">
        <f ca="1">ALL!X70</f>
        <v>-6.7809999999999997</v>
      </c>
      <c r="U87" s="26">
        <f ca="1">ALL!Y70</f>
        <v>-6.8440000000000003</v>
      </c>
      <c r="V87" s="26">
        <f ca="1">ALL!Z70</f>
        <v>-6.9050000000000002</v>
      </c>
      <c r="W87" s="26">
        <f ca="1">ALL!AA70</f>
        <v>-6.9660000000000002</v>
      </c>
      <c r="X87" s="26">
        <f ca="1">ALL!AB70</f>
        <v>-7.0279999999999996</v>
      </c>
      <c r="Y87" s="26">
        <f ca="1">ALL!AC70</f>
        <v>-7.1989999999999998</v>
      </c>
      <c r="Z87" s="26">
        <f ca="1">ALL!AD70</f>
        <v>-7.2430000000000003</v>
      </c>
      <c r="AA87" s="26">
        <f ca="1">ALL!AE70</f>
        <v>-7.2880000000000003</v>
      </c>
      <c r="AB87" s="26">
        <f ca="1">ALL!AF70</f>
        <v>-7.3330000000000002</v>
      </c>
      <c r="AC87" s="26">
        <f ca="1">ALL!AG70</f>
        <v>-7.3780000000000001</v>
      </c>
      <c r="AD87" s="26">
        <f ca="1">ALL!AH70</f>
        <v>0</v>
      </c>
      <c r="AE87" s="26">
        <f ca="1">ALL!AI70</f>
        <v>0</v>
      </c>
      <c r="AF87" s="26">
        <f ca="1">ALL!AJ70</f>
        <v>0</v>
      </c>
      <c r="AG87" s="26">
        <f ca="1">ALL!AK70</f>
        <v>0</v>
      </c>
      <c r="AH87" s="26">
        <f ca="1">ALL!AL70</f>
        <v>0</v>
      </c>
      <c r="AI87" s="26">
        <f>ALL!AM70</f>
        <v>0</v>
      </c>
    </row>
    <row r="88" spans="1:35" ht="21.75" outlineLevel="1" thickBot="1" x14ac:dyDescent="0.4">
      <c r="A88" s="58" t="str">
        <f>ALL!E71</f>
        <v>H (Ar)</v>
      </c>
      <c r="B88" s="28">
        <f ca="1">ALL!F71</f>
        <v>-18.82</v>
      </c>
      <c r="C88" s="28">
        <f ca="1">ALL!G71</f>
        <v>-18.809999999999999</v>
      </c>
      <c r="D88" s="28">
        <f ca="1">ALL!H71</f>
        <v>-18.8</v>
      </c>
      <c r="E88" s="28">
        <f ca="1">ALL!I71</f>
        <v>-18.809999999999999</v>
      </c>
      <c r="F88" s="26">
        <f ca="1">ALL!J71</f>
        <v>-18.82</v>
      </c>
      <c r="G88" s="26">
        <f ca="1">ALL!K71</f>
        <v>-18.84</v>
      </c>
      <c r="H88" s="26">
        <f ca="1">ALL!L71</f>
        <v>-18.87</v>
      </c>
      <c r="I88" s="26">
        <f ca="1">ALL!M71</f>
        <v>-18.899999999999999</v>
      </c>
      <c r="J88" s="26">
        <f ca="1">ALL!N71</f>
        <v>-18.93</v>
      </c>
      <c r="K88" s="26">
        <f ca="1">ALL!O71</f>
        <v>-19.059999999999999</v>
      </c>
      <c r="L88" s="26">
        <f ca="1">ALL!P71</f>
        <v>-19.100000000000001</v>
      </c>
      <c r="M88" s="26">
        <f ca="1">ALL!Q71</f>
        <v>-19.14</v>
      </c>
      <c r="N88" s="26">
        <f ca="1">ALL!R71</f>
        <v>-19.18</v>
      </c>
      <c r="O88" s="26">
        <f ca="1">ALL!S71</f>
        <v>-19.22</v>
      </c>
      <c r="P88" s="26">
        <f ca="1">ALL!T71</f>
        <v>-19.260000000000002</v>
      </c>
      <c r="Q88" s="26">
        <f ca="1">ALL!U71</f>
        <v>-19.3</v>
      </c>
      <c r="R88" s="26">
        <f ca="1">ALL!V71</f>
        <v>-19.34</v>
      </c>
      <c r="S88" s="26">
        <f ca="1">ALL!W71</f>
        <v>-19.37</v>
      </c>
      <c r="T88" s="26">
        <f ca="1">ALL!X71</f>
        <v>-19.43</v>
      </c>
      <c r="U88" s="26">
        <f ca="1">ALL!Y71</f>
        <v>-19.47</v>
      </c>
      <c r="V88" s="26">
        <f ca="1">ALL!Z71</f>
        <v>-19.510000000000002</v>
      </c>
      <c r="W88" s="26">
        <f ca="1">ALL!AA71</f>
        <v>-19.55</v>
      </c>
      <c r="X88" s="26">
        <f ca="1">ALL!AB71</f>
        <v>-19.59</v>
      </c>
      <c r="Y88" s="26">
        <f ca="1">ALL!AC71</f>
        <v>-19.739999999999998</v>
      </c>
      <c r="Z88" s="26">
        <f ca="1">ALL!AD71</f>
        <v>-19.77</v>
      </c>
      <c r="AA88" s="26">
        <f ca="1">ALL!AE71</f>
        <v>-19.809999999999999</v>
      </c>
      <c r="AB88" s="26">
        <f ca="1">ALL!AF71</f>
        <v>-19.850000000000001</v>
      </c>
      <c r="AC88" s="26">
        <f ca="1">ALL!AG71</f>
        <v>-19.88</v>
      </c>
      <c r="AD88" s="26">
        <f ca="1">ALL!AH71</f>
        <v>0</v>
      </c>
      <c r="AE88" s="26">
        <f ca="1">ALL!AI71</f>
        <v>0</v>
      </c>
      <c r="AF88" s="26">
        <f ca="1">ALL!AJ71</f>
        <v>0</v>
      </c>
      <c r="AG88" s="26">
        <f ca="1">ALL!AK71</f>
        <v>0</v>
      </c>
      <c r="AH88" s="26">
        <f ca="1">ALL!AL71</f>
        <v>0</v>
      </c>
      <c r="AI88" s="26">
        <f>ALL!AM71</f>
        <v>0</v>
      </c>
    </row>
    <row r="89" spans="1:35" ht="21.75" outlineLevel="1" thickBot="1" x14ac:dyDescent="0.4">
      <c r="A89" s="58" t="str">
        <f>ALL!E72</f>
        <v>H (Ga)</v>
      </c>
      <c r="B89" s="28">
        <f ca="1">ALL!F72</f>
        <v>-66.36</v>
      </c>
      <c r="C89" s="28">
        <f ca="1">ALL!G72</f>
        <v>-61.96</v>
      </c>
      <c r="D89" s="28">
        <f ca="1">ALL!H72</f>
        <v>-57.78</v>
      </c>
      <c r="E89" s="28">
        <f ca="1">ALL!I72</f>
        <v>-53.6</v>
      </c>
      <c r="F89" s="26">
        <f ca="1">ALL!J72</f>
        <v>-49.48</v>
      </c>
      <c r="G89" s="26">
        <f ca="1">ALL!K72</f>
        <v>-45.55</v>
      </c>
      <c r="H89" s="26">
        <f ca="1">ALL!L72</f>
        <v>-41.9</v>
      </c>
      <c r="I89" s="26">
        <f ca="1">ALL!M72</f>
        <v>-38.58</v>
      </c>
      <c r="J89" s="26">
        <f ca="1">ALL!N72</f>
        <v>-35.61</v>
      </c>
      <c r="K89" s="26">
        <f ca="1">ALL!O72</f>
        <v>-26.13</v>
      </c>
      <c r="L89" s="26">
        <f ca="1">ALL!P72</f>
        <v>-24.06</v>
      </c>
      <c r="M89" s="26">
        <f ca="1">ALL!Q72</f>
        <v>-22.1</v>
      </c>
      <c r="N89" s="26">
        <f ca="1">ALL!R72</f>
        <v>-20.239999999999998</v>
      </c>
      <c r="O89" s="26">
        <f ca="1">ALL!S72</f>
        <v>-18.489999999999998</v>
      </c>
      <c r="P89" s="26">
        <f ca="1">ALL!T72</f>
        <v>-16.829999999999998</v>
      </c>
      <c r="Q89" s="26">
        <f ca="1">ALL!U72</f>
        <v>-15.27</v>
      </c>
      <c r="R89" s="26">
        <f ca="1">ALL!V72</f>
        <v>-13.8</v>
      </c>
      <c r="S89" s="26">
        <f ca="1">ALL!W72</f>
        <v>-12.48</v>
      </c>
      <c r="T89" s="26">
        <f ca="1">ALL!X72</f>
        <v>-9.391</v>
      </c>
      <c r="U89" s="26">
        <f ca="1">ALL!Y72</f>
        <v>-8.8940000000000001</v>
      </c>
      <c r="V89" s="26">
        <f ca="1">ALL!Z72</f>
        <v>-8.4309999999999992</v>
      </c>
      <c r="W89" s="26">
        <f ca="1">ALL!AA72</f>
        <v>-7.9980000000000002</v>
      </c>
      <c r="X89" s="26">
        <f ca="1">ALL!AB72</f>
        <v>-7.6219999999999999</v>
      </c>
      <c r="Y89" s="26">
        <f ca="1">ALL!AC72</f>
        <v>-7.9009999999999998</v>
      </c>
      <c r="Z89" s="26">
        <f ca="1">ALL!AD72</f>
        <v>-7.9690000000000003</v>
      </c>
      <c r="AA89" s="26">
        <f ca="1">ALL!AE72</f>
        <v>-8.0350000000000001</v>
      </c>
      <c r="AB89" s="26">
        <f ca="1">ALL!AF72</f>
        <v>-8.1010000000000009</v>
      </c>
      <c r="AC89" s="26">
        <f ca="1">ALL!AG72</f>
        <v>-8.1660000000000004</v>
      </c>
      <c r="AD89" s="26">
        <f ca="1">ALL!AH72</f>
        <v>0</v>
      </c>
      <c r="AE89" s="26">
        <f ca="1">ALL!AI72</f>
        <v>0</v>
      </c>
      <c r="AF89" s="26">
        <f ca="1">ALL!AJ72</f>
        <v>0</v>
      </c>
      <c r="AG89" s="26">
        <f ca="1">ALL!AK72</f>
        <v>0</v>
      </c>
      <c r="AH89" s="26">
        <f ca="1">ALL!AL72</f>
        <v>0</v>
      </c>
      <c r="AI89" s="26">
        <f>ALL!AM72</f>
        <v>0</v>
      </c>
    </row>
    <row r="90" spans="1:35" ht="21.75" outlineLevel="1" thickBot="1" x14ac:dyDescent="0.4">
      <c r="A90" s="58" t="str">
        <f>ALL!E73</f>
        <v>H (Ge)</v>
      </c>
      <c r="B90" s="28">
        <f ca="1">ALL!F73</f>
        <v>-17.13</v>
      </c>
      <c r="C90" s="28">
        <f ca="1">ALL!G73</f>
        <v>-16.2</v>
      </c>
      <c r="D90" s="28">
        <f ca="1">ALL!H73</f>
        <v>-15.1</v>
      </c>
      <c r="E90" s="28">
        <f ca="1">ALL!I73</f>
        <v>-13.78</v>
      </c>
      <c r="F90" s="26">
        <f ca="1">ALL!J73</f>
        <v>-12.35</v>
      </c>
      <c r="G90" s="26">
        <f ca="1">ALL!K73</f>
        <v>-10.94</v>
      </c>
      <c r="H90" s="26">
        <f ca="1">ALL!L73</f>
        <v>-9.6310000000000002</v>
      </c>
      <c r="I90" s="26">
        <f ca="1">ALL!M73</f>
        <v>-8.4689999999999994</v>
      </c>
      <c r="J90" s="26">
        <f ca="1">ALL!N73</f>
        <v>-7.5140000000000002</v>
      </c>
      <c r="K90" s="26">
        <f ca="1">ALL!O73</f>
        <v>-5.98</v>
      </c>
      <c r="L90" s="26">
        <f ca="1">ALL!P73</f>
        <v>-5.9509999999999996</v>
      </c>
      <c r="M90" s="26">
        <f ca="1">ALL!Q73</f>
        <v>-5.9649999999999999</v>
      </c>
      <c r="N90" s="26">
        <f ca="1">ALL!R73</f>
        <v>-5.9980000000000002</v>
      </c>
      <c r="O90" s="26">
        <f ca="1">ALL!S73</f>
        <v>-6.0410000000000004</v>
      </c>
      <c r="P90" s="26">
        <f ca="1">ALL!T73</f>
        <v>-6.0880000000000001</v>
      </c>
      <c r="Q90" s="26">
        <f ca="1">ALL!U73</f>
        <v>-6.1379999999999999</v>
      </c>
      <c r="R90" s="26">
        <f ca="1">ALL!V73</f>
        <v>-6.1980000000000004</v>
      </c>
      <c r="S90" s="26">
        <f ca="1">ALL!W73</f>
        <v>-6.2850000000000001</v>
      </c>
      <c r="T90" s="26">
        <f ca="1">ALL!X73</f>
        <v>-6.7809999999999997</v>
      </c>
      <c r="U90" s="26">
        <f ca="1">ALL!Y73</f>
        <v>-6.8440000000000003</v>
      </c>
      <c r="V90" s="26">
        <f ca="1">ALL!Z73</f>
        <v>-6.9050000000000002</v>
      </c>
      <c r="W90" s="26">
        <f ca="1">ALL!AA73</f>
        <v>-6.9660000000000002</v>
      </c>
      <c r="X90" s="26">
        <f ca="1">ALL!AB73</f>
        <v>-7.0279999999999996</v>
      </c>
      <c r="Y90" s="26">
        <f ca="1">ALL!AC73</f>
        <v>-7.1989999999999998</v>
      </c>
      <c r="Z90" s="26">
        <f ca="1">ALL!AD73</f>
        <v>-7.2430000000000003</v>
      </c>
      <c r="AA90" s="26">
        <f ca="1">ALL!AE73</f>
        <v>-7.2880000000000003</v>
      </c>
      <c r="AB90" s="26">
        <f ca="1">ALL!AF73</f>
        <v>-7.3330000000000002</v>
      </c>
      <c r="AC90" s="26">
        <f ca="1">ALL!AG73</f>
        <v>-7.3780000000000001</v>
      </c>
      <c r="AD90" s="26">
        <f ca="1">ALL!AH73</f>
        <v>0</v>
      </c>
      <c r="AE90" s="26">
        <f ca="1">ALL!AI73</f>
        <v>0</v>
      </c>
      <c r="AF90" s="26">
        <f ca="1">ALL!AJ73</f>
        <v>0</v>
      </c>
      <c r="AG90" s="26">
        <f ca="1">ALL!AK73</f>
        <v>0</v>
      </c>
      <c r="AH90" s="26">
        <f ca="1">ALL!AL73</f>
        <v>0</v>
      </c>
      <c r="AI90" s="26">
        <f>ALL!AM73</f>
        <v>0</v>
      </c>
    </row>
    <row r="91" spans="1:35" ht="21.75" outlineLevel="1" thickBot="1" x14ac:dyDescent="0.4">
      <c r="A91" s="58" t="str">
        <f>ALL!E74</f>
        <v>H (Se)</v>
      </c>
      <c r="B91" s="28">
        <f ca="1">ALL!F74</f>
        <v>-23.56</v>
      </c>
      <c r="C91" s="28">
        <f ca="1">ALL!G74</f>
        <v>-22.35</v>
      </c>
      <c r="D91" s="28">
        <f ca="1">ALL!H74</f>
        <v>-21.56</v>
      </c>
      <c r="E91" s="28">
        <f ca="1">ALL!I74</f>
        <v>-21.22</v>
      </c>
      <c r="F91" s="26">
        <f ca="1">ALL!J74</f>
        <v>-21.21</v>
      </c>
      <c r="G91" s="26">
        <f ca="1">ALL!K74</f>
        <v>-21.39</v>
      </c>
      <c r="H91" s="26">
        <f ca="1">ALL!L74</f>
        <v>-21.64</v>
      </c>
      <c r="I91" s="26">
        <f ca="1">ALL!M74</f>
        <v>-21.89</v>
      </c>
      <c r="J91" s="26">
        <f ca="1">ALL!N74</f>
        <v>-22.11</v>
      </c>
      <c r="K91" s="26">
        <f ca="1">ALL!O74</f>
        <v>-22.89</v>
      </c>
      <c r="L91" s="26">
        <f ca="1">ALL!P74</f>
        <v>-23.15</v>
      </c>
      <c r="M91" s="26">
        <f ca="1">ALL!Q74</f>
        <v>-23.44</v>
      </c>
      <c r="N91" s="26">
        <f ca="1">ALL!R74</f>
        <v>-23.72</v>
      </c>
      <c r="O91" s="26">
        <f ca="1">ALL!S74</f>
        <v>-24.01</v>
      </c>
      <c r="P91" s="26">
        <f ca="1">ALL!T74</f>
        <v>-24.3</v>
      </c>
      <c r="Q91" s="26">
        <f ca="1">ALL!U74</f>
        <v>-24.58</v>
      </c>
      <c r="R91" s="26">
        <f ca="1">ALL!V74</f>
        <v>-24.86</v>
      </c>
      <c r="S91" s="26">
        <f ca="1">ALL!W74</f>
        <v>-25.12</v>
      </c>
      <c r="T91" s="26">
        <f ca="1">ALL!X74</f>
        <v>-26.08</v>
      </c>
      <c r="U91" s="26">
        <f ca="1">ALL!Y74</f>
        <v>-26.34</v>
      </c>
      <c r="V91" s="26">
        <f ca="1">ALL!Z74</f>
        <v>-26.61</v>
      </c>
      <c r="W91" s="26">
        <f ca="1">ALL!AA74</f>
        <v>-26.87</v>
      </c>
      <c r="X91" s="26">
        <f ca="1">ALL!AB74</f>
        <v>-27.12</v>
      </c>
      <c r="Y91" s="26">
        <f ca="1">ALL!AC74</f>
        <v>-27.95</v>
      </c>
      <c r="Z91" s="26">
        <f ca="1">ALL!AD74</f>
        <v>-28.19</v>
      </c>
      <c r="AA91" s="26">
        <f ca="1">ALL!AE74</f>
        <v>-28.43</v>
      </c>
      <c r="AB91" s="26">
        <f ca="1">ALL!AF74</f>
        <v>-28.66</v>
      </c>
      <c r="AC91" s="26">
        <f ca="1">ALL!AG74</f>
        <v>-28.9</v>
      </c>
      <c r="AD91" s="26">
        <f ca="1">ALL!AH74</f>
        <v>0</v>
      </c>
      <c r="AE91" s="26">
        <f ca="1">ALL!AI74</f>
        <v>0</v>
      </c>
      <c r="AF91" s="26">
        <f ca="1">ALL!AJ74</f>
        <v>0</v>
      </c>
      <c r="AG91" s="26">
        <f ca="1">ALL!AK74</f>
        <v>0</v>
      </c>
      <c r="AH91" s="26">
        <f ca="1">ALL!AL74</f>
        <v>0</v>
      </c>
      <c r="AI91" s="26">
        <f>ALL!AM74</f>
        <v>0</v>
      </c>
    </row>
    <row r="92" spans="1:35" ht="21.75" outlineLevel="1" thickBot="1" x14ac:dyDescent="0.4">
      <c r="A92" s="58">
        <f>ALL!E75</f>
        <v>0</v>
      </c>
      <c r="B92" s="28">
        <f ca="1">ALL!F75</f>
        <v>0</v>
      </c>
      <c r="C92" s="28">
        <f ca="1">ALL!G75</f>
        <v>0</v>
      </c>
      <c r="D92" s="28">
        <f ca="1">ALL!H75</f>
        <v>0</v>
      </c>
      <c r="E92" s="28">
        <f ca="1">ALL!I75</f>
        <v>0</v>
      </c>
      <c r="F92" s="26">
        <f ca="1">ALL!J75</f>
        <v>0</v>
      </c>
      <c r="G92" s="26">
        <f ca="1">ALL!K75</f>
        <v>0</v>
      </c>
      <c r="H92" s="26">
        <f ca="1">ALL!L75</f>
        <v>0</v>
      </c>
      <c r="I92" s="26">
        <f ca="1">ALL!M75</f>
        <v>0</v>
      </c>
      <c r="J92" s="26">
        <f ca="1">ALL!N75</f>
        <v>0</v>
      </c>
      <c r="K92" s="26">
        <f ca="1">ALL!O75</f>
        <v>0</v>
      </c>
      <c r="L92" s="26">
        <f ca="1">ALL!P75</f>
        <v>0</v>
      </c>
      <c r="M92" s="26">
        <f ca="1">ALL!Q75</f>
        <v>0</v>
      </c>
      <c r="N92" s="26">
        <f ca="1">ALL!R75</f>
        <v>0</v>
      </c>
      <c r="O92" s="26">
        <f ca="1">ALL!S75</f>
        <v>0</v>
      </c>
      <c r="P92" s="26">
        <f ca="1">ALL!T75</f>
        <v>0</v>
      </c>
      <c r="Q92" s="26">
        <f ca="1">ALL!U75</f>
        <v>0</v>
      </c>
      <c r="R92" s="26">
        <f ca="1">ALL!V75</f>
        <v>0</v>
      </c>
      <c r="S92" s="26">
        <f ca="1">ALL!W75</f>
        <v>0</v>
      </c>
      <c r="T92" s="26">
        <f ca="1">ALL!X75</f>
        <v>0</v>
      </c>
      <c r="U92" s="26">
        <f ca="1">ALL!Y75</f>
        <v>0</v>
      </c>
      <c r="V92" s="26">
        <f ca="1">ALL!Z75</f>
        <v>0</v>
      </c>
      <c r="W92" s="26">
        <f ca="1">ALL!AA75</f>
        <v>0</v>
      </c>
      <c r="X92" s="26">
        <f ca="1">ALL!AB75</f>
        <v>0</v>
      </c>
      <c r="Y92" s="26">
        <f ca="1">ALL!AC75</f>
        <v>0</v>
      </c>
      <c r="Z92" s="26">
        <f ca="1">ALL!AD75</f>
        <v>0</v>
      </c>
      <c r="AA92" s="26">
        <f ca="1">ALL!AE75</f>
        <v>0</v>
      </c>
      <c r="AB92" s="26">
        <f ca="1">ALL!AF75</f>
        <v>0</v>
      </c>
      <c r="AC92" s="26">
        <f ca="1">ALL!AG75</f>
        <v>0</v>
      </c>
      <c r="AD92" s="26">
        <f ca="1">ALL!AH75</f>
        <v>0</v>
      </c>
      <c r="AE92" s="26">
        <f ca="1">ALL!AI75</f>
        <v>0</v>
      </c>
      <c r="AF92" s="26">
        <f ca="1">ALL!AJ75</f>
        <v>0</v>
      </c>
      <c r="AG92" s="26">
        <f ca="1">ALL!AK75</f>
        <v>0</v>
      </c>
      <c r="AH92" s="26">
        <f ca="1">ALL!AL75</f>
        <v>0</v>
      </c>
      <c r="AI92" s="26">
        <f>ALL!AM75</f>
        <v>0</v>
      </c>
    </row>
    <row r="93" spans="1:35" ht="21.75" outlineLevel="1" thickBot="1" x14ac:dyDescent="0.4">
      <c r="A93" s="58">
        <f>ALL!E76</f>
        <v>0</v>
      </c>
      <c r="B93" s="28">
        <f ca="1">ALL!F76</f>
        <v>0</v>
      </c>
      <c r="C93" s="28">
        <f ca="1">ALL!G76</f>
        <v>0</v>
      </c>
      <c r="D93" s="28">
        <f ca="1">ALL!H76</f>
        <v>0</v>
      </c>
      <c r="E93" s="28">
        <f ca="1">ALL!I76</f>
        <v>0</v>
      </c>
      <c r="F93" s="26">
        <f ca="1">ALL!J76</f>
        <v>0</v>
      </c>
      <c r="G93" s="26">
        <f ca="1">ALL!K76</f>
        <v>0</v>
      </c>
      <c r="H93" s="26">
        <f ca="1">ALL!L76</f>
        <v>0</v>
      </c>
      <c r="I93" s="26">
        <f ca="1">ALL!M76</f>
        <v>0</v>
      </c>
      <c r="J93" s="26">
        <f ca="1">ALL!N76</f>
        <v>0</v>
      </c>
      <c r="K93" s="26">
        <f ca="1">ALL!O76</f>
        <v>0</v>
      </c>
      <c r="L93" s="26">
        <f ca="1">ALL!P76</f>
        <v>0</v>
      </c>
      <c r="M93" s="26">
        <f ca="1">ALL!Q76</f>
        <v>0</v>
      </c>
      <c r="N93" s="26">
        <f ca="1">ALL!R76</f>
        <v>0</v>
      </c>
      <c r="O93" s="26">
        <f ca="1">ALL!S76</f>
        <v>0</v>
      </c>
      <c r="P93" s="26">
        <f ca="1">ALL!T76</f>
        <v>0</v>
      </c>
      <c r="Q93" s="26">
        <f ca="1">ALL!U76</f>
        <v>0</v>
      </c>
      <c r="R93" s="26">
        <f ca="1">ALL!V76</f>
        <v>0</v>
      </c>
      <c r="S93" s="26">
        <f ca="1">ALL!W76</f>
        <v>0</v>
      </c>
      <c r="T93" s="26">
        <f ca="1">ALL!X76</f>
        <v>0</v>
      </c>
      <c r="U93" s="26">
        <f ca="1">ALL!Y76</f>
        <v>0</v>
      </c>
      <c r="V93" s="26">
        <f ca="1">ALL!Z76</f>
        <v>0</v>
      </c>
      <c r="W93" s="26">
        <f ca="1">ALL!AA76</f>
        <v>0</v>
      </c>
      <c r="X93" s="26">
        <f ca="1">ALL!AB76</f>
        <v>0</v>
      </c>
      <c r="Y93" s="26">
        <f ca="1">ALL!AC76</f>
        <v>0</v>
      </c>
      <c r="Z93" s="26">
        <f ca="1">ALL!AD76</f>
        <v>0</v>
      </c>
      <c r="AA93" s="26">
        <f ca="1">ALL!AE76</f>
        <v>0</v>
      </c>
      <c r="AB93" s="26">
        <f ca="1">ALL!AF76</f>
        <v>0</v>
      </c>
      <c r="AC93" s="26">
        <f ca="1">ALL!AG76</f>
        <v>0</v>
      </c>
      <c r="AD93" s="26">
        <f ca="1">ALL!AH76</f>
        <v>0</v>
      </c>
      <c r="AE93" s="26">
        <f ca="1">ALL!AI76</f>
        <v>0</v>
      </c>
      <c r="AF93" s="26">
        <f ca="1">ALL!AJ76</f>
        <v>0</v>
      </c>
      <c r="AG93" s="26">
        <f ca="1">ALL!AK76</f>
        <v>0</v>
      </c>
      <c r="AH93" s="26">
        <f ca="1">ALL!AL76</f>
        <v>0</v>
      </c>
      <c r="AI93" s="26">
        <f>ALL!AM76</f>
        <v>0</v>
      </c>
    </row>
    <row r="94" spans="1:35" ht="21.75" outlineLevel="1" thickBot="1" x14ac:dyDescent="0.4">
      <c r="A94" s="58">
        <f>ALL!E77</f>
        <v>0</v>
      </c>
      <c r="B94" s="28">
        <f ca="1">ALL!F77</f>
        <v>0</v>
      </c>
      <c r="C94" s="28">
        <f ca="1">ALL!G77</f>
        <v>0</v>
      </c>
      <c r="D94" s="28">
        <f ca="1">ALL!H77</f>
        <v>0</v>
      </c>
      <c r="E94" s="28">
        <f ca="1">ALL!I77</f>
        <v>0</v>
      </c>
      <c r="F94" s="26">
        <f ca="1">ALL!J77</f>
        <v>0</v>
      </c>
      <c r="G94" s="26">
        <f ca="1">ALL!K77</f>
        <v>0</v>
      </c>
      <c r="H94" s="26">
        <f ca="1">ALL!L77</f>
        <v>0</v>
      </c>
      <c r="I94" s="26">
        <f ca="1">ALL!M77</f>
        <v>0</v>
      </c>
      <c r="J94" s="26">
        <f ca="1">ALL!N77</f>
        <v>0</v>
      </c>
      <c r="K94" s="26">
        <f ca="1">ALL!O77</f>
        <v>0</v>
      </c>
      <c r="L94" s="26">
        <f ca="1">ALL!P77</f>
        <v>0</v>
      </c>
      <c r="M94" s="26">
        <f ca="1">ALL!Q77</f>
        <v>0</v>
      </c>
      <c r="N94" s="26">
        <f ca="1">ALL!R77</f>
        <v>0</v>
      </c>
      <c r="O94" s="26">
        <f ca="1">ALL!S77</f>
        <v>0</v>
      </c>
      <c r="P94" s="26">
        <f ca="1">ALL!T77</f>
        <v>0</v>
      </c>
      <c r="Q94" s="26">
        <f ca="1">ALL!U77</f>
        <v>0</v>
      </c>
      <c r="R94" s="26">
        <f ca="1">ALL!V77</f>
        <v>0</v>
      </c>
      <c r="S94" s="26">
        <f ca="1">ALL!W77</f>
        <v>0</v>
      </c>
      <c r="T94" s="26">
        <f ca="1">ALL!X77</f>
        <v>0</v>
      </c>
      <c r="U94" s="26">
        <f ca="1">ALL!Y77</f>
        <v>0</v>
      </c>
      <c r="V94" s="26">
        <f ca="1">ALL!Z77</f>
        <v>0</v>
      </c>
      <c r="W94" s="26">
        <f ca="1">ALL!AA77</f>
        <v>0</v>
      </c>
      <c r="X94" s="26">
        <f ca="1">ALL!AB77</f>
        <v>0</v>
      </c>
      <c r="Y94" s="26">
        <f ca="1">ALL!AC77</f>
        <v>0</v>
      </c>
      <c r="Z94" s="26">
        <f ca="1">ALL!AD77</f>
        <v>0</v>
      </c>
      <c r="AA94" s="26">
        <f ca="1">ALL!AE77</f>
        <v>0</v>
      </c>
      <c r="AB94" s="26">
        <f ca="1">ALL!AF77</f>
        <v>0</v>
      </c>
      <c r="AC94" s="26">
        <f ca="1">ALL!AG77</f>
        <v>0</v>
      </c>
      <c r="AD94" s="26">
        <f ca="1">ALL!AH77</f>
        <v>0</v>
      </c>
      <c r="AE94" s="26">
        <f ca="1">ALL!AI77</f>
        <v>0</v>
      </c>
      <c r="AF94" s="26">
        <f ca="1">ALL!AJ77</f>
        <v>0</v>
      </c>
      <c r="AG94" s="26">
        <f ca="1">ALL!AK77</f>
        <v>0</v>
      </c>
      <c r="AH94" s="26">
        <f ca="1">ALL!AL77</f>
        <v>0</v>
      </c>
      <c r="AI94" s="26">
        <f>ALL!AM77</f>
        <v>0</v>
      </c>
    </row>
    <row r="95" spans="1:35" ht="21.75" outlineLevel="1" thickBot="1" x14ac:dyDescent="0.4">
      <c r="A95" s="58">
        <f>ALL!E78</f>
        <v>0</v>
      </c>
      <c r="B95" s="28">
        <f ca="1">ALL!F78</f>
        <v>0</v>
      </c>
      <c r="C95" s="28">
        <f ca="1">ALL!G78</f>
        <v>0</v>
      </c>
      <c r="D95" s="28">
        <f ca="1">ALL!H78</f>
        <v>0</v>
      </c>
      <c r="E95" s="28">
        <f ca="1">ALL!I78</f>
        <v>0</v>
      </c>
      <c r="F95" s="26">
        <f ca="1">ALL!J78</f>
        <v>0</v>
      </c>
      <c r="G95" s="26">
        <f ca="1">ALL!K78</f>
        <v>0</v>
      </c>
      <c r="H95" s="26">
        <f ca="1">ALL!L78</f>
        <v>0</v>
      </c>
      <c r="I95" s="26">
        <f ca="1">ALL!M78</f>
        <v>0</v>
      </c>
      <c r="J95" s="26">
        <f ca="1">ALL!N78</f>
        <v>0</v>
      </c>
      <c r="K95" s="26">
        <f ca="1">ALL!O78</f>
        <v>0</v>
      </c>
      <c r="L95" s="26">
        <f ca="1">ALL!P78</f>
        <v>0</v>
      </c>
      <c r="M95" s="26">
        <f ca="1">ALL!Q78</f>
        <v>0</v>
      </c>
      <c r="N95" s="26">
        <f ca="1">ALL!R78</f>
        <v>0</v>
      </c>
      <c r="O95" s="26">
        <f ca="1">ALL!S78</f>
        <v>0</v>
      </c>
      <c r="P95" s="26">
        <f ca="1">ALL!T78</f>
        <v>0</v>
      </c>
      <c r="Q95" s="26">
        <f ca="1">ALL!U78</f>
        <v>0</v>
      </c>
      <c r="R95" s="26">
        <f ca="1">ALL!V78</f>
        <v>0</v>
      </c>
      <c r="S95" s="26">
        <f ca="1">ALL!W78</f>
        <v>0</v>
      </c>
      <c r="T95" s="26">
        <f ca="1">ALL!X78</f>
        <v>0</v>
      </c>
      <c r="U95" s="26">
        <f ca="1">ALL!Y78</f>
        <v>0</v>
      </c>
      <c r="V95" s="26">
        <f ca="1">ALL!Z78</f>
        <v>0</v>
      </c>
      <c r="W95" s="26">
        <f ca="1">ALL!AA78</f>
        <v>0</v>
      </c>
      <c r="X95" s="26">
        <f ca="1">ALL!AB78</f>
        <v>0</v>
      </c>
      <c r="Y95" s="26">
        <f ca="1">ALL!AC78</f>
        <v>0</v>
      </c>
      <c r="Z95" s="26">
        <f ca="1">ALL!AD78</f>
        <v>0</v>
      </c>
      <c r="AA95" s="26">
        <f ca="1">ALL!AE78</f>
        <v>0</v>
      </c>
      <c r="AB95" s="26">
        <f ca="1">ALL!AF78</f>
        <v>0</v>
      </c>
      <c r="AC95" s="26">
        <f ca="1">ALL!AG78</f>
        <v>0</v>
      </c>
      <c r="AD95" s="26">
        <f ca="1">ALL!AH78</f>
        <v>0</v>
      </c>
      <c r="AE95" s="26">
        <f ca="1">ALL!AI78</f>
        <v>0</v>
      </c>
      <c r="AF95" s="26">
        <f ca="1">ALL!AJ78</f>
        <v>0</v>
      </c>
      <c r="AG95" s="26">
        <f ca="1">ALL!AK78</f>
        <v>0</v>
      </c>
      <c r="AH95" s="26">
        <f ca="1">ALL!AL78</f>
        <v>0</v>
      </c>
      <c r="AI95" s="26">
        <f>ALL!AM78</f>
        <v>0</v>
      </c>
    </row>
    <row r="96" spans="1:35" ht="21.75" outlineLevel="1" thickBot="1" x14ac:dyDescent="0.4">
      <c r="A96" s="58">
        <f>ALL!E79</f>
        <v>1</v>
      </c>
      <c r="B96" s="28">
        <f>ALL!F79</f>
        <v>0</v>
      </c>
      <c r="C96" s="28">
        <f>ALL!G79</f>
        <v>0</v>
      </c>
      <c r="D96" s="28">
        <f>ALL!H79</f>
        <v>0</v>
      </c>
      <c r="E96" s="28">
        <f>ALL!I79</f>
        <v>0</v>
      </c>
      <c r="F96" s="26">
        <f>ALL!J79</f>
        <v>0</v>
      </c>
      <c r="G96" s="26">
        <f>ALL!K79</f>
        <v>0</v>
      </c>
      <c r="H96" s="26">
        <f>ALL!L79</f>
        <v>0</v>
      </c>
      <c r="I96" s="26">
        <f>ALL!M79</f>
        <v>0</v>
      </c>
      <c r="J96" s="26">
        <f>ALL!N79</f>
        <v>0</v>
      </c>
      <c r="K96" s="26">
        <f>ALL!O79</f>
        <v>0</v>
      </c>
      <c r="L96" s="26">
        <f>ALL!P79</f>
        <v>0</v>
      </c>
      <c r="M96" s="26">
        <f>ALL!Q79</f>
        <v>0</v>
      </c>
      <c r="N96" s="26">
        <f>ALL!R79</f>
        <v>0</v>
      </c>
      <c r="O96" s="26">
        <f>ALL!S79</f>
        <v>0</v>
      </c>
      <c r="P96" s="26">
        <f>ALL!T79</f>
        <v>0</v>
      </c>
      <c r="Q96" s="26">
        <f>ALL!U79</f>
        <v>0</v>
      </c>
      <c r="R96" s="26">
        <f>ALL!V79</f>
        <v>0</v>
      </c>
      <c r="S96" s="26">
        <f>ALL!W79</f>
        <v>0</v>
      </c>
      <c r="T96" s="26">
        <f>ALL!X79</f>
        <v>0</v>
      </c>
      <c r="U96" s="26">
        <f>ALL!Y79</f>
        <v>0</v>
      </c>
      <c r="V96" s="26">
        <f>ALL!Z79</f>
        <v>0</v>
      </c>
      <c r="W96" s="26">
        <f>ALL!AA79</f>
        <v>0</v>
      </c>
      <c r="X96" s="26">
        <f>ALL!AB79</f>
        <v>0</v>
      </c>
      <c r="Y96" s="26">
        <f>ALL!AC79</f>
        <v>0</v>
      </c>
      <c r="Z96" s="26">
        <f>ALL!AD79</f>
        <v>0</v>
      </c>
      <c r="AA96" s="26">
        <f>ALL!AE79</f>
        <v>0</v>
      </c>
      <c r="AB96" s="26">
        <f>ALL!AF79</f>
        <v>0</v>
      </c>
      <c r="AC96" s="26">
        <f>ALL!AG79</f>
        <v>0</v>
      </c>
      <c r="AD96" s="26">
        <f>ALL!AH79</f>
        <v>0</v>
      </c>
      <c r="AE96" s="26">
        <f>ALL!AI79</f>
        <v>0</v>
      </c>
      <c r="AF96" s="26">
        <f>ALL!AJ79</f>
        <v>0</v>
      </c>
      <c r="AG96" s="26">
        <f>ALL!AK79</f>
        <v>0</v>
      </c>
      <c r="AH96" s="26">
        <f>ALL!AL79</f>
        <v>0</v>
      </c>
      <c r="AI96" s="26">
        <f>ALL!AM79</f>
        <v>0</v>
      </c>
    </row>
    <row r="97" spans="1:94" x14ac:dyDescent="0.35">
      <c r="A97" s="170" t="s">
        <v>11</v>
      </c>
      <c r="B97" s="171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</row>
    <row r="98" spans="1:94" x14ac:dyDescent="0.35">
      <c r="A98" s="42">
        <f>Values!B1</f>
        <v>700</v>
      </c>
      <c r="B98" s="79">
        <f>MIN(B100:CP154)</f>
        <v>-193.00064356435647</v>
      </c>
    </row>
    <row r="99" spans="1:94" ht="21.75" thickBot="1" x14ac:dyDescent="0.4">
      <c r="A99" s="43">
        <f>A98</f>
        <v>700</v>
      </c>
      <c r="B99" s="80">
        <v>0</v>
      </c>
    </row>
    <row r="100" spans="1:94" ht="22.5" thickTop="1" thickBot="1" x14ac:dyDescent="0.4">
      <c r="A100" s="9" t="s">
        <v>37</v>
      </c>
      <c r="B100" s="167">
        <v>290</v>
      </c>
      <c r="C100" s="167">
        <v>298</v>
      </c>
      <c r="D100" s="167">
        <v>306</v>
      </c>
      <c r="E100" s="167">
        <v>314</v>
      </c>
      <c r="F100" s="9">
        <v>322</v>
      </c>
      <c r="G100" s="9">
        <v>330</v>
      </c>
      <c r="H100" s="9">
        <v>338</v>
      </c>
      <c r="I100" s="9">
        <v>346</v>
      </c>
      <c r="J100" s="9">
        <v>354</v>
      </c>
      <c r="K100" s="9">
        <v>362</v>
      </c>
      <c r="L100" s="9">
        <v>370</v>
      </c>
      <c r="M100" s="9">
        <v>378</v>
      </c>
      <c r="N100" s="9">
        <v>386</v>
      </c>
      <c r="O100" s="9">
        <v>394</v>
      </c>
      <c r="P100" s="9">
        <v>402</v>
      </c>
      <c r="Q100" s="9">
        <v>410</v>
      </c>
      <c r="R100" s="9">
        <v>418</v>
      </c>
      <c r="S100" s="9">
        <v>426</v>
      </c>
      <c r="T100" s="9">
        <v>434</v>
      </c>
      <c r="U100" s="9">
        <v>442</v>
      </c>
      <c r="V100" s="9">
        <v>450</v>
      </c>
      <c r="W100" s="9">
        <v>458</v>
      </c>
      <c r="X100" s="9">
        <v>466</v>
      </c>
      <c r="Y100" s="9">
        <v>474</v>
      </c>
      <c r="Z100" s="9">
        <v>482</v>
      </c>
      <c r="AA100" s="9">
        <v>490</v>
      </c>
      <c r="AB100" s="9">
        <v>498</v>
      </c>
      <c r="AC100" s="9">
        <v>506</v>
      </c>
      <c r="AD100" s="9">
        <v>514</v>
      </c>
      <c r="AE100" s="9">
        <v>522</v>
      </c>
      <c r="AF100" s="9">
        <v>530</v>
      </c>
      <c r="AG100" s="9">
        <v>538</v>
      </c>
      <c r="AH100" s="9">
        <v>546</v>
      </c>
      <c r="AI100" s="9">
        <v>554</v>
      </c>
      <c r="AJ100" s="9">
        <v>562</v>
      </c>
      <c r="AK100" s="9">
        <v>570</v>
      </c>
      <c r="AL100" s="9">
        <v>578</v>
      </c>
      <c r="AM100" s="9">
        <v>586</v>
      </c>
      <c r="AN100" s="9">
        <v>594</v>
      </c>
      <c r="AO100" s="9">
        <v>602</v>
      </c>
      <c r="AP100" s="9">
        <v>610</v>
      </c>
      <c r="AQ100" s="9">
        <v>618</v>
      </c>
      <c r="AR100" s="9">
        <v>626</v>
      </c>
      <c r="AS100" s="9">
        <v>634</v>
      </c>
      <c r="AT100" s="9">
        <v>642</v>
      </c>
      <c r="AU100" s="9">
        <v>650</v>
      </c>
      <c r="AV100" s="9">
        <v>658</v>
      </c>
      <c r="AW100" s="9">
        <v>666</v>
      </c>
      <c r="AX100" s="9">
        <v>674</v>
      </c>
      <c r="AY100" s="9">
        <v>682</v>
      </c>
      <c r="AZ100" s="9">
        <v>690</v>
      </c>
      <c r="BA100" s="9">
        <v>698</v>
      </c>
      <c r="BB100" s="9">
        <v>706</v>
      </c>
      <c r="BC100" s="9">
        <v>714</v>
      </c>
      <c r="BD100" s="9">
        <v>722</v>
      </c>
      <c r="BE100" s="9">
        <v>730</v>
      </c>
      <c r="BF100" s="9">
        <v>738</v>
      </c>
      <c r="BG100" s="9">
        <v>746</v>
      </c>
      <c r="BH100" s="9">
        <v>754</v>
      </c>
      <c r="BI100" s="9">
        <v>762</v>
      </c>
      <c r="BJ100" s="9">
        <v>770</v>
      </c>
      <c r="BK100" s="9">
        <v>778</v>
      </c>
      <c r="BL100" s="9">
        <v>786</v>
      </c>
      <c r="BM100" s="9">
        <v>794</v>
      </c>
      <c r="BN100" s="9">
        <v>802</v>
      </c>
      <c r="BO100" s="9">
        <v>810</v>
      </c>
      <c r="BP100" s="9">
        <v>818</v>
      </c>
      <c r="BQ100" s="9">
        <v>826</v>
      </c>
      <c r="BR100" s="9">
        <v>834</v>
      </c>
      <c r="BS100" s="9">
        <v>842</v>
      </c>
      <c r="BT100" s="9">
        <v>850</v>
      </c>
      <c r="BU100" s="9">
        <v>858</v>
      </c>
      <c r="BV100" s="9">
        <v>866</v>
      </c>
      <c r="BW100" s="9">
        <v>874</v>
      </c>
      <c r="BX100" s="9">
        <v>882</v>
      </c>
      <c r="BY100" s="9">
        <v>890</v>
      </c>
      <c r="BZ100" s="9">
        <v>898</v>
      </c>
      <c r="CA100" s="9">
        <v>906</v>
      </c>
      <c r="CB100" s="9">
        <v>914</v>
      </c>
      <c r="CC100" s="9">
        <v>922</v>
      </c>
      <c r="CD100" s="9">
        <v>930</v>
      </c>
      <c r="CE100" s="9">
        <v>938</v>
      </c>
      <c r="CF100" s="9">
        <v>946</v>
      </c>
      <c r="CG100" s="9">
        <v>954</v>
      </c>
      <c r="CH100" s="9">
        <v>962</v>
      </c>
      <c r="CI100" s="9">
        <v>970</v>
      </c>
      <c r="CJ100" s="9">
        <v>978</v>
      </c>
      <c r="CK100" s="9"/>
      <c r="CL100" s="9"/>
      <c r="CM100" s="9"/>
      <c r="CN100" s="9"/>
      <c r="CO100" s="9"/>
      <c r="CP100" s="9"/>
    </row>
    <row r="101" spans="1:94" ht="22.5" thickTop="1" thickBot="1" x14ac:dyDescent="0.4">
      <c r="A101" s="30" t="s">
        <v>59</v>
      </c>
      <c r="B101" s="60">
        <v>-15.64579207920792</v>
      </c>
      <c r="C101" s="60">
        <v>-15.366435643564357</v>
      </c>
      <c r="D101" s="60">
        <v>-15.105049504950495</v>
      </c>
      <c r="E101" s="60">
        <v>-14.846138613861386</v>
      </c>
      <c r="F101">
        <v>-14.624356435643564</v>
      </c>
      <c r="G101">
        <v>-14.402574257425742</v>
      </c>
      <c r="H101">
        <v>-14.059455445544554</v>
      </c>
      <c r="I101">
        <v>-13.611930693069306</v>
      </c>
      <c r="J101">
        <v>-13.163493811881187</v>
      </c>
      <c r="K101">
        <v>-12.642998762376235</v>
      </c>
      <c r="L101">
        <v>-12.122503712871286</v>
      </c>
      <c r="M101">
        <v>-11.602008663366336</v>
      </c>
      <c r="N101">
        <v>-11.081513613861386</v>
      </c>
      <c r="O101">
        <v>-10.561018564356434</v>
      </c>
      <c r="P101">
        <v>-10.040523514851484</v>
      </c>
      <c r="Q101">
        <v>-9.5200284653465346</v>
      </c>
      <c r="R101">
        <v>-8.999533415841583</v>
      </c>
      <c r="S101">
        <v>-8.4790383663366331</v>
      </c>
      <c r="T101">
        <v>-7.9585433168316824</v>
      </c>
      <c r="U101">
        <v>-7.5292079207920786</v>
      </c>
      <c r="V101">
        <v>-7.1086138613861376</v>
      </c>
      <c r="W101">
        <v>-6.6999900990099004</v>
      </c>
      <c r="X101">
        <v>-6.3102871287128712</v>
      </c>
      <c r="Y101">
        <v>-5.9205841584158421</v>
      </c>
      <c r="Z101">
        <v>-5.5518656716417913</v>
      </c>
      <c r="AA101">
        <v>-5.1864925373134323</v>
      </c>
      <c r="AB101">
        <v>-4.8314554455445542</v>
      </c>
      <c r="AC101">
        <v>-4.4956138613861381</v>
      </c>
      <c r="AD101">
        <v>-4.1597722772277219</v>
      </c>
      <c r="AE101">
        <v>-4.1170099009900989</v>
      </c>
      <c r="AF101">
        <v>-4.1364158415841583</v>
      </c>
      <c r="AG101">
        <v>-4.1559405940594063</v>
      </c>
      <c r="AH101">
        <v>-4.1757425742574261</v>
      </c>
      <c r="AI101">
        <v>-4.1955445544554459</v>
      </c>
      <c r="AJ101">
        <v>-4.2150396039603963</v>
      </c>
      <c r="AK101">
        <v>-4.2344455445544549</v>
      </c>
      <c r="AL101">
        <v>-4.2539504950495051</v>
      </c>
      <c r="AM101">
        <v>-4.2737524752475249</v>
      </c>
      <c r="AN101">
        <v>-4.2935544554455447</v>
      </c>
      <c r="AO101">
        <v>-4.3133564356435645</v>
      </c>
      <c r="AP101">
        <v>-4.3331584158415843</v>
      </c>
      <c r="AQ101">
        <v>-4.3529603960396042</v>
      </c>
      <c r="AR101">
        <v>-4.372762376237624</v>
      </c>
      <c r="AS101">
        <v>-4.3925643564356438</v>
      </c>
      <c r="AT101">
        <v>-4.4123663366336636</v>
      </c>
      <c r="AU101">
        <v>-4.4321683168316834</v>
      </c>
      <c r="AV101">
        <v>-4.4519702970297024</v>
      </c>
      <c r="AW101">
        <v>-4.4717722772277222</v>
      </c>
      <c r="AX101">
        <v>-4.491574257425742</v>
      </c>
      <c r="AY101">
        <v>-4.5114378109452735</v>
      </c>
      <c r="AZ101">
        <v>-4.5313383084577117</v>
      </c>
      <c r="BA101">
        <v>-4.5511831683168316</v>
      </c>
      <c r="BB101">
        <v>-4.570589108910891</v>
      </c>
      <c r="BC101">
        <v>-4.5899950495049504</v>
      </c>
      <c r="BD101">
        <v>-4.6094009900990098</v>
      </c>
      <c r="BE101">
        <v>-4.6288069306930693</v>
      </c>
      <c r="BF101">
        <v>-4.6482128712871287</v>
      </c>
      <c r="BG101">
        <v>-4.6676188118811881</v>
      </c>
      <c r="BH101">
        <v>-4.6870247524752475</v>
      </c>
      <c r="BI101">
        <v>-4.706217821782178</v>
      </c>
      <c r="BJ101">
        <v>-4.725227722772277</v>
      </c>
      <c r="BK101">
        <v>-4.744237623762376</v>
      </c>
      <c r="BL101">
        <v>-4.763247524752475</v>
      </c>
      <c r="BM101">
        <v>-4.7822574257425741</v>
      </c>
      <c r="BN101">
        <v>-4.8012673267326731</v>
      </c>
      <c r="BO101">
        <v>-4.8202772277227721</v>
      </c>
      <c r="BP101">
        <v>-4.8392871287128711</v>
      </c>
      <c r="BQ101">
        <v>-4.8579158415841581</v>
      </c>
      <c r="BR101">
        <v>-4.8765297029702968</v>
      </c>
      <c r="BS101">
        <v>-4.8949801734820317</v>
      </c>
      <c r="BT101">
        <v>-4.913220570012391</v>
      </c>
      <c r="BU101">
        <v>-4.9314609665427502</v>
      </c>
      <c r="BV101">
        <v>-4.9497013630731095</v>
      </c>
      <c r="BW101">
        <v>-4.9679417596034696</v>
      </c>
      <c r="BX101">
        <v>-4.9861821561338289</v>
      </c>
      <c r="BY101">
        <v>-5.0044225526641881</v>
      </c>
      <c r="BZ101">
        <v>-5.0226629491945474</v>
      </c>
      <c r="CA101">
        <v>-5.0409033457249066</v>
      </c>
      <c r="CB101">
        <v>-5.0591437422552659</v>
      </c>
      <c r="CC101">
        <v>-5.0772376237623762</v>
      </c>
      <c r="CD101">
        <v>-5.095059405940594</v>
      </c>
      <c r="CE101">
        <v>-5.1128811881188119</v>
      </c>
      <c r="CF101">
        <v>-5.1307029702970297</v>
      </c>
      <c r="CG101">
        <v>-5.1485247524752475</v>
      </c>
      <c r="CH101">
        <v>-5.1663465346534654</v>
      </c>
      <c r="CI101">
        <v>-5.1841683168316832</v>
      </c>
      <c r="CJ101">
        <v>-5.2019900990099011</v>
      </c>
    </row>
    <row r="102" spans="1:94" ht="21.75" thickBot="1" x14ac:dyDescent="0.4">
      <c r="A102" s="30" t="s">
        <v>58</v>
      </c>
      <c r="B102" s="60">
        <v>-38.044702970297031</v>
      </c>
      <c r="C102" s="60">
        <v>-37.276534653465347</v>
      </c>
      <c r="D102" s="60">
        <v>-36.555742574257422</v>
      </c>
      <c r="E102" s="60">
        <v>-35.841138613861382</v>
      </c>
      <c r="F102">
        <v>-35.219356435643562</v>
      </c>
      <c r="G102">
        <v>-34.597574257425741</v>
      </c>
      <c r="H102">
        <v>-34.018366336633662</v>
      </c>
      <c r="I102">
        <v>-33.47579207920792</v>
      </c>
      <c r="J102">
        <v>-32.934978960396037</v>
      </c>
      <c r="K102">
        <v>-32.533295792079201</v>
      </c>
      <c r="L102">
        <v>-32.131612623762372</v>
      </c>
      <c r="M102">
        <v>-31.729929455445543</v>
      </c>
      <c r="N102">
        <v>-31.32824628712871</v>
      </c>
      <c r="O102">
        <v>-30.926563118811877</v>
      </c>
      <c r="P102">
        <v>-30.524879950495048</v>
      </c>
      <c r="Q102">
        <v>-30.123196782178216</v>
      </c>
      <c r="R102">
        <v>-29.721513613861383</v>
      </c>
      <c r="S102">
        <v>-29.319830445544554</v>
      </c>
      <c r="T102">
        <v>-28.918147277227721</v>
      </c>
      <c r="U102">
        <v>-28.607623762376235</v>
      </c>
      <c r="V102">
        <v>-28.305841584158415</v>
      </c>
      <c r="W102">
        <v>-28.017564356435642</v>
      </c>
      <c r="X102">
        <v>-27.750633663366337</v>
      </c>
      <c r="Y102">
        <v>-27.483702970297031</v>
      </c>
      <c r="Z102">
        <v>-27.234850746268656</v>
      </c>
      <c r="AA102">
        <v>-26.988880597014926</v>
      </c>
      <c r="AB102">
        <v>-26.754425742574259</v>
      </c>
      <c r="AC102">
        <v>-26.541356435643564</v>
      </c>
      <c r="AD102">
        <v>-26.328287128712873</v>
      </c>
      <c r="AE102">
        <v>-26.405029702970296</v>
      </c>
      <c r="AF102">
        <v>-26.543247524752477</v>
      </c>
      <c r="AG102">
        <v>-26.681584158415841</v>
      </c>
      <c r="AH102">
        <v>-26.820198019801978</v>
      </c>
      <c r="AI102">
        <v>-26.958811881188119</v>
      </c>
      <c r="AJ102">
        <v>-27.094049504950494</v>
      </c>
      <c r="AK102">
        <v>-27.228306930693066</v>
      </c>
      <c r="AL102">
        <v>-27.36266336633663</v>
      </c>
      <c r="AM102">
        <v>-27.497316831683168</v>
      </c>
      <c r="AN102">
        <v>-27.631970297029703</v>
      </c>
      <c r="AO102">
        <v>-27.765188118811881</v>
      </c>
      <c r="AP102">
        <v>-27.897861386138615</v>
      </c>
      <c r="AQ102">
        <v>-28.030534653465345</v>
      </c>
      <c r="AR102">
        <v>-28.163207920792079</v>
      </c>
      <c r="AS102">
        <v>-28.295881188118813</v>
      </c>
      <c r="AT102">
        <v>-28.428554455445546</v>
      </c>
      <c r="AU102">
        <v>-28.561227722772276</v>
      </c>
      <c r="AV102">
        <v>-28.69390099009901</v>
      </c>
      <c r="AW102">
        <v>-28.826574257425744</v>
      </c>
      <c r="AX102">
        <v>-28.959247524752477</v>
      </c>
      <c r="AY102">
        <v>-29.091089552238806</v>
      </c>
      <c r="AZ102">
        <v>-29.222432835820893</v>
      </c>
      <c r="BA102">
        <v>-29.353212871287127</v>
      </c>
      <c r="BB102">
        <v>-29.479549504950494</v>
      </c>
      <c r="BC102">
        <v>-29.605886138613858</v>
      </c>
      <c r="BD102">
        <v>-29.732222772277225</v>
      </c>
      <c r="BE102">
        <v>-29.858559405940593</v>
      </c>
      <c r="BF102">
        <v>-29.984896039603957</v>
      </c>
      <c r="BG102">
        <v>-30.111232673267324</v>
      </c>
      <c r="BH102">
        <v>-30.237569306930691</v>
      </c>
      <c r="BI102">
        <v>-30.36369306930693</v>
      </c>
      <c r="BJ102">
        <v>-30.489633663366337</v>
      </c>
      <c r="BK102">
        <v>-30.615524752475249</v>
      </c>
      <c r="BL102">
        <v>-30.737504950495047</v>
      </c>
      <c r="BM102">
        <v>-30.85948514851485</v>
      </c>
      <c r="BN102">
        <v>-30.981465346534652</v>
      </c>
      <c r="BO102">
        <v>-31.103445544554454</v>
      </c>
      <c r="BP102">
        <v>-31.225425742574259</v>
      </c>
      <c r="BQ102">
        <v>-31.347024752475249</v>
      </c>
      <c r="BR102">
        <v>-31.468608910891088</v>
      </c>
      <c r="BS102">
        <v>-31.588350681536554</v>
      </c>
      <c r="BT102">
        <v>-31.705723667905822</v>
      </c>
      <c r="BU102">
        <v>-31.823096654275091</v>
      </c>
      <c r="BV102">
        <v>-31.940469640644359</v>
      </c>
      <c r="BW102">
        <v>-32.057842627013628</v>
      </c>
      <c r="BX102">
        <v>-32.175215613382896</v>
      </c>
      <c r="BY102">
        <v>-32.292588599752165</v>
      </c>
      <c r="BZ102">
        <v>-32.409961586121433</v>
      </c>
      <c r="CA102">
        <v>-32.527334572490702</v>
      </c>
      <c r="CB102">
        <v>-32.64470755885997</v>
      </c>
      <c r="CC102">
        <v>-32.760504950495047</v>
      </c>
      <c r="CD102">
        <v>-32.873376237623759</v>
      </c>
      <c r="CE102">
        <v>-32.986247524752478</v>
      </c>
      <c r="CF102">
        <v>-33.102386138613859</v>
      </c>
      <c r="CG102">
        <v>-33.219217821782181</v>
      </c>
      <c r="CH102">
        <v>-33.334861386138613</v>
      </c>
      <c r="CI102">
        <v>-33.447732673267325</v>
      </c>
      <c r="CJ102">
        <v>-33.560603960396037</v>
      </c>
    </row>
    <row r="103" spans="1:94" ht="21.75" thickBot="1" x14ac:dyDescent="0.4">
      <c r="A103" s="30" t="s">
        <v>57</v>
      </c>
      <c r="B103" s="60">
        <v>-62.667772277227719</v>
      </c>
      <c r="C103" s="60">
        <v>-61.130742574257425</v>
      </c>
      <c r="D103" s="60">
        <v>-59.68519801980198</v>
      </c>
      <c r="E103" s="60">
        <v>-58.251039603960393</v>
      </c>
      <c r="F103">
        <v>-56.987673267326734</v>
      </c>
      <c r="G103">
        <v>-55.724306930693068</v>
      </c>
      <c r="H103">
        <v>-54.333217821782178</v>
      </c>
      <c r="I103">
        <v>-52.832227722772274</v>
      </c>
      <c r="J103">
        <v>-51.332240099009901</v>
      </c>
      <c r="K103">
        <v>-49.911448019801981</v>
      </c>
      <c r="L103">
        <v>-48.49065594059406</v>
      </c>
      <c r="M103">
        <v>-47.069863861386139</v>
      </c>
      <c r="N103">
        <v>-45.649071782178218</v>
      </c>
      <c r="O103">
        <v>-44.228279702970298</v>
      </c>
      <c r="P103">
        <v>-42.80748762376237</v>
      </c>
      <c r="Q103">
        <v>-41.386695544554456</v>
      </c>
      <c r="R103">
        <v>-39.965903465346528</v>
      </c>
      <c r="S103">
        <v>-38.545111386138615</v>
      </c>
      <c r="T103">
        <v>-37.124319306930687</v>
      </c>
      <c r="U103">
        <v>-35.962821782178217</v>
      </c>
      <c r="V103">
        <v>-34.826188118811878</v>
      </c>
      <c r="W103">
        <v>-33.724851485148513</v>
      </c>
      <c r="X103">
        <v>-32.679306930693073</v>
      </c>
      <c r="Y103">
        <v>-31.633762376237627</v>
      </c>
      <c r="Z103">
        <v>-30.648955223880598</v>
      </c>
      <c r="AA103">
        <v>-29.673830845771143</v>
      </c>
      <c r="AB103">
        <v>-28.723960396039601</v>
      </c>
      <c r="AC103">
        <v>-27.820990099009901</v>
      </c>
      <c r="AD103">
        <v>-26.918019801980197</v>
      </c>
      <c r="AE103">
        <v>-26.064059405940593</v>
      </c>
      <c r="AF103">
        <v>-25.220495049504951</v>
      </c>
      <c r="AG103">
        <v>-24.393564356435643</v>
      </c>
      <c r="AH103">
        <v>-23.605445544554453</v>
      </c>
      <c r="AI103">
        <v>-22.817326732673266</v>
      </c>
      <c r="AJ103">
        <v>-22.066039603960395</v>
      </c>
      <c r="AK103">
        <v>-21.325445544554455</v>
      </c>
      <c r="AL103">
        <v>-20.595742574257425</v>
      </c>
      <c r="AM103">
        <v>-19.898712871287131</v>
      </c>
      <c r="AN103">
        <v>-19.201683168316837</v>
      </c>
      <c r="AO103">
        <v>-18.569257425742578</v>
      </c>
      <c r="AP103">
        <v>-17.961336633663372</v>
      </c>
      <c r="AQ103">
        <v>-17.353415841584162</v>
      </c>
      <c r="AR103">
        <v>-16.745495049504953</v>
      </c>
      <c r="AS103">
        <v>-16.137574257425744</v>
      </c>
      <c r="AT103">
        <v>-15.529653465346536</v>
      </c>
      <c r="AU103">
        <v>-14.921732673267329</v>
      </c>
      <c r="AV103">
        <v>-14.313811881188119</v>
      </c>
      <c r="AW103">
        <v>-13.705891089108912</v>
      </c>
      <c r="AX103">
        <v>-13.097970297029704</v>
      </c>
      <c r="AY103">
        <v>-12.536666666666667</v>
      </c>
      <c r="AZ103">
        <v>-12.003333333333334</v>
      </c>
      <c r="BA103">
        <v>-11.472970297029704</v>
      </c>
      <c r="BB103">
        <v>-10.966039603960395</v>
      </c>
      <c r="BC103">
        <v>-10.459108910891088</v>
      </c>
      <c r="BD103">
        <v>-9.9752128712871269</v>
      </c>
      <c r="BE103">
        <v>-9.5074900990098996</v>
      </c>
      <c r="BF103">
        <v>-9.0558316831683179</v>
      </c>
      <c r="BG103">
        <v>-8.845138613861387</v>
      </c>
      <c r="BH103">
        <v>-8.6344455445544579</v>
      </c>
      <c r="BI103">
        <v>-8.4284356435643577</v>
      </c>
      <c r="BJ103">
        <v>-8.2264554455445538</v>
      </c>
      <c r="BK103">
        <v>-8.0249702970297019</v>
      </c>
      <c r="BL103">
        <v>-7.8625940594059402</v>
      </c>
      <c r="BM103">
        <v>-7.7002178217821786</v>
      </c>
      <c r="BN103">
        <v>-7.635920792079208</v>
      </c>
      <c r="BO103">
        <v>-7.6747326732673269</v>
      </c>
      <c r="BP103">
        <v>-7.7135445544554457</v>
      </c>
      <c r="BQ103">
        <v>-7.7531188118811887</v>
      </c>
      <c r="BR103">
        <v>-7.7927227722772283</v>
      </c>
      <c r="BS103">
        <v>-7.8332589838909543</v>
      </c>
      <c r="BT103">
        <v>-7.8749938042131351</v>
      </c>
      <c r="BU103">
        <v>-7.9167286245353168</v>
      </c>
      <c r="BV103">
        <v>-7.9584634448574976</v>
      </c>
      <c r="BW103">
        <v>-8.0001982651796784</v>
      </c>
      <c r="BX103">
        <v>-8.04193308550186</v>
      </c>
      <c r="BY103">
        <v>-8.0836679058240399</v>
      </c>
      <c r="BZ103">
        <v>-8.1254027261462216</v>
      </c>
      <c r="CA103">
        <v>-8.1671375464684015</v>
      </c>
      <c r="CB103">
        <v>-8.2088723667905832</v>
      </c>
      <c r="CC103">
        <v>-8.2518019801980209</v>
      </c>
      <c r="CD103">
        <v>-8.2969504950495043</v>
      </c>
      <c r="CE103">
        <v>-8.3420990099009895</v>
      </c>
      <c r="CF103">
        <v>-8.3888811881188108</v>
      </c>
      <c r="CG103">
        <v>-8.4360099009900988</v>
      </c>
      <c r="CH103">
        <v>-8.4837326732673262</v>
      </c>
      <c r="CI103">
        <v>-8.5328415841584153</v>
      </c>
      <c r="CJ103">
        <v>-8.5819504950495045</v>
      </c>
    </row>
    <row r="104" spans="1:94" ht="21.75" thickBot="1" x14ac:dyDescent="0.4">
      <c r="A104" s="30" t="s">
        <v>360</v>
      </c>
      <c r="B104" s="60">
        <v>-147.73445544554454</v>
      </c>
      <c r="C104" s="60">
        <v>-144.17158415841584</v>
      </c>
      <c r="D104" s="60">
        <v>-140.82108910891088</v>
      </c>
      <c r="E104" s="60">
        <v>-137.49707920792079</v>
      </c>
      <c r="F104">
        <v>-134.57034653465345</v>
      </c>
      <c r="G104">
        <v>-131.64361386138614</v>
      </c>
      <c r="H104">
        <v>-128.62534653465346</v>
      </c>
      <c r="I104">
        <v>-125.52831683168316</v>
      </c>
      <c r="J104">
        <v>-122.43596534653464</v>
      </c>
      <c r="K104">
        <v>-119.71319306930693</v>
      </c>
      <c r="L104">
        <v>-116.99042079207921</v>
      </c>
      <c r="M104">
        <v>-114.26764851485147</v>
      </c>
      <c r="N104">
        <v>-111.54487623762375</v>
      </c>
      <c r="O104">
        <v>-108.82210396039603</v>
      </c>
      <c r="P104">
        <v>-106.09933168316832</v>
      </c>
      <c r="Q104">
        <v>-103.37655940594058</v>
      </c>
      <c r="R104">
        <v>-100.65378712871286</v>
      </c>
      <c r="S104">
        <v>-97.931014851485145</v>
      </c>
      <c r="T104">
        <v>-95.208242574257412</v>
      </c>
      <c r="U104">
        <v>-93.004059405940595</v>
      </c>
      <c r="V104">
        <v>-90.849603960396038</v>
      </c>
      <c r="W104">
        <v>-88.767277227722772</v>
      </c>
      <c r="X104">
        <v>-86.798960396039604</v>
      </c>
      <c r="Y104">
        <v>-84.83064356435645</v>
      </c>
      <c r="Z104">
        <v>-82.980895522388067</v>
      </c>
      <c r="AA104">
        <v>-81.15004975124377</v>
      </c>
      <c r="AB104">
        <v>-79.370891089108909</v>
      </c>
      <c r="AC104">
        <v>-77.687722772277226</v>
      </c>
      <c r="AD104">
        <v>-76.004554455445543</v>
      </c>
      <c r="AE104">
        <v>-74.416138613861392</v>
      </c>
      <c r="AF104">
        <v>-72.847821782178215</v>
      </c>
      <c r="AG104">
        <v>-71.312772277227722</v>
      </c>
      <c r="AH104">
        <v>-69.855346534653464</v>
      </c>
      <c r="AI104">
        <v>-68.397920792079191</v>
      </c>
      <c r="AJ104">
        <v>-67.01108910891088</v>
      </c>
      <c r="AK104">
        <v>-65.644752475247529</v>
      </c>
      <c r="AL104">
        <v>-64.300198019801982</v>
      </c>
      <c r="AM104">
        <v>-63.020990099009907</v>
      </c>
      <c r="AN104">
        <v>-61.741782178217832</v>
      </c>
      <c r="AO104">
        <v>-60.59034653465347</v>
      </c>
      <c r="AP104">
        <v>-59.487376237623771</v>
      </c>
      <c r="AQ104">
        <v>-58.384405940594064</v>
      </c>
      <c r="AR104">
        <v>-57.281435643564357</v>
      </c>
      <c r="AS104">
        <v>-56.178465346534658</v>
      </c>
      <c r="AT104">
        <v>-55.075495049504951</v>
      </c>
      <c r="AU104">
        <v>-53.972524752475252</v>
      </c>
      <c r="AV104">
        <v>-52.869554455445545</v>
      </c>
      <c r="AW104">
        <v>-51.766584158415839</v>
      </c>
      <c r="AX104">
        <v>-50.663613861386139</v>
      </c>
      <c r="AY104">
        <v>-49.652985074626862</v>
      </c>
      <c r="AZ104">
        <v>-48.697761194029852</v>
      </c>
      <c r="BA104">
        <v>-47.747970297029703</v>
      </c>
      <c r="BB104">
        <v>-46.841039603960397</v>
      </c>
      <c r="BC104">
        <v>-45.934108910891084</v>
      </c>
      <c r="BD104">
        <v>-45.073247524752475</v>
      </c>
      <c r="BE104">
        <v>-44.244732673267329</v>
      </c>
      <c r="BF104">
        <v>-43.448346534653467</v>
      </c>
      <c r="BG104">
        <v>-43.133891089108914</v>
      </c>
      <c r="BH104">
        <v>-42.819435643564361</v>
      </c>
      <c r="BI104">
        <v>-42.51434653465347</v>
      </c>
      <c r="BJ104">
        <v>-42.217316831683171</v>
      </c>
      <c r="BK104">
        <v>-41.921227722772279</v>
      </c>
      <c r="BL104">
        <v>-41.699445544554457</v>
      </c>
      <c r="BM104">
        <v>-41.477663366336628</v>
      </c>
      <c r="BN104">
        <v>-41.452039603960394</v>
      </c>
      <c r="BO104">
        <v>-41.632633663366335</v>
      </c>
      <c r="BP104">
        <v>-41.813227722772275</v>
      </c>
      <c r="BQ104">
        <v>-41.995346534653464</v>
      </c>
      <c r="BR104">
        <v>-42.17752475247525</v>
      </c>
      <c r="BS104">
        <v>-42.359888475836435</v>
      </c>
      <c r="BT104">
        <v>-42.542490706319704</v>
      </c>
      <c r="BU104">
        <v>-42.725092936802973</v>
      </c>
      <c r="BV104">
        <v>-42.907695167286249</v>
      </c>
      <c r="BW104">
        <v>-43.090297397769518</v>
      </c>
      <c r="BX104">
        <v>-43.272899628252787</v>
      </c>
      <c r="BY104">
        <v>-43.455501858736056</v>
      </c>
      <c r="BZ104">
        <v>-43.638104089219333</v>
      </c>
      <c r="CA104">
        <v>-43.820706319702602</v>
      </c>
      <c r="CB104">
        <v>-44.003308550185871</v>
      </c>
      <c r="CC104">
        <v>-44.18687128712871</v>
      </c>
      <c r="CD104">
        <v>-44.372217821782179</v>
      </c>
      <c r="CE104">
        <v>-44.557564356435648</v>
      </c>
      <c r="CF104">
        <v>-44.749445544554462</v>
      </c>
      <c r="CG104">
        <v>-44.942712871287128</v>
      </c>
      <c r="CH104">
        <v>-45.135980198019801</v>
      </c>
      <c r="CI104">
        <v>-45.329247524752475</v>
      </c>
      <c r="CJ104">
        <v>-45.522514851485155</v>
      </c>
    </row>
    <row r="105" spans="1:94" ht="21.75" thickBot="1" x14ac:dyDescent="0.4">
      <c r="A105" s="30" t="s">
        <v>55</v>
      </c>
      <c r="B105" s="60">
        <v>-15.64579207920792</v>
      </c>
      <c r="C105" s="60">
        <v>-15.366435643564357</v>
      </c>
      <c r="D105" s="60">
        <v>-15.105049504950495</v>
      </c>
      <c r="E105" s="60">
        <v>-14.846138613861386</v>
      </c>
      <c r="F105">
        <v>-14.624356435643564</v>
      </c>
      <c r="G105">
        <v>-14.402574257425742</v>
      </c>
      <c r="H105">
        <v>-14.059455445544554</v>
      </c>
      <c r="I105">
        <v>-13.611930693069306</v>
      </c>
      <c r="J105">
        <v>-13.163493811881187</v>
      </c>
      <c r="K105">
        <v>-12.642998762376235</v>
      </c>
      <c r="L105">
        <v>-12.122503712871286</v>
      </c>
      <c r="M105">
        <v>-11.602008663366336</v>
      </c>
      <c r="N105">
        <v>-11.081513613861386</v>
      </c>
      <c r="O105">
        <v>-10.561018564356434</v>
      </c>
      <c r="P105">
        <v>-10.040523514851484</v>
      </c>
      <c r="Q105">
        <v>-9.5200284653465346</v>
      </c>
      <c r="R105">
        <v>-8.999533415841583</v>
      </c>
      <c r="S105">
        <v>-8.4790383663366331</v>
      </c>
      <c r="T105">
        <v>-7.9585433168316824</v>
      </c>
      <c r="U105">
        <v>-7.5292079207920786</v>
      </c>
      <c r="V105">
        <v>-7.1086138613861376</v>
      </c>
      <c r="W105">
        <v>-6.6999900990099004</v>
      </c>
      <c r="X105">
        <v>-6.3102871287128712</v>
      </c>
      <c r="Y105">
        <v>-5.9205841584158421</v>
      </c>
      <c r="Z105">
        <v>-5.5518656716417913</v>
      </c>
      <c r="AA105">
        <v>-5.1864925373134323</v>
      </c>
      <c r="AB105">
        <v>-4.8314554455445542</v>
      </c>
      <c r="AC105">
        <v>-4.4956138613861381</v>
      </c>
      <c r="AD105">
        <v>-4.1597722772277219</v>
      </c>
      <c r="AE105">
        <v>-4.1170099009900989</v>
      </c>
      <c r="AF105">
        <v>-4.1364158415841583</v>
      </c>
      <c r="AG105">
        <v>-4.1559405940594063</v>
      </c>
      <c r="AH105">
        <v>-4.1757425742574261</v>
      </c>
      <c r="AI105">
        <v>-4.1955445544554459</v>
      </c>
      <c r="AJ105">
        <v>-4.2150396039603963</v>
      </c>
      <c r="AK105">
        <v>-4.2344455445544549</v>
      </c>
      <c r="AL105">
        <v>-4.2539504950495051</v>
      </c>
      <c r="AM105">
        <v>-4.2737524752475249</v>
      </c>
      <c r="AN105">
        <v>-4.2935544554455447</v>
      </c>
      <c r="AO105">
        <v>-4.3133564356435645</v>
      </c>
      <c r="AP105">
        <v>-4.3331584158415843</v>
      </c>
      <c r="AQ105">
        <v>-4.3529603960396042</v>
      </c>
      <c r="AR105">
        <v>-4.372762376237624</v>
      </c>
      <c r="AS105">
        <v>-4.3925643564356438</v>
      </c>
      <c r="AT105">
        <v>-4.4123663366336636</v>
      </c>
      <c r="AU105">
        <v>-4.4321683168316834</v>
      </c>
      <c r="AV105">
        <v>-4.4519702970297024</v>
      </c>
      <c r="AW105">
        <v>-4.4717722772277222</v>
      </c>
      <c r="AX105">
        <v>-4.491574257425742</v>
      </c>
      <c r="AY105">
        <v>-4.5114378109452735</v>
      </c>
      <c r="AZ105">
        <v>-4.5313383084577117</v>
      </c>
      <c r="BA105">
        <v>-4.5511831683168316</v>
      </c>
      <c r="BB105">
        <v>-4.570589108910891</v>
      </c>
      <c r="BC105">
        <v>-4.5899950495049504</v>
      </c>
      <c r="BD105">
        <v>-4.6094009900990098</v>
      </c>
      <c r="BE105">
        <v>-4.6288069306930693</v>
      </c>
      <c r="BF105">
        <v>-4.6482128712871287</v>
      </c>
      <c r="BG105">
        <v>-4.6676188118811881</v>
      </c>
      <c r="BH105">
        <v>-4.6870247524752475</v>
      </c>
      <c r="BI105">
        <v>-4.706217821782178</v>
      </c>
      <c r="BJ105">
        <v>-4.725227722772277</v>
      </c>
      <c r="BK105">
        <v>-4.744237623762376</v>
      </c>
      <c r="BL105">
        <v>-4.763247524752475</v>
      </c>
      <c r="BM105">
        <v>-4.7822574257425741</v>
      </c>
      <c r="BN105">
        <v>-4.8012673267326731</v>
      </c>
      <c r="BO105">
        <v>-4.8202772277227721</v>
      </c>
      <c r="BP105">
        <v>-4.8392871287128711</v>
      </c>
      <c r="BQ105">
        <v>-4.8579158415841581</v>
      </c>
      <c r="BR105">
        <v>-4.8765297029702968</v>
      </c>
      <c r="BS105">
        <v>-4.8949801734820317</v>
      </c>
      <c r="BT105">
        <v>-4.913220570012391</v>
      </c>
      <c r="BU105">
        <v>-4.9314609665427502</v>
      </c>
      <c r="BV105">
        <v>-4.9497013630731095</v>
      </c>
      <c r="BW105">
        <v>-4.9679417596034696</v>
      </c>
      <c r="BX105">
        <v>-4.9861821561338289</v>
      </c>
      <c r="BY105">
        <v>-5.0044225526641881</v>
      </c>
      <c r="BZ105">
        <v>-5.0226629491945474</v>
      </c>
      <c r="CA105">
        <v>-5.0409033457249066</v>
      </c>
      <c r="CB105">
        <v>-5.0591437422552659</v>
      </c>
      <c r="CC105">
        <v>-5.0772376237623762</v>
      </c>
      <c r="CD105">
        <v>-5.095059405940594</v>
      </c>
      <c r="CE105">
        <v>-5.1128811881188119</v>
      </c>
      <c r="CF105">
        <v>-5.1307029702970297</v>
      </c>
      <c r="CG105">
        <v>-5.1485247524752475</v>
      </c>
      <c r="CH105">
        <v>-5.1663465346534654</v>
      </c>
      <c r="CI105">
        <v>-5.1841683168316832</v>
      </c>
      <c r="CJ105">
        <v>-5.2019900990099011</v>
      </c>
    </row>
    <row r="106" spans="1:94" ht="21.75" thickBot="1" x14ac:dyDescent="0.4">
      <c r="A106" s="30" t="s">
        <v>54</v>
      </c>
      <c r="B106" s="60">
        <v>-22.398910891089109</v>
      </c>
      <c r="C106" s="60">
        <v>-21.910099009900989</v>
      </c>
      <c r="D106" s="60">
        <v>-21.450693069306929</v>
      </c>
      <c r="E106" s="60">
        <v>-20.995000000000001</v>
      </c>
      <c r="F106">
        <v>-20.594999999999999</v>
      </c>
      <c r="G106">
        <v>-20.195</v>
      </c>
      <c r="H106">
        <v>-19.958910891089111</v>
      </c>
      <c r="I106">
        <v>-19.863861386138613</v>
      </c>
      <c r="J106">
        <v>-19.771485148514852</v>
      </c>
      <c r="K106">
        <v>-19.890297029702971</v>
      </c>
      <c r="L106">
        <v>-20.00910891089109</v>
      </c>
      <c r="M106">
        <v>-20.127920792079209</v>
      </c>
      <c r="N106">
        <v>-20.246732673267328</v>
      </c>
      <c r="O106">
        <v>-20.365544554455447</v>
      </c>
      <c r="P106">
        <v>-20.484356435643562</v>
      </c>
      <c r="Q106">
        <v>-20.603168316831681</v>
      </c>
      <c r="R106">
        <v>-20.7219801980198</v>
      </c>
      <c r="S106">
        <v>-20.840792079207919</v>
      </c>
      <c r="T106">
        <v>-20.959603960396038</v>
      </c>
      <c r="U106">
        <v>-21.078415841584157</v>
      </c>
      <c r="V106">
        <v>-21.197227722772276</v>
      </c>
      <c r="W106">
        <v>-21.317574257425743</v>
      </c>
      <c r="X106">
        <v>-21.440346534653465</v>
      </c>
      <c r="Y106">
        <v>-21.563118811881186</v>
      </c>
      <c r="Z106">
        <v>-21.682985074626863</v>
      </c>
      <c r="AA106">
        <v>-21.802388059701492</v>
      </c>
      <c r="AB106">
        <v>-21.922970297029703</v>
      </c>
      <c r="AC106">
        <v>-22.045742574257424</v>
      </c>
      <c r="AD106">
        <v>-22.168514851485149</v>
      </c>
      <c r="AE106">
        <v>-22.288019801980198</v>
      </c>
      <c r="AF106">
        <v>-22.406831683168317</v>
      </c>
      <c r="AG106">
        <v>-22.525643564356432</v>
      </c>
      <c r="AH106">
        <v>-22.644455445544555</v>
      </c>
      <c r="AI106">
        <v>-22.763267326732674</v>
      </c>
      <c r="AJ106">
        <v>-22.879009900990098</v>
      </c>
      <c r="AK106">
        <v>-22.993861386138612</v>
      </c>
      <c r="AL106">
        <v>-23.108712871287128</v>
      </c>
      <c r="AM106">
        <v>-23.223564356435642</v>
      </c>
      <c r="AN106">
        <v>-23.338415841584158</v>
      </c>
      <c r="AO106">
        <v>-23.451831683168319</v>
      </c>
      <c r="AP106">
        <v>-23.564702970297031</v>
      </c>
      <c r="AQ106">
        <v>-23.677574257425743</v>
      </c>
      <c r="AR106">
        <v>-23.790445544554455</v>
      </c>
      <c r="AS106">
        <v>-23.903316831683171</v>
      </c>
      <c r="AT106">
        <v>-24.016188118811883</v>
      </c>
      <c r="AU106">
        <v>-24.129059405940595</v>
      </c>
      <c r="AV106">
        <v>-24.241930693069307</v>
      </c>
      <c r="AW106">
        <v>-24.354801980198022</v>
      </c>
      <c r="AX106">
        <v>-24.467673267326735</v>
      </c>
      <c r="AY106">
        <v>-24.579651741293532</v>
      </c>
      <c r="AZ106">
        <v>-24.691094527363184</v>
      </c>
      <c r="BA106">
        <v>-24.802029702970295</v>
      </c>
      <c r="BB106">
        <v>-24.908960396039603</v>
      </c>
      <c r="BC106">
        <v>-25.015891089108909</v>
      </c>
      <c r="BD106">
        <v>-25.122821782178217</v>
      </c>
      <c r="BE106">
        <v>-25.229752475247523</v>
      </c>
      <c r="BF106">
        <v>-25.336683168316831</v>
      </c>
      <c r="BG106">
        <v>-25.443613861386137</v>
      </c>
      <c r="BH106">
        <v>-25.550544554455445</v>
      </c>
      <c r="BI106">
        <v>-25.657475247524754</v>
      </c>
      <c r="BJ106">
        <v>-25.76440594059406</v>
      </c>
      <c r="BK106">
        <v>-25.871287128712872</v>
      </c>
      <c r="BL106">
        <v>-25.974257425742575</v>
      </c>
      <c r="BM106">
        <v>-26.077227722772278</v>
      </c>
      <c r="BN106">
        <v>-26.180198019801978</v>
      </c>
      <c r="BO106">
        <v>-26.283168316831684</v>
      </c>
      <c r="BP106">
        <v>-26.386138613861387</v>
      </c>
      <c r="BQ106">
        <v>-26.48910891089109</v>
      </c>
      <c r="BR106">
        <v>-26.59207920792079</v>
      </c>
      <c r="BS106">
        <v>-26.693370508054521</v>
      </c>
      <c r="BT106">
        <v>-26.79250309789343</v>
      </c>
      <c r="BU106">
        <v>-26.891635687732339</v>
      </c>
      <c r="BV106">
        <v>-26.990768277571249</v>
      </c>
      <c r="BW106">
        <v>-27.089900867410158</v>
      </c>
      <c r="BX106">
        <v>-27.189033457249067</v>
      </c>
      <c r="BY106">
        <v>-27.28816604708798</v>
      </c>
      <c r="BZ106">
        <v>-27.387298636926889</v>
      </c>
      <c r="CA106">
        <v>-27.486431226765799</v>
      </c>
      <c r="CB106">
        <v>-27.585563816604708</v>
      </c>
      <c r="CC106">
        <v>-27.683267326732672</v>
      </c>
      <c r="CD106">
        <v>-27.778316831683167</v>
      </c>
      <c r="CE106">
        <v>-27.873366336633666</v>
      </c>
      <c r="CF106">
        <v>-27.971683168316833</v>
      </c>
      <c r="CG106">
        <v>-28.07069306930693</v>
      </c>
      <c r="CH106">
        <v>-28.168514851485149</v>
      </c>
      <c r="CI106">
        <v>-28.263564356435644</v>
      </c>
      <c r="CJ106">
        <v>-28.358613861386139</v>
      </c>
    </row>
    <row r="107" spans="1:94" ht="21.75" thickBot="1" x14ac:dyDescent="0.4">
      <c r="A107" s="30" t="s">
        <v>253</v>
      </c>
      <c r="B107" s="60">
        <v>-60.44361386138614</v>
      </c>
      <c r="C107" s="60">
        <v>-59.186633663366337</v>
      </c>
      <c r="D107" s="60">
        <v>-58.006435643564352</v>
      </c>
      <c r="E107" s="60">
        <v>-56.836138613861387</v>
      </c>
      <c r="F107">
        <v>-55.814356435643568</v>
      </c>
      <c r="G107">
        <v>-54.792574257425748</v>
      </c>
      <c r="H107">
        <v>-53.97727722772278</v>
      </c>
      <c r="I107">
        <v>-53.339653465346537</v>
      </c>
      <c r="J107">
        <v>-52.706464108910893</v>
      </c>
      <c r="K107">
        <v>-52.423592821782179</v>
      </c>
      <c r="L107">
        <v>-52.140721534653466</v>
      </c>
      <c r="M107">
        <v>-51.857850247524752</v>
      </c>
      <c r="N107">
        <v>-51.574978960396038</v>
      </c>
      <c r="O107">
        <v>-51.292107673267324</v>
      </c>
      <c r="P107">
        <v>-51.00923638613861</v>
      </c>
      <c r="Q107">
        <v>-50.726365099009897</v>
      </c>
      <c r="R107">
        <v>-50.443493811881183</v>
      </c>
      <c r="S107">
        <v>-50.160622524752469</v>
      </c>
      <c r="T107">
        <v>-49.877751237623755</v>
      </c>
      <c r="U107">
        <v>-49.686039603960388</v>
      </c>
      <c r="V107">
        <v>-49.503069306930691</v>
      </c>
      <c r="W107">
        <v>-49.335138613861382</v>
      </c>
      <c r="X107">
        <v>-49.190980198019801</v>
      </c>
      <c r="Y107">
        <v>-49.046821782178213</v>
      </c>
      <c r="Z107">
        <v>-48.917835820895519</v>
      </c>
      <c r="AA107">
        <v>-48.791268656716412</v>
      </c>
      <c r="AB107">
        <v>-48.677396039603956</v>
      </c>
      <c r="AC107">
        <v>-48.587099009900989</v>
      </c>
      <c r="AD107">
        <v>-48.496801980198022</v>
      </c>
      <c r="AE107">
        <v>-48.693049504950494</v>
      </c>
      <c r="AF107">
        <v>-48.950079207920787</v>
      </c>
      <c r="AG107">
        <v>-49.207227722772274</v>
      </c>
      <c r="AH107">
        <v>-49.464653465346537</v>
      </c>
      <c r="AI107">
        <v>-49.722079207920792</v>
      </c>
      <c r="AJ107">
        <v>-49.973059405940596</v>
      </c>
      <c r="AK107">
        <v>-50.222168316831684</v>
      </c>
      <c r="AL107">
        <v>-50.471376237623758</v>
      </c>
      <c r="AM107">
        <v>-50.72088118811881</v>
      </c>
      <c r="AN107">
        <v>-50.970386138613861</v>
      </c>
      <c r="AO107">
        <v>-51.2170198019802</v>
      </c>
      <c r="AP107">
        <v>-51.462564356435642</v>
      </c>
      <c r="AQ107">
        <v>-51.708108910891092</v>
      </c>
      <c r="AR107">
        <v>-51.953653465346534</v>
      </c>
      <c r="AS107">
        <v>-52.199198019801983</v>
      </c>
      <c r="AT107">
        <v>-52.444742574257432</v>
      </c>
      <c r="AU107">
        <v>-52.690287128712875</v>
      </c>
      <c r="AV107">
        <v>-52.935831683168324</v>
      </c>
      <c r="AW107">
        <v>-53.181376237623766</v>
      </c>
      <c r="AX107">
        <v>-53.426920792079216</v>
      </c>
      <c r="AY107">
        <v>-53.670741293532345</v>
      </c>
      <c r="AZ107">
        <v>-53.91352736318408</v>
      </c>
      <c r="BA107">
        <v>-54.155242574257421</v>
      </c>
      <c r="BB107">
        <v>-54.388509900990094</v>
      </c>
      <c r="BC107">
        <v>-54.621777227722767</v>
      </c>
      <c r="BD107">
        <v>-54.855044554455439</v>
      </c>
      <c r="BE107">
        <v>-55.088311881188112</v>
      </c>
      <c r="BF107">
        <v>-55.321579207920784</v>
      </c>
      <c r="BG107">
        <v>-55.554846534653464</v>
      </c>
      <c r="BH107">
        <v>-55.788113861386137</v>
      </c>
      <c r="BI107">
        <v>-56.021168316831684</v>
      </c>
      <c r="BJ107">
        <v>-56.2540396039604</v>
      </c>
      <c r="BK107">
        <v>-56.486811881188125</v>
      </c>
      <c r="BL107">
        <v>-56.711762376237623</v>
      </c>
      <c r="BM107">
        <v>-56.936712871287128</v>
      </c>
      <c r="BN107">
        <v>-57.161663366336633</v>
      </c>
      <c r="BO107">
        <v>-57.386613861386138</v>
      </c>
      <c r="BP107">
        <v>-57.61156435643565</v>
      </c>
      <c r="BQ107">
        <v>-57.83613366336634</v>
      </c>
      <c r="BR107">
        <v>-58.060688118811882</v>
      </c>
      <c r="BS107">
        <v>-58.281721189591075</v>
      </c>
      <c r="BT107">
        <v>-58.498226765799252</v>
      </c>
      <c r="BU107">
        <v>-58.71473234200743</v>
      </c>
      <c r="BV107">
        <v>-58.931237918215608</v>
      </c>
      <c r="BW107">
        <v>-59.147743494423786</v>
      </c>
      <c r="BX107">
        <v>-59.364249070631963</v>
      </c>
      <c r="BY107">
        <v>-59.580754646840141</v>
      </c>
      <c r="BZ107">
        <v>-59.797260223048319</v>
      </c>
      <c r="CA107">
        <v>-60.013765799256497</v>
      </c>
      <c r="CB107">
        <v>-60.230271375464682</v>
      </c>
      <c r="CC107">
        <v>-60.443772277227716</v>
      </c>
      <c r="CD107">
        <v>-60.65169306930693</v>
      </c>
      <c r="CE107">
        <v>-60.859613861386137</v>
      </c>
      <c r="CF107">
        <v>-61.074069306930696</v>
      </c>
      <c r="CG107">
        <v>-61.289910891089107</v>
      </c>
      <c r="CH107">
        <v>-61.503376237623762</v>
      </c>
      <c r="CI107">
        <v>-61.711297029702969</v>
      </c>
      <c r="CJ107">
        <v>-61.919217821782183</v>
      </c>
    </row>
    <row r="108" spans="1:94" ht="21.75" thickBot="1" x14ac:dyDescent="0.4">
      <c r="A108" s="30" t="s">
        <v>251</v>
      </c>
      <c r="B108" s="60">
        <v>-192.53227722772277</v>
      </c>
      <c r="C108" s="60">
        <v>-187.99178217821782</v>
      </c>
      <c r="D108" s="60">
        <v>-183.72247524752476</v>
      </c>
      <c r="E108" s="60">
        <v>-179.4870792079208</v>
      </c>
      <c r="F108">
        <v>-175.76034653465345</v>
      </c>
      <c r="G108">
        <v>-172.03361386138613</v>
      </c>
      <c r="H108">
        <v>-168.54316831683167</v>
      </c>
      <c r="I108">
        <v>-165.25603960396037</v>
      </c>
      <c r="J108">
        <v>-161.97893564356434</v>
      </c>
      <c r="K108">
        <v>-159.49378712871285</v>
      </c>
      <c r="L108">
        <v>-157.00863861386136</v>
      </c>
      <c r="M108">
        <v>-154.52349009900988</v>
      </c>
      <c r="N108">
        <v>-152.03834158415839</v>
      </c>
      <c r="O108">
        <v>-149.55319306930693</v>
      </c>
      <c r="P108">
        <v>-147.06804455445544</v>
      </c>
      <c r="Q108">
        <v>-144.58289603960395</v>
      </c>
      <c r="R108">
        <v>-142.09774752475246</v>
      </c>
      <c r="S108">
        <v>-139.61259900990098</v>
      </c>
      <c r="T108">
        <v>-137.12745049504949</v>
      </c>
      <c r="U108">
        <v>-135.1608910891089</v>
      </c>
      <c r="V108">
        <v>-133.24405940594059</v>
      </c>
      <c r="W108">
        <v>-131.40242574257425</v>
      </c>
      <c r="X108">
        <v>-129.67965346534652</v>
      </c>
      <c r="Y108">
        <v>-127.95688118811881</v>
      </c>
      <c r="Z108">
        <v>-126.34686567164179</v>
      </c>
      <c r="AA108">
        <v>-124.75482587064677</v>
      </c>
      <c r="AB108">
        <v>-123.21683168316831</v>
      </c>
      <c r="AC108">
        <v>-121.77920792079208</v>
      </c>
      <c r="AD108">
        <v>-120.34158415841584</v>
      </c>
      <c r="AE108">
        <v>-118.99217821782177</v>
      </c>
      <c r="AF108">
        <v>-117.66148514851484</v>
      </c>
      <c r="AG108">
        <v>-116.36405940594059</v>
      </c>
      <c r="AH108">
        <v>-115.14425742574257</v>
      </c>
      <c r="AI108">
        <v>-113.92445544554455</v>
      </c>
      <c r="AJ108">
        <v>-112.76910891089109</v>
      </c>
      <c r="AK108">
        <v>-111.63247524752475</v>
      </c>
      <c r="AL108">
        <v>-110.51762376237623</v>
      </c>
      <c r="AM108">
        <v>-109.46811881188118</v>
      </c>
      <c r="AN108">
        <v>-108.41861386138613</v>
      </c>
      <c r="AO108">
        <v>-107.49400990099009</v>
      </c>
      <c r="AP108">
        <v>-106.61678217821782</v>
      </c>
      <c r="AQ108">
        <v>-105.73955445544554</v>
      </c>
      <c r="AR108">
        <v>-104.86232673267327</v>
      </c>
      <c r="AS108">
        <v>-103.98509900990099</v>
      </c>
      <c r="AT108">
        <v>-103.10787128712872</v>
      </c>
      <c r="AU108">
        <v>-102.23064356435643</v>
      </c>
      <c r="AV108">
        <v>-101.35341584158415</v>
      </c>
      <c r="AW108">
        <v>-100.47618811881188</v>
      </c>
      <c r="AX108">
        <v>-99.598960396039601</v>
      </c>
      <c r="AY108">
        <v>-98.812288557213932</v>
      </c>
      <c r="AZ108">
        <v>-98.079950248756219</v>
      </c>
      <c r="BA108">
        <v>-97.352029702970299</v>
      </c>
      <c r="BB108">
        <v>-96.658960396039603</v>
      </c>
      <c r="BC108">
        <v>-95.965891089108908</v>
      </c>
      <c r="BD108">
        <v>-95.318891089108902</v>
      </c>
      <c r="BE108">
        <v>-94.704237623762367</v>
      </c>
      <c r="BF108">
        <v>-94.12171287128713</v>
      </c>
      <c r="BG108">
        <v>-94.021118811881195</v>
      </c>
      <c r="BH108">
        <v>-93.920524752475259</v>
      </c>
      <c r="BI108">
        <v>-93.829297029702985</v>
      </c>
      <c r="BJ108">
        <v>-93.746128712871297</v>
      </c>
      <c r="BK108">
        <v>-93.663801980198016</v>
      </c>
      <c r="BL108">
        <v>-93.647960396039608</v>
      </c>
      <c r="BM108">
        <v>-93.632118811881185</v>
      </c>
      <c r="BN108">
        <v>-93.812435643564356</v>
      </c>
      <c r="BO108">
        <v>-94.198970297029703</v>
      </c>
      <c r="BP108">
        <v>-94.58550495049505</v>
      </c>
      <c r="BQ108">
        <v>-94.973564356435631</v>
      </c>
      <c r="BR108">
        <v>-95.361683168316816</v>
      </c>
      <c r="BS108">
        <v>-95.746629491945455</v>
      </c>
      <c r="BT108">
        <v>-96.127496902106557</v>
      </c>
      <c r="BU108">
        <v>-96.508364312267645</v>
      </c>
      <c r="BV108">
        <v>-96.889231722428732</v>
      </c>
      <c r="BW108">
        <v>-97.270099132589834</v>
      </c>
      <c r="BX108">
        <v>-97.650966542750922</v>
      </c>
      <c r="BY108">
        <v>-98.03183395291201</v>
      </c>
      <c r="BZ108">
        <v>-98.412701363073097</v>
      </c>
      <c r="CA108">
        <v>-98.793568773234199</v>
      </c>
      <c r="CB108">
        <v>-99.174436183395287</v>
      </c>
      <c r="CC108">
        <v>-99.553405940594061</v>
      </c>
      <c r="CD108">
        <v>-99.928851485148513</v>
      </c>
      <c r="CE108">
        <v>-100.30429702970298</v>
      </c>
      <c r="CF108">
        <v>-100.69281188118812</v>
      </c>
      <c r="CG108">
        <v>-101.084099009901</v>
      </c>
      <c r="CH108">
        <v>-101.47300990099011</v>
      </c>
      <c r="CI108">
        <v>-101.85637623762376</v>
      </c>
      <c r="CJ108">
        <v>-102.23974257425742</v>
      </c>
    </row>
    <row r="109" spans="1:94" ht="21.75" thickBot="1" x14ac:dyDescent="0.4">
      <c r="A109" s="30" t="s">
        <v>361</v>
      </c>
      <c r="B109" s="60">
        <v>-147.73445544554454</v>
      </c>
      <c r="C109" s="60">
        <v>-144.17158415841584</v>
      </c>
      <c r="D109" s="60">
        <v>-140.82108910891088</v>
      </c>
      <c r="E109" s="60">
        <v>-137.49707920792079</v>
      </c>
      <c r="F109">
        <v>-134.57034653465345</v>
      </c>
      <c r="G109">
        <v>-131.64361386138614</v>
      </c>
      <c r="H109">
        <v>-128.62534653465346</v>
      </c>
      <c r="I109">
        <v>-125.52831683168316</v>
      </c>
      <c r="J109">
        <v>-122.43596534653464</v>
      </c>
      <c r="K109">
        <v>-119.71319306930693</v>
      </c>
      <c r="L109">
        <v>-116.99042079207921</v>
      </c>
      <c r="M109">
        <v>-114.26764851485147</v>
      </c>
      <c r="N109">
        <v>-111.54487623762375</v>
      </c>
      <c r="O109">
        <v>-108.82210396039603</v>
      </c>
      <c r="P109">
        <v>-106.09933168316832</v>
      </c>
      <c r="Q109">
        <v>-103.37655940594058</v>
      </c>
      <c r="R109">
        <v>-100.65378712871286</v>
      </c>
      <c r="S109">
        <v>-97.931014851485145</v>
      </c>
      <c r="T109">
        <v>-95.208242574257412</v>
      </c>
      <c r="U109">
        <v>-93.004059405940595</v>
      </c>
      <c r="V109">
        <v>-90.849603960396038</v>
      </c>
      <c r="W109">
        <v>-88.767277227722772</v>
      </c>
      <c r="X109">
        <v>-86.798960396039604</v>
      </c>
      <c r="Y109">
        <v>-84.83064356435645</v>
      </c>
      <c r="Z109">
        <v>-82.980895522388067</v>
      </c>
      <c r="AA109">
        <v>-81.15004975124377</v>
      </c>
      <c r="AB109">
        <v>-79.370891089108909</v>
      </c>
      <c r="AC109">
        <v>-77.687722772277226</v>
      </c>
      <c r="AD109">
        <v>-76.004554455445543</v>
      </c>
      <c r="AE109">
        <v>-74.416138613861392</v>
      </c>
      <c r="AF109">
        <v>-72.847821782178215</v>
      </c>
      <c r="AG109">
        <v>-71.312772277227722</v>
      </c>
      <c r="AH109">
        <v>-69.855346534653464</v>
      </c>
      <c r="AI109">
        <v>-68.397920792079191</v>
      </c>
      <c r="AJ109">
        <v>-67.01108910891088</v>
      </c>
      <c r="AK109">
        <v>-65.644752475247529</v>
      </c>
      <c r="AL109">
        <v>-64.300198019801982</v>
      </c>
      <c r="AM109">
        <v>-63.020990099009907</v>
      </c>
      <c r="AN109">
        <v>-61.741782178217832</v>
      </c>
      <c r="AO109">
        <v>-60.59034653465347</v>
      </c>
      <c r="AP109">
        <v>-59.487376237623771</v>
      </c>
      <c r="AQ109">
        <v>-58.384405940594064</v>
      </c>
      <c r="AR109">
        <v>-57.281435643564357</v>
      </c>
      <c r="AS109">
        <v>-56.178465346534658</v>
      </c>
      <c r="AT109">
        <v>-55.075495049504951</v>
      </c>
      <c r="AU109">
        <v>-53.972524752475252</v>
      </c>
      <c r="AV109">
        <v>-52.869554455445545</v>
      </c>
      <c r="AW109">
        <v>-51.766584158415839</v>
      </c>
      <c r="AX109">
        <v>-50.663613861386139</v>
      </c>
      <c r="AY109">
        <v>-49.652985074626862</v>
      </c>
      <c r="AZ109">
        <v>-48.697761194029852</v>
      </c>
      <c r="BA109">
        <v>-47.747970297029703</v>
      </c>
      <c r="BB109">
        <v>-46.841039603960397</v>
      </c>
      <c r="BC109">
        <v>-45.934108910891084</v>
      </c>
      <c r="BD109">
        <v>-45.073247524752475</v>
      </c>
      <c r="BE109">
        <v>-44.244732673267329</v>
      </c>
      <c r="BF109">
        <v>-43.448346534653467</v>
      </c>
      <c r="BG109">
        <v>-43.133891089108914</v>
      </c>
      <c r="BH109">
        <v>-42.819435643564361</v>
      </c>
      <c r="BI109">
        <v>-42.51434653465347</v>
      </c>
      <c r="BJ109">
        <v>-42.217316831683171</v>
      </c>
      <c r="BK109">
        <v>-41.921227722772279</v>
      </c>
      <c r="BL109">
        <v>-41.699445544554457</v>
      </c>
      <c r="BM109">
        <v>-41.477663366336628</v>
      </c>
      <c r="BN109">
        <v>-41.452039603960394</v>
      </c>
      <c r="BO109">
        <v>-41.632633663366335</v>
      </c>
      <c r="BP109">
        <v>-41.813227722772275</v>
      </c>
      <c r="BQ109">
        <v>-41.995346534653464</v>
      </c>
      <c r="BR109">
        <v>-42.17752475247525</v>
      </c>
      <c r="BS109">
        <v>-42.359888475836435</v>
      </c>
      <c r="BT109">
        <v>-42.542490706319704</v>
      </c>
      <c r="BU109">
        <v>-42.725092936802973</v>
      </c>
      <c r="BV109">
        <v>-42.907695167286249</v>
      </c>
      <c r="BW109">
        <v>-43.090297397769518</v>
      </c>
      <c r="BX109">
        <v>-43.272899628252787</v>
      </c>
      <c r="BY109">
        <v>-43.455501858736056</v>
      </c>
      <c r="BZ109">
        <v>-43.638104089219333</v>
      </c>
      <c r="CA109">
        <v>-43.820706319702602</v>
      </c>
      <c r="CB109">
        <v>-44.003308550185871</v>
      </c>
      <c r="CC109">
        <v>-44.18687128712871</v>
      </c>
      <c r="CD109">
        <v>-44.372217821782179</v>
      </c>
      <c r="CE109">
        <v>-44.557564356435648</v>
      </c>
      <c r="CF109">
        <v>-44.749445544554462</v>
      </c>
      <c r="CG109">
        <v>-44.942712871287128</v>
      </c>
      <c r="CH109">
        <v>-45.135980198019801</v>
      </c>
      <c r="CI109">
        <v>-45.329247524752475</v>
      </c>
      <c r="CJ109">
        <v>-45.522514851485155</v>
      </c>
    </row>
    <row r="110" spans="1:94" ht="21.75" thickBot="1" x14ac:dyDescent="0.4">
      <c r="A110" s="30" t="s">
        <v>1</v>
      </c>
      <c r="B110" s="60">
        <v>-18.951633663366337</v>
      </c>
      <c r="C110" s="60">
        <v>-18.95</v>
      </c>
      <c r="D110" s="60">
        <v>-18.95</v>
      </c>
      <c r="E110" s="60">
        <v>-18.950247524752474</v>
      </c>
      <c r="F110">
        <v>-18.954207920792079</v>
      </c>
      <c r="G110">
        <v>-18.958168316831685</v>
      </c>
      <c r="H110">
        <v>-18.964257425742574</v>
      </c>
      <c r="I110">
        <v>-18.972178217821781</v>
      </c>
      <c r="J110">
        <v>-18.980148514851486</v>
      </c>
      <c r="K110">
        <v>-18.992029702970299</v>
      </c>
      <c r="L110">
        <v>-19.003910891089109</v>
      </c>
      <c r="M110">
        <v>-19.015792079207923</v>
      </c>
      <c r="N110">
        <v>-19.027673267326733</v>
      </c>
      <c r="O110">
        <v>-19.039554455445547</v>
      </c>
      <c r="P110">
        <v>-19.051435643564357</v>
      </c>
      <c r="Q110">
        <v>-19.063316831683171</v>
      </c>
      <c r="R110">
        <v>-19.075198019801981</v>
      </c>
      <c r="S110">
        <v>-19.087079207920794</v>
      </c>
      <c r="T110">
        <v>-19.098960396039605</v>
      </c>
      <c r="U110">
        <v>-19.114455445544557</v>
      </c>
      <c r="V110">
        <v>-19.13029702970297</v>
      </c>
      <c r="W110">
        <v>-19.146138613861385</v>
      </c>
      <c r="X110">
        <v>-19.161980198019801</v>
      </c>
      <c r="Y110">
        <v>-19.177821782178217</v>
      </c>
      <c r="Z110">
        <v>-19.193731343283581</v>
      </c>
      <c r="AA110">
        <v>-19.209651741293531</v>
      </c>
      <c r="AB110">
        <v>-19.225544554455446</v>
      </c>
      <c r="AC110">
        <v>-19.241386138613862</v>
      </c>
      <c r="AD110">
        <v>-19.257227722772278</v>
      </c>
      <c r="AE110">
        <v>-19.273069306930694</v>
      </c>
      <c r="AF110">
        <v>-19.28891089108911</v>
      </c>
      <c r="AG110">
        <v>-19.305940594059408</v>
      </c>
      <c r="AH110">
        <v>-19.325742574257426</v>
      </c>
      <c r="AI110">
        <v>-19.345544554455447</v>
      </c>
      <c r="AJ110">
        <v>-19.362277227722775</v>
      </c>
      <c r="AK110">
        <v>-19.37811881188119</v>
      </c>
      <c r="AL110">
        <v>-19.393960396039603</v>
      </c>
      <c r="AM110">
        <v>-19.409801980198019</v>
      </c>
      <c r="AN110">
        <v>-19.425643564356434</v>
      </c>
      <c r="AO110">
        <v>-19.442202970297028</v>
      </c>
      <c r="AP110">
        <v>-19.459034653465345</v>
      </c>
      <c r="AQ110">
        <v>-19.475866336633665</v>
      </c>
      <c r="AR110">
        <v>-19.492698019801981</v>
      </c>
      <c r="AS110">
        <v>-19.509529702970298</v>
      </c>
      <c r="AT110">
        <v>-19.526361386138614</v>
      </c>
      <c r="AU110">
        <v>-19.54319306930693</v>
      </c>
      <c r="AV110">
        <v>-19.560024752475247</v>
      </c>
      <c r="AW110">
        <v>-19.576856435643567</v>
      </c>
      <c r="AX110">
        <v>-19.593688118811883</v>
      </c>
      <c r="AY110">
        <v>-19.609950248756221</v>
      </c>
      <c r="AZ110">
        <v>-19.62587064676617</v>
      </c>
      <c r="BA110">
        <v>-19.641782178217824</v>
      </c>
      <c r="BB110">
        <v>-19.65762376237624</v>
      </c>
      <c r="BC110">
        <v>-19.673465346534652</v>
      </c>
      <c r="BD110">
        <v>-19.682326732673268</v>
      </c>
      <c r="BE110">
        <v>-19.686287128712873</v>
      </c>
      <c r="BF110">
        <v>-19.685297029702973</v>
      </c>
      <c r="BG110">
        <v>-19.610049504950496</v>
      </c>
      <c r="BH110">
        <v>-19.534801980198019</v>
      </c>
      <c r="BI110">
        <v>-19.497871287128714</v>
      </c>
      <c r="BJ110">
        <v>-19.493910891089108</v>
      </c>
      <c r="BK110">
        <v>-19.490099009900987</v>
      </c>
      <c r="BL110">
        <v>-19.498019801980199</v>
      </c>
      <c r="BM110">
        <v>-19.505940594059407</v>
      </c>
      <c r="BN110">
        <v>-19.517722772277228</v>
      </c>
      <c r="BO110">
        <v>-19.533564356435644</v>
      </c>
      <c r="BP110">
        <v>-19.54940594059406</v>
      </c>
      <c r="BQ110">
        <v>-19.565247524752476</v>
      </c>
      <c r="BR110">
        <v>-19.581089108910891</v>
      </c>
      <c r="BS110">
        <v>-19.596505576208177</v>
      </c>
      <c r="BT110">
        <v>-19.611375464684013</v>
      </c>
      <c r="BU110">
        <v>-19.626245353159852</v>
      </c>
      <c r="BV110">
        <v>-19.641115241635688</v>
      </c>
      <c r="BW110">
        <v>-19.655985130111524</v>
      </c>
      <c r="BX110">
        <v>-19.670855018587361</v>
      </c>
      <c r="BY110">
        <v>-19.685724907063197</v>
      </c>
      <c r="BZ110">
        <v>-19.700594795539033</v>
      </c>
      <c r="CA110">
        <v>-19.715464684014869</v>
      </c>
      <c r="CB110">
        <v>-19.730334572490705</v>
      </c>
      <c r="CC110">
        <v>-19.744158415841582</v>
      </c>
      <c r="CD110">
        <v>-19.756039603960396</v>
      </c>
      <c r="CE110">
        <v>-19.767920792079206</v>
      </c>
      <c r="CF110">
        <v>-19.783069306930692</v>
      </c>
      <c r="CG110">
        <v>-19.798910891089108</v>
      </c>
      <c r="CH110">
        <v>-19.814752475247523</v>
      </c>
      <c r="CI110">
        <v>-19.830594059405939</v>
      </c>
      <c r="CJ110">
        <v>-19.846435643564359</v>
      </c>
    </row>
    <row r="111" spans="1:94" ht="21.75" thickBot="1" x14ac:dyDescent="0.4">
      <c r="A111" s="30" t="s">
        <v>50</v>
      </c>
      <c r="B111" s="60">
        <v>-62.667772277227719</v>
      </c>
      <c r="C111" s="60">
        <v>-61.130742574257425</v>
      </c>
      <c r="D111" s="60">
        <v>-59.68519801980198</v>
      </c>
      <c r="E111" s="60">
        <v>-58.251039603960393</v>
      </c>
      <c r="F111">
        <v>-56.987673267326734</v>
      </c>
      <c r="G111">
        <v>-55.724306930693068</v>
      </c>
      <c r="H111">
        <v>-54.333217821782178</v>
      </c>
      <c r="I111">
        <v>-52.832227722772274</v>
      </c>
      <c r="J111">
        <v>-51.332240099009901</v>
      </c>
      <c r="K111">
        <v>-49.911448019801981</v>
      </c>
      <c r="L111">
        <v>-48.49065594059406</v>
      </c>
      <c r="M111">
        <v>-47.069863861386139</v>
      </c>
      <c r="N111">
        <v>-45.649071782178218</v>
      </c>
      <c r="O111">
        <v>-44.228279702970298</v>
      </c>
      <c r="P111">
        <v>-42.80748762376237</v>
      </c>
      <c r="Q111">
        <v>-41.386695544554456</v>
      </c>
      <c r="R111">
        <v>-39.965903465346528</v>
      </c>
      <c r="S111">
        <v>-38.545111386138615</v>
      </c>
      <c r="T111">
        <v>-37.124319306930687</v>
      </c>
      <c r="U111">
        <v>-35.962821782178217</v>
      </c>
      <c r="V111">
        <v>-34.826188118811878</v>
      </c>
      <c r="W111">
        <v>-33.724851485148513</v>
      </c>
      <c r="X111">
        <v>-32.679306930693073</v>
      </c>
      <c r="Y111">
        <v>-31.633762376237627</v>
      </c>
      <c r="Z111">
        <v>-30.648955223880598</v>
      </c>
      <c r="AA111">
        <v>-29.673830845771143</v>
      </c>
      <c r="AB111">
        <v>-28.723960396039601</v>
      </c>
      <c r="AC111">
        <v>-27.820990099009901</v>
      </c>
      <c r="AD111">
        <v>-26.918019801980197</v>
      </c>
      <c r="AE111">
        <v>-26.064059405940593</v>
      </c>
      <c r="AF111">
        <v>-25.220495049504951</v>
      </c>
      <c r="AG111">
        <v>-24.393564356435643</v>
      </c>
      <c r="AH111">
        <v>-23.605445544554453</v>
      </c>
      <c r="AI111">
        <v>-22.817326732673266</v>
      </c>
      <c r="AJ111">
        <v>-22.066039603960395</v>
      </c>
      <c r="AK111">
        <v>-21.325445544554455</v>
      </c>
      <c r="AL111">
        <v>-20.595742574257425</v>
      </c>
      <c r="AM111">
        <v>-19.898712871287131</v>
      </c>
      <c r="AN111">
        <v>-19.201683168316837</v>
      </c>
      <c r="AO111">
        <v>-18.569257425742578</v>
      </c>
      <c r="AP111">
        <v>-17.961336633663372</v>
      </c>
      <c r="AQ111">
        <v>-17.353415841584162</v>
      </c>
      <c r="AR111">
        <v>-16.745495049504953</v>
      </c>
      <c r="AS111">
        <v>-16.137574257425744</v>
      </c>
      <c r="AT111">
        <v>-15.529653465346536</v>
      </c>
      <c r="AU111">
        <v>-14.921732673267329</v>
      </c>
      <c r="AV111">
        <v>-14.313811881188119</v>
      </c>
      <c r="AW111">
        <v>-13.705891089108912</v>
      </c>
      <c r="AX111">
        <v>-13.097970297029704</v>
      </c>
      <c r="AY111">
        <v>-12.536666666666667</v>
      </c>
      <c r="AZ111">
        <v>-12.003333333333334</v>
      </c>
      <c r="BA111">
        <v>-11.472970297029704</v>
      </c>
      <c r="BB111">
        <v>-10.966039603960395</v>
      </c>
      <c r="BC111">
        <v>-10.459108910891088</v>
      </c>
      <c r="BD111">
        <v>-9.9752128712871269</v>
      </c>
      <c r="BE111">
        <v>-9.5074900990098996</v>
      </c>
      <c r="BF111">
        <v>-9.0558316831683179</v>
      </c>
      <c r="BG111">
        <v>-8.845138613861387</v>
      </c>
      <c r="BH111">
        <v>-8.6344455445544579</v>
      </c>
      <c r="BI111">
        <v>-8.4284356435643577</v>
      </c>
      <c r="BJ111">
        <v>-8.2264554455445538</v>
      </c>
      <c r="BK111">
        <v>-8.0249702970297019</v>
      </c>
      <c r="BL111">
        <v>-7.8625940594059402</v>
      </c>
      <c r="BM111">
        <v>-7.7002178217821786</v>
      </c>
      <c r="BN111">
        <v>-7.635920792079208</v>
      </c>
      <c r="BO111">
        <v>-7.6747326732673269</v>
      </c>
      <c r="BP111">
        <v>-7.7135445544554457</v>
      </c>
      <c r="BQ111">
        <v>-7.7531188118811887</v>
      </c>
      <c r="BR111">
        <v>-7.7927227722772283</v>
      </c>
      <c r="BS111">
        <v>-7.8332589838909543</v>
      </c>
      <c r="BT111">
        <v>-7.8749938042131351</v>
      </c>
      <c r="BU111">
        <v>-7.9167286245353168</v>
      </c>
      <c r="BV111">
        <v>-7.9584634448574976</v>
      </c>
      <c r="BW111">
        <v>-8.0001982651796784</v>
      </c>
      <c r="BX111">
        <v>-8.04193308550186</v>
      </c>
      <c r="BY111">
        <v>-8.0836679058240399</v>
      </c>
      <c r="BZ111">
        <v>-8.1254027261462216</v>
      </c>
      <c r="CA111">
        <v>-8.1671375464684015</v>
      </c>
      <c r="CB111">
        <v>-8.2088723667905832</v>
      </c>
      <c r="CC111">
        <v>-8.2518019801980209</v>
      </c>
      <c r="CD111">
        <v>-8.2969504950495043</v>
      </c>
      <c r="CE111">
        <v>-8.3420990099009895</v>
      </c>
      <c r="CF111">
        <v>-8.3888811881188108</v>
      </c>
      <c r="CG111">
        <v>-8.4360099009900988</v>
      </c>
      <c r="CH111">
        <v>-8.4837326732673262</v>
      </c>
      <c r="CI111">
        <v>-8.5328415841584153</v>
      </c>
      <c r="CJ111">
        <v>-8.5819504950495045</v>
      </c>
    </row>
    <row r="112" spans="1:94" ht="21.75" thickBot="1" x14ac:dyDescent="0.4">
      <c r="A112" s="30" t="s">
        <v>49</v>
      </c>
      <c r="B112" s="60">
        <v>-15.64579207920792</v>
      </c>
      <c r="C112" s="60">
        <v>-15.366435643564357</v>
      </c>
      <c r="D112" s="60">
        <v>-15.105049504950495</v>
      </c>
      <c r="E112" s="60">
        <v>-14.846138613861386</v>
      </c>
      <c r="F112">
        <v>-14.624356435643564</v>
      </c>
      <c r="G112">
        <v>-14.402574257425742</v>
      </c>
      <c r="H112">
        <v>-14.059455445544554</v>
      </c>
      <c r="I112">
        <v>-13.611930693069306</v>
      </c>
      <c r="J112">
        <v>-13.163493811881187</v>
      </c>
      <c r="K112">
        <v>-12.642998762376235</v>
      </c>
      <c r="L112">
        <v>-12.122503712871286</v>
      </c>
      <c r="M112">
        <v>-11.602008663366336</v>
      </c>
      <c r="N112">
        <v>-11.081513613861386</v>
      </c>
      <c r="O112">
        <v>-10.561018564356434</v>
      </c>
      <c r="P112">
        <v>-10.040523514851484</v>
      </c>
      <c r="Q112">
        <v>-9.5200284653465346</v>
      </c>
      <c r="R112">
        <v>-8.999533415841583</v>
      </c>
      <c r="S112">
        <v>-8.4790383663366331</v>
      </c>
      <c r="T112">
        <v>-7.9585433168316824</v>
      </c>
      <c r="U112">
        <v>-7.5292079207920786</v>
      </c>
      <c r="V112">
        <v>-7.1086138613861376</v>
      </c>
      <c r="W112">
        <v>-6.6999900990099004</v>
      </c>
      <c r="X112">
        <v>-6.3102871287128712</v>
      </c>
      <c r="Y112">
        <v>-5.9205841584158421</v>
      </c>
      <c r="Z112">
        <v>-5.5518656716417913</v>
      </c>
      <c r="AA112">
        <v>-5.1864925373134323</v>
      </c>
      <c r="AB112">
        <v>-4.8314554455445542</v>
      </c>
      <c r="AC112">
        <v>-4.4956138613861381</v>
      </c>
      <c r="AD112">
        <v>-4.1597722772277219</v>
      </c>
      <c r="AE112">
        <v>-4.1170099009900989</v>
      </c>
      <c r="AF112">
        <v>-4.1364158415841583</v>
      </c>
      <c r="AG112">
        <v>-4.1559405940594063</v>
      </c>
      <c r="AH112">
        <v>-4.1757425742574261</v>
      </c>
      <c r="AI112">
        <v>-4.1955445544554459</v>
      </c>
      <c r="AJ112">
        <v>-4.2150396039603963</v>
      </c>
      <c r="AK112">
        <v>-4.2344455445544549</v>
      </c>
      <c r="AL112">
        <v>-4.2539504950495051</v>
      </c>
      <c r="AM112">
        <v>-4.2737524752475249</v>
      </c>
      <c r="AN112">
        <v>-4.2935544554455447</v>
      </c>
      <c r="AO112">
        <v>-4.3133564356435645</v>
      </c>
      <c r="AP112">
        <v>-4.3331584158415843</v>
      </c>
      <c r="AQ112">
        <v>-4.3529603960396042</v>
      </c>
      <c r="AR112">
        <v>-4.372762376237624</v>
      </c>
      <c r="AS112">
        <v>-4.3925643564356438</v>
      </c>
      <c r="AT112">
        <v>-4.4123663366336636</v>
      </c>
      <c r="AU112">
        <v>-4.4321683168316834</v>
      </c>
      <c r="AV112">
        <v>-4.4519702970297024</v>
      </c>
      <c r="AW112">
        <v>-4.4717722772277222</v>
      </c>
      <c r="AX112">
        <v>-4.491574257425742</v>
      </c>
      <c r="AY112">
        <v>-4.5114378109452735</v>
      </c>
      <c r="AZ112">
        <v>-4.5313383084577117</v>
      </c>
      <c r="BA112">
        <v>-4.5511831683168316</v>
      </c>
      <c r="BB112">
        <v>-4.570589108910891</v>
      </c>
      <c r="BC112">
        <v>-4.5899950495049504</v>
      </c>
      <c r="BD112">
        <v>-4.6094009900990098</v>
      </c>
      <c r="BE112">
        <v>-4.6288069306930693</v>
      </c>
      <c r="BF112">
        <v>-4.6482128712871287</v>
      </c>
      <c r="BG112">
        <v>-4.6676188118811881</v>
      </c>
      <c r="BH112">
        <v>-4.6870247524752475</v>
      </c>
      <c r="BI112">
        <v>-4.706217821782178</v>
      </c>
      <c r="BJ112">
        <v>-4.725227722772277</v>
      </c>
      <c r="BK112">
        <v>-4.744237623762376</v>
      </c>
      <c r="BL112">
        <v>-4.763247524752475</v>
      </c>
      <c r="BM112">
        <v>-4.7822574257425741</v>
      </c>
      <c r="BN112">
        <v>-4.8012673267326731</v>
      </c>
      <c r="BO112">
        <v>-4.8202772277227721</v>
      </c>
      <c r="BP112">
        <v>-4.8392871287128711</v>
      </c>
      <c r="BQ112">
        <v>-4.8579158415841581</v>
      </c>
      <c r="BR112">
        <v>-4.8765297029702968</v>
      </c>
      <c r="BS112">
        <v>-4.8949801734820317</v>
      </c>
      <c r="BT112">
        <v>-4.913220570012391</v>
      </c>
      <c r="BU112">
        <v>-4.9314609665427502</v>
      </c>
      <c r="BV112">
        <v>-4.9497013630731095</v>
      </c>
      <c r="BW112">
        <v>-4.9679417596034696</v>
      </c>
      <c r="BX112">
        <v>-4.9861821561338289</v>
      </c>
      <c r="BY112">
        <v>-5.0044225526641881</v>
      </c>
      <c r="BZ112">
        <v>-5.0226629491945474</v>
      </c>
      <c r="CA112">
        <v>-5.0409033457249066</v>
      </c>
      <c r="CB112">
        <v>-5.0591437422552659</v>
      </c>
      <c r="CC112">
        <v>-5.0772376237623762</v>
      </c>
      <c r="CD112">
        <v>-5.095059405940594</v>
      </c>
      <c r="CE112">
        <v>-5.1128811881188119</v>
      </c>
      <c r="CF112">
        <v>-5.1307029702970297</v>
      </c>
      <c r="CG112">
        <v>-5.1485247524752475</v>
      </c>
      <c r="CH112">
        <v>-5.1663465346534654</v>
      </c>
      <c r="CI112">
        <v>-5.1841683168316832</v>
      </c>
      <c r="CJ112">
        <v>-5.2019900990099011</v>
      </c>
    </row>
    <row r="113" spans="1:88" ht="21.75" hidden="1" thickBot="1" x14ac:dyDescent="0.4">
      <c r="A113" s="30" t="s">
        <v>35</v>
      </c>
      <c r="B113" s="60">
        <v>-18.951633663366337</v>
      </c>
      <c r="C113" s="60">
        <v>-18.95</v>
      </c>
      <c r="D113" s="60">
        <v>-18.95</v>
      </c>
      <c r="E113" s="60">
        <v>-18.950247524752474</v>
      </c>
      <c r="F113">
        <v>-18.954207920792079</v>
      </c>
      <c r="G113">
        <v>-18.958168316831685</v>
      </c>
      <c r="H113">
        <v>-18.964257425742574</v>
      </c>
      <c r="I113">
        <v>-18.972178217821781</v>
      </c>
      <c r="J113">
        <v>-18.980148514851486</v>
      </c>
      <c r="K113">
        <v>-18.992029702970299</v>
      </c>
      <c r="L113">
        <v>-19.003910891089109</v>
      </c>
      <c r="M113">
        <v>-19.015792079207923</v>
      </c>
      <c r="N113">
        <v>-19.027673267326733</v>
      </c>
      <c r="O113">
        <v>-19.039554455445547</v>
      </c>
      <c r="P113">
        <v>-19.051435643564357</v>
      </c>
      <c r="Q113">
        <v>-19.063316831683171</v>
      </c>
      <c r="R113">
        <v>-19.075198019801981</v>
      </c>
      <c r="S113">
        <v>-19.087079207920794</v>
      </c>
      <c r="T113">
        <v>-19.098960396039605</v>
      </c>
      <c r="U113">
        <v>-19.114455445544557</v>
      </c>
      <c r="V113">
        <v>-19.13029702970297</v>
      </c>
      <c r="W113">
        <v>-19.146138613861385</v>
      </c>
      <c r="X113">
        <v>-19.161980198019801</v>
      </c>
      <c r="Y113">
        <v>-19.177821782178217</v>
      </c>
      <c r="Z113">
        <v>-19.193731343283581</v>
      </c>
      <c r="AA113">
        <v>-19.209651741293531</v>
      </c>
      <c r="AB113">
        <v>-19.225544554455446</v>
      </c>
      <c r="AC113">
        <v>-19.241386138613862</v>
      </c>
      <c r="AD113">
        <v>-19.257227722772278</v>
      </c>
      <c r="AE113">
        <v>-19.273069306930694</v>
      </c>
      <c r="AF113">
        <v>-19.28891089108911</v>
      </c>
      <c r="AG113">
        <v>-19.305940594059408</v>
      </c>
      <c r="AH113">
        <v>-19.325742574257426</v>
      </c>
      <c r="AI113">
        <v>-19.345544554455447</v>
      </c>
      <c r="AJ113">
        <v>-19.362277227722775</v>
      </c>
      <c r="AK113">
        <v>-19.37811881188119</v>
      </c>
      <c r="AL113">
        <v>-19.393960396039603</v>
      </c>
      <c r="AM113">
        <v>-19.409801980198019</v>
      </c>
      <c r="AN113">
        <v>-19.425643564356434</v>
      </c>
      <c r="AO113">
        <v>-19.442202970297028</v>
      </c>
      <c r="AP113">
        <v>-19.459034653465345</v>
      </c>
      <c r="AQ113">
        <v>-19.475866336633665</v>
      </c>
      <c r="AR113">
        <v>-19.492698019801981</v>
      </c>
      <c r="AS113">
        <v>-19.509529702970298</v>
      </c>
      <c r="AT113">
        <v>-19.526361386138614</v>
      </c>
      <c r="AU113">
        <v>-19.54319306930693</v>
      </c>
      <c r="AV113">
        <v>-19.560024752475247</v>
      </c>
      <c r="AW113">
        <v>-19.576856435643567</v>
      </c>
      <c r="AX113">
        <v>-19.593688118811883</v>
      </c>
      <c r="AY113">
        <v>-19.609950248756221</v>
      </c>
      <c r="AZ113">
        <v>-19.62587064676617</v>
      </c>
      <c r="BA113">
        <v>-19.641782178217824</v>
      </c>
      <c r="BB113">
        <v>-19.65762376237624</v>
      </c>
      <c r="BC113">
        <v>-19.673465346534652</v>
      </c>
      <c r="BD113">
        <v>-19.682326732673268</v>
      </c>
      <c r="BE113">
        <v>-19.686287128712873</v>
      </c>
      <c r="BF113">
        <v>-19.685297029702973</v>
      </c>
      <c r="BG113">
        <v>-19.610049504950496</v>
      </c>
      <c r="BH113">
        <v>-19.534801980198019</v>
      </c>
      <c r="BI113">
        <v>-19.497871287128714</v>
      </c>
      <c r="BJ113">
        <v>-19.493910891089108</v>
      </c>
      <c r="BK113">
        <v>-19.490099009900987</v>
      </c>
      <c r="BL113">
        <v>-19.498019801980199</v>
      </c>
      <c r="BM113">
        <v>-19.505940594059407</v>
      </c>
      <c r="BN113">
        <v>-19.517722772277228</v>
      </c>
      <c r="BO113">
        <v>-19.533564356435644</v>
      </c>
      <c r="BP113">
        <v>-19.54940594059406</v>
      </c>
      <c r="BQ113">
        <v>-19.565247524752476</v>
      </c>
      <c r="BR113">
        <v>-19.581089108910891</v>
      </c>
      <c r="BS113">
        <v>-19.596505576208177</v>
      </c>
      <c r="BT113">
        <v>-19.611375464684013</v>
      </c>
      <c r="BU113">
        <v>-19.626245353159852</v>
      </c>
      <c r="BV113">
        <v>-19.641115241635688</v>
      </c>
      <c r="BW113">
        <v>-19.655985130111524</v>
      </c>
      <c r="BX113">
        <v>-19.670855018587361</v>
      </c>
      <c r="BY113">
        <v>-19.685724907063197</v>
      </c>
      <c r="BZ113">
        <v>-19.700594795539033</v>
      </c>
      <c r="CA113">
        <v>-19.715464684014869</v>
      </c>
      <c r="CB113">
        <v>-19.730334572490705</v>
      </c>
      <c r="CC113">
        <v>-19.744158415841582</v>
      </c>
      <c r="CD113">
        <v>-19.756039603960396</v>
      </c>
      <c r="CE113">
        <v>-19.767920792079206</v>
      </c>
      <c r="CF113">
        <v>-19.783069306930692</v>
      </c>
      <c r="CG113">
        <v>-19.798910891089108</v>
      </c>
      <c r="CH113">
        <v>-19.814752475247523</v>
      </c>
      <c r="CI113">
        <v>-19.830594059405939</v>
      </c>
      <c r="CJ113">
        <v>-19.846435643564359</v>
      </c>
    </row>
    <row r="114" spans="1:88" ht="21.75" hidden="1" thickBot="1" x14ac:dyDescent="0.4">
      <c r="A114" s="30" t="s">
        <v>5</v>
      </c>
      <c r="B114" s="60">
        <v>-62.667772277227719</v>
      </c>
      <c r="C114" s="60">
        <v>-61.130742574257425</v>
      </c>
      <c r="D114" s="60">
        <v>-59.68519801980198</v>
      </c>
      <c r="E114" s="60">
        <v>-58.251039603960393</v>
      </c>
      <c r="F114">
        <v>-56.987673267326734</v>
      </c>
      <c r="G114">
        <v>-55.724306930693068</v>
      </c>
      <c r="H114">
        <v>-54.333217821782178</v>
      </c>
      <c r="I114">
        <v>-52.832227722772274</v>
      </c>
      <c r="J114">
        <v>-51.332240099009901</v>
      </c>
      <c r="K114">
        <v>-49.911448019801981</v>
      </c>
      <c r="L114">
        <v>-48.49065594059406</v>
      </c>
      <c r="M114">
        <v>-47.069863861386139</v>
      </c>
      <c r="N114">
        <v>-45.649071782178218</v>
      </c>
      <c r="O114">
        <v>-44.228279702970298</v>
      </c>
      <c r="P114">
        <v>-42.80748762376237</v>
      </c>
      <c r="Q114">
        <v>-41.386695544554456</v>
      </c>
      <c r="R114">
        <v>-39.965903465346528</v>
      </c>
      <c r="S114">
        <v>-38.545111386138615</v>
      </c>
      <c r="T114">
        <v>-37.124319306930687</v>
      </c>
      <c r="U114">
        <v>-35.962821782178217</v>
      </c>
      <c r="V114">
        <v>-34.826188118811878</v>
      </c>
      <c r="W114">
        <v>-33.724851485148513</v>
      </c>
      <c r="X114">
        <v>-32.679306930693073</v>
      </c>
      <c r="Y114">
        <v>-31.633762376237627</v>
      </c>
      <c r="Z114">
        <v>-30.648955223880598</v>
      </c>
      <c r="AA114">
        <v>-29.673830845771143</v>
      </c>
      <c r="AB114">
        <v>-28.723960396039601</v>
      </c>
      <c r="AC114">
        <v>-27.820990099009901</v>
      </c>
      <c r="AD114">
        <v>-26.918019801980197</v>
      </c>
      <c r="AE114">
        <v>-26.064059405940593</v>
      </c>
      <c r="AF114">
        <v>-25.220495049504951</v>
      </c>
      <c r="AG114">
        <v>-24.393564356435643</v>
      </c>
      <c r="AH114">
        <v>-23.605445544554453</v>
      </c>
      <c r="AI114">
        <v>-22.817326732673266</v>
      </c>
      <c r="AJ114">
        <v>-22.066039603960395</v>
      </c>
      <c r="AK114">
        <v>-21.325445544554455</v>
      </c>
      <c r="AL114">
        <v>-20.595742574257425</v>
      </c>
      <c r="AM114">
        <v>-19.898712871287131</v>
      </c>
      <c r="AN114">
        <v>-19.201683168316837</v>
      </c>
      <c r="AO114">
        <v>-18.569257425742578</v>
      </c>
      <c r="AP114">
        <v>-17.961336633663372</v>
      </c>
      <c r="AQ114">
        <v>-17.353415841584162</v>
      </c>
      <c r="AR114">
        <v>-16.745495049504953</v>
      </c>
      <c r="AS114">
        <v>-16.137574257425744</v>
      </c>
      <c r="AT114">
        <v>-15.529653465346536</v>
      </c>
      <c r="AU114">
        <v>-14.921732673267329</v>
      </c>
      <c r="AV114">
        <v>-14.313811881188119</v>
      </c>
      <c r="AW114">
        <v>-13.705891089108912</v>
      </c>
      <c r="AX114">
        <v>-13.097970297029704</v>
      </c>
      <c r="AY114">
        <v>-12.536666666666667</v>
      </c>
      <c r="AZ114">
        <v>-12.003333333333334</v>
      </c>
      <c r="BA114">
        <v>-11.472970297029704</v>
      </c>
      <c r="BB114">
        <v>-10.966039603960395</v>
      </c>
      <c r="BC114">
        <v>-10.459108910891088</v>
      </c>
      <c r="BD114">
        <v>-9.9752128712871269</v>
      </c>
      <c r="BE114">
        <v>-9.5074900990098996</v>
      </c>
      <c r="BF114">
        <v>-9.0558316831683179</v>
      </c>
      <c r="BG114">
        <v>-8.845138613861387</v>
      </c>
      <c r="BH114">
        <v>-8.6344455445544579</v>
      </c>
      <c r="BI114">
        <v>-8.4284356435643577</v>
      </c>
      <c r="BJ114">
        <v>-8.2264554455445538</v>
      </c>
      <c r="BK114">
        <v>-8.0249702970297019</v>
      </c>
      <c r="BL114">
        <v>-7.8625940594059402</v>
      </c>
      <c r="BM114">
        <v>-7.7002178217821786</v>
      </c>
      <c r="BN114">
        <v>-7.635920792079208</v>
      </c>
      <c r="BO114">
        <v>-7.6747326732673269</v>
      </c>
      <c r="BP114">
        <v>-7.7135445544554457</v>
      </c>
      <c r="BQ114">
        <v>-7.7531188118811887</v>
      </c>
      <c r="BR114">
        <v>-7.7927227722772283</v>
      </c>
      <c r="BS114">
        <v>-7.8332589838909543</v>
      </c>
      <c r="BT114">
        <v>-7.8749938042131351</v>
      </c>
      <c r="BU114">
        <v>-7.9167286245353168</v>
      </c>
      <c r="BV114">
        <v>-7.9584634448574976</v>
      </c>
      <c r="BW114">
        <v>-8.0001982651796784</v>
      </c>
      <c r="BX114">
        <v>-8.04193308550186</v>
      </c>
      <c r="BY114">
        <v>-8.0836679058240399</v>
      </c>
      <c r="BZ114">
        <v>-8.1254027261462216</v>
      </c>
      <c r="CA114">
        <v>-8.1671375464684015</v>
      </c>
      <c r="CB114">
        <v>-8.2088723667905832</v>
      </c>
      <c r="CC114">
        <v>-8.2518019801980209</v>
      </c>
      <c r="CD114">
        <v>-8.2969504950495043</v>
      </c>
      <c r="CE114">
        <v>-8.3420990099009895</v>
      </c>
      <c r="CF114">
        <v>-8.3888811881188108</v>
      </c>
      <c r="CG114">
        <v>-8.4360099009900988</v>
      </c>
      <c r="CH114">
        <v>-8.4837326732673262</v>
      </c>
      <c r="CI114">
        <v>-8.5328415841584153</v>
      </c>
      <c r="CJ114">
        <v>-8.5819504950495045</v>
      </c>
    </row>
    <row r="115" spans="1:88" ht="21.75" hidden="1" thickBot="1" x14ac:dyDescent="0.4">
      <c r="A115" s="30" t="s">
        <v>6</v>
      </c>
      <c r="B115" s="60">
        <v>-15.64579207920792</v>
      </c>
      <c r="C115" s="60">
        <v>-15.366435643564357</v>
      </c>
      <c r="D115" s="60">
        <v>-15.105049504950495</v>
      </c>
      <c r="E115" s="60">
        <v>-14.846138613861386</v>
      </c>
      <c r="F115">
        <v>-14.624356435643564</v>
      </c>
      <c r="G115">
        <v>-14.402574257425742</v>
      </c>
      <c r="H115">
        <v>-14.059455445544554</v>
      </c>
      <c r="I115">
        <v>-13.611930693069306</v>
      </c>
      <c r="J115">
        <v>-13.163493811881187</v>
      </c>
      <c r="K115">
        <v>-12.642998762376235</v>
      </c>
      <c r="L115">
        <v>-12.122503712871286</v>
      </c>
      <c r="M115">
        <v>-11.602008663366336</v>
      </c>
      <c r="N115">
        <v>-11.081513613861386</v>
      </c>
      <c r="O115">
        <v>-10.561018564356434</v>
      </c>
      <c r="P115">
        <v>-10.040523514851484</v>
      </c>
      <c r="Q115">
        <v>-9.5200284653465346</v>
      </c>
      <c r="R115">
        <v>-8.999533415841583</v>
      </c>
      <c r="S115">
        <v>-8.4790383663366331</v>
      </c>
      <c r="T115">
        <v>-7.9585433168316824</v>
      </c>
      <c r="U115">
        <v>-7.5292079207920786</v>
      </c>
      <c r="V115">
        <v>-7.1086138613861376</v>
      </c>
      <c r="W115">
        <v>-6.6999900990099004</v>
      </c>
      <c r="X115">
        <v>-6.3102871287128712</v>
      </c>
      <c r="Y115">
        <v>-5.9205841584158421</v>
      </c>
      <c r="Z115">
        <v>-5.5518656716417913</v>
      </c>
      <c r="AA115">
        <v>-5.1864925373134323</v>
      </c>
      <c r="AB115">
        <v>-4.8314554455445542</v>
      </c>
      <c r="AC115">
        <v>-4.4956138613861381</v>
      </c>
      <c r="AD115">
        <v>-4.1597722772277219</v>
      </c>
      <c r="AE115">
        <v>-4.1170099009900989</v>
      </c>
      <c r="AF115">
        <v>-4.1364158415841583</v>
      </c>
      <c r="AG115">
        <v>-4.1559405940594063</v>
      </c>
      <c r="AH115">
        <v>-4.1757425742574261</v>
      </c>
      <c r="AI115">
        <v>-4.1955445544554459</v>
      </c>
      <c r="AJ115">
        <v>-4.2150396039603963</v>
      </c>
      <c r="AK115">
        <v>-4.2344455445544549</v>
      </c>
      <c r="AL115">
        <v>-4.2539504950495051</v>
      </c>
      <c r="AM115">
        <v>-4.2737524752475249</v>
      </c>
      <c r="AN115">
        <v>-4.2935544554455447</v>
      </c>
      <c r="AO115">
        <v>-4.3133564356435645</v>
      </c>
      <c r="AP115">
        <v>-4.3331584158415843</v>
      </c>
      <c r="AQ115">
        <v>-4.3529603960396042</v>
      </c>
      <c r="AR115">
        <v>-4.372762376237624</v>
      </c>
      <c r="AS115">
        <v>-4.3925643564356438</v>
      </c>
      <c r="AT115">
        <v>-4.4123663366336636</v>
      </c>
      <c r="AU115">
        <v>-4.4321683168316834</v>
      </c>
      <c r="AV115">
        <v>-4.4519702970297024</v>
      </c>
      <c r="AW115">
        <v>-4.4717722772277222</v>
      </c>
      <c r="AX115">
        <v>-4.491574257425742</v>
      </c>
      <c r="AY115">
        <v>-4.5114378109452735</v>
      </c>
      <c r="AZ115">
        <v>-4.5313383084577117</v>
      </c>
      <c r="BA115">
        <v>-4.5511831683168316</v>
      </c>
      <c r="BB115">
        <v>-4.570589108910891</v>
      </c>
      <c r="BC115">
        <v>-4.5899950495049504</v>
      </c>
      <c r="BD115">
        <v>-4.6094009900990098</v>
      </c>
      <c r="BE115">
        <v>-4.6288069306930693</v>
      </c>
      <c r="BF115">
        <v>-4.6482128712871287</v>
      </c>
      <c r="BG115">
        <v>-4.6676188118811881</v>
      </c>
      <c r="BH115">
        <v>-4.6870247524752475</v>
      </c>
      <c r="BI115">
        <v>-4.706217821782178</v>
      </c>
      <c r="BJ115">
        <v>-4.725227722772277</v>
      </c>
      <c r="BK115">
        <v>-4.744237623762376</v>
      </c>
      <c r="BL115">
        <v>-4.763247524752475</v>
      </c>
      <c r="BM115">
        <v>-4.7822574257425741</v>
      </c>
      <c r="BN115">
        <v>-4.8012673267326731</v>
      </c>
      <c r="BO115">
        <v>-4.8202772277227721</v>
      </c>
      <c r="BP115">
        <v>-4.8392871287128711</v>
      </c>
      <c r="BQ115">
        <v>-4.8579158415841581</v>
      </c>
      <c r="BR115">
        <v>-4.8765297029702968</v>
      </c>
      <c r="BS115">
        <v>-4.8949801734820317</v>
      </c>
      <c r="BT115">
        <v>-4.913220570012391</v>
      </c>
      <c r="BU115">
        <v>-4.9314609665427502</v>
      </c>
      <c r="BV115">
        <v>-4.9497013630731095</v>
      </c>
      <c r="BW115">
        <v>-4.9679417596034696</v>
      </c>
      <c r="BX115">
        <v>-4.9861821561338289</v>
      </c>
      <c r="BY115">
        <v>-5.0044225526641881</v>
      </c>
      <c r="BZ115">
        <v>-5.0226629491945474</v>
      </c>
      <c r="CA115">
        <v>-5.0409033457249066</v>
      </c>
      <c r="CB115">
        <v>-5.0591437422552659</v>
      </c>
      <c r="CC115">
        <v>-5.0772376237623762</v>
      </c>
      <c r="CD115">
        <v>-5.095059405940594</v>
      </c>
      <c r="CE115">
        <v>-5.1128811881188119</v>
      </c>
      <c r="CF115">
        <v>-5.1307029702970297</v>
      </c>
      <c r="CG115">
        <v>-5.1485247524752475</v>
      </c>
      <c r="CH115">
        <v>-5.1663465346534654</v>
      </c>
      <c r="CI115">
        <v>-5.1841683168316832</v>
      </c>
      <c r="CJ115">
        <v>-5.2019900990099011</v>
      </c>
    </row>
    <row r="116" spans="1:88" ht="21.75" hidden="1" thickBot="1" x14ac:dyDescent="0.4">
      <c r="A116" s="30" t="s">
        <v>7</v>
      </c>
      <c r="B116" s="60">
        <v>-22.398910891089109</v>
      </c>
      <c r="C116" s="60">
        <v>-21.910099009900989</v>
      </c>
      <c r="D116" s="60">
        <v>-21.450693069306929</v>
      </c>
      <c r="E116" s="60">
        <v>-20.995000000000001</v>
      </c>
      <c r="F116">
        <v>-20.594999999999999</v>
      </c>
      <c r="G116">
        <v>-20.195</v>
      </c>
      <c r="H116">
        <v>-19.958910891089111</v>
      </c>
      <c r="I116">
        <v>-19.863861386138613</v>
      </c>
      <c r="J116">
        <v>-19.771485148514852</v>
      </c>
      <c r="K116">
        <v>-19.890297029702971</v>
      </c>
      <c r="L116">
        <v>-20.00910891089109</v>
      </c>
      <c r="M116">
        <v>-20.127920792079209</v>
      </c>
      <c r="N116">
        <v>-20.246732673267328</v>
      </c>
      <c r="O116">
        <v>-20.365544554455447</v>
      </c>
      <c r="P116">
        <v>-20.484356435643562</v>
      </c>
      <c r="Q116">
        <v>-20.603168316831681</v>
      </c>
      <c r="R116">
        <v>-20.7219801980198</v>
      </c>
      <c r="S116">
        <v>-20.840792079207919</v>
      </c>
      <c r="T116">
        <v>-20.959603960396038</v>
      </c>
      <c r="U116">
        <v>-21.078415841584157</v>
      </c>
      <c r="V116">
        <v>-21.197227722772276</v>
      </c>
      <c r="W116">
        <v>-21.317574257425743</v>
      </c>
      <c r="X116">
        <v>-21.440346534653465</v>
      </c>
      <c r="Y116">
        <v>-21.563118811881186</v>
      </c>
      <c r="Z116">
        <v>-21.682985074626863</v>
      </c>
      <c r="AA116">
        <v>-21.802388059701492</v>
      </c>
      <c r="AB116">
        <v>-21.922970297029703</v>
      </c>
      <c r="AC116">
        <v>-22.045742574257424</v>
      </c>
      <c r="AD116">
        <v>-22.168514851485149</v>
      </c>
      <c r="AE116">
        <v>-22.288019801980198</v>
      </c>
      <c r="AF116">
        <v>-22.406831683168317</v>
      </c>
      <c r="AG116">
        <v>-22.525643564356432</v>
      </c>
      <c r="AH116">
        <v>-22.644455445544555</v>
      </c>
      <c r="AI116">
        <v>-22.763267326732674</v>
      </c>
      <c r="AJ116">
        <v>-22.879009900990098</v>
      </c>
      <c r="AK116">
        <v>-22.993861386138612</v>
      </c>
      <c r="AL116">
        <v>-23.108712871287128</v>
      </c>
      <c r="AM116">
        <v>-23.223564356435642</v>
      </c>
      <c r="AN116">
        <v>-23.338415841584158</v>
      </c>
      <c r="AO116">
        <v>-23.451831683168319</v>
      </c>
      <c r="AP116">
        <v>-23.564702970297031</v>
      </c>
      <c r="AQ116">
        <v>-23.677574257425743</v>
      </c>
      <c r="AR116">
        <v>-23.790445544554455</v>
      </c>
      <c r="AS116">
        <v>-23.903316831683171</v>
      </c>
      <c r="AT116">
        <v>-24.016188118811883</v>
      </c>
      <c r="AU116">
        <v>-24.129059405940595</v>
      </c>
      <c r="AV116">
        <v>-24.241930693069307</v>
      </c>
      <c r="AW116">
        <v>-24.354801980198022</v>
      </c>
      <c r="AX116">
        <v>-24.467673267326735</v>
      </c>
      <c r="AY116">
        <v>-24.579651741293532</v>
      </c>
      <c r="AZ116">
        <v>-24.691094527363184</v>
      </c>
      <c r="BA116">
        <v>-24.802029702970295</v>
      </c>
      <c r="BB116">
        <v>-24.908960396039603</v>
      </c>
      <c r="BC116">
        <v>-25.015891089108909</v>
      </c>
      <c r="BD116">
        <v>-25.122821782178217</v>
      </c>
      <c r="BE116">
        <v>-25.229752475247523</v>
      </c>
      <c r="BF116">
        <v>-25.336683168316831</v>
      </c>
      <c r="BG116">
        <v>-25.443613861386137</v>
      </c>
      <c r="BH116">
        <v>-25.550544554455445</v>
      </c>
      <c r="BI116">
        <v>-25.657475247524754</v>
      </c>
      <c r="BJ116">
        <v>-25.76440594059406</v>
      </c>
      <c r="BK116">
        <v>-25.871287128712872</v>
      </c>
      <c r="BL116">
        <v>-25.974257425742575</v>
      </c>
      <c r="BM116">
        <v>-26.077227722772278</v>
      </c>
      <c r="BN116">
        <v>-26.180198019801978</v>
      </c>
      <c r="BO116">
        <v>-26.283168316831684</v>
      </c>
      <c r="BP116">
        <v>-26.386138613861387</v>
      </c>
      <c r="BQ116">
        <v>-26.48910891089109</v>
      </c>
      <c r="BR116">
        <v>-26.59207920792079</v>
      </c>
      <c r="BS116">
        <v>-26.693370508054521</v>
      </c>
      <c r="BT116">
        <v>-26.79250309789343</v>
      </c>
      <c r="BU116">
        <v>-26.891635687732339</v>
      </c>
      <c r="BV116">
        <v>-26.990768277571249</v>
      </c>
      <c r="BW116">
        <v>-27.089900867410158</v>
      </c>
      <c r="BX116">
        <v>-27.189033457249067</v>
      </c>
      <c r="BY116">
        <v>-27.28816604708798</v>
      </c>
      <c r="BZ116">
        <v>-27.387298636926889</v>
      </c>
      <c r="CA116">
        <v>-27.486431226765799</v>
      </c>
      <c r="CB116">
        <v>-27.585563816604708</v>
      </c>
      <c r="CC116">
        <v>-27.683267326732672</v>
      </c>
      <c r="CD116">
        <v>-27.778316831683167</v>
      </c>
      <c r="CE116">
        <v>-27.873366336633666</v>
      </c>
      <c r="CF116">
        <v>-27.971683168316833</v>
      </c>
      <c r="CG116">
        <v>-28.07069306930693</v>
      </c>
      <c r="CH116">
        <v>-28.168514851485149</v>
      </c>
      <c r="CI116">
        <v>-28.263564356435644</v>
      </c>
      <c r="CJ116">
        <v>-28.358613861386139</v>
      </c>
    </row>
    <row r="117" spans="1:88" ht="21.75" hidden="1" thickBot="1" x14ac:dyDescent="0.4">
      <c r="A117" s="30"/>
    </row>
    <row r="118" spans="1:88" ht="21.75" hidden="1" thickBot="1" x14ac:dyDescent="0.4">
      <c r="A118" s="30"/>
    </row>
    <row r="119" spans="1:88" ht="21.75" hidden="1" thickBot="1" x14ac:dyDescent="0.4">
      <c r="A119" s="30"/>
    </row>
    <row r="120" spans="1:88" ht="21.75" hidden="1" thickBot="1" x14ac:dyDescent="0.4">
      <c r="A120" s="30"/>
    </row>
    <row r="121" spans="1:88" ht="21.75" hidden="1" thickBot="1" x14ac:dyDescent="0.4">
      <c r="A121" s="30"/>
    </row>
    <row r="122" spans="1:88" ht="21.75" hidden="1" thickBot="1" x14ac:dyDescent="0.4">
      <c r="A122" s="30"/>
    </row>
    <row r="123" spans="1:88" ht="21.75" hidden="1" thickBot="1" x14ac:dyDescent="0.4">
      <c r="A123" s="30"/>
    </row>
    <row r="124" spans="1:88" ht="21.75" hidden="1" thickBot="1" x14ac:dyDescent="0.4">
      <c r="A124" s="30"/>
    </row>
    <row r="125" spans="1:88" ht="21.75" hidden="1" thickBot="1" x14ac:dyDescent="0.4">
      <c r="A125" s="30"/>
    </row>
    <row r="126" spans="1:88" ht="21.75" hidden="1" thickBot="1" x14ac:dyDescent="0.4">
      <c r="A126" s="30"/>
    </row>
    <row r="127" spans="1:88" ht="21.75" hidden="1" thickBot="1" x14ac:dyDescent="0.4">
      <c r="A127" s="30"/>
    </row>
    <row r="128" spans="1:88" ht="21.75" hidden="1" thickBot="1" x14ac:dyDescent="0.4">
      <c r="A128" s="30"/>
    </row>
    <row r="129" spans="1:90" ht="21.75" hidden="1" thickBot="1" x14ac:dyDescent="0.4">
      <c r="A129" s="30"/>
    </row>
    <row r="130" spans="1:90" ht="21.75" hidden="1" thickBot="1" x14ac:dyDescent="0.4">
      <c r="A130" s="30"/>
    </row>
    <row r="131" spans="1:90" ht="21.75" thickBot="1" x14ac:dyDescent="0.4"/>
    <row r="132" spans="1:90" ht="21.75" thickBot="1" x14ac:dyDescent="0.4">
      <c r="A132" s="30" t="s">
        <v>38</v>
      </c>
      <c r="B132" s="60">
        <v>290</v>
      </c>
      <c r="C132" s="60">
        <v>298</v>
      </c>
      <c r="D132" s="60">
        <v>306</v>
      </c>
      <c r="E132" s="60">
        <v>314</v>
      </c>
      <c r="F132">
        <v>322</v>
      </c>
      <c r="G132">
        <v>330</v>
      </c>
      <c r="H132">
        <v>338</v>
      </c>
      <c r="I132">
        <v>346</v>
      </c>
      <c r="J132">
        <v>354</v>
      </c>
      <c r="K132">
        <v>362</v>
      </c>
      <c r="L132">
        <v>370</v>
      </c>
      <c r="M132">
        <v>378</v>
      </c>
      <c r="N132">
        <v>386</v>
      </c>
      <c r="O132">
        <v>394</v>
      </c>
      <c r="P132">
        <v>402</v>
      </c>
      <c r="Q132">
        <v>410</v>
      </c>
      <c r="R132">
        <v>418</v>
      </c>
      <c r="S132">
        <v>426</v>
      </c>
      <c r="T132">
        <v>434</v>
      </c>
      <c r="U132">
        <v>442</v>
      </c>
      <c r="V132">
        <v>450</v>
      </c>
      <c r="W132">
        <v>458</v>
      </c>
      <c r="X132">
        <v>466</v>
      </c>
      <c r="Y132">
        <v>474</v>
      </c>
      <c r="Z132">
        <v>482</v>
      </c>
      <c r="AA132">
        <v>490</v>
      </c>
      <c r="AB132">
        <v>498</v>
      </c>
      <c r="AC132">
        <v>506</v>
      </c>
      <c r="AD132">
        <v>514</v>
      </c>
      <c r="AE132">
        <v>522</v>
      </c>
      <c r="AF132">
        <v>530</v>
      </c>
      <c r="AG132">
        <v>538</v>
      </c>
      <c r="AH132">
        <v>546</v>
      </c>
      <c r="AI132">
        <v>554</v>
      </c>
      <c r="AJ132">
        <v>562</v>
      </c>
      <c r="AK132">
        <v>570</v>
      </c>
      <c r="AL132">
        <v>578</v>
      </c>
      <c r="AM132">
        <v>586</v>
      </c>
      <c r="AN132">
        <v>594</v>
      </c>
      <c r="AO132">
        <v>602</v>
      </c>
      <c r="AP132">
        <v>610</v>
      </c>
      <c r="AQ132">
        <v>618</v>
      </c>
      <c r="AR132">
        <v>626</v>
      </c>
      <c r="AS132">
        <v>634</v>
      </c>
      <c r="AT132">
        <v>642</v>
      </c>
      <c r="AU132">
        <v>650</v>
      </c>
      <c r="AV132">
        <v>658</v>
      </c>
      <c r="AW132">
        <v>666</v>
      </c>
      <c r="AX132">
        <v>674</v>
      </c>
      <c r="AY132">
        <v>682</v>
      </c>
      <c r="AZ132">
        <v>690</v>
      </c>
      <c r="BA132">
        <v>698</v>
      </c>
      <c r="BB132">
        <v>706</v>
      </c>
      <c r="BC132">
        <v>714</v>
      </c>
      <c r="BD132">
        <v>722</v>
      </c>
      <c r="BE132">
        <v>730</v>
      </c>
      <c r="BF132">
        <v>738</v>
      </c>
      <c r="BG132">
        <v>746</v>
      </c>
      <c r="BH132">
        <v>754</v>
      </c>
      <c r="BI132">
        <v>762</v>
      </c>
      <c r="BJ132">
        <v>770</v>
      </c>
      <c r="BK132">
        <v>778</v>
      </c>
      <c r="BL132">
        <v>786</v>
      </c>
      <c r="BM132">
        <v>794</v>
      </c>
      <c r="BN132">
        <v>802</v>
      </c>
      <c r="BO132">
        <v>810</v>
      </c>
      <c r="BP132">
        <v>818</v>
      </c>
      <c r="BQ132">
        <v>826</v>
      </c>
      <c r="BR132">
        <v>834</v>
      </c>
      <c r="BS132">
        <v>842</v>
      </c>
      <c r="BT132">
        <v>850</v>
      </c>
      <c r="BU132">
        <v>858</v>
      </c>
      <c r="BV132">
        <v>866</v>
      </c>
      <c r="BW132">
        <v>874</v>
      </c>
      <c r="BX132">
        <v>882</v>
      </c>
      <c r="BY132">
        <v>890</v>
      </c>
      <c r="BZ132">
        <v>898</v>
      </c>
      <c r="CA132">
        <v>906</v>
      </c>
      <c r="CB132">
        <v>914</v>
      </c>
      <c r="CC132">
        <v>922</v>
      </c>
      <c r="CD132">
        <v>930</v>
      </c>
      <c r="CE132">
        <v>938</v>
      </c>
      <c r="CF132">
        <v>946</v>
      </c>
      <c r="CG132">
        <v>954</v>
      </c>
      <c r="CH132">
        <v>962</v>
      </c>
      <c r="CI132">
        <v>970</v>
      </c>
      <c r="CJ132">
        <v>978</v>
      </c>
      <c r="CK132">
        <v>986</v>
      </c>
      <c r="CL132">
        <v>994</v>
      </c>
    </row>
    <row r="133" spans="1:90" ht="21.75" thickBot="1" x14ac:dyDescent="0.4">
      <c r="A133" s="30" t="s">
        <v>58</v>
      </c>
      <c r="B133" s="60">
        <v>-38.899603960396036</v>
      </c>
      <c r="C133" s="60">
        <v>-38.110247524752474</v>
      </c>
      <c r="D133" s="60">
        <v>-37.361732673267326</v>
      </c>
      <c r="E133" s="60">
        <v>-36.618910891089108</v>
      </c>
      <c r="F133">
        <v>-35.961485148514846</v>
      </c>
      <c r="G133">
        <v>-35.304059405940592</v>
      </c>
      <c r="H133">
        <v>-34.693465346534651</v>
      </c>
      <c r="I133">
        <v>-34.123168316831681</v>
      </c>
      <c r="J133">
        <v>-33.55391089108911</v>
      </c>
      <c r="K133">
        <v>-33.066782178217821</v>
      </c>
      <c r="L133">
        <v>-32.579653465346532</v>
      </c>
      <c r="M133">
        <v>-32.125539603960398</v>
      </c>
      <c r="N133">
        <v>-31.706133663366337</v>
      </c>
      <c r="O133">
        <v>-31.28672772277228</v>
      </c>
      <c r="P133">
        <v>-30.923356435643566</v>
      </c>
      <c r="Q133">
        <v>-30.562168316831684</v>
      </c>
      <c r="R133">
        <v>-30.231648514851486</v>
      </c>
      <c r="S133">
        <v>-29.940559405940594</v>
      </c>
      <c r="T133">
        <v>-29.649470297029701</v>
      </c>
      <c r="U133">
        <v>-29.555794299876084</v>
      </c>
      <c r="V133">
        <v>-29.481048327137547</v>
      </c>
      <c r="W133">
        <v>-29.406302354399006</v>
      </c>
      <c r="X133">
        <v>-29.331556381660469</v>
      </c>
      <c r="Y133">
        <v>-29.256810408921933</v>
      </c>
      <c r="Z133">
        <v>-29.182064436183396</v>
      </c>
      <c r="AA133">
        <v>-29.107318463444859</v>
      </c>
      <c r="AB133">
        <v>-29.032572490706322</v>
      </c>
      <c r="AC133">
        <v>-28.957826517967781</v>
      </c>
      <c r="AD133">
        <v>-28.883080545229245</v>
      </c>
      <c r="AE133">
        <v>-28.945475247524755</v>
      </c>
      <c r="AF133">
        <v>-29.036960396039603</v>
      </c>
      <c r="AG133">
        <v>-29.137118811881187</v>
      </c>
      <c r="AH133">
        <v>-29.257514851485148</v>
      </c>
      <c r="AI133">
        <v>-29.377910891089112</v>
      </c>
      <c r="AJ133">
        <v>-29.501069306930695</v>
      </c>
      <c r="AK133">
        <v>-29.625029702970298</v>
      </c>
      <c r="AL133">
        <v>-29.750970297029703</v>
      </c>
      <c r="AM133">
        <v>-29.882851485148514</v>
      </c>
      <c r="AN133">
        <v>-30.014732673267329</v>
      </c>
      <c r="AO133">
        <v>-30.147762376237626</v>
      </c>
      <c r="AP133">
        <v>-30.281227722772279</v>
      </c>
      <c r="AQ133">
        <v>-30.414138613861386</v>
      </c>
      <c r="AR133">
        <v>-30.544831683168315</v>
      </c>
      <c r="AS133">
        <v>-30.675524752475244</v>
      </c>
      <c r="AT133">
        <v>-30.808891089108908</v>
      </c>
      <c r="AU133">
        <v>-30.943544554455446</v>
      </c>
      <c r="AV133">
        <v>-31.078613861386138</v>
      </c>
      <c r="AW133">
        <v>-31.216039603960397</v>
      </c>
      <c r="AX133">
        <v>-31.353465346534655</v>
      </c>
      <c r="AY133">
        <v>-31.495210656753407</v>
      </c>
      <c r="AZ133">
        <v>-31.639547707558862</v>
      </c>
      <c r="BA133">
        <v>-31.783884758364312</v>
      </c>
      <c r="BB133">
        <v>-31.928221809169763</v>
      </c>
      <c r="BC133">
        <v>-32.072558859975217</v>
      </c>
      <c r="BD133">
        <v>-32.216895910780664</v>
      </c>
      <c r="BE133">
        <v>-32.361232961586119</v>
      </c>
      <c r="BF133">
        <v>-32.505570012391573</v>
      </c>
      <c r="BG133">
        <v>-32.64990706319702</v>
      </c>
      <c r="BH133">
        <v>-32.794244114002474</v>
      </c>
      <c r="BI133">
        <v>-32.929757425742572</v>
      </c>
      <c r="BJ133">
        <v>-33.057678217821781</v>
      </c>
      <c r="BK133">
        <v>-33.185638613861386</v>
      </c>
      <c r="BL133">
        <v>-33.316727722772278</v>
      </c>
      <c r="BM133">
        <v>-33.44781683168317</v>
      </c>
      <c r="BN133">
        <v>-33.57697524752475</v>
      </c>
      <c r="BO133">
        <v>-33.70410396039604</v>
      </c>
      <c r="BP133">
        <v>-33.831232673267323</v>
      </c>
      <c r="BQ133">
        <v>-33.954930693069308</v>
      </c>
      <c r="BR133">
        <v>-34.078495049504951</v>
      </c>
      <c r="BS133">
        <v>-34.191413878562578</v>
      </c>
      <c r="BT133">
        <v>-34.290645600991326</v>
      </c>
      <c r="BU133">
        <v>-34.38987732342008</v>
      </c>
      <c r="BV133">
        <v>-34.489109045848828</v>
      </c>
      <c r="BW133">
        <v>-34.588340768277575</v>
      </c>
      <c r="BX133">
        <v>-34.687572490706323</v>
      </c>
      <c r="BY133">
        <v>-34.786804213135071</v>
      </c>
      <c r="BZ133">
        <v>-34.886035935563818</v>
      </c>
      <c r="CA133">
        <v>-34.985267657992566</v>
      </c>
      <c r="CB133">
        <v>-35.084499380421313</v>
      </c>
      <c r="CC133">
        <v>-35.188366336633663</v>
      </c>
      <c r="CD133">
        <v>-35.30084158415842</v>
      </c>
      <c r="CE133">
        <v>-35.413316831683169</v>
      </c>
      <c r="CF133">
        <v>-35.52611881188119</v>
      </c>
      <c r="CG133">
        <v>-35.638990099009902</v>
      </c>
      <c r="CH133">
        <v>-35.750673267326739</v>
      </c>
      <c r="CI133">
        <v>-35.859584158415842</v>
      </c>
      <c r="CJ133">
        <v>-35.968495049504952</v>
      </c>
      <c r="CK133">
        <v>-36.080475247524753</v>
      </c>
      <c r="CL133">
        <v>-36.193346534653465</v>
      </c>
    </row>
    <row r="134" spans="1:90" ht="21.75" thickBot="1" x14ac:dyDescent="0.4">
      <c r="A134" s="30" t="s">
        <v>57</v>
      </c>
      <c r="B134" s="60">
        <v>-62.678811881188125</v>
      </c>
      <c r="C134" s="60">
        <v>-60.98742574257426</v>
      </c>
      <c r="D134" s="60">
        <v>-59.331980198019806</v>
      </c>
      <c r="E134" s="60">
        <v>-57.676534653465346</v>
      </c>
      <c r="F134">
        <v>-56.021089108910893</v>
      </c>
      <c r="G134">
        <v>-54.365643564356432</v>
      </c>
      <c r="H134">
        <v>-52.722970297029704</v>
      </c>
      <c r="I134">
        <v>-51.091287128712864</v>
      </c>
      <c r="J134">
        <v>-49.460544554455439</v>
      </c>
      <c r="K134">
        <v>-47.904108910891082</v>
      </c>
      <c r="L134">
        <v>-46.347673267326734</v>
      </c>
      <c r="M134">
        <v>-44.845297029702969</v>
      </c>
      <c r="N134">
        <v>-43.399752475247524</v>
      </c>
      <c r="O134">
        <v>-41.954207920792079</v>
      </c>
      <c r="P134">
        <v>-40.634455445544553</v>
      </c>
      <c r="Q134">
        <v>-39.319603960396037</v>
      </c>
      <c r="R134">
        <v>-38.065396039603961</v>
      </c>
      <c r="S134">
        <v>-36.889158415841585</v>
      </c>
      <c r="T134">
        <v>-35.712920792079203</v>
      </c>
      <c r="U134">
        <v>-34.752453531598512</v>
      </c>
      <c r="V134">
        <v>-33.81267657992565</v>
      </c>
      <c r="W134">
        <v>-32.872899628252789</v>
      </c>
      <c r="X134">
        <v>-31.933122676579924</v>
      </c>
      <c r="Y134">
        <v>-30.993345724907059</v>
      </c>
      <c r="Z134">
        <v>-30.053568773234197</v>
      </c>
      <c r="AA134">
        <v>-29.113791821561335</v>
      </c>
      <c r="AB134">
        <v>-28.174014869888474</v>
      </c>
      <c r="AC134">
        <v>-27.234237918215609</v>
      </c>
      <c r="AD134">
        <v>-26.294460966542747</v>
      </c>
      <c r="AE134">
        <v>-25.453663366336631</v>
      </c>
      <c r="AF134">
        <v>-24.633861386138612</v>
      </c>
      <c r="AG134">
        <v>-23.827128712871289</v>
      </c>
      <c r="AH134">
        <v>-23.050891089108909</v>
      </c>
      <c r="AI134">
        <v>-22.274653465346532</v>
      </c>
      <c r="AJ134">
        <v>-21.529108910891086</v>
      </c>
      <c r="AK134">
        <v>-20.792475247524749</v>
      </c>
      <c r="AL134">
        <v>-20.066732673267325</v>
      </c>
      <c r="AM134">
        <v>-19.373663366336633</v>
      </c>
      <c r="AN134">
        <v>-18.680594059405941</v>
      </c>
      <c r="AO134">
        <v>-18.013366336633663</v>
      </c>
      <c r="AP134">
        <v>-17.355940594059405</v>
      </c>
      <c r="AQ134">
        <v>-16.706435643564355</v>
      </c>
      <c r="AR134">
        <v>-16.088613861386136</v>
      </c>
      <c r="AS134">
        <v>-15.470792079207921</v>
      </c>
      <c r="AT134">
        <v>-14.877029702970297</v>
      </c>
      <c r="AU134">
        <v>-14.294851485148513</v>
      </c>
      <c r="AV134">
        <v>-13.721584158415839</v>
      </c>
      <c r="AW134">
        <v>-13.198811881188117</v>
      </c>
      <c r="AX134">
        <v>-12.676039603960396</v>
      </c>
      <c r="AY134">
        <v>-12.288612143742256</v>
      </c>
      <c r="AZ134">
        <v>-11.982391573729863</v>
      </c>
      <c r="BA134">
        <v>-11.676171003717473</v>
      </c>
      <c r="BB134">
        <v>-11.369950433705082</v>
      </c>
      <c r="BC134">
        <v>-11.063729863692689</v>
      </c>
      <c r="BD134">
        <v>-10.757509293680299</v>
      </c>
      <c r="BE134">
        <v>-10.451288723667908</v>
      </c>
      <c r="BF134">
        <v>-10.145068153655515</v>
      </c>
      <c r="BG134">
        <v>-9.8388475836431244</v>
      </c>
      <c r="BH134">
        <v>-9.5326270136307336</v>
      </c>
      <c r="BI134">
        <v>-9.2852029702970302</v>
      </c>
      <c r="BJ134">
        <v>-9.0883712871287123</v>
      </c>
      <c r="BK134">
        <v>-8.8917079207920793</v>
      </c>
      <c r="BL134">
        <v>-8.7083415841584149</v>
      </c>
      <c r="BM134">
        <v>-8.5249752475247522</v>
      </c>
      <c r="BN134">
        <v>-8.3474009900990094</v>
      </c>
      <c r="BO134">
        <v>-8.1759158415841586</v>
      </c>
      <c r="BP134">
        <v>-8.0044306930693061</v>
      </c>
      <c r="BQ134">
        <v>-7.8546732673267323</v>
      </c>
      <c r="BR134">
        <v>-7.7057623762376233</v>
      </c>
      <c r="BS134">
        <v>-7.6341003717472118</v>
      </c>
      <c r="BT134">
        <v>-7.6617583643122673</v>
      </c>
      <c r="BU134">
        <v>-7.6894163568773228</v>
      </c>
      <c r="BV134">
        <v>-7.7170743494423792</v>
      </c>
      <c r="BW134">
        <v>-7.7447323420074348</v>
      </c>
      <c r="BX134">
        <v>-7.7723903345724903</v>
      </c>
      <c r="BY134">
        <v>-7.8000483271375458</v>
      </c>
      <c r="BZ134">
        <v>-7.8277063197026022</v>
      </c>
      <c r="CA134">
        <v>-7.8553643122676577</v>
      </c>
      <c r="CB134">
        <v>-7.8830223048327133</v>
      </c>
      <c r="CC134">
        <v>-7.9104257425742572</v>
      </c>
      <c r="CD134">
        <v>-7.9373564356435642</v>
      </c>
      <c r="CE134">
        <v>-7.964287128712872</v>
      </c>
      <c r="CF134">
        <v>-7.9905643564356437</v>
      </c>
      <c r="CG134">
        <v>-8.0167029702970307</v>
      </c>
      <c r="CH134">
        <v>-8.0428415841584169</v>
      </c>
      <c r="CI134">
        <v>-8.068980198019803</v>
      </c>
      <c r="CJ134">
        <v>-8.0951188118811892</v>
      </c>
      <c r="CK134">
        <v>-8.1209504950495059</v>
      </c>
      <c r="CL134">
        <v>-8.1466930693069308</v>
      </c>
    </row>
    <row r="135" spans="1:90" ht="21.75" thickBot="1" x14ac:dyDescent="0.4">
      <c r="A135" s="30" t="s">
        <v>54</v>
      </c>
      <c r="B135" s="60">
        <v>-22.547673267326733</v>
      </c>
      <c r="C135" s="60">
        <v>-22.166188118811881</v>
      </c>
      <c r="D135" s="60">
        <v>-21.85331683168317</v>
      </c>
      <c r="E135" s="60">
        <v>-21.551584158415839</v>
      </c>
      <c r="F135">
        <v>-21.416930693069304</v>
      </c>
      <c r="G135">
        <v>-21.282277227722773</v>
      </c>
      <c r="H135">
        <v>-21.217871287128713</v>
      </c>
      <c r="I135">
        <v>-21.21391089108911</v>
      </c>
      <c r="J135">
        <v>-21.210891089108912</v>
      </c>
      <c r="K135">
        <v>-21.282178217821784</v>
      </c>
      <c r="L135">
        <v>-21.353465346534655</v>
      </c>
      <c r="M135">
        <v>-21.438267326732674</v>
      </c>
      <c r="N135">
        <v>-21.537277227722772</v>
      </c>
      <c r="O135">
        <v>-21.636287128712873</v>
      </c>
      <c r="P135">
        <v>-21.73529702970297</v>
      </c>
      <c r="Q135">
        <v>-21.834306930693071</v>
      </c>
      <c r="R135">
        <v>-21.928118811881188</v>
      </c>
      <c r="S135">
        <v>-22.015247524752475</v>
      </c>
      <c r="T135">
        <v>-22.102376237623762</v>
      </c>
      <c r="U135">
        <v>-22.180557620817844</v>
      </c>
      <c r="V135">
        <v>-22.257881040892194</v>
      </c>
      <c r="W135">
        <v>-22.335204460966544</v>
      </c>
      <c r="X135">
        <v>-22.412527881040891</v>
      </c>
      <c r="Y135">
        <v>-22.489851301115241</v>
      </c>
      <c r="Z135">
        <v>-22.567174721189591</v>
      </c>
      <c r="AA135">
        <v>-22.644498141263941</v>
      </c>
      <c r="AB135">
        <v>-22.721821561338292</v>
      </c>
      <c r="AC135">
        <v>-22.799144981412638</v>
      </c>
      <c r="AD135">
        <v>-22.876468401486989</v>
      </c>
      <c r="AE135">
        <v>-22.974950495049505</v>
      </c>
      <c r="AF135">
        <v>-23.077920792079208</v>
      </c>
      <c r="AG135">
        <v>-23.184455445544554</v>
      </c>
      <c r="AH135">
        <v>-23.299306930693071</v>
      </c>
      <c r="AI135">
        <v>-23.414158415841587</v>
      </c>
      <c r="AJ135">
        <v>-23.525940594059406</v>
      </c>
      <c r="AK135">
        <v>-23.636831683168317</v>
      </c>
      <c r="AL135">
        <v>-23.748712871287129</v>
      </c>
      <c r="AM135">
        <v>-23.863564356435642</v>
      </c>
      <c r="AN135">
        <v>-23.978415841584159</v>
      </c>
      <c r="AO135">
        <v>-24.093267326732676</v>
      </c>
      <c r="AP135">
        <v>-24.208118811881189</v>
      </c>
      <c r="AQ135">
        <v>-24.322178217821783</v>
      </c>
      <c r="AR135">
        <v>-24.433069306930694</v>
      </c>
      <c r="AS135">
        <v>-24.543960396039601</v>
      </c>
      <c r="AT135">
        <v>-24.654851485148512</v>
      </c>
      <c r="AU135">
        <v>-24.765742574257423</v>
      </c>
      <c r="AV135">
        <v>-24.875445544554456</v>
      </c>
      <c r="AW135">
        <v>-24.978415841584159</v>
      </c>
      <c r="AX135">
        <v>-25.081386138613862</v>
      </c>
      <c r="AY135">
        <v>-25.179479553903345</v>
      </c>
      <c r="AZ135">
        <v>-25.274646840148698</v>
      </c>
      <c r="BA135">
        <v>-25.369814126394051</v>
      </c>
      <c r="BB135">
        <v>-25.464981412639403</v>
      </c>
      <c r="BC135">
        <v>-25.560148698884756</v>
      </c>
      <c r="BD135">
        <v>-25.655315985130109</v>
      </c>
      <c r="BE135">
        <v>-25.750483271375465</v>
      </c>
      <c r="BF135">
        <v>-25.845650557620818</v>
      </c>
      <c r="BG135">
        <v>-25.940817843866171</v>
      </c>
      <c r="BH135">
        <v>-26.035985130111523</v>
      </c>
      <c r="BI135">
        <v>-26.135346534653465</v>
      </c>
      <c r="BJ135">
        <v>-26.238316831683168</v>
      </c>
      <c r="BK135">
        <v>-26.341336633663367</v>
      </c>
      <c r="BL135">
        <v>-26.448267326732672</v>
      </c>
      <c r="BM135">
        <v>-26.555198019801981</v>
      </c>
      <c r="BN135">
        <v>-26.660198019801978</v>
      </c>
      <c r="BO135">
        <v>-26.763168316831685</v>
      </c>
      <c r="BP135">
        <v>-26.866138613861388</v>
      </c>
      <c r="BQ135">
        <v>-26.96529702970297</v>
      </c>
      <c r="BR135">
        <v>-27.064306930693071</v>
      </c>
      <c r="BS135">
        <v>-27.155997521685254</v>
      </c>
      <c r="BT135">
        <v>-27.238277571251551</v>
      </c>
      <c r="BU135">
        <v>-27.320557620817844</v>
      </c>
      <c r="BV135">
        <v>-27.402837670384137</v>
      </c>
      <c r="BW135">
        <v>-27.485117719950434</v>
      </c>
      <c r="BX135">
        <v>-27.567397769516727</v>
      </c>
      <c r="BY135">
        <v>-27.649677819083024</v>
      </c>
      <c r="BZ135">
        <v>-27.731957868649317</v>
      </c>
      <c r="CA135">
        <v>-27.814237918215614</v>
      </c>
      <c r="CB135">
        <v>-27.896517967781907</v>
      </c>
      <c r="CC135">
        <v>-27.983267326732673</v>
      </c>
      <c r="CD135">
        <v>-28.078316831683168</v>
      </c>
      <c r="CE135">
        <v>-28.173366336633666</v>
      </c>
      <c r="CF135">
        <v>-28.268415841584158</v>
      </c>
      <c r="CG135">
        <v>-28.363465346534653</v>
      </c>
      <c r="CH135">
        <v>-28.457326732673266</v>
      </c>
      <c r="CI135">
        <v>-28.548415841584159</v>
      </c>
      <c r="CJ135">
        <v>-28.639504950495049</v>
      </c>
      <c r="CK135">
        <v>-28.733663366336632</v>
      </c>
      <c r="CL135">
        <v>-28.828712871287127</v>
      </c>
    </row>
    <row r="136" spans="1:90" ht="21.75" thickBot="1" x14ac:dyDescent="0.4">
      <c r="A136" s="30" t="s">
        <v>253</v>
      </c>
      <c r="B136" s="60">
        <v>-61.447277227722779</v>
      </c>
      <c r="C136" s="60">
        <v>-60.276435643564362</v>
      </c>
      <c r="D136" s="60">
        <v>-59.2150495049505</v>
      </c>
      <c r="E136" s="60">
        <v>-58.17049504950495</v>
      </c>
      <c r="F136">
        <v>-57.378415841584157</v>
      </c>
      <c r="G136">
        <v>-56.586336633663365</v>
      </c>
      <c r="H136">
        <v>-55.911336633663367</v>
      </c>
      <c r="I136">
        <v>-55.337079207920794</v>
      </c>
      <c r="J136">
        <v>-54.764801980198023</v>
      </c>
      <c r="K136">
        <v>-54.348960396039608</v>
      </c>
      <c r="L136">
        <v>-53.933118811881187</v>
      </c>
      <c r="M136">
        <v>-53.563806930693069</v>
      </c>
      <c r="N136">
        <v>-53.243410891089113</v>
      </c>
      <c r="O136">
        <v>-52.923014851485149</v>
      </c>
      <c r="P136">
        <v>-52.658653465346539</v>
      </c>
      <c r="Q136">
        <v>-52.396475247524755</v>
      </c>
      <c r="R136">
        <v>-52.159767326732677</v>
      </c>
      <c r="S136">
        <v>-51.955806930693072</v>
      </c>
      <c r="T136">
        <v>-51.751846534653467</v>
      </c>
      <c r="U136">
        <v>-51.736351920693927</v>
      </c>
      <c r="V136">
        <v>-51.738929368029744</v>
      </c>
      <c r="W136">
        <v>-51.741506815365554</v>
      </c>
      <c r="X136">
        <v>-51.744084262701364</v>
      </c>
      <c r="Y136">
        <v>-51.746661710037181</v>
      </c>
      <c r="Z136">
        <v>-51.74923915737299</v>
      </c>
      <c r="AA136">
        <v>-51.7518166047088</v>
      </c>
      <c r="AB136">
        <v>-51.754394052044617</v>
      </c>
      <c r="AC136">
        <v>-51.756971499380427</v>
      </c>
      <c r="AD136">
        <v>-51.759548946716237</v>
      </c>
      <c r="AE136">
        <v>-51.92042574257426</v>
      </c>
      <c r="AF136">
        <v>-52.114881188118808</v>
      </c>
      <c r="AG136">
        <v>-52.321574257425738</v>
      </c>
      <c r="AH136">
        <v>-52.556821782178218</v>
      </c>
      <c r="AI136">
        <v>-52.792069306930692</v>
      </c>
      <c r="AJ136">
        <v>-53.027009900990095</v>
      </c>
      <c r="AK136">
        <v>-53.261861386138612</v>
      </c>
      <c r="AL136">
        <v>-53.499683168316828</v>
      </c>
      <c r="AM136">
        <v>-53.74641584158416</v>
      </c>
      <c r="AN136">
        <v>-53.993148514851491</v>
      </c>
      <c r="AO136">
        <v>-54.241029702970302</v>
      </c>
      <c r="AP136">
        <v>-54.489346534653471</v>
      </c>
      <c r="AQ136">
        <v>-54.736316831683169</v>
      </c>
      <c r="AR136">
        <v>-54.977900990099009</v>
      </c>
      <c r="AS136">
        <v>-55.219485148514849</v>
      </c>
      <c r="AT136">
        <v>-55.463742574257424</v>
      </c>
      <c r="AU136">
        <v>-55.709287128712873</v>
      </c>
      <c r="AV136">
        <v>-55.954059405940598</v>
      </c>
      <c r="AW136">
        <v>-56.194455445544556</v>
      </c>
      <c r="AX136">
        <v>-56.434851485148521</v>
      </c>
      <c r="AY136">
        <v>-56.674690210656756</v>
      </c>
      <c r="AZ136">
        <v>-56.914194547707559</v>
      </c>
      <c r="BA136">
        <v>-57.15369888475837</v>
      </c>
      <c r="BB136">
        <v>-57.393203221809173</v>
      </c>
      <c r="BC136">
        <v>-57.632707558859977</v>
      </c>
      <c r="BD136">
        <v>-57.87221189591078</v>
      </c>
      <c r="BE136">
        <v>-58.111716232961584</v>
      </c>
      <c r="BF136">
        <v>-58.351220570012387</v>
      </c>
      <c r="BG136">
        <v>-58.590724907063191</v>
      </c>
      <c r="BH136">
        <v>-58.830229244113994</v>
      </c>
      <c r="BI136">
        <v>-59.065103960396037</v>
      </c>
      <c r="BJ136">
        <v>-59.295995049504953</v>
      </c>
      <c r="BK136">
        <v>-59.526975247524753</v>
      </c>
      <c r="BL136">
        <v>-59.764995049504954</v>
      </c>
      <c r="BM136">
        <v>-60.003014851485148</v>
      </c>
      <c r="BN136">
        <v>-60.237173267326732</v>
      </c>
      <c r="BO136">
        <v>-60.467272277227728</v>
      </c>
      <c r="BP136">
        <v>-60.697371287128718</v>
      </c>
      <c r="BQ136">
        <v>-60.920227722772282</v>
      </c>
      <c r="BR136">
        <v>-61.142801980198023</v>
      </c>
      <c r="BS136">
        <v>-61.347411400247829</v>
      </c>
      <c r="BT136">
        <v>-61.528923172242877</v>
      </c>
      <c r="BU136">
        <v>-61.710434944237917</v>
      </c>
      <c r="BV136">
        <v>-61.891946716232958</v>
      </c>
      <c r="BW136">
        <v>-62.073458488228006</v>
      </c>
      <c r="BX136">
        <v>-62.254970260223047</v>
      </c>
      <c r="BY136">
        <v>-62.436482032218088</v>
      </c>
      <c r="BZ136">
        <v>-62.617993804213135</v>
      </c>
      <c r="CA136">
        <v>-62.799505576208176</v>
      </c>
      <c r="CB136">
        <v>-62.981017348203217</v>
      </c>
      <c r="CC136">
        <v>-63.171633663366336</v>
      </c>
      <c r="CD136">
        <v>-63.379158415841587</v>
      </c>
      <c r="CE136">
        <v>-63.586683168316839</v>
      </c>
      <c r="CF136">
        <v>-63.794534653465348</v>
      </c>
      <c r="CG136">
        <v>-64.002455445544555</v>
      </c>
      <c r="CH136">
        <v>-64.207999999999998</v>
      </c>
      <c r="CI136">
        <v>-64.408000000000001</v>
      </c>
      <c r="CJ136">
        <v>-64.608000000000004</v>
      </c>
      <c r="CK136">
        <v>-64.814138613861388</v>
      </c>
      <c r="CL136">
        <v>-65.022059405940595</v>
      </c>
    </row>
    <row r="137" spans="1:90" ht="21.75" thickBot="1" x14ac:dyDescent="0.4">
      <c r="A137" s="30" t="s">
        <v>251</v>
      </c>
      <c r="B137" s="60">
        <v>-193.00064356435647</v>
      </c>
      <c r="C137" s="60">
        <v>-188.4734158415842</v>
      </c>
      <c r="D137" s="60">
        <v>-184.22391089108913</v>
      </c>
      <c r="E137" s="60">
        <v>-180.00782178217824</v>
      </c>
      <c r="F137">
        <v>-176.29297029702971</v>
      </c>
      <c r="G137">
        <v>-172.57811881188121</v>
      </c>
      <c r="H137">
        <v>-169.09955445544554</v>
      </c>
      <c r="I137">
        <v>-165.82430693069307</v>
      </c>
      <c r="J137">
        <v>-162.55376237623761</v>
      </c>
      <c r="K137">
        <v>-159.65475247524751</v>
      </c>
      <c r="L137">
        <v>-156.75574257425743</v>
      </c>
      <c r="M137">
        <v>-154.00539603960397</v>
      </c>
      <c r="N137">
        <v>-151.41133663366335</v>
      </c>
      <c r="O137">
        <v>-148.81727722772277</v>
      </c>
      <c r="P137">
        <v>-146.47480198019801</v>
      </c>
      <c r="Q137">
        <v>-144.14212871287128</v>
      </c>
      <c r="R137">
        <v>-141.91514851485147</v>
      </c>
      <c r="S137">
        <v>-139.8240594059406</v>
      </c>
      <c r="T137">
        <v>-137.73297029702971</v>
      </c>
      <c r="U137">
        <v>-136.04657992565058</v>
      </c>
      <c r="V137">
        <v>-134.39899628252789</v>
      </c>
      <c r="W137">
        <v>-132.7514126394052</v>
      </c>
      <c r="X137">
        <v>-131.10382899628254</v>
      </c>
      <c r="Y137">
        <v>-129.45624535315986</v>
      </c>
      <c r="Z137">
        <v>-127.80866171003719</v>
      </c>
      <c r="AA137">
        <v>-126.1610780669145</v>
      </c>
      <c r="AB137">
        <v>-124.51349442379183</v>
      </c>
      <c r="AC137">
        <v>-122.86591078066914</v>
      </c>
      <c r="AD137">
        <v>-121.21832713754647</v>
      </c>
      <c r="AE137">
        <v>-119.83217821782178</v>
      </c>
      <c r="AF137">
        <v>-118.50148514851485</v>
      </c>
      <c r="AG137">
        <v>-117.20762376237623</v>
      </c>
      <c r="AH137">
        <v>-115.99970297029704</v>
      </c>
      <c r="AI137">
        <v>-114.79178217821783</v>
      </c>
      <c r="AJ137">
        <v>-113.6360396039604</v>
      </c>
      <c r="AK137">
        <v>-112.49544554455444</v>
      </c>
      <c r="AL137">
        <v>-111.37960396039603</v>
      </c>
      <c r="AM137">
        <v>-110.3380198019802</v>
      </c>
      <c r="AN137">
        <v>-109.29643564356435</v>
      </c>
      <c r="AO137">
        <v>-108.30653465346535</v>
      </c>
      <c r="AP137">
        <v>-107.33623762376237</v>
      </c>
      <c r="AQ137">
        <v>-106.37940594059405</v>
      </c>
      <c r="AR137">
        <v>-105.47643564356436</v>
      </c>
      <c r="AS137">
        <v>-104.57346534653466</v>
      </c>
      <c r="AT137">
        <v>-103.71861386138615</v>
      </c>
      <c r="AU137">
        <v>-102.8869306930693</v>
      </c>
      <c r="AV137">
        <v>-102.06950495049504</v>
      </c>
      <c r="AW137">
        <v>-101.33287128712871</v>
      </c>
      <c r="AX137">
        <v>-100.59623762376238</v>
      </c>
      <c r="AY137">
        <v>-100.11566294919454</v>
      </c>
      <c r="AZ137">
        <v>-99.788723667905813</v>
      </c>
      <c r="BA137">
        <v>-99.461784386617097</v>
      </c>
      <c r="BB137">
        <v>-99.134845105328367</v>
      </c>
      <c r="BC137">
        <v>-98.807905824039651</v>
      </c>
      <c r="BD137">
        <v>-98.48096654275092</v>
      </c>
      <c r="BE137">
        <v>-98.154027261462204</v>
      </c>
      <c r="BF137">
        <v>-97.827087980173474</v>
      </c>
      <c r="BG137">
        <v>-97.500148698884757</v>
      </c>
      <c r="BH137">
        <v>-97.173209417596027</v>
      </c>
      <c r="BI137">
        <v>-96.976445544554451</v>
      </c>
      <c r="BJ137">
        <v>-96.891693069306925</v>
      </c>
      <c r="BK137">
        <v>-96.807425742574253</v>
      </c>
      <c r="BL137">
        <v>-96.761485148514851</v>
      </c>
      <c r="BM137">
        <v>-96.715544554455434</v>
      </c>
      <c r="BN137">
        <v>-96.675396039603953</v>
      </c>
      <c r="BO137">
        <v>-96.641336633663357</v>
      </c>
      <c r="BP137">
        <v>-96.607277227722761</v>
      </c>
      <c r="BQ137">
        <v>-96.605237623762378</v>
      </c>
      <c r="BR137">
        <v>-96.604445544554451</v>
      </c>
      <c r="BS137">
        <v>-96.736193308550185</v>
      </c>
      <c r="BT137">
        <v>-97.038349442379186</v>
      </c>
      <c r="BU137">
        <v>-97.340505576208173</v>
      </c>
      <c r="BV137">
        <v>-97.642661710037174</v>
      </c>
      <c r="BW137">
        <v>-97.944817843866161</v>
      </c>
      <c r="BX137">
        <v>-98.246973977695163</v>
      </c>
      <c r="BY137">
        <v>-98.54913011152415</v>
      </c>
      <c r="BZ137">
        <v>-98.851286245353151</v>
      </c>
      <c r="CA137">
        <v>-99.153442379182138</v>
      </c>
      <c r="CB137">
        <v>-99.45559851301114</v>
      </c>
      <c r="CC137">
        <v>-99.770653465346527</v>
      </c>
      <c r="CD137">
        <v>-100.10966336633663</v>
      </c>
      <c r="CE137">
        <v>-100.44867326732674</v>
      </c>
      <c r="CF137">
        <v>-100.78637623762377</v>
      </c>
      <c r="CG137">
        <v>-101.12380198019801</v>
      </c>
      <c r="CH137">
        <v>-101.45766336633662</v>
      </c>
      <c r="CI137">
        <v>-101.78320792079208</v>
      </c>
      <c r="CJ137">
        <v>-102.10875247524753</v>
      </c>
      <c r="CK137">
        <v>-102.44289108910891</v>
      </c>
      <c r="CL137">
        <v>-102.77952475247524</v>
      </c>
    </row>
    <row r="138" spans="1:90" ht="21.75" thickBot="1" x14ac:dyDescent="0.4">
      <c r="A138" s="30" t="s">
        <v>361</v>
      </c>
      <c r="B138" s="60">
        <v>-147.90529702970298</v>
      </c>
      <c r="C138" s="60">
        <v>-144.14103960396042</v>
      </c>
      <c r="D138" s="60">
        <v>-140.51727722772279</v>
      </c>
      <c r="E138" s="60">
        <v>-136.90465346534654</v>
      </c>
      <c r="F138">
        <v>-133.4591089108911</v>
      </c>
      <c r="G138">
        <v>-130.01356435643567</v>
      </c>
      <c r="H138">
        <v>-126.66381188118812</v>
      </c>
      <c r="I138">
        <v>-123.39648514851484</v>
      </c>
      <c r="J138">
        <v>-120.13198019801978</v>
      </c>
      <c r="K138">
        <v>-117.09039603960395</v>
      </c>
      <c r="L138">
        <v>-114.04881188118812</v>
      </c>
      <c r="M138">
        <v>-111.12886138613861</v>
      </c>
      <c r="N138">
        <v>-108.33678217821782</v>
      </c>
      <c r="O138">
        <v>-105.54470297029704</v>
      </c>
      <c r="P138">
        <v>-103.00420792079208</v>
      </c>
      <c r="Q138">
        <v>-100.47351485148515</v>
      </c>
      <c r="R138">
        <v>-98.058910891089113</v>
      </c>
      <c r="S138">
        <v>-95.793564356435638</v>
      </c>
      <c r="T138">
        <v>-93.528217821782178</v>
      </c>
      <c r="U138">
        <v>-91.68546468401486</v>
      </c>
      <c r="V138">
        <v>-89.883234200743487</v>
      </c>
      <c r="W138">
        <v>-88.081003717472115</v>
      </c>
      <c r="X138">
        <v>-86.278773234200742</v>
      </c>
      <c r="Y138">
        <v>-84.476542750929369</v>
      </c>
      <c r="Z138">
        <v>-82.674312267657996</v>
      </c>
      <c r="AA138">
        <v>-80.872081784386609</v>
      </c>
      <c r="AB138">
        <v>-79.069851301115236</v>
      </c>
      <c r="AC138">
        <v>-77.267620817843863</v>
      </c>
      <c r="AD138">
        <v>-75.46539033457249</v>
      </c>
      <c r="AE138">
        <v>-73.882277227722767</v>
      </c>
      <c r="AF138">
        <v>-72.345643564356436</v>
      </c>
      <c r="AG138">
        <v>-70.838712871287129</v>
      </c>
      <c r="AH138">
        <v>-69.401089108910881</v>
      </c>
      <c r="AI138">
        <v>-67.963465346534647</v>
      </c>
      <c r="AJ138">
        <v>-66.584158415841571</v>
      </c>
      <c r="AK138">
        <v>-65.221782178217808</v>
      </c>
      <c r="AL138">
        <v>-63.882178217821775</v>
      </c>
      <c r="AM138">
        <v>-62.610891089108904</v>
      </c>
      <c r="AN138">
        <v>-61.33960396039604</v>
      </c>
      <c r="AO138">
        <v>-60.12</v>
      </c>
      <c r="AP138">
        <v>-58.919999999999995</v>
      </c>
      <c r="AQ138">
        <v>-57.735049504950489</v>
      </c>
      <c r="AR138">
        <v>-56.610297029702963</v>
      </c>
      <c r="AS138">
        <v>-55.485544554455444</v>
      </c>
      <c r="AT138">
        <v>-54.408910891089107</v>
      </c>
      <c r="AU138">
        <v>-53.355445544554449</v>
      </c>
      <c r="AV138">
        <v>-52.318613861386133</v>
      </c>
      <c r="AW138">
        <v>-51.376039603960393</v>
      </c>
      <c r="AX138">
        <v>-50.433465346534653</v>
      </c>
      <c r="AY138">
        <v>-49.756703841387854</v>
      </c>
      <c r="AZ138">
        <v>-49.239429987608425</v>
      </c>
      <c r="BA138">
        <v>-48.722156133828996</v>
      </c>
      <c r="BB138">
        <v>-48.204882280049567</v>
      </c>
      <c r="BC138">
        <v>-47.687608426270131</v>
      </c>
      <c r="BD138">
        <v>-47.170334572490702</v>
      </c>
      <c r="BE138">
        <v>-46.653060718711274</v>
      </c>
      <c r="BF138">
        <v>-46.135786864931845</v>
      </c>
      <c r="BG138">
        <v>-45.618513011152416</v>
      </c>
      <c r="BH138">
        <v>-45.101239157372987</v>
      </c>
      <c r="BI138">
        <v>-44.705752475247522</v>
      </c>
      <c r="BJ138">
        <v>-44.415059405940589</v>
      </c>
      <c r="BK138">
        <v>-44.124752475247526</v>
      </c>
      <c r="BL138">
        <v>-43.864950495049506</v>
      </c>
      <c r="BM138">
        <v>-43.605148514851479</v>
      </c>
      <c r="BN138">
        <v>-43.354999999999997</v>
      </c>
      <c r="BO138">
        <v>-43.114999999999995</v>
      </c>
      <c r="BP138">
        <v>-42.875</v>
      </c>
      <c r="BQ138">
        <v>-42.674643564356437</v>
      </c>
      <c r="BR138">
        <v>-42.475831683168323</v>
      </c>
      <c r="BS138">
        <v>-42.424198265179683</v>
      </c>
      <c r="BT138">
        <v>-42.561794299876084</v>
      </c>
      <c r="BU138">
        <v>-42.699390334572492</v>
      </c>
      <c r="BV138">
        <v>-42.836986369268899</v>
      </c>
      <c r="BW138">
        <v>-42.9745824039653</v>
      </c>
      <c r="BX138">
        <v>-43.112178438661708</v>
      </c>
      <c r="BY138">
        <v>-43.249774473358116</v>
      </c>
      <c r="BZ138">
        <v>-43.387370508054516</v>
      </c>
      <c r="CA138">
        <v>-43.524966542750924</v>
      </c>
      <c r="CB138">
        <v>-43.662562577447332</v>
      </c>
      <c r="CC138">
        <v>-43.804118811881182</v>
      </c>
      <c r="CD138">
        <v>-43.953029702970298</v>
      </c>
      <c r="CE138">
        <v>-44.101940594059407</v>
      </c>
      <c r="CF138">
        <v>-44.249544554455447</v>
      </c>
      <c r="CG138">
        <v>-44.396871287128711</v>
      </c>
      <c r="CH138">
        <v>-44.5430099009901</v>
      </c>
      <c r="CI138">
        <v>-44.686376237623762</v>
      </c>
      <c r="CJ138">
        <v>-44.82974257425743</v>
      </c>
      <c r="CK138">
        <v>-44.975564356435648</v>
      </c>
      <c r="CL138">
        <v>-45.122099009900992</v>
      </c>
    </row>
    <row r="139" spans="1:90" ht="21.75" thickBot="1" x14ac:dyDescent="0.4">
      <c r="A139" s="30" t="s">
        <v>4</v>
      </c>
      <c r="B139" s="60">
        <v>-62.678811881188125</v>
      </c>
      <c r="C139" s="60">
        <v>-60.98742574257426</v>
      </c>
      <c r="D139" s="60">
        <v>-59.331980198019806</v>
      </c>
      <c r="E139" s="60">
        <v>-57.676534653465346</v>
      </c>
      <c r="F139">
        <v>-56.021089108910893</v>
      </c>
      <c r="G139">
        <v>-54.365643564356432</v>
      </c>
      <c r="H139">
        <v>-52.722970297029704</v>
      </c>
      <c r="I139">
        <v>-51.091287128712864</v>
      </c>
      <c r="J139">
        <v>-49.460544554455439</v>
      </c>
      <c r="K139">
        <v>-47.904108910891082</v>
      </c>
      <c r="L139">
        <v>-46.347673267326734</v>
      </c>
      <c r="M139">
        <v>-44.845297029702969</v>
      </c>
      <c r="N139">
        <v>-43.399752475247524</v>
      </c>
      <c r="O139">
        <v>-41.954207920792079</v>
      </c>
      <c r="P139">
        <v>-40.634455445544553</v>
      </c>
      <c r="Q139">
        <v>-39.319603960396037</v>
      </c>
      <c r="R139">
        <v>-38.065396039603961</v>
      </c>
      <c r="S139">
        <v>-36.889158415841585</v>
      </c>
      <c r="T139">
        <v>-35.712920792079203</v>
      </c>
      <c r="U139">
        <v>-34.752453531598512</v>
      </c>
      <c r="V139">
        <v>-33.81267657992565</v>
      </c>
      <c r="W139">
        <v>-32.872899628252789</v>
      </c>
      <c r="X139">
        <v>-31.933122676579924</v>
      </c>
      <c r="Y139">
        <v>-30.993345724907059</v>
      </c>
      <c r="Z139">
        <v>-30.053568773234197</v>
      </c>
      <c r="AA139">
        <v>-29.113791821561335</v>
      </c>
      <c r="AB139">
        <v>-28.174014869888474</v>
      </c>
      <c r="AC139">
        <v>-27.234237918215609</v>
      </c>
      <c r="AD139">
        <v>-26.294460966542747</v>
      </c>
      <c r="AE139">
        <v>-25.453663366336631</v>
      </c>
      <c r="AF139">
        <v>-24.633861386138612</v>
      </c>
      <c r="AG139">
        <v>-23.827128712871289</v>
      </c>
      <c r="AH139">
        <v>-23.050891089108909</v>
      </c>
      <c r="AI139">
        <v>-22.274653465346532</v>
      </c>
      <c r="AJ139">
        <v>-21.529108910891086</v>
      </c>
      <c r="AK139">
        <v>-20.792475247524749</v>
      </c>
      <c r="AL139">
        <v>-20.066732673267325</v>
      </c>
      <c r="AM139">
        <v>-19.373663366336633</v>
      </c>
      <c r="AN139">
        <v>-18.680594059405941</v>
      </c>
      <c r="AO139">
        <v>-18.013366336633663</v>
      </c>
      <c r="AP139">
        <v>-17.355940594059405</v>
      </c>
      <c r="AQ139">
        <v>-16.706435643564355</v>
      </c>
      <c r="AR139">
        <v>-16.088613861386136</v>
      </c>
      <c r="AS139">
        <v>-15.470792079207921</v>
      </c>
      <c r="AT139">
        <v>-14.877029702970297</v>
      </c>
      <c r="AU139">
        <v>-14.294851485148513</v>
      </c>
      <c r="AV139">
        <v>-13.721584158415839</v>
      </c>
      <c r="AW139">
        <v>-13.198811881188117</v>
      </c>
      <c r="AX139">
        <v>-12.676039603960396</v>
      </c>
      <c r="AY139">
        <v>-12.288612143742256</v>
      </c>
      <c r="AZ139">
        <v>-11.982391573729863</v>
      </c>
      <c r="BA139">
        <v>-11.676171003717473</v>
      </c>
      <c r="BB139">
        <v>-11.369950433705082</v>
      </c>
      <c r="BC139">
        <v>-11.063729863692689</v>
      </c>
      <c r="BD139">
        <v>-10.757509293680299</v>
      </c>
      <c r="BE139">
        <v>-10.451288723667908</v>
      </c>
      <c r="BF139">
        <v>-10.145068153655515</v>
      </c>
      <c r="BG139">
        <v>-9.8388475836431244</v>
      </c>
      <c r="BH139">
        <v>-9.5326270136307336</v>
      </c>
      <c r="BI139">
        <v>-9.2852029702970302</v>
      </c>
      <c r="BJ139">
        <v>-9.0883712871287123</v>
      </c>
      <c r="BK139">
        <v>-8.8917079207920793</v>
      </c>
      <c r="BL139">
        <v>-8.7083415841584149</v>
      </c>
      <c r="BM139">
        <v>-8.5249752475247522</v>
      </c>
      <c r="BN139">
        <v>-8.3474009900990094</v>
      </c>
      <c r="BO139">
        <v>-8.1759158415841586</v>
      </c>
      <c r="BP139">
        <v>-8.0044306930693061</v>
      </c>
      <c r="BQ139">
        <v>-7.8546732673267323</v>
      </c>
      <c r="BR139">
        <v>-7.7057623762376233</v>
      </c>
      <c r="BS139">
        <v>-7.6341003717472118</v>
      </c>
      <c r="BT139">
        <v>-7.6617583643122673</v>
      </c>
      <c r="BU139">
        <v>-7.6894163568773228</v>
      </c>
      <c r="BV139">
        <v>-7.7170743494423792</v>
      </c>
      <c r="BW139">
        <v>-7.7447323420074348</v>
      </c>
      <c r="BX139">
        <v>-7.7723903345724903</v>
      </c>
      <c r="BY139">
        <v>-7.8000483271375458</v>
      </c>
      <c r="BZ139">
        <v>-7.8277063197026022</v>
      </c>
      <c r="CA139">
        <v>-7.8553643122676577</v>
      </c>
      <c r="CB139">
        <v>-7.8830223048327133</v>
      </c>
      <c r="CC139">
        <v>-7.9104257425742572</v>
      </c>
      <c r="CD139">
        <v>-7.9373564356435642</v>
      </c>
      <c r="CE139">
        <v>-7.964287128712872</v>
      </c>
      <c r="CF139">
        <v>-7.9905643564356437</v>
      </c>
      <c r="CG139">
        <v>-8.0167029702970307</v>
      </c>
      <c r="CH139">
        <v>-8.0428415841584169</v>
      </c>
      <c r="CI139">
        <v>-8.068980198019803</v>
      </c>
      <c r="CJ139">
        <v>-8.0951188118811892</v>
      </c>
      <c r="CK139">
        <v>-8.1209504950495059</v>
      </c>
      <c r="CL139">
        <v>-8.1466930693069308</v>
      </c>
    </row>
    <row r="140" spans="1:90" ht="21.75" thickBot="1" x14ac:dyDescent="0.4">
      <c r="A140" s="30" t="s">
        <v>1</v>
      </c>
      <c r="B140" s="60">
        <v>-18.811633663366337</v>
      </c>
      <c r="C140" s="60">
        <v>-18.807673267326731</v>
      </c>
      <c r="D140" s="60">
        <v>-18.803712871287129</v>
      </c>
      <c r="E140" s="60">
        <v>-18.800247524752475</v>
      </c>
      <c r="F140">
        <v>-18.804207920792081</v>
      </c>
      <c r="G140">
        <v>-18.808168316831683</v>
      </c>
      <c r="H140">
        <v>-18.812128712871285</v>
      </c>
      <c r="I140">
        <v>-18.816089108910891</v>
      </c>
      <c r="J140">
        <v>-18.820099009900989</v>
      </c>
      <c r="K140">
        <v>-18.828019801980197</v>
      </c>
      <c r="L140">
        <v>-18.835940594059405</v>
      </c>
      <c r="M140">
        <v>-18.845792079207921</v>
      </c>
      <c r="N140">
        <v>-18.857673267326732</v>
      </c>
      <c r="O140">
        <v>-18.869554455445545</v>
      </c>
      <c r="P140">
        <v>-18.881435643564355</v>
      </c>
      <c r="Q140">
        <v>-18.893316831683169</v>
      </c>
      <c r="R140">
        <v>-18.905198019801979</v>
      </c>
      <c r="S140">
        <v>-18.917079207920793</v>
      </c>
      <c r="T140">
        <v>-18.928960396039603</v>
      </c>
      <c r="U140">
        <v>-18.941759603469642</v>
      </c>
      <c r="V140">
        <v>-18.954646840148698</v>
      </c>
      <c r="W140">
        <v>-18.967534076827757</v>
      </c>
      <c r="X140">
        <v>-18.980421313506813</v>
      </c>
      <c r="Y140">
        <v>-18.993308550185873</v>
      </c>
      <c r="Z140">
        <v>-19.006195786864932</v>
      </c>
      <c r="AA140">
        <v>-19.019083023543988</v>
      </c>
      <c r="AB140">
        <v>-19.031970260223048</v>
      </c>
      <c r="AC140">
        <v>-19.044857496902104</v>
      </c>
      <c r="AD140">
        <v>-19.057744733581163</v>
      </c>
      <c r="AE140">
        <v>-19.073069306930691</v>
      </c>
      <c r="AF140">
        <v>-19.08891089108911</v>
      </c>
      <c r="AG140">
        <v>-19.104752475247526</v>
      </c>
      <c r="AH140">
        <v>-19.120594059405942</v>
      </c>
      <c r="AI140">
        <v>-19.136435643564358</v>
      </c>
      <c r="AJ140">
        <v>-19.152277227722774</v>
      </c>
      <c r="AK140">
        <v>-19.16811881188119</v>
      </c>
      <c r="AL140">
        <v>-19.183960396039602</v>
      </c>
      <c r="AM140">
        <v>-19.199801980198018</v>
      </c>
      <c r="AN140">
        <v>-19.215643564356434</v>
      </c>
      <c r="AO140">
        <v>-19.231485148514849</v>
      </c>
      <c r="AP140">
        <v>-19.247326732673269</v>
      </c>
      <c r="AQ140">
        <v>-19.263168316831685</v>
      </c>
      <c r="AR140">
        <v>-19.279009900990101</v>
      </c>
      <c r="AS140">
        <v>-19.294851485148516</v>
      </c>
      <c r="AT140">
        <v>-19.310693069306932</v>
      </c>
      <c r="AU140">
        <v>-19.326534653465348</v>
      </c>
      <c r="AV140">
        <v>-19.341782178217823</v>
      </c>
      <c r="AW140">
        <v>-19.353663366336633</v>
      </c>
      <c r="AX140">
        <v>-19.365544554455447</v>
      </c>
      <c r="AY140">
        <v>-19.373717472118962</v>
      </c>
      <c r="AZ140">
        <v>-19.379665427509295</v>
      </c>
      <c r="BA140">
        <v>-19.385613382899628</v>
      </c>
      <c r="BB140">
        <v>-19.391561338289964</v>
      </c>
      <c r="BC140">
        <v>-19.397509293680297</v>
      </c>
      <c r="BD140">
        <v>-19.403457249070634</v>
      </c>
      <c r="BE140">
        <v>-19.409405204460967</v>
      </c>
      <c r="BF140">
        <v>-19.4153531598513</v>
      </c>
      <c r="BG140">
        <v>-19.421301115241636</v>
      </c>
      <c r="BH140">
        <v>-19.427249070631969</v>
      </c>
      <c r="BI140">
        <v>-19.438514851485149</v>
      </c>
      <c r="BJ140">
        <v>-19.454356435643565</v>
      </c>
      <c r="BK140">
        <v>-19.47019801980198</v>
      </c>
      <c r="BL140">
        <v>-19.486039603960396</v>
      </c>
      <c r="BM140">
        <v>-19.501881188118812</v>
      </c>
      <c r="BN140">
        <v>-19.517722772277228</v>
      </c>
      <c r="BO140">
        <v>-19.533564356435644</v>
      </c>
      <c r="BP140">
        <v>-19.54940594059406</v>
      </c>
      <c r="BQ140">
        <v>-19.565247524752476</v>
      </c>
      <c r="BR140">
        <v>-19.581089108910891</v>
      </c>
      <c r="BS140">
        <v>-19.596505576208177</v>
      </c>
      <c r="BT140">
        <v>-19.611375464684013</v>
      </c>
      <c r="BU140">
        <v>-19.626245353159852</v>
      </c>
      <c r="BV140">
        <v>-19.641115241635688</v>
      </c>
      <c r="BW140">
        <v>-19.655985130111524</v>
      </c>
      <c r="BX140">
        <v>-19.670855018587361</v>
      </c>
      <c r="BY140">
        <v>-19.685724907063197</v>
      </c>
      <c r="BZ140">
        <v>-19.700594795539033</v>
      </c>
      <c r="CA140">
        <v>-19.715464684014869</v>
      </c>
      <c r="CB140">
        <v>-19.730334572490705</v>
      </c>
      <c r="CC140">
        <v>-19.744158415841582</v>
      </c>
      <c r="CD140">
        <v>-19.756039603960396</v>
      </c>
      <c r="CE140">
        <v>-19.767920792079206</v>
      </c>
      <c r="CF140">
        <v>-19.783069306930692</v>
      </c>
      <c r="CG140">
        <v>-19.798910891089108</v>
      </c>
      <c r="CH140">
        <v>-19.814752475247523</v>
      </c>
      <c r="CI140">
        <v>-19.830594059405939</v>
      </c>
      <c r="CJ140">
        <v>-19.846435643564359</v>
      </c>
      <c r="CK140">
        <v>-19.85920792079208</v>
      </c>
      <c r="CL140">
        <v>-19.871089108910891</v>
      </c>
    </row>
    <row r="141" spans="1:90" ht="21.75" thickBot="1" x14ac:dyDescent="0.4">
      <c r="A141" s="30" t="s">
        <v>371</v>
      </c>
      <c r="B141" s="60">
        <v>-61.447277227722779</v>
      </c>
      <c r="C141" s="60">
        <v>-60.276435643564362</v>
      </c>
      <c r="D141" s="60">
        <v>-59.2150495049505</v>
      </c>
      <c r="E141" s="60">
        <v>-58.17049504950495</v>
      </c>
      <c r="F141">
        <v>-57.378415841584157</v>
      </c>
      <c r="G141">
        <v>-56.586336633663365</v>
      </c>
      <c r="H141">
        <v>-55.911336633663367</v>
      </c>
      <c r="I141">
        <v>-55.337079207920794</v>
      </c>
      <c r="J141">
        <v>-54.764801980198023</v>
      </c>
      <c r="K141">
        <v>-54.348960396039608</v>
      </c>
      <c r="L141">
        <v>-53.933118811881187</v>
      </c>
      <c r="M141">
        <v>-53.563806930693069</v>
      </c>
      <c r="N141">
        <v>-53.243410891089113</v>
      </c>
      <c r="O141">
        <v>-52.923014851485149</v>
      </c>
      <c r="P141">
        <v>-52.658653465346539</v>
      </c>
      <c r="Q141">
        <v>-52.396475247524755</v>
      </c>
      <c r="R141">
        <v>-52.159767326732677</v>
      </c>
      <c r="S141">
        <v>-51.955806930693072</v>
      </c>
      <c r="T141">
        <v>-51.751846534653467</v>
      </c>
      <c r="U141">
        <v>-51.736351920693927</v>
      </c>
      <c r="V141">
        <v>-51.738929368029744</v>
      </c>
      <c r="W141">
        <v>-51.741506815365554</v>
      </c>
      <c r="X141">
        <v>-51.744084262701364</v>
      </c>
      <c r="Y141">
        <v>-51.746661710037181</v>
      </c>
      <c r="Z141">
        <v>-51.74923915737299</v>
      </c>
      <c r="AA141">
        <v>-51.7518166047088</v>
      </c>
      <c r="AB141">
        <v>-51.754394052044617</v>
      </c>
      <c r="AC141">
        <v>-51.756971499380427</v>
      </c>
      <c r="AD141">
        <v>-51.759548946716237</v>
      </c>
      <c r="AE141">
        <v>-51.92042574257426</v>
      </c>
      <c r="AF141">
        <v>-52.114881188118808</v>
      </c>
      <c r="AG141">
        <v>-52.321574257425738</v>
      </c>
      <c r="AH141">
        <v>-52.556821782178218</v>
      </c>
      <c r="AI141">
        <v>-52.792069306930692</v>
      </c>
      <c r="AJ141">
        <v>-53.027009900990095</v>
      </c>
      <c r="AK141">
        <v>-53.261861386138612</v>
      </c>
      <c r="AL141">
        <v>-53.499683168316828</v>
      </c>
      <c r="AM141">
        <v>-53.74641584158416</v>
      </c>
      <c r="AN141">
        <v>-53.993148514851491</v>
      </c>
      <c r="AO141">
        <v>-54.241029702970302</v>
      </c>
      <c r="AP141">
        <v>-54.489346534653471</v>
      </c>
      <c r="AQ141">
        <v>-54.736316831683169</v>
      </c>
      <c r="AR141">
        <v>-54.977900990099009</v>
      </c>
      <c r="AS141">
        <v>-55.219485148514849</v>
      </c>
      <c r="AT141">
        <v>-55.463742574257424</v>
      </c>
      <c r="AU141">
        <v>-55.709287128712873</v>
      </c>
      <c r="AV141">
        <v>-55.954059405940598</v>
      </c>
      <c r="AW141">
        <v>-56.194455445544556</v>
      </c>
      <c r="AX141">
        <v>-56.434851485148521</v>
      </c>
      <c r="AY141">
        <v>-56.674690210656756</v>
      </c>
      <c r="AZ141">
        <v>-56.914194547707559</v>
      </c>
      <c r="BA141">
        <v>-57.15369888475837</v>
      </c>
      <c r="BB141">
        <v>-57.393203221809173</v>
      </c>
      <c r="BC141">
        <v>-57.632707558859977</v>
      </c>
      <c r="BD141">
        <v>-57.87221189591078</v>
      </c>
      <c r="BE141">
        <v>-58.111716232961584</v>
      </c>
      <c r="BF141">
        <v>-58.351220570012387</v>
      </c>
      <c r="BG141">
        <v>-58.590724907063191</v>
      </c>
      <c r="BH141">
        <v>-58.830229244113994</v>
      </c>
      <c r="BI141">
        <v>-59.065103960396037</v>
      </c>
      <c r="BJ141">
        <v>-59.295995049504953</v>
      </c>
      <c r="BK141">
        <v>-59.526975247524753</v>
      </c>
      <c r="BL141">
        <v>-59.764995049504954</v>
      </c>
      <c r="BM141">
        <v>-60.003014851485148</v>
      </c>
      <c r="BN141">
        <v>-60.237173267326732</v>
      </c>
      <c r="BO141">
        <v>-60.467272277227728</v>
      </c>
      <c r="BP141">
        <v>-60.697371287128718</v>
      </c>
      <c r="BQ141">
        <v>-60.920227722772282</v>
      </c>
      <c r="BR141">
        <v>-61.142801980198023</v>
      </c>
      <c r="BS141">
        <v>-61.347411400247829</v>
      </c>
      <c r="BT141">
        <v>-61.528923172242877</v>
      </c>
      <c r="BU141">
        <v>-61.710434944237917</v>
      </c>
      <c r="BV141">
        <v>-61.891946716232958</v>
      </c>
      <c r="BW141">
        <v>-62.073458488228006</v>
      </c>
      <c r="BX141">
        <v>-62.254970260223047</v>
      </c>
      <c r="BY141">
        <v>-62.436482032218088</v>
      </c>
      <c r="BZ141">
        <v>-62.617993804213135</v>
      </c>
      <c r="CA141">
        <v>-62.799505576208176</v>
      </c>
      <c r="CB141">
        <v>-62.981017348203217</v>
      </c>
      <c r="CC141">
        <v>-63.171633663366336</v>
      </c>
      <c r="CD141">
        <v>-63.379158415841587</v>
      </c>
      <c r="CE141">
        <v>-63.586683168316839</v>
      </c>
      <c r="CF141">
        <v>-63.794534653465348</v>
      </c>
      <c r="CG141">
        <v>-64.002455445544555</v>
      </c>
      <c r="CH141">
        <v>-64.207999999999998</v>
      </c>
      <c r="CI141">
        <v>-64.408000000000001</v>
      </c>
      <c r="CJ141">
        <v>-64.608000000000004</v>
      </c>
      <c r="CK141">
        <v>-64.814138613861388</v>
      </c>
      <c r="CL141">
        <v>-65.022059405940595</v>
      </c>
    </row>
    <row r="142" spans="1:90" ht="21.75" thickBot="1" x14ac:dyDescent="0.4">
      <c r="A142" s="30" t="s">
        <v>244</v>
      </c>
      <c r="B142" s="60">
        <v>-38.899603960396036</v>
      </c>
      <c r="C142" s="60">
        <v>-38.110247524752474</v>
      </c>
      <c r="D142" s="60">
        <v>-37.361732673267326</v>
      </c>
      <c r="E142" s="60">
        <v>-36.618910891089108</v>
      </c>
      <c r="F142">
        <v>-35.961485148514846</v>
      </c>
      <c r="G142">
        <v>-35.304059405940592</v>
      </c>
      <c r="H142">
        <v>-34.693465346534651</v>
      </c>
      <c r="I142">
        <v>-34.123168316831681</v>
      </c>
      <c r="J142">
        <v>-33.55391089108911</v>
      </c>
      <c r="K142">
        <v>-33.066782178217821</v>
      </c>
      <c r="L142">
        <v>-32.579653465346532</v>
      </c>
      <c r="M142">
        <v>-32.125539603960398</v>
      </c>
      <c r="N142">
        <v>-31.706133663366337</v>
      </c>
      <c r="O142">
        <v>-31.28672772277228</v>
      </c>
      <c r="P142">
        <v>-30.923356435643566</v>
      </c>
      <c r="Q142">
        <v>-30.562168316831684</v>
      </c>
      <c r="R142">
        <v>-30.231648514851486</v>
      </c>
      <c r="S142">
        <v>-29.940559405940594</v>
      </c>
      <c r="T142">
        <v>-29.649470297029701</v>
      </c>
      <c r="U142">
        <v>-29.555794299876084</v>
      </c>
      <c r="V142">
        <v>-29.481048327137547</v>
      </c>
      <c r="W142">
        <v>-29.406302354399006</v>
      </c>
      <c r="X142">
        <v>-29.331556381660469</v>
      </c>
      <c r="Y142">
        <v>-29.256810408921933</v>
      </c>
      <c r="Z142">
        <v>-29.182064436183396</v>
      </c>
      <c r="AA142">
        <v>-29.107318463444859</v>
      </c>
      <c r="AB142">
        <v>-29.032572490706322</v>
      </c>
      <c r="AC142">
        <v>-28.957826517967781</v>
      </c>
      <c r="AD142">
        <v>-28.883080545229245</v>
      </c>
      <c r="AE142">
        <v>-28.945475247524755</v>
      </c>
      <c r="AF142">
        <v>-29.036960396039603</v>
      </c>
      <c r="AG142">
        <v>-29.137118811881187</v>
      </c>
      <c r="AH142">
        <v>-29.257514851485148</v>
      </c>
      <c r="AI142">
        <v>-29.377910891089112</v>
      </c>
      <c r="AJ142">
        <v>-29.501069306930695</v>
      </c>
      <c r="AK142">
        <v>-29.625029702970298</v>
      </c>
      <c r="AL142">
        <v>-29.750970297029703</v>
      </c>
      <c r="AM142">
        <v>-29.882851485148514</v>
      </c>
      <c r="AN142">
        <v>-30.014732673267329</v>
      </c>
      <c r="AO142">
        <v>-30.147762376237626</v>
      </c>
      <c r="AP142">
        <v>-30.281227722772279</v>
      </c>
      <c r="AQ142">
        <v>-30.414138613861386</v>
      </c>
      <c r="AR142">
        <v>-30.544831683168315</v>
      </c>
      <c r="AS142">
        <v>-30.675524752475244</v>
      </c>
      <c r="AT142">
        <v>-30.808891089108908</v>
      </c>
      <c r="AU142">
        <v>-30.943544554455446</v>
      </c>
      <c r="AV142">
        <v>-31.078613861386138</v>
      </c>
      <c r="AW142">
        <v>-31.216039603960397</v>
      </c>
      <c r="AX142">
        <v>-31.353465346534655</v>
      </c>
      <c r="AY142">
        <v>-31.495210656753407</v>
      </c>
      <c r="AZ142">
        <v>-31.639547707558862</v>
      </c>
      <c r="BA142">
        <v>-31.783884758364312</v>
      </c>
      <c r="BB142">
        <v>-31.928221809169763</v>
      </c>
      <c r="BC142">
        <v>-32.072558859975217</v>
      </c>
      <c r="BD142">
        <v>-32.216895910780664</v>
      </c>
      <c r="BE142">
        <v>-32.361232961586119</v>
      </c>
      <c r="BF142">
        <v>-32.505570012391573</v>
      </c>
      <c r="BG142">
        <v>-32.64990706319702</v>
      </c>
      <c r="BH142">
        <v>-32.794244114002474</v>
      </c>
      <c r="BI142">
        <v>-32.929757425742572</v>
      </c>
      <c r="BJ142">
        <v>-33.057678217821781</v>
      </c>
      <c r="BK142">
        <v>-33.185638613861386</v>
      </c>
      <c r="BL142">
        <v>-33.316727722772278</v>
      </c>
      <c r="BM142">
        <v>-33.44781683168317</v>
      </c>
      <c r="BN142">
        <v>-33.57697524752475</v>
      </c>
      <c r="BO142">
        <v>-33.70410396039604</v>
      </c>
      <c r="BP142">
        <v>-33.831232673267323</v>
      </c>
      <c r="BQ142">
        <v>-33.954930693069308</v>
      </c>
      <c r="BR142">
        <v>-34.078495049504951</v>
      </c>
      <c r="BS142">
        <v>-34.191413878562578</v>
      </c>
      <c r="BT142">
        <v>-34.290645600991326</v>
      </c>
      <c r="BU142">
        <v>-34.38987732342008</v>
      </c>
      <c r="BV142">
        <v>-34.489109045848828</v>
      </c>
      <c r="BW142">
        <v>-34.588340768277575</v>
      </c>
      <c r="BX142">
        <v>-34.687572490706323</v>
      </c>
      <c r="BY142">
        <v>-34.786804213135071</v>
      </c>
      <c r="BZ142">
        <v>-34.886035935563818</v>
      </c>
      <c r="CA142">
        <v>-34.985267657992566</v>
      </c>
      <c r="CB142">
        <v>-35.084499380421313</v>
      </c>
      <c r="CC142">
        <v>-35.188366336633663</v>
      </c>
      <c r="CD142">
        <v>-35.30084158415842</v>
      </c>
      <c r="CE142">
        <v>-35.413316831683169</v>
      </c>
      <c r="CF142">
        <v>-35.52611881188119</v>
      </c>
      <c r="CG142">
        <v>-35.638990099009902</v>
      </c>
      <c r="CH142">
        <v>-35.750673267326739</v>
      </c>
      <c r="CI142">
        <v>-35.859584158415842</v>
      </c>
      <c r="CJ142">
        <v>-35.968495049504952</v>
      </c>
      <c r="CK142">
        <v>-36.080475247524753</v>
      </c>
      <c r="CL142">
        <v>-36.193346534653465</v>
      </c>
    </row>
    <row r="143" spans="1:90" ht="21.75" thickBot="1" x14ac:dyDescent="0.4">
      <c r="A143" s="30" t="s">
        <v>372</v>
      </c>
      <c r="B143" s="60">
        <v>-193.00064356435647</v>
      </c>
      <c r="C143" s="60">
        <v>-188.4734158415842</v>
      </c>
      <c r="D143" s="60">
        <v>-184.22391089108913</v>
      </c>
      <c r="E143" s="60">
        <v>-180.00782178217824</v>
      </c>
      <c r="F143">
        <v>-176.29297029702971</v>
      </c>
      <c r="G143">
        <v>-172.57811881188121</v>
      </c>
      <c r="H143">
        <v>-169.09955445544554</v>
      </c>
      <c r="I143">
        <v>-165.82430693069307</v>
      </c>
      <c r="J143">
        <v>-162.55376237623761</v>
      </c>
      <c r="K143">
        <v>-159.65475247524751</v>
      </c>
      <c r="L143">
        <v>-156.75574257425743</v>
      </c>
      <c r="M143">
        <v>-154.00539603960397</v>
      </c>
      <c r="N143">
        <v>-151.41133663366335</v>
      </c>
      <c r="O143">
        <v>-148.81727722772277</v>
      </c>
      <c r="P143">
        <v>-146.47480198019801</v>
      </c>
      <c r="Q143">
        <v>-144.14212871287128</v>
      </c>
      <c r="R143">
        <v>-141.91514851485147</v>
      </c>
      <c r="S143">
        <v>-139.8240594059406</v>
      </c>
      <c r="T143">
        <v>-137.73297029702971</v>
      </c>
      <c r="U143">
        <v>-136.04657992565058</v>
      </c>
      <c r="V143">
        <v>-134.39899628252789</v>
      </c>
      <c r="W143">
        <v>-132.7514126394052</v>
      </c>
      <c r="X143">
        <v>-131.10382899628254</v>
      </c>
      <c r="Y143">
        <v>-129.45624535315986</v>
      </c>
      <c r="Z143">
        <v>-127.80866171003719</v>
      </c>
      <c r="AA143">
        <v>-126.1610780669145</v>
      </c>
      <c r="AB143">
        <v>-124.51349442379183</v>
      </c>
      <c r="AC143">
        <v>-122.86591078066914</v>
      </c>
      <c r="AD143">
        <v>-121.21832713754647</v>
      </c>
      <c r="AE143">
        <v>-119.83217821782178</v>
      </c>
      <c r="AF143">
        <v>-118.50148514851485</v>
      </c>
      <c r="AG143">
        <v>-117.20762376237623</v>
      </c>
      <c r="AH143">
        <v>-115.99970297029704</v>
      </c>
      <c r="AI143">
        <v>-114.79178217821783</v>
      </c>
      <c r="AJ143">
        <v>-113.6360396039604</v>
      </c>
      <c r="AK143">
        <v>-112.49544554455444</v>
      </c>
      <c r="AL143">
        <v>-111.37960396039603</v>
      </c>
      <c r="AM143">
        <v>-110.3380198019802</v>
      </c>
      <c r="AN143">
        <v>-109.29643564356435</v>
      </c>
      <c r="AO143">
        <v>-108.30653465346535</v>
      </c>
      <c r="AP143">
        <v>-107.33623762376237</v>
      </c>
      <c r="AQ143">
        <v>-106.37940594059405</v>
      </c>
      <c r="AR143">
        <v>-105.47643564356436</v>
      </c>
      <c r="AS143">
        <v>-104.57346534653466</v>
      </c>
      <c r="AT143">
        <v>-103.71861386138615</v>
      </c>
      <c r="AU143">
        <v>-102.8869306930693</v>
      </c>
      <c r="AV143">
        <v>-102.06950495049504</v>
      </c>
      <c r="AW143">
        <v>-101.33287128712871</v>
      </c>
      <c r="AX143">
        <v>-100.59623762376238</v>
      </c>
      <c r="AY143">
        <v>-100.11566294919454</v>
      </c>
      <c r="AZ143">
        <v>-99.788723667905813</v>
      </c>
      <c r="BA143">
        <v>-99.461784386617097</v>
      </c>
      <c r="BB143">
        <v>-99.134845105328367</v>
      </c>
      <c r="BC143">
        <v>-98.807905824039651</v>
      </c>
      <c r="BD143">
        <v>-98.48096654275092</v>
      </c>
      <c r="BE143">
        <v>-98.154027261462204</v>
      </c>
      <c r="BF143">
        <v>-97.827087980173474</v>
      </c>
      <c r="BG143">
        <v>-97.500148698884757</v>
      </c>
      <c r="BH143">
        <v>-97.173209417596027</v>
      </c>
      <c r="BI143">
        <v>-96.976445544554451</v>
      </c>
      <c r="BJ143">
        <v>-96.891693069306925</v>
      </c>
      <c r="BK143">
        <v>-96.807425742574253</v>
      </c>
      <c r="BL143">
        <v>-96.761485148514851</v>
      </c>
      <c r="BM143">
        <v>-96.715544554455434</v>
      </c>
      <c r="BN143">
        <v>-96.675396039603953</v>
      </c>
      <c r="BO143">
        <v>-96.641336633663357</v>
      </c>
      <c r="BP143">
        <v>-96.607277227722761</v>
      </c>
      <c r="BQ143">
        <v>-96.605237623762378</v>
      </c>
      <c r="BR143">
        <v>-96.604445544554451</v>
      </c>
      <c r="BS143">
        <v>-96.736193308550185</v>
      </c>
      <c r="BT143">
        <v>-97.038349442379186</v>
      </c>
      <c r="BU143">
        <v>-97.340505576208173</v>
      </c>
      <c r="BV143">
        <v>-97.642661710037174</v>
      </c>
      <c r="BW143">
        <v>-97.944817843866161</v>
      </c>
      <c r="BX143">
        <v>-98.246973977695163</v>
      </c>
      <c r="BY143">
        <v>-98.54913011152415</v>
      </c>
      <c r="BZ143">
        <v>-98.851286245353151</v>
      </c>
      <c r="CA143">
        <v>-99.153442379182138</v>
      </c>
      <c r="CB143">
        <v>-99.45559851301114</v>
      </c>
      <c r="CC143">
        <v>-99.770653465346527</v>
      </c>
      <c r="CD143">
        <v>-100.10966336633663</v>
      </c>
      <c r="CE143">
        <v>-100.44867326732674</v>
      </c>
      <c r="CF143">
        <v>-100.78637623762377</v>
      </c>
      <c r="CG143">
        <v>-101.12380198019801</v>
      </c>
      <c r="CH143">
        <v>-101.45766336633662</v>
      </c>
      <c r="CI143">
        <v>-101.78320792079208</v>
      </c>
      <c r="CJ143">
        <v>-102.10875247524753</v>
      </c>
      <c r="CK143">
        <v>-102.44289108910891</v>
      </c>
      <c r="CL143">
        <v>-102.77952475247524</v>
      </c>
    </row>
    <row r="144" spans="1:90" ht="21.75" thickBot="1" x14ac:dyDescent="0.4">
      <c r="A144" s="30" t="s">
        <v>373</v>
      </c>
      <c r="B144" s="60">
        <v>-147.90529702970298</v>
      </c>
      <c r="C144" s="60">
        <v>-144.14103960396042</v>
      </c>
      <c r="D144" s="60">
        <v>-140.51727722772279</v>
      </c>
      <c r="E144" s="60">
        <v>-136.90465346534654</v>
      </c>
      <c r="F144">
        <v>-133.4591089108911</v>
      </c>
      <c r="G144">
        <v>-130.01356435643567</v>
      </c>
      <c r="H144">
        <v>-126.66381188118812</v>
      </c>
      <c r="I144">
        <v>-123.39648514851484</v>
      </c>
      <c r="J144">
        <v>-120.13198019801978</v>
      </c>
      <c r="K144">
        <v>-117.09039603960395</v>
      </c>
      <c r="L144">
        <v>-114.04881188118812</v>
      </c>
      <c r="M144">
        <v>-111.12886138613861</v>
      </c>
      <c r="N144">
        <v>-108.33678217821782</v>
      </c>
      <c r="O144">
        <v>-105.54470297029704</v>
      </c>
      <c r="P144">
        <v>-103.00420792079208</v>
      </c>
      <c r="Q144">
        <v>-100.47351485148515</v>
      </c>
      <c r="R144">
        <v>-98.058910891089113</v>
      </c>
      <c r="S144">
        <v>-95.793564356435638</v>
      </c>
      <c r="T144">
        <v>-93.528217821782178</v>
      </c>
      <c r="U144">
        <v>-91.68546468401486</v>
      </c>
      <c r="V144">
        <v>-89.883234200743487</v>
      </c>
      <c r="W144">
        <v>-88.081003717472115</v>
      </c>
      <c r="X144">
        <v>-86.278773234200742</v>
      </c>
      <c r="Y144">
        <v>-84.476542750929369</v>
      </c>
      <c r="Z144">
        <v>-82.674312267657996</v>
      </c>
      <c r="AA144">
        <v>-80.872081784386609</v>
      </c>
      <c r="AB144">
        <v>-79.069851301115236</v>
      </c>
      <c r="AC144">
        <v>-77.267620817843863</v>
      </c>
      <c r="AD144">
        <v>-75.46539033457249</v>
      </c>
      <c r="AE144">
        <v>-73.882277227722767</v>
      </c>
      <c r="AF144">
        <v>-72.345643564356436</v>
      </c>
      <c r="AG144">
        <v>-70.838712871287129</v>
      </c>
      <c r="AH144">
        <v>-69.401089108910881</v>
      </c>
      <c r="AI144">
        <v>-67.963465346534647</v>
      </c>
      <c r="AJ144">
        <v>-66.584158415841571</v>
      </c>
      <c r="AK144">
        <v>-65.221782178217808</v>
      </c>
      <c r="AL144">
        <v>-63.882178217821775</v>
      </c>
      <c r="AM144">
        <v>-62.610891089108904</v>
      </c>
      <c r="AN144">
        <v>-61.33960396039604</v>
      </c>
      <c r="AO144">
        <v>-60.12</v>
      </c>
      <c r="AP144">
        <v>-58.919999999999995</v>
      </c>
      <c r="AQ144">
        <v>-57.735049504950489</v>
      </c>
      <c r="AR144">
        <v>-56.610297029702963</v>
      </c>
      <c r="AS144">
        <v>-55.485544554455444</v>
      </c>
      <c r="AT144">
        <v>-54.408910891089107</v>
      </c>
      <c r="AU144">
        <v>-53.355445544554449</v>
      </c>
      <c r="AV144">
        <v>-52.318613861386133</v>
      </c>
      <c r="AW144">
        <v>-51.376039603960393</v>
      </c>
      <c r="AX144">
        <v>-50.433465346534653</v>
      </c>
      <c r="AY144">
        <v>-49.756703841387854</v>
      </c>
      <c r="AZ144">
        <v>-49.239429987608425</v>
      </c>
      <c r="BA144">
        <v>-48.722156133828996</v>
      </c>
      <c r="BB144">
        <v>-48.204882280049567</v>
      </c>
      <c r="BC144">
        <v>-47.687608426270131</v>
      </c>
      <c r="BD144">
        <v>-47.170334572490702</v>
      </c>
      <c r="BE144">
        <v>-46.653060718711274</v>
      </c>
      <c r="BF144">
        <v>-46.135786864931845</v>
      </c>
      <c r="BG144">
        <v>-45.618513011152416</v>
      </c>
      <c r="BH144">
        <v>-45.101239157372987</v>
      </c>
      <c r="BI144">
        <v>-44.705752475247522</v>
      </c>
      <c r="BJ144">
        <v>-44.415059405940589</v>
      </c>
      <c r="BK144">
        <v>-44.124752475247526</v>
      </c>
      <c r="BL144">
        <v>-43.864950495049506</v>
      </c>
      <c r="BM144">
        <v>-43.605148514851479</v>
      </c>
      <c r="BN144">
        <v>-43.354999999999997</v>
      </c>
      <c r="BO144">
        <v>-43.114999999999995</v>
      </c>
      <c r="BP144">
        <v>-42.875</v>
      </c>
      <c r="BQ144">
        <v>-42.674643564356437</v>
      </c>
      <c r="BR144">
        <v>-42.475831683168323</v>
      </c>
      <c r="BS144">
        <v>-42.424198265179683</v>
      </c>
      <c r="BT144">
        <v>-42.561794299876084</v>
      </c>
      <c r="BU144">
        <v>-42.699390334572492</v>
      </c>
      <c r="BV144">
        <v>-42.836986369268899</v>
      </c>
      <c r="BW144">
        <v>-42.9745824039653</v>
      </c>
      <c r="BX144">
        <v>-43.112178438661708</v>
      </c>
      <c r="BY144">
        <v>-43.249774473358116</v>
      </c>
      <c r="BZ144">
        <v>-43.387370508054516</v>
      </c>
      <c r="CA144">
        <v>-43.524966542750924</v>
      </c>
      <c r="CB144">
        <v>-43.662562577447332</v>
      </c>
      <c r="CC144">
        <v>-43.804118811881182</v>
      </c>
      <c r="CD144">
        <v>-43.953029702970298</v>
      </c>
      <c r="CE144">
        <v>-44.101940594059407</v>
      </c>
      <c r="CF144">
        <v>-44.249544554455447</v>
      </c>
      <c r="CG144">
        <v>-44.396871287128711</v>
      </c>
      <c r="CH144">
        <v>-44.5430099009901</v>
      </c>
      <c r="CI144">
        <v>-44.686376237623762</v>
      </c>
      <c r="CJ144">
        <v>-44.82974257425743</v>
      </c>
      <c r="CK144">
        <v>-44.975564356435648</v>
      </c>
      <c r="CL144">
        <v>-45.122099009900992</v>
      </c>
    </row>
    <row r="145" spans="1:90" ht="21.75" thickBot="1" x14ac:dyDescent="0.4">
      <c r="A145" s="30" t="s">
        <v>240</v>
      </c>
      <c r="B145" s="60">
        <v>-16.351930693069306</v>
      </c>
      <c r="C145" s="60">
        <v>-15.944059405940594</v>
      </c>
      <c r="D145" s="60">
        <v>-15.508415841584158</v>
      </c>
      <c r="E145" s="60">
        <v>-15.067326732673267</v>
      </c>
      <c r="F145">
        <v>-14.544554455445544</v>
      </c>
      <c r="G145">
        <v>-14.021782178217821</v>
      </c>
      <c r="H145">
        <v>-13.475594059405939</v>
      </c>
      <c r="I145">
        <v>-12.909257425742572</v>
      </c>
      <c r="J145">
        <v>-12.343019801980196</v>
      </c>
      <c r="K145">
        <v>-11.784603960396039</v>
      </c>
      <c r="L145">
        <v>-11.226188118811882</v>
      </c>
      <c r="M145">
        <v>-10.687272277227724</v>
      </c>
      <c r="N145">
        <v>-10.168856435643566</v>
      </c>
      <c r="O145">
        <v>-9.6504405940594076</v>
      </c>
      <c r="P145">
        <v>-9.188059405940594</v>
      </c>
      <c r="Q145">
        <v>-8.7278613861386134</v>
      </c>
      <c r="R145">
        <v>-8.3035297029702964</v>
      </c>
      <c r="S145">
        <v>-7.9253118811881187</v>
      </c>
      <c r="T145">
        <v>-7.5470940594059401</v>
      </c>
      <c r="U145">
        <v>-7.37523667905824</v>
      </c>
      <c r="V145">
        <v>-7.2231672862453529</v>
      </c>
      <c r="W145">
        <v>-7.0710978934324658</v>
      </c>
      <c r="X145">
        <v>-6.9190285006195786</v>
      </c>
      <c r="Y145">
        <v>-6.7669591078066915</v>
      </c>
      <c r="Z145">
        <v>-6.6148897149938044</v>
      </c>
      <c r="AA145">
        <v>-6.4628203221809173</v>
      </c>
      <c r="AB145">
        <v>-6.3107509293680302</v>
      </c>
      <c r="AC145">
        <v>-6.1586815365551431</v>
      </c>
      <c r="AD145">
        <v>-6.006612143742255</v>
      </c>
      <c r="AE145">
        <v>-5.9705247524752476</v>
      </c>
      <c r="AF145">
        <v>-5.9590396039603961</v>
      </c>
      <c r="AG145">
        <v>-5.9526633663366333</v>
      </c>
      <c r="AH145">
        <v>-5.9582079207920788</v>
      </c>
      <c r="AI145">
        <v>-5.9637524752475244</v>
      </c>
      <c r="AJ145">
        <v>-5.9751287128712871</v>
      </c>
      <c r="AK145">
        <v>-5.9881980198019802</v>
      </c>
      <c r="AL145">
        <v>-6.0022574257425747</v>
      </c>
      <c r="AM145">
        <v>-6.0192871287128717</v>
      </c>
      <c r="AN145">
        <v>-6.0363168316831688</v>
      </c>
      <c r="AO145">
        <v>-6.0544950495049505</v>
      </c>
      <c r="AP145">
        <v>-6.0731089108910892</v>
      </c>
      <c r="AQ145">
        <v>-6.091960396039604</v>
      </c>
      <c r="AR145">
        <v>-6.1117623762376239</v>
      </c>
      <c r="AS145">
        <v>-6.1315643564356437</v>
      </c>
      <c r="AT145">
        <v>-6.1540396039603964</v>
      </c>
      <c r="AU145">
        <v>-6.1778019801980202</v>
      </c>
      <c r="AV145">
        <v>-6.2031683168316833</v>
      </c>
      <c r="AW145">
        <v>-6.2376237623762378</v>
      </c>
      <c r="AX145">
        <v>-6.2720792079207923</v>
      </c>
      <c r="AY145">
        <v>-6.3157311028500622</v>
      </c>
      <c r="AZ145">
        <v>-6.364900867410161</v>
      </c>
      <c r="BA145">
        <v>-6.4140706319702598</v>
      </c>
      <c r="BB145">
        <v>-6.4632403965303595</v>
      </c>
      <c r="BC145">
        <v>-6.5124101610904583</v>
      </c>
      <c r="BD145">
        <v>-6.5615799256505571</v>
      </c>
      <c r="BE145">
        <v>-6.6107496902106568</v>
      </c>
      <c r="BF145">
        <v>-6.6599194547707556</v>
      </c>
      <c r="BG145">
        <v>-6.7090892193308544</v>
      </c>
      <c r="BH145">
        <v>-6.7582589838909533</v>
      </c>
      <c r="BI145">
        <v>-6.7944108910891083</v>
      </c>
      <c r="BJ145">
        <v>-6.8193613861386142</v>
      </c>
      <c r="BK145">
        <v>-6.8443019801980203</v>
      </c>
      <c r="BL145">
        <v>-6.8684603960396045</v>
      </c>
      <c r="BM145">
        <v>-6.8926188118811886</v>
      </c>
      <c r="BN145">
        <v>-6.9167772277227728</v>
      </c>
      <c r="BO145">
        <v>-6.940935643564357</v>
      </c>
      <c r="BP145">
        <v>-6.9650940594059412</v>
      </c>
      <c r="BQ145">
        <v>-6.9896336633663365</v>
      </c>
      <c r="BR145">
        <v>-7.0141881188118811</v>
      </c>
      <c r="BS145">
        <v>-7.0354163568773229</v>
      </c>
      <c r="BT145">
        <v>-7.0523680297397764</v>
      </c>
      <c r="BU145">
        <v>-7.0693197026022299</v>
      </c>
      <c r="BV145">
        <v>-7.0862713754646833</v>
      </c>
      <c r="BW145">
        <v>-7.1032230483271368</v>
      </c>
      <c r="BX145">
        <v>-7.1201747211895912</v>
      </c>
      <c r="BY145">
        <v>-7.1371263940520446</v>
      </c>
      <c r="BZ145">
        <v>-7.1540780669144981</v>
      </c>
      <c r="CA145">
        <v>-7.1710297397769516</v>
      </c>
      <c r="CB145">
        <v>-7.187981412639405</v>
      </c>
      <c r="CC145">
        <v>-7.2050990099009899</v>
      </c>
      <c r="CD145">
        <v>-7.2225247524752474</v>
      </c>
      <c r="CE145">
        <v>-7.2399504950495057</v>
      </c>
      <c r="CF145">
        <v>-7.2577029702970304</v>
      </c>
      <c r="CG145">
        <v>-7.2755247524752482</v>
      </c>
      <c r="CH145">
        <v>-7.2933465346534652</v>
      </c>
      <c r="CI145">
        <v>-7.311168316831683</v>
      </c>
      <c r="CJ145">
        <v>-7.3289900990099008</v>
      </c>
      <c r="CK145">
        <v>-7.3468118811881187</v>
      </c>
      <c r="CL145">
        <v>-7.3646336633663365</v>
      </c>
    </row>
    <row r="146" spans="1:90" ht="21.75" thickBot="1" x14ac:dyDescent="0.4">
      <c r="A146" s="30" t="s">
        <v>238</v>
      </c>
      <c r="B146" s="60">
        <v>-62.678811881188125</v>
      </c>
      <c r="C146" s="60">
        <v>-60.98742574257426</v>
      </c>
      <c r="D146" s="60">
        <v>-59.331980198019806</v>
      </c>
      <c r="E146" s="60">
        <v>-57.676534653465346</v>
      </c>
      <c r="F146">
        <v>-56.021089108910893</v>
      </c>
      <c r="G146">
        <v>-54.365643564356432</v>
      </c>
      <c r="H146">
        <v>-52.722970297029704</v>
      </c>
      <c r="I146">
        <v>-51.091287128712864</v>
      </c>
      <c r="J146">
        <v>-49.460544554455439</v>
      </c>
      <c r="K146">
        <v>-47.904108910891082</v>
      </c>
      <c r="L146">
        <v>-46.347673267326734</v>
      </c>
      <c r="M146">
        <v>-44.845297029702969</v>
      </c>
      <c r="N146">
        <v>-43.399752475247524</v>
      </c>
      <c r="O146">
        <v>-41.954207920792079</v>
      </c>
      <c r="P146">
        <v>-40.634455445544553</v>
      </c>
      <c r="Q146">
        <v>-39.319603960396037</v>
      </c>
      <c r="R146">
        <v>-38.065396039603961</v>
      </c>
      <c r="S146">
        <v>-36.889158415841585</v>
      </c>
      <c r="T146">
        <v>-35.712920792079203</v>
      </c>
      <c r="U146">
        <v>-34.752453531598512</v>
      </c>
      <c r="V146">
        <v>-33.81267657992565</v>
      </c>
      <c r="W146">
        <v>-32.872899628252789</v>
      </c>
      <c r="X146">
        <v>-31.933122676579924</v>
      </c>
      <c r="Y146">
        <v>-30.993345724907059</v>
      </c>
      <c r="Z146">
        <v>-30.053568773234197</v>
      </c>
      <c r="AA146">
        <v>-29.113791821561335</v>
      </c>
      <c r="AB146">
        <v>-28.174014869888474</v>
      </c>
      <c r="AC146">
        <v>-27.234237918215609</v>
      </c>
      <c r="AD146">
        <v>-26.294460966542747</v>
      </c>
      <c r="AE146">
        <v>-25.453663366336631</v>
      </c>
      <c r="AF146">
        <v>-24.633861386138612</v>
      </c>
      <c r="AG146">
        <v>-23.827128712871289</v>
      </c>
      <c r="AH146">
        <v>-23.050891089108909</v>
      </c>
      <c r="AI146">
        <v>-22.274653465346532</v>
      </c>
      <c r="AJ146">
        <v>-21.529108910891086</v>
      </c>
      <c r="AK146">
        <v>-20.792475247524749</v>
      </c>
      <c r="AL146">
        <v>-20.066732673267325</v>
      </c>
      <c r="AM146">
        <v>-19.373663366336633</v>
      </c>
      <c r="AN146">
        <v>-18.680594059405941</v>
      </c>
      <c r="AO146">
        <v>-18.013366336633663</v>
      </c>
      <c r="AP146">
        <v>-17.355940594059405</v>
      </c>
      <c r="AQ146">
        <v>-16.706435643564355</v>
      </c>
      <c r="AR146">
        <v>-16.088613861386136</v>
      </c>
      <c r="AS146">
        <v>-15.470792079207921</v>
      </c>
      <c r="AT146">
        <v>-14.877029702970297</v>
      </c>
      <c r="AU146">
        <v>-14.294851485148513</v>
      </c>
      <c r="AV146">
        <v>-13.721584158415839</v>
      </c>
      <c r="AW146">
        <v>-13.198811881188117</v>
      </c>
      <c r="AX146">
        <v>-12.676039603960396</v>
      </c>
      <c r="AY146">
        <v>-12.288612143742256</v>
      </c>
      <c r="AZ146">
        <v>-11.982391573729863</v>
      </c>
      <c r="BA146">
        <v>-11.676171003717473</v>
      </c>
      <c r="BB146">
        <v>-11.369950433705082</v>
      </c>
      <c r="BC146">
        <v>-11.063729863692689</v>
      </c>
      <c r="BD146">
        <v>-10.757509293680299</v>
      </c>
      <c r="BE146">
        <v>-10.451288723667908</v>
      </c>
      <c r="BF146">
        <v>-10.145068153655515</v>
      </c>
      <c r="BG146">
        <v>-9.8388475836431244</v>
      </c>
      <c r="BH146">
        <v>-9.5326270136307336</v>
      </c>
      <c r="BI146">
        <v>-9.2852029702970302</v>
      </c>
      <c r="BJ146">
        <v>-9.0883712871287123</v>
      </c>
      <c r="BK146">
        <v>-8.8917079207920793</v>
      </c>
      <c r="BL146">
        <v>-8.7083415841584149</v>
      </c>
      <c r="BM146">
        <v>-8.5249752475247522</v>
      </c>
      <c r="BN146">
        <v>-8.3474009900990094</v>
      </c>
      <c r="BO146">
        <v>-8.1759158415841586</v>
      </c>
      <c r="BP146">
        <v>-8.0044306930693061</v>
      </c>
      <c r="BQ146">
        <v>-7.8546732673267323</v>
      </c>
      <c r="BR146">
        <v>-7.7057623762376233</v>
      </c>
      <c r="BS146">
        <v>-7.6341003717472118</v>
      </c>
      <c r="BT146">
        <v>-7.6617583643122673</v>
      </c>
      <c r="BU146">
        <v>-7.6894163568773228</v>
      </c>
      <c r="BV146">
        <v>-7.7170743494423792</v>
      </c>
      <c r="BW146">
        <v>-7.7447323420074348</v>
      </c>
      <c r="BX146">
        <v>-7.7723903345724903</v>
      </c>
      <c r="BY146">
        <v>-7.8000483271375458</v>
      </c>
      <c r="BZ146">
        <v>-7.8277063197026022</v>
      </c>
      <c r="CA146">
        <v>-7.8553643122676577</v>
      </c>
      <c r="CB146">
        <v>-7.8830223048327133</v>
      </c>
      <c r="CC146">
        <v>-7.9104257425742572</v>
      </c>
      <c r="CD146">
        <v>-7.9373564356435642</v>
      </c>
      <c r="CE146">
        <v>-7.964287128712872</v>
      </c>
      <c r="CF146">
        <v>-7.9905643564356437</v>
      </c>
      <c r="CG146">
        <v>-8.0167029702970307</v>
      </c>
      <c r="CH146">
        <v>-8.0428415841584169</v>
      </c>
      <c r="CI146">
        <v>-8.068980198019803</v>
      </c>
      <c r="CJ146">
        <v>-8.0951188118811892</v>
      </c>
      <c r="CK146">
        <v>-8.1209504950495059</v>
      </c>
      <c r="CL146">
        <v>-8.1466930693069308</v>
      </c>
    </row>
    <row r="147" spans="1:90" ht="21.75" thickBot="1" x14ac:dyDescent="0.4">
      <c r="A147" s="30" t="s">
        <v>236</v>
      </c>
      <c r="B147" s="60">
        <v>-22.547673267326733</v>
      </c>
      <c r="C147" s="60">
        <v>-22.166188118811881</v>
      </c>
      <c r="D147" s="60">
        <v>-21.85331683168317</v>
      </c>
      <c r="E147" s="60">
        <v>-21.551584158415839</v>
      </c>
      <c r="F147">
        <v>-21.416930693069304</v>
      </c>
      <c r="G147">
        <v>-21.282277227722773</v>
      </c>
      <c r="H147">
        <v>-21.217871287128713</v>
      </c>
      <c r="I147">
        <v>-21.21391089108911</v>
      </c>
      <c r="J147">
        <v>-21.210891089108912</v>
      </c>
      <c r="K147">
        <v>-21.282178217821784</v>
      </c>
      <c r="L147">
        <v>-21.353465346534655</v>
      </c>
      <c r="M147">
        <v>-21.438267326732674</v>
      </c>
      <c r="N147">
        <v>-21.537277227722772</v>
      </c>
      <c r="O147">
        <v>-21.636287128712873</v>
      </c>
      <c r="P147">
        <v>-21.73529702970297</v>
      </c>
      <c r="Q147">
        <v>-21.834306930693071</v>
      </c>
      <c r="R147">
        <v>-21.928118811881188</v>
      </c>
      <c r="S147">
        <v>-22.015247524752475</v>
      </c>
      <c r="T147">
        <v>-22.102376237623762</v>
      </c>
      <c r="U147">
        <v>-22.180557620817844</v>
      </c>
      <c r="V147">
        <v>-22.257881040892194</v>
      </c>
      <c r="W147">
        <v>-22.335204460966544</v>
      </c>
      <c r="X147">
        <v>-22.412527881040891</v>
      </c>
      <c r="Y147">
        <v>-22.489851301115241</v>
      </c>
      <c r="Z147">
        <v>-22.567174721189591</v>
      </c>
      <c r="AA147">
        <v>-22.644498141263941</v>
      </c>
      <c r="AB147">
        <v>-22.721821561338292</v>
      </c>
      <c r="AC147">
        <v>-22.799144981412638</v>
      </c>
      <c r="AD147">
        <v>-22.876468401486989</v>
      </c>
      <c r="AE147">
        <v>-22.974950495049505</v>
      </c>
      <c r="AF147">
        <v>-23.077920792079208</v>
      </c>
      <c r="AG147">
        <v>-23.184455445544554</v>
      </c>
      <c r="AH147">
        <v>-23.299306930693071</v>
      </c>
      <c r="AI147">
        <v>-23.414158415841587</v>
      </c>
      <c r="AJ147">
        <v>-23.525940594059406</v>
      </c>
      <c r="AK147">
        <v>-23.636831683168317</v>
      </c>
      <c r="AL147">
        <v>-23.748712871287129</v>
      </c>
      <c r="AM147">
        <v>-23.863564356435642</v>
      </c>
      <c r="AN147">
        <v>-23.978415841584159</v>
      </c>
      <c r="AO147">
        <v>-24.093267326732676</v>
      </c>
      <c r="AP147">
        <v>-24.208118811881189</v>
      </c>
      <c r="AQ147">
        <v>-24.322178217821783</v>
      </c>
      <c r="AR147">
        <v>-24.433069306930694</v>
      </c>
      <c r="AS147">
        <v>-24.543960396039601</v>
      </c>
      <c r="AT147">
        <v>-24.654851485148512</v>
      </c>
      <c r="AU147">
        <v>-24.765742574257423</v>
      </c>
      <c r="AV147">
        <v>-24.875445544554456</v>
      </c>
      <c r="AW147">
        <v>-24.978415841584159</v>
      </c>
      <c r="AX147">
        <v>-25.081386138613862</v>
      </c>
      <c r="AY147">
        <v>-25.179479553903345</v>
      </c>
      <c r="AZ147">
        <v>-25.274646840148698</v>
      </c>
      <c r="BA147">
        <v>-25.369814126394051</v>
      </c>
      <c r="BB147">
        <v>-25.464981412639403</v>
      </c>
      <c r="BC147">
        <v>-25.560148698884756</v>
      </c>
      <c r="BD147">
        <v>-25.655315985130109</v>
      </c>
      <c r="BE147">
        <v>-25.750483271375465</v>
      </c>
      <c r="BF147">
        <v>-25.845650557620818</v>
      </c>
      <c r="BG147">
        <v>-25.940817843866171</v>
      </c>
      <c r="BH147">
        <v>-26.035985130111523</v>
      </c>
      <c r="BI147">
        <v>-26.135346534653465</v>
      </c>
      <c r="BJ147">
        <v>-26.238316831683168</v>
      </c>
      <c r="BK147">
        <v>-26.341336633663367</v>
      </c>
      <c r="BL147">
        <v>-26.448267326732672</v>
      </c>
      <c r="BM147">
        <v>-26.555198019801981</v>
      </c>
      <c r="BN147">
        <v>-26.660198019801978</v>
      </c>
      <c r="BO147">
        <v>-26.763168316831685</v>
      </c>
      <c r="BP147">
        <v>-26.866138613861388</v>
      </c>
      <c r="BQ147">
        <v>-26.96529702970297</v>
      </c>
      <c r="BR147">
        <v>-27.064306930693071</v>
      </c>
      <c r="BS147">
        <v>-27.155997521685254</v>
      </c>
      <c r="BT147">
        <v>-27.238277571251551</v>
      </c>
      <c r="BU147">
        <v>-27.320557620817844</v>
      </c>
      <c r="BV147">
        <v>-27.402837670384137</v>
      </c>
      <c r="BW147">
        <v>-27.485117719950434</v>
      </c>
      <c r="BX147">
        <v>-27.567397769516727</v>
      </c>
      <c r="BY147">
        <v>-27.649677819083024</v>
      </c>
      <c r="BZ147">
        <v>-27.731957868649317</v>
      </c>
      <c r="CA147">
        <v>-27.814237918215614</v>
      </c>
      <c r="CB147">
        <v>-27.896517967781907</v>
      </c>
      <c r="CC147">
        <v>-27.983267326732673</v>
      </c>
      <c r="CD147">
        <v>-28.078316831683168</v>
      </c>
      <c r="CE147">
        <v>-28.173366336633666</v>
      </c>
      <c r="CF147">
        <v>-28.268415841584158</v>
      </c>
      <c r="CG147">
        <v>-28.363465346534653</v>
      </c>
      <c r="CH147">
        <v>-28.457326732673266</v>
      </c>
      <c r="CI147">
        <v>-28.548415841584159</v>
      </c>
      <c r="CJ147">
        <v>-28.639504950495049</v>
      </c>
      <c r="CK147">
        <v>-28.733663366336632</v>
      </c>
      <c r="CL147">
        <v>-28.828712871287127</v>
      </c>
    </row>
    <row r="148" spans="1:90" ht="21.75" thickBot="1" x14ac:dyDescent="0.4">
      <c r="A148" s="30" t="s">
        <v>234</v>
      </c>
      <c r="B148" s="60">
        <v>-22.547673267326733</v>
      </c>
      <c r="C148" s="60">
        <v>-22.166188118811881</v>
      </c>
      <c r="D148" s="60">
        <v>-21.85331683168317</v>
      </c>
      <c r="E148" s="60">
        <v>-21.551584158415839</v>
      </c>
      <c r="F148">
        <v>-21.416930693069304</v>
      </c>
      <c r="G148">
        <v>-21.282277227722773</v>
      </c>
      <c r="H148">
        <v>-21.217871287128713</v>
      </c>
      <c r="I148">
        <v>-21.21391089108911</v>
      </c>
      <c r="J148">
        <v>-21.210891089108912</v>
      </c>
      <c r="K148">
        <v>-21.282178217821784</v>
      </c>
      <c r="L148">
        <v>-21.353465346534655</v>
      </c>
      <c r="M148">
        <v>-21.438267326732674</v>
      </c>
      <c r="N148">
        <v>-21.537277227722772</v>
      </c>
      <c r="O148">
        <v>-21.636287128712873</v>
      </c>
      <c r="P148">
        <v>-21.73529702970297</v>
      </c>
      <c r="Q148">
        <v>-21.834306930693071</v>
      </c>
      <c r="R148">
        <v>-21.928118811881188</v>
      </c>
      <c r="S148">
        <v>-22.015247524752475</v>
      </c>
      <c r="T148">
        <v>-22.102376237623762</v>
      </c>
      <c r="U148">
        <v>-22.180557620817844</v>
      </c>
      <c r="V148">
        <v>-22.257881040892194</v>
      </c>
      <c r="W148">
        <v>-22.335204460966544</v>
      </c>
      <c r="X148">
        <v>-22.412527881040891</v>
      </c>
      <c r="Y148">
        <v>-22.489851301115241</v>
      </c>
      <c r="Z148">
        <v>-22.567174721189591</v>
      </c>
      <c r="AA148">
        <v>-22.644498141263941</v>
      </c>
      <c r="AB148">
        <v>-22.721821561338292</v>
      </c>
      <c r="AC148">
        <v>-22.799144981412638</v>
      </c>
      <c r="AD148">
        <v>-22.876468401486989</v>
      </c>
      <c r="AE148">
        <v>-22.974950495049505</v>
      </c>
      <c r="AF148">
        <v>-23.077920792079208</v>
      </c>
      <c r="AG148">
        <v>-23.184455445544554</v>
      </c>
      <c r="AH148">
        <v>-23.299306930693071</v>
      </c>
      <c r="AI148">
        <v>-23.414158415841587</v>
      </c>
      <c r="AJ148">
        <v>-23.525940594059406</v>
      </c>
      <c r="AK148">
        <v>-23.636831683168317</v>
      </c>
      <c r="AL148">
        <v>-23.748712871287129</v>
      </c>
      <c r="AM148">
        <v>-23.863564356435642</v>
      </c>
      <c r="AN148">
        <v>-23.978415841584159</v>
      </c>
      <c r="AO148">
        <v>-24.093267326732676</v>
      </c>
      <c r="AP148">
        <v>-24.208118811881189</v>
      </c>
      <c r="AQ148">
        <v>-24.322178217821783</v>
      </c>
      <c r="AR148">
        <v>-24.433069306930694</v>
      </c>
      <c r="AS148">
        <v>-24.543960396039601</v>
      </c>
      <c r="AT148">
        <v>-24.654851485148512</v>
      </c>
      <c r="AU148">
        <v>-24.765742574257423</v>
      </c>
      <c r="AV148">
        <v>-24.875445544554456</v>
      </c>
      <c r="AW148">
        <v>-24.978415841584159</v>
      </c>
      <c r="AX148">
        <v>-25.081386138613862</v>
      </c>
      <c r="AY148">
        <v>-25.179479553903345</v>
      </c>
      <c r="AZ148">
        <v>-25.274646840148698</v>
      </c>
      <c r="BA148">
        <v>-25.369814126394051</v>
      </c>
      <c r="BB148">
        <v>-25.464981412639403</v>
      </c>
      <c r="BC148">
        <v>-25.560148698884756</v>
      </c>
      <c r="BD148">
        <v>-25.655315985130109</v>
      </c>
      <c r="BE148">
        <v>-25.750483271375465</v>
      </c>
      <c r="BF148">
        <v>-25.845650557620818</v>
      </c>
      <c r="BG148">
        <v>-25.940817843866171</v>
      </c>
      <c r="BH148">
        <v>-26.035985130111523</v>
      </c>
      <c r="BI148">
        <v>-26.135346534653465</v>
      </c>
      <c r="BJ148">
        <v>-26.238316831683168</v>
      </c>
      <c r="BK148">
        <v>-26.341336633663367</v>
      </c>
      <c r="BL148">
        <v>-26.448267326732672</v>
      </c>
      <c r="BM148">
        <v>-26.555198019801981</v>
      </c>
      <c r="BN148">
        <v>-26.660198019801978</v>
      </c>
      <c r="BO148">
        <v>-26.763168316831685</v>
      </c>
      <c r="BP148">
        <v>-26.866138613861388</v>
      </c>
      <c r="BQ148">
        <v>-26.96529702970297</v>
      </c>
      <c r="BR148">
        <v>-27.064306930693071</v>
      </c>
      <c r="BS148">
        <v>-27.155997521685254</v>
      </c>
      <c r="BT148">
        <v>-27.238277571251551</v>
      </c>
      <c r="BU148">
        <v>-27.320557620817844</v>
      </c>
      <c r="BV148">
        <v>-27.402837670384137</v>
      </c>
      <c r="BW148">
        <v>-27.485117719950434</v>
      </c>
      <c r="BX148">
        <v>-27.567397769516727</v>
      </c>
      <c r="BY148">
        <v>-27.649677819083024</v>
      </c>
      <c r="BZ148">
        <v>-27.731957868649317</v>
      </c>
      <c r="CA148">
        <v>-27.814237918215614</v>
      </c>
      <c r="CB148">
        <v>-27.896517967781907</v>
      </c>
      <c r="CC148">
        <v>-27.983267326732673</v>
      </c>
      <c r="CD148">
        <v>-28.078316831683168</v>
      </c>
      <c r="CE148">
        <v>-28.173366336633666</v>
      </c>
      <c r="CF148">
        <v>-28.268415841584158</v>
      </c>
      <c r="CG148">
        <v>-28.363465346534653</v>
      </c>
      <c r="CH148">
        <v>-28.457326732673266</v>
      </c>
      <c r="CI148">
        <v>-28.548415841584159</v>
      </c>
      <c r="CJ148">
        <v>-28.639504950495049</v>
      </c>
      <c r="CK148">
        <v>-28.733663366336632</v>
      </c>
      <c r="CL148">
        <v>-28.828712871287127</v>
      </c>
    </row>
    <row r="149" spans="1:90" ht="21.75" thickBot="1" x14ac:dyDescent="0.4">
      <c r="A149" s="30" t="s">
        <v>355</v>
      </c>
      <c r="B149" s="60">
        <v>-22.547673267326733</v>
      </c>
      <c r="C149" s="60">
        <v>-22.166188118811881</v>
      </c>
      <c r="D149" s="60">
        <v>-21.85331683168317</v>
      </c>
      <c r="E149" s="60">
        <v>-21.551584158415839</v>
      </c>
      <c r="F149">
        <v>-21.416930693069304</v>
      </c>
      <c r="G149">
        <v>-21.282277227722773</v>
      </c>
      <c r="H149">
        <v>-21.217871287128713</v>
      </c>
      <c r="I149">
        <v>-21.21391089108911</v>
      </c>
      <c r="J149">
        <v>-21.210891089108912</v>
      </c>
      <c r="K149">
        <v>-21.282178217821784</v>
      </c>
      <c r="L149">
        <v>-21.353465346534655</v>
      </c>
      <c r="M149">
        <v>-21.438267326732674</v>
      </c>
      <c r="N149">
        <v>-21.537277227722772</v>
      </c>
      <c r="O149">
        <v>-21.636287128712873</v>
      </c>
      <c r="P149">
        <v>-21.73529702970297</v>
      </c>
      <c r="Q149">
        <v>-21.834306930693071</v>
      </c>
      <c r="R149">
        <v>-21.928118811881188</v>
      </c>
      <c r="S149">
        <v>-22.015247524752475</v>
      </c>
      <c r="T149">
        <v>-22.102376237623762</v>
      </c>
      <c r="U149">
        <v>-22.180557620817844</v>
      </c>
      <c r="V149">
        <v>-22.257881040892194</v>
      </c>
      <c r="W149">
        <v>-22.335204460966544</v>
      </c>
      <c r="X149">
        <v>-22.412527881040891</v>
      </c>
      <c r="Y149">
        <v>-22.489851301115241</v>
      </c>
      <c r="Z149">
        <v>-22.567174721189591</v>
      </c>
      <c r="AA149">
        <v>-22.644498141263941</v>
      </c>
      <c r="AB149">
        <v>-22.721821561338292</v>
      </c>
      <c r="AC149">
        <v>-22.799144981412638</v>
      </c>
      <c r="AD149">
        <v>-22.876468401486989</v>
      </c>
      <c r="AE149">
        <v>-22.974950495049505</v>
      </c>
      <c r="AF149">
        <v>-23.077920792079208</v>
      </c>
      <c r="AG149">
        <v>-23.184455445544554</v>
      </c>
      <c r="AH149">
        <v>-23.299306930693071</v>
      </c>
      <c r="AI149">
        <v>-23.414158415841587</v>
      </c>
      <c r="AJ149">
        <v>-23.525940594059406</v>
      </c>
      <c r="AK149">
        <v>-23.636831683168317</v>
      </c>
      <c r="AL149">
        <v>-23.748712871287129</v>
      </c>
      <c r="AM149">
        <v>-23.863564356435642</v>
      </c>
      <c r="AN149">
        <v>-23.978415841584159</v>
      </c>
      <c r="AO149">
        <v>-24.093267326732676</v>
      </c>
      <c r="AP149">
        <v>-24.208118811881189</v>
      </c>
      <c r="AQ149">
        <v>-24.322178217821783</v>
      </c>
      <c r="AR149">
        <v>-24.433069306930694</v>
      </c>
      <c r="AS149">
        <v>-24.543960396039601</v>
      </c>
      <c r="AT149">
        <v>-24.654851485148512</v>
      </c>
      <c r="AU149">
        <v>-24.765742574257423</v>
      </c>
      <c r="AV149">
        <v>-24.875445544554456</v>
      </c>
      <c r="AW149">
        <v>-24.978415841584159</v>
      </c>
      <c r="AX149">
        <v>-25.081386138613862</v>
      </c>
      <c r="AY149">
        <v>-25.179479553903345</v>
      </c>
      <c r="AZ149">
        <v>-25.274646840148698</v>
      </c>
      <c r="BA149">
        <v>-25.369814126394051</v>
      </c>
      <c r="BB149">
        <v>-25.464981412639403</v>
      </c>
      <c r="BC149">
        <v>-25.560148698884756</v>
      </c>
      <c r="BD149">
        <v>-25.655315985130109</v>
      </c>
      <c r="BE149">
        <v>-25.750483271375465</v>
      </c>
      <c r="BF149">
        <v>-25.845650557620818</v>
      </c>
      <c r="BG149">
        <v>-25.940817843866171</v>
      </c>
      <c r="BH149">
        <v>-26.035985130111523</v>
      </c>
      <c r="BI149">
        <v>-26.135346534653465</v>
      </c>
      <c r="BJ149">
        <v>-26.238316831683168</v>
      </c>
      <c r="BK149">
        <v>-26.341336633663367</v>
      </c>
      <c r="BL149">
        <v>-26.448267326732672</v>
      </c>
      <c r="BM149">
        <v>-26.555198019801981</v>
      </c>
      <c r="BN149">
        <v>-26.660198019801978</v>
      </c>
      <c r="BO149">
        <v>-26.763168316831685</v>
      </c>
      <c r="BP149">
        <v>-26.866138613861388</v>
      </c>
      <c r="BQ149">
        <v>-26.96529702970297</v>
      </c>
      <c r="BR149">
        <v>-27.064306930693071</v>
      </c>
      <c r="BS149">
        <v>-27.155997521685254</v>
      </c>
      <c r="BT149">
        <v>-27.238277571251551</v>
      </c>
      <c r="BU149">
        <v>-27.320557620817844</v>
      </c>
      <c r="BV149">
        <v>-27.402837670384137</v>
      </c>
      <c r="BW149">
        <v>-27.485117719950434</v>
      </c>
      <c r="BX149">
        <v>-27.567397769516727</v>
      </c>
      <c r="BY149">
        <v>-27.649677819083024</v>
      </c>
      <c r="BZ149">
        <v>-27.731957868649317</v>
      </c>
      <c r="CA149">
        <v>-27.814237918215614</v>
      </c>
      <c r="CB149">
        <v>-27.896517967781907</v>
      </c>
      <c r="CC149">
        <v>-27.983267326732673</v>
      </c>
      <c r="CD149">
        <v>-28.078316831683168</v>
      </c>
      <c r="CE149">
        <v>-28.173366336633666</v>
      </c>
      <c r="CF149">
        <v>-28.268415841584158</v>
      </c>
      <c r="CG149">
        <v>-28.363465346534653</v>
      </c>
      <c r="CH149">
        <v>-28.457326732673266</v>
      </c>
      <c r="CI149">
        <v>-28.548415841584159</v>
      </c>
      <c r="CJ149">
        <v>-28.639504950495049</v>
      </c>
      <c r="CK149">
        <v>-28.733663366336632</v>
      </c>
      <c r="CL149">
        <v>-28.828712871287127</v>
      </c>
    </row>
    <row r="150" spans="1:90" ht="21.75" thickBot="1" x14ac:dyDescent="0.4">
      <c r="A150" s="30" t="s">
        <v>232</v>
      </c>
      <c r="B150" s="60">
        <v>-22.547673267326733</v>
      </c>
      <c r="C150" s="60">
        <v>-22.166188118811881</v>
      </c>
      <c r="D150" s="60">
        <v>-21.85331683168317</v>
      </c>
      <c r="E150" s="60">
        <v>-21.551584158415839</v>
      </c>
      <c r="F150">
        <v>-21.416930693069304</v>
      </c>
      <c r="G150">
        <v>-21.282277227722773</v>
      </c>
      <c r="H150">
        <v>-21.217871287128713</v>
      </c>
      <c r="I150">
        <v>-21.21391089108911</v>
      </c>
      <c r="J150">
        <v>-21.210891089108912</v>
      </c>
      <c r="K150">
        <v>-21.282178217821784</v>
      </c>
      <c r="L150">
        <v>-21.353465346534655</v>
      </c>
      <c r="M150">
        <v>-21.438267326732674</v>
      </c>
      <c r="N150">
        <v>-21.537277227722772</v>
      </c>
      <c r="O150">
        <v>-21.636287128712873</v>
      </c>
      <c r="P150">
        <v>-21.73529702970297</v>
      </c>
      <c r="Q150">
        <v>-21.834306930693071</v>
      </c>
      <c r="R150">
        <v>-21.928118811881188</v>
      </c>
      <c r="S150">
        <v>-22.015247524752475</v>
      </c>
      <c r="T150">
        <v>-22.102376237623762</v>
      </c>
      <c r="U150">
        <v>-22.180557620817844</v>
      </c>
      <c r="V150">
        <v>-22.257881040892194</v>
      </c>
      <c r="W150">
        <v>-22.335204460966544</v>
      </c>
      <c r="X150">
        <v>-22.412527881040891</v>
      </c>
      <c r="Y150">
        <v>-22.489851301115241</v>
      </c>
      <c r="Z150">
        <v>-22.567174721189591</v>
      </c>
      <c r="AA150">
        <v>-22.644498141263941</v>
      </c>
      <c r="AB150">
        <v>-22.721821561338292</v>
      </c>
      <c r="AC150">
        <v>-22.799144981412638</v>
      </c>
      <c r="AD150">
        <v>-22.876468401486989</v>
      </c>
      <c r="AE150">
        <v>-22.974950495049505</v>
      </c>
      <c r="AF150">
        <v>-23.077920792079208</v>
      </c>
      <c r="AG150">
        <v>-23.184455445544554</v>
      </c>
      <c r="AH150">
        <v>-23.299306930693071</v>
      </c>
      <c r="AI150">
        <v>-23.414158415841587</v>
      </c>
      <c r="AJ150">
        <v>-23.525940594059406</v>
      </c>
      <c r="AK150">
        <v>-23.636831683168317</v>
      </c>
      <c r="AL150">
        <v>-23.748712871287129</v>
      </c>
      <c r="AM150">
        <v>-23.863564356435642</v>
      </c>
      <c r="AN150">
        <v>-23.978415841584159</v>
      </c>
      <c r="AO150">
        <v>-24.093267326732676</v>
      </c>
      <c r="AP150">
        <v>-24.208118811881189</v>
      </c>
      <c r="AQ150">
        <v>-24.322178217821783</v>
      </c>
      <c r="AR150">
        <v>-24.433069306930694</v>
      </c>
      <c r="AS150">
        <v>-24.543960396039601</v>
      </c>
      <c r="AT150">
        <v>-24.654851485148512</v>
      </c>
      <c r="AU150">
        <v>-24.765742574257423</v>
      </c>
      <c r="AV150">
        <v>-24.875445544554456</v>
      </c>
      <c r="AW150">
        <v>-24.978415841584159</v>
      </c>
      <c r="AX150">
        <v>-25.081386138613862</v>
      </c>
      <c r="AY150">
        <v>-25.179479553903345</v>
      </c>
      <c r="AZ150">
        <v>-25.274646840148698</v>
      </c>
      <c r="BA150">
        <v>-25.369814126394051</v>
      </c>
      <c r="BB150">
        <v>-25.464981412639403</v>
      </c>
      <c r="BC150">
        <v>-25.560148698884756</v>
      </c>
      <c r="BD150">
        <v>-25.655315985130109</v>
      </c>
      <c r="BE150">
        <v>-25.750483271375465</v>
      </c>
      <c r="BF150">
        <v>-25.845650557620818</v>
      </c>
      <c r="BG150">
        <v>-25.940817843866171</v>
      </c>
      <c r="BH150">
        <v>-26.035985130111523</v>
      </c>
      <c r="BI150">
        <v>-26.135346534653465</v>
      </c>
      <c r="BJ150">
        <v>-26.238316831683168</v>
      </c>
      <c r="BK150">
        <v>-26.341336633663367</v>
      </c>
      <c r="BL150">
        <v>-26.448267326732672</v>
      </c>
      <c r="BM150">
        <v>-26.555198019801981</v>
      </c>
      <c r="BN150">
        <v>-26.660198019801978</v>
      </c>
      <c r="BO150">
        <v>-26.763168316831685</v>
      </c>
      <c r="BP150">
        <v>-26.866138613861388</v>
      </c>
      <c r="BQ150">
        <v>-26.96529702970297</v>
      </c>
      <c r="BR150">
        <v>-27.064306930693071</v>
      </c>
      <c r="BS150">
        <v>-27.155997521685254</v>
      </c>
      <c r="BT150">
        <v>-27.238277571251551</v>
      </c>
      <c r="BU150">
        <v>-27.320557620817844</v>
      </c>
      <c r="BV150">
        <v>-27.402837670384137</v>
      </c>
      <c r="BW150">
        <v>-27.485117719950434</v>
      </c>
      <c r="BX150">
        <v>-27.567397769516727</v>
      </c>
      <c r="BY150">
        <v>-27.649677819083024</v>
      </c>
      <c r="BZ150">
        <v>-27.731957868649317</v>
      </c>
      <c r="CA150">
        <v>-27.814237918215614</v>
      </c>
      <c r="CB150">
        <v>-27.896517967781907</v>
      </c>
      <c r="CC150">
        <v>-27.983267326732673</v>
      </c>
      <c r="CD150">
        <v>-28.078316831683168</v>
      </c>
      <c r="CE150">
        <v>-28.173366336633666</v>
      </c>
      <c r="CF150">
        <v>-28.268415841584158</v>
      </c>
      <c r="CG150">
        <v>-28.363465346534653</v>
      </c>
      <c r="CH150">
        <v>-28.457326732673266</v>
      </c>
      <c r="CI150">
        <v>-28.548415841584159</v>
      </c>
      <c r="CJ150">
        <v>-28.639504950495049</v>
      </c>
      <c r="CK150">
        <v>-28.733663366336632</v>
      </c>
      <c r="CL150">
        <v>-28.828712871287127</v>
      </c>
    </row>
    <row r="151" spans="1:90" ht="21.75" thickBot="1" x14ac:dyDescent="0.4">
      <c r="A151" s="30" t="s">
        <v>370</v>
      </c>
      <c r="B151" s="60">
        <v>-16.351930693069306</v>
      </c>
      <c r="C151" s="60">
        <v>-15.944059405940594</v>
      </c>
      <c r="D151" s="60">
        <v>-15.508415841584158</v>
      </c>
      <c r="E151" s="60">
        <v>-15.067326732673267</v>
      </c>
      <c r="F151">
        <v>-14.544554455445544</v>
      </c>
      <c r="G151">
        <v>-14.021782178217821</v>
      </c>
      <c r="H151">
        <v>-13.475594059405939</v>
      </c>
      <c r="I151">
        <v>-12.909257425742572</v>
      </c>
      <c r="J151">
        <v>-12.343019801980196</v>
      </c>
      <c r="K151">
        <v>-11.784603960396039</v>
      </c>
      <c r="L151">
        <v>-11.226188118811882</v>
      </c>
      <c r="M151">
        <v>-10.687272277227724</v>
      </c>
      <c r="N151">
        <v>-10.168856435643566</v>
      </c>
      <c r="O151">
        <v>-9.6504405940594076</v>
      </c>
      <c r="P151">
        <v>-9.188059405940594</v>
      </c>
      <c r="Q151">
        <v>-8.7278613861386134</v>
      </c>
      <c r="R151">
        <v>-8.3035297029702964</v>
      </c>
      <c r="S151">
        <v>-7.9253118811881187</v>
      </c>
      <c r="T151">
        <v>-7.5470940594059401</v>
      </c>
      <c r="U151">
        <v>-7.37523667905824</v>
      </c>
      <c r="V151">
        <v>-7.2231672862453529</v>
      </c>
      <c r="W151">
        <v>-7.0710978934324658</v>
      </c>
      <c r="X151">
        <v>-6.9190285006195786</v>
      </c>
      <c r="Y151">
        <v>-6.7669591078066915</v>
      </c>
      <c r="Z151">
        <v>-6.6148897149938044</v>
      </c>
      <c r="AA151">
        <v>-6.4628203221809173</v>
      </c>
      <c r="AB151">
        <v>-6.3107509293680302</v>
      </c>
      <c r="AC151">
        <v>-6.1586815365551431</v>
      </c>
      <c r="AD151">
        <v>-6.006612143742255</v>
      </c>
      <c r="AE151">
        <v>-5.9705247524752476</v>
      </c>
      <c r="AF151">
        <v>-5.9590396039603961</v>
      </c>
      <c r="AG151">
        <v>-5.9526633663366333</v>
      </c>
      <c r="AH151">
        <v>-5.9582079207920788</v>
      </c>
      <c r="AI151">
        <v>-5.9637524752475244</v>
      </c>
      <c r="AJ151">
        <v>-5.9751287128712871</v>
      </c>
      <c r="AK151">
        <v>-5.9881980198019802</v>
      </c>
      <c r="AL151">
        <v>-6.0022574257425747</v>
      </c>
      <c r="AM151">
        <v>-6.0192871287128717</v>
      </c>
      <c r="AN151">
        <v>-6.0363168316831688</v>
      </c>
      <c r="AO151">
        <v>-6.0544950495049505</v>
      </c>
      <c r="AP151">
        <v>-6.0731089108910892</v>
      </c>
      <c r="AQ151">
        <v>-6.091960396039604</v>
      </c>
      <c r="AR151">
        <v>-6.1117623762376239</v>
      </c>
      <c r="AS151">
        <v>-6.1315643564356437</v>
      </c>
      <c r="AT151">
        <v>-6.1540396039603964</v>
      </c>
      <c r="AU151">
        <v>-6.1778019801980202</v>
      </c>
      <c r="AV151">
        <v>-6.2031683168316833</v>
      </c>
      <c r="AW151">
        <v>-6.2376237623762378</v>
      </c>
      <c r="AX151">
        <v>-6.2720792079207923</v>
      </c>
      <c r="AY151">
        <v>-6.3157311028500622</v>
      </c>
      <c r="AZ151">
        <v>-6.364900867410161</v>
      </c>
      <c r="BA151">
        <v>-6.4140706319702598</v>
      </c>
      <c r="BB151">
        <v>-6.4632403965303595</v>
      </c>
      <c r="BC151">
        <v>-6.5124101610904583</v>
      </c>
      <c r="BD151">
        <v>-6.5615799256505571</v>
      </c>
      <c r="BE151">
        <v>-6.6107496902106568</v>
      </c>
      <c r="BF151">
        <v>-6.6599194547707556</v>
      </c>
      <c r="BG151">
        <v>-6.7090892193308544</v>
      </c>
      <c r="BH151">
        <v>-6.7582589838909533</v>
      </c>
      <c r="BI151">
        <v>-6.7944108910891083</v>
      </c>
      <c r="BJ151">
        <v>-6.8193613861386142</v>
      </c>
      <c r="BK151">
        <v>-6.8443019801980203</v>
      </c>
      <c r="BL151">
        <v>-6.8684603960396045</v>
      </c>
      <c r="BM151">
        <v>-6.8926188118811886</v>
      </c>
      <c r="BN151">
        <v>-6.9167772277227728</v>
      </c>
      <c r="BO151">
        <v>-6.940935643564357</v>
      </c>
      <c r="BP151">
        <v>-6.9650940594059412</v>
      </c>
      <c r="BQ151">
        <v>-6.9896336633663365</v>
      </c>
      <c r="BR151">
        <v>-7.0141881188118811</v>
      </c>
      <c r="BS151">
        <v>-7.0354163568773229</v>
      </c>
      <c r="BT151">
        <v>-7.0523680297397764</v>
      </c>
      <c r="BU151">
        <v>-7.0693197026022299</v>
      </c>
      <c r="BV151">
        <v>-7.0862713754646833</v>
      </c>
      <c r="BW151">
        <v>-7.1032230483271368</v>
      </c>
      <c r="BX151">
        <v>-7.1201747211895912</v>
      </c>
      <c r="BY151">
        <v>-7.1371263940520446</v>
      </c>
      <c r="BZ151">
        <v>-7.1540780669144981</v>
      </c>
      <c r="CA151">
        <v>-7.1710297397769516</v>
      </c>
      <c r="CB151">
        <v>-7.187981412639405</v>
      </c>
      <c r="CC151">
        <v>-7.2050990099009899</v>
      </c>
      <c r="CD151">
        <v>-7.2225247524752474</v>
      </c>
      <c r="CE151">
        <v>-7.2399504950495057</v>
      </c>
      <c r="CF151">
        <v>-7.2577029702970304</v>
      </c>
      <c r="CG151">
        <v>-7.2755247524752482</v>
      </c>
      <c r="CH151">
        <v>-7.2933465346534652</v>
      </c>
      <c r="CI151">
        <v>-7.311168316831683</v>
      </c>
      <c r="CJ151">
        <v>-7.3289900990099008</v>
      </c>
      <c r="CK151">
        <v>-7.3468118811881187</v>
      </c>
      <c r="CL151">
        <v>-7.3646336633663365</v>
      </c>
    </row>
    <row r="152" spans="1:90" ht="21.75" thickBot="1" x14ac:dyDescent="0.4">
      <c r="A152" s="30" t="s">
        <v>354</v>
      </c>
      <c r="B152" s="60">
        <v>-62.678811881188125</v>
      </c>
      <c r="C152" s="60">
        <v>-60.98742574257426</v>
      </c>
      <c r="D152" s="60">
        <v>-59.331980198019806</v>
      </c>
      <c r="E152" s="60">
        <v>-57.676534653465346</v>
      </c>
      <c r="F152">
        <v>-56.021089108910893</v>
      </c>
      <c r="G152">
        <v>-54.365643564356432</v>
      </c>
      <c r="H152">
        <v>-52.722970297029704</v>
      </c>
      <c r="I152">
        <v>-51.091287128712864</v>
      </c>
      <c r="J152">
        <v>-49.460544554455439</v>
      </c>
      <c r="K152">
        <v>-47.904108910891082</v>
      </c>
      <c r="L152">
        <v>-46.347673267326734</v>
      </c>
      <c r="M152">
        <v>-44.845297029702969</v>
      </c>
      <c r="N152">
        <v>-43.399752475247524</v>
      </c>
      <c r="O152">
        <v>-41.954207920792079</v>
      </c>
      <c r="P152">
        <v>-40.634455445544553</v>
      </c>
      <c r="Q152">
        <v>-39.319603960396037</v>
      </c>
      <c r="R152">
        <v>-38.065396039603961</v>
      </c>
      <c r="S152">
        <v>-36.889158415841585</v>
      </c>
      <c r="T152">
        <v>-35.712920792079203</v>
      </c>
      <c r="U152">
        <v>-34.752453531598512</v>
      </c>
      <c r="V152">
        <v>-33.81267657992565</v>
      </c>
      <c r="W152">
        <v>-32.872899628252789</v>
      </c>
      <c r="X152">
        <v>-31.933122676579924</v>
      </c>
      <c r="Y152">
        <v>-30.993345724907059</v>
      </c>
      <c r="Z152">
        <v>-30.053568773234197</v>
      </c>
      <c r="AA152">
        <v>-29.113791821561335</v>
      </c>
      <c r="AB152">
        <v>-28.174014869888474</v>
      </c>
      <c r="AC152">
        <v>-27.234237918215609</v>
      </c>
      <c r="AD152">
        <v>-26.294460966542747</v>
      </c>
      <c r="AE152">
        <v>-25.453663366336631</v>
      </c>
      <c r="AF152">
        <v>-24.633861386138612</v>
      </c>
      <c r="AG152">
        <v>-23.827128712871289</v>
      </c>
      <c r="AH152">
        <v>-23.050891089108909</v>
      </c>
      <c r="AI152">
        <v>-22.274653465346532</v>
      </c>
      <c r="AJ152">
        <v>-21.529108910891086</v>
      </c>
      <c r="AK152">
        <v>-20.792475247524749</v>
      </c>
      <c r="AL152">
        <v>-20.066732673267325</v>
      </c>
      <c r="AM152">
        <v>-19.373663366336633</v>
      </c>
      <c r="AN152">
        <v>-18.680594059405941</v>
      </c>
      <c r="AO152">
        <v>-18.013366336633663</v>
      </c>
      <c r="AP152">
        <v>-17.355940594059405</v>
      </c>
      <c r="AQ152">
        <v>-16.706435643564355</v>
      </c>
      <c r="AR152">
        <v>-16.088613861386136</v>
      </c>
      <c r="AS152">
        <v>-15.470792079207921</v>
      </c>
      <c r="AT152">
        <v>-14.877029702970297</v>
      </c>
      <c r="AU152">
        <v>-14.294851485148513</v>
      </c>
      <c r="AV152">
        <v>-13.721584158415839</v>
      </c>
      <c r="AW152">
        <v>-13.198811881188117</v>
      </c>
      <c r="AX152">
        <v>-12.676039603960396</v>
      </c>
      <c r="AY152">
        <v>-12.288612143742256</v>
      </c>
      <c r="AZ152">
        <v>-11.982391573729863</v>
      </c>
      <c r="BA152">
        <v>-11.676171003717473</v>
      </c>
      <c r="BB152">
        <v>-11.369950433705082</v>
      </c>
      <c r="BC152">
        <v>-11.063729863692689</v>
      </c>
      <c r="BD152">
        <v>-10.757509293680299</v>
      </c>
      <c r="BE152">
        <v>-10.451288723667908</v>
      </c>
      <c r="BF152">
        <v>-10.145068153655515</v>
      </c>
      <c r="BG152">
        <v>-9.8388475836431244</v>
      </c>
      <c r="BH152">
        <v>-9.5326270136307336</v>
      </c>
      <c r="BI152">
        <v>-9.2852029702970302</v>
      </c>
      <c r="BJ152">
        <v>-9.0883712871287123</v>
      </c>
      <c r="BK152">
        <v>-8.8917079207920793</v>
      </c>
      <c r="BL152">
        <v>-8.7083415841584149</v>
      </c>
      <c r="BM152">
        <v>-8.5249752475247522</v>
      </c>
      <c r="BN152">
        <v>-8.3474009900990094</v>
      </c>
      <c r="BO152">
        <v>-8.1759158415841586</v>
      </c>
      <c r="BP152">
        <v>-8.0044306930693061</v>
      </c>
      <c r="BQ152">
        <v>-7.8546732673267323</v>
      </c>
      <c r="BR152">
        <v>-7.7057623762376233</v>
      </c>
      <c r="BS152">
        <v>-7.6341003717472118</v>
      </c>
      <c r="BT152">
        <v>-7.6617583643122673</v>
      </c>
      <c r="BU152">
        <v>-7.6894163568773228</v>
      </c>
      <c r="BV152">
        <v>-7.7170743494423792</v>
      </c>
      <c r="BW152">
        <v>-7.7447323420074348</v>
      </c>
      <c r="BX152">
        <v>-7.7723903345724903</v>
      </c>
      <c r="BY152">
        <v>-7.8000483271375458</v>
      </c>
      <c r="BZ152">
        <v>-7.8277063197026022</v>
      </c>
      <c r="CA152">
        <v>-7.8553643122676577</v>
      </c>
      <c r="CB152">
        <v>-7.8830223048327133</v>
      </c>
      <c r="CC152">
        <v>-7.9104257425742572</v>
      </c>
      <c r="CD152">
        <v>-7.9373564356435642</v>
      </c>
      <c r="CE152">
        <v>-7.964287128712872</v>
      </c>
      <c r="CF152">
        <v>-7.9905643564356437</v>
      </c>
      <c r="CG152">
        <v>-8.0167029702970307</v>
      </c>
      <c r="CH152">
        <v>-8.0428415841584169</v>
      </c>
      <c r="CI152">
        <v>-8.068980198019803</v>
      </c>
      <c r="CJ152">
        <v>-8.0951188118811892</v>
      </c>
      <c r="CK152">
        <v>-8.1209504950495059</v>
      </c>
      <c r="CL152">
        <v>-8.1466930693069308</v>
      </c>
    </row>
    <row r="153" spans="1:90" ht="21.75" thickBot="1" x14ac:dyDescent="0.4">
      <c r="A153" s="30" t="s">
        <v>353</v>
      </c>
      <c r="B153" s="60">
        <v>-16.351930693069306</v>
      </c>
      <c r="C153" s="60">
        <v>-15.944059405940594</v>
      </c>
      <c r="D153" s="60">
        <v>-15.508415841584158</v>
      </c>
      <c r="E153" s="60">
        <v>-15.067326732673267</v>
      </c>
      <c r="F153">
        <v>-14.544554455445544</v>
      </c>
      <c r="G153">
        <v>-14.021782178217821</v>
      </c>
      <c r="H153">
        <v>-13.475594059405939</v>
      </c>
      <c r="I153">
        <v>-12.909257425742572</v>
      </c>
      <c r="J153">
        <v>-12.343019801980196</v>
      </c>
      <c r="K153">
        <v>-11.784603960396039</v>
      </c>
      <c r="L153">
        <v>-11.226188118811882</v>
      </c>
      <c r="M153">
        <v>-10.687272277227724</v>
      </c>
      <c r="N153">
        <v>-10.168856435643566</v>
      </c>
      <c r="O153">
        <v>-9.6504405940594076</v>
      </c>
      <c r="P153">
        <v>-9.188059405940594</v>
      </c>
      <c r="Q153">
        <v>-8.7278613861386134</v>
      </c>
      <c r="R153">
        <v>-8.3035297029702964</v>
      </c>
      <c r="S153">
        <v>-7.9253118811881187</v>
      </c>
      <c r="T153">
        <v>-7.5470940594059401</v>
      </c>
      <c r="U153">
        <v>-7.37523667905824</v>
      </c>
      <c r="V153">
        <v>-7.2231672862453529</v>
      </c>
      <c r="W153">
        <v>-7.0710978934324658</v>
      </c>
      <c r="X153">
        <v>-6.9190285006195786</v>
      </c>
      <c r="Y153">
        <v>-6.7669591078066915</v>
      </c>
      <c r="Z153">
        <v>-6.6148897149938044</v>
      </c>
      <c r="AA153">
        <v>-6.4628203221809173</v>
      </c>
      <c r="AB153">
        <v>-6.3107509293680302</v>
      </c>
      <c r="AC153">
        <v>-6.1586815365551431</v>
      </c>
      <c r="AD153">
        <v>-6.006612143742255</v>
      </c>
      <c r="AE153">
        <v>-5.9705247524752476</v>
      </c>
      <c r="AF153">
        <v>-5.9590396039603961</v>
      </c>
      <c r="AG153">
        <v>-5.9526633663366333</v>
      </c>
      <c r="AH153">
        <v>-5.9582079207920788</v>
      </c>
      <c r="AI153">
        <v>-5.9637524752475244</v>
      </c>
      <c r="AJ153">
        <v>-5.9751287128712871</v>
      </c>
      <c r="AK153">
        <v>-5.9881980198019802</v>
      </c>
      <c r="AL153">
        <v>-6.0022574257425747</v>
      </c>
      <c r="AM153">
        <v>-6.0192871287128717</v>
      </c>
      <c r="AN153">
        <v>-6.0363168316831688</v>
      </c>
      <c r="AO153">
        <v>-6.0544950495049505</v>
      </c>
      <c r="AP153">
        <v>-6.0731089108910892</v>
      </c>
      <c r="AQ153">
        <v>-6.091960396039604</v>
      </c>
      <c r="AR153">
        <v>-6.1117623762376239</v>
      </c>
      <c r="AS153">
        <v>-6.1315643564356437</v>
      </c>
      <c r="AT153">
        <v>-6.1540396039603964</v>
      </c>
      <c r="AU153">
        <v>-6.1778019801980202</v>
      </c>
      <c r="AV153">
        <v>-6.2031683168316833</v>
      </c>
      <c r="AW153">
        <v>-6.2376237623762378</v>
      </c>
      <c r="AX153">
        <v>-6.2720792079207923</v>
      </c>
      <c r="AY153">
        <v>-6.3157311028500622</v>
      </c>
      <c r="AZ153">
        <v>-6.364900867410161</v>
      </c>
      <c r="BA153">
        <v>-6.4140706319702598</v>
      </c>
      <c r="BB153">
        <v>-6.4632403965303595</v>
      </c>
      <c r="BC153">
        <v>-6.5124101610904583</v>
      </c>
      <c r="BD153">
        <v>-6.5615799256505571</v>
      </c>
      <c r="BE153">
        <v>-6.6107496902106568</v>
      </c>
      <c r="BF153">
        <v>-6.6599194547707556</v>
      </c>
      <c r="BG153">
        <v>-6.7090892193308544</v>
      </c>
      <c r="BH153">
        <v>-6.7582589838909533</v>
      </c>
      <c r="BI153">
        <v>-6.7944108910891083</v>
      </c>
      <c r="BJ153">
        <v>-6.8193613861386142</v>
      </c>
      <c r="BK153">
        <v>-6.8443019801980203</v>
      </c>
      <c r="BL153">
        <v>-6.8684603960396045</v>
      </c>
      <c r="BM153">
        <v>-6.8926188118811886</v>
      </c>
      <c r="BN153">
        <v>-6.9167772277227728</v>
      </c>
      <c r="BO153">
        <v>-6.940935643564357</v>
      </c>
      <c r="BP153">
        <v>-6.9650940594059412</v>
      </c>
      <c r="BQ153">
        <v>-6.9896336633663365</v>
      </c>
      <c r="BR153">
        <v>-7.0141881188118811</v>
      </c>
      <c r="BS153">
        <v>-7.0354163568773229</v>
      </c>
      <c r="BT153">
        <v>-7.0523680297397764</v>
      </c>
      <c r="BU153">
        <v>-7.0693197026022299</v>
      </c>
      <c r="BV153">
        <v>-7.0862713754646833</v>
      </c>
      <c r="BW153">
        <v>-7.1032230483271368</v>
      </c>
      <c r="BX153">
        <v>-7.1201747211895912</v>
      </c>
      <c r="BY153">
        <v>-7.1371263940520446</v>
      </c>
      <c r="BZ153">
        <v>-7.1540780669144981</v>
      </c>
      <c r="CA153">
        <v>-7.1710297397769516</v>
      </c>
      <c r="CB153">
        <v>-7.187981412639405</v>
      </c>
      <c r="CC153">
        <v>-7.2050990099009899</v>
      </c>
      <c r="CD153">
        <v>-7.2225247524752474</v>
      </c>
      <c r="CE153">
        <v>-7.2399504950495057</v>
      </c>
      <c r="CF153">
        <v>-7.2577029702970304</v>
      </c>
      <c r="CG153">
        <v>-7.2755247524752482</v>
      </c>
      <c r="CH153">
        <v>-7.2933465346534652</v>
      </c>
      <c r="CI153">
        <v>-7.311168316831683</v>
      </c>
      <c r="CJ153">
        <v>-7.3289900990099008</v>
      </c>
      <c r="CK153">
        <v>-7.3468118811881187</v>
      </c>
      <c r="CL153">
        <v>-7.3646336633663365</v>
      </c>
    </row>
    <row r="154" spans="1:90" ht="21.75" thickBot="1" x14ac:dyDescent="0.4">
      <c r="A154" s="30" t="s">
        <v>35</v>
      </c>
      <c r="B154" s="60">
        <v>-18.811633663366337</v>
      </c>
      <c r="C154" s="60">
        <v>-18.807673267326731</v>
      </c>
      <c r="D154" s="60">
        <v>-18.803712871287129</v>
      </c>
      <c r="E154" s="60">
        <v>-18.800247524752475</v>
      </c>
      <c r="F154">
        <v>-18.804207920792081</v>
      </c>
      <c r="G154">
        <v>-18.808168316831683</v>
      </c>
      <c r="H154">
        <v>-18.812128712871285</v>
      </c>
      <c r="I154">
        <v>-18.816089108910891</v>
      </c>
      <c r="J154">
        <v>-18.820099009900989</v>
      </c>
      <c r="K154">
        <v>-18.828019801980197</v>
      </c>
      <c r="L154">
        <v>-18.835940594059405</v>
      </c>
      <c r="M154">
        <v>-18.845792079207921</v>
      </c>
      <c r="N154">
        <v>-18.857673267326732</v>
      </c>
      <c r="O154">
        <v>-18.869554455445545</v>
      </c>
      <c r="P154">
        <v>-18.881435643564355</v>
      </c>
      <c r="Q154">
        <v>-18.893316831683169</v>
      </c>
      <c r="R154">
        <v>-18.905198019801979</v>
      </c>
      <c r="S154">
        <v>-18.917079207920793</v>
      </c>
      <c r="T154">
        <v>-18.928960396039603</v>
      </c>
      <c r="U154">
        <v>-18.941759603469642</v>
      </c>
      <c r="V154">
        <v>-18.954646840148698</v>
      </c>
      <c r="W154">
        <v>-18.967534076827757</v>
      </c>
      <c r="X154">
        <v>-18.980421313506813</v>
      </c>
      <c r="Y154">
        <v>-18.993308550185873</v>
      </c>
      <c r="Z154">
        <v>-19.006195786864932</v>
      </c>
      <c r="AA154">
        <v>-19.019083023543988</v>
      </c>
      <c r="AB154">
        <v>-19.031970260223048</v>
      </c>
      <c r="AC154">
        <v>-19.044857496902104</v>
      </c>
      <c r="AD154">
        <v>-19.057744733581163</v>
      </c>
      <c r="AE154">
        <v>-19.073069306930691</v>
      </c>
      <c r="AF154">
        <v>-19.08891089108911</v>
      </c>
      <c r="AG154">
        <v>-19.104752475247526</v>
      </c>
      <c r="AH154">
        <v>-19.120594059405942</v>
      </c>
      <c r="AI154">
        <v>-19.136435643564358</v>
      </c>
      <c r="AJ154">
        <v>-19.152277227722774</v>
      </c>
      <c r="AK154">
        <v>-19.16811881188119</v>
      </c>
      <c r="AL154">
        <v>-19.183960396039602</v>
      </c>
      <c r="AM154">
        <v>-19.199801980198018</v>
      </c>
      <c r="AN154">
        <v>-19.215643564356434</v>
      </c>
      <c r="AO154">
        <v>-19.231485148514849</v>
      </c>
      <c r="AP154">
        <v>-19.247326732673269</v>
      </c>
      <c r="AQ154">
        <v>-19.263168316831685</v>
      </c>
      <c r="AR154">
        <v>-19.279009900990101</v>
      </c>
      <c r="AS154">
        <v>-19.294851485148516</v>
      </c>
      <c r="AT154">
        <v>-19.310693069306932</v>
      </c>
      <c r="AU154">
        <v>-19.326534653465348</v>
      </c>
      <c r="AV154">
        <v>-19.341782178217823</v>
      </c>
      <c r="AW154">
        <v>-19.353663366336633</v>
      </c>
      <c r="AX154">
        <v>-19.365544554455447</v>
      </c>
      <c r="AY154">
        <v>-19.373717472118962</v>
      </c>
      <c r="AZ154">
        <v>-19.379665427509295</v>
      </c>
      <c r="BA154">
        <v>-19.385613382899628</v>
      </c>
      <c r="BB154">
        <v>-19.391561338289964</v>
      </c>
      <c r="BC154">
        <v>-19.397509293680297</v>
      </c>
      <c r="BD154">
        <v>-19.403457249070634</v>
      </c>
      <c r="BE154">
        <v>-19.409405204460967</v>
      </c>
      <c r="BF154">
        <v>-19.4153531598513</v>
      </c>
      <c r="BG154">
        <v>-19.421301115241636</v>
      </c>
      <c r="BH154">
        <v>-19.427249070631969</v>
      </c>
      <c r="BI154">
        <v>-19.438514851485149</v>
      </c>
      <c r="BJ154">
        <v>-19.454356435643565</v>
      </c>
      <c r="BK154">
        <v>-19.47019801980198</v>
      </c>
      <c r="BL154">
        <v>-19.486039603960396</v>
      </c>
      <c r="BM154">
        <v>-19.501881188118812</v>
      </c>
      <c r="BN154">
        <v>-19.517722772277228</v>
      </c>
      <c r="BO154">
        <v>-19.533564356435644</v>
      </c>
      <c r="BP154">
        <v>-19.54940594059406</v>
      </c>
      <c r="BQ154">
        <v>-19.565247524752476</v>
      </c>
      <c r="BR154">
        <v>-19.581089108910891</v>
      </c>
      <c r="BS154">
        <v>-19.596505576208177</v>
      </c>
      <c r="BT154">
        <v>-19.611375464684013</v>
      </c>
      <c r="BU154">
        <v>-19.626245353159852</v>
      </c>
      <c r="BV154">
        <v>-19.641115241635688</v>
      </c>
      <c r="BW154">
        <v>-19.655985130111524</v>
      </c>
      <c r="BX154">
        <v>-19.670855018587361</v>
      </c>
      <c r="BY154">
        <v>-19.685724907063197</v>
      </c>
      <c r="BZ154">
        <v>-19.700594795539033</v>
      </c>
      <c r="CA154">
        <v>-19.715464684014869</v>
      </c>
      <c r="CB154">
        <v>-19.730334572490705</v>
      </c>
      <c r="CC154">
        <v>-19.744158415841582</v>
      </c>
      <c r="CD154">
        <v>-19.756039603960396</v>
      </c>
      <c r="CE154">
        <v>-19.767920792079206</v>
      </c>
      <c r="CF154">
        <v>-19.783069306930692</v>
      </c>
      <c r="CG154">
        <v>-19.798910891089108</v>
      </c>
      <c r="CH154">
        <v>-19.814752475247523</v>
      </c>
      <c r="CI154">
        <v>-19.830594059405939</v>
      </c>
      <c r="CJ154">
        <v>-19.846435643564359</v>
      </c>
      <c r="CK154">
        <v>-19.85920792079208</v>
      </c>
      <c r="CL154">
        <v>-19.871089108910891</v>
      </c>
    </row>
    <row r="155" spans="1:90" ht="21.75" thickBot="1" x14ac:dyDescent="0.4">
      <c r="A155" s="30" t="s">
        <v>5</v>
      </c>
      <c r="B155" s="60">
        <v>-62.678811881188125</v>
      </c>
      <c r="C155" s="60">
        <v>-60.98742574257426</v>
      </c>
      <c r="D155" s="60">
        <v>-59.331980198019806</v>
      </c>
      <c r="E155" s="60">
        <v>-57.676534653465346</v>
      </c>
      <c r="F155">
        <v>-56.021089108910893</v>
      </c>
      <c r="G155">
        <v>-54.365643564356432</v>
      </c>
      <c r="H155">
        <v>-52.722970297029704</v>
      </c>
      <c r="I155">
        <v>-51.091287128712864</v>
      </c>
      <c r="J155">
        <v>-49.460544554455439</v>
      </c>
      <c r="K155">
        <v>-47.904108910891082</v>
      </c>
      <c r="L155">
        <v>-46.347673267326734</v>
      </c>
      <c r="M155">
        <v>-44.845297029702969</v>
      </c>
      <c r="N155">
        <v>-43.399752475247524</v>
      </c>
      <c r="O155">
        <v>-41.954207920792079</v>
      </c>
      <c r="P155">
        <v>-40.634455445544553</v>
      </c>
      <c r="Q155">
        <v>-39.319603960396037</v>
      </c>
      <c r="R155">
        <v>-38.065396039603961</v>
      </c>
      <c r="S155">
        <v>-36.889158415841585</v>
      </c>
      <c r="T155">
        <v>-35.712920792079203</v>
      </c>
      <c r="U155">
        <v>-34.752453531598512</v>
      </c>
      <c r="V155">
        <v>-33.81267657992565</v>
      </c>
      <c r="W155">
        <v>-32.872899628252789</v>
      </c>
      <c r="X155">
        <v>-31.933122676579924</v>
      </c>
      <c r="Y155">
        <v>-30.993345724907059</v>
      </c>
      <c r="Z155">
        <v>-30.053568773234197</v>
      </c>
      <c r="AA155">
        <v>-29.113791821561335</v>
      </c>
      <c r="AB155">
        <v>-28.174014869888474</v>
      </c>
      <c r="AC155">
        <v>-27.234237918215609</v>
      </c>
      <c r="AD155">
        <v>-26.294460966542747</v>
      </c>
      <c r="AE155">
        <v>-25.453663366336631</v>
      </c>
      <c r="AF155">
        <v>-24.633861386138612</v>
      </c>
      <c r="AG155">
        <v>-23.827128712871289</v>
      </c>
      <c r="AH155">
        <v>-23.050891089108909</v>
      </c>
      <c r="AI155">
        <v>-22.274653465346532</v>
      </c>
      <c r="AJ155">
        <v>-21.529108910891086</v>
      </c>
      <c r="AK155">
        <v>-20.792475247524749</v>
      </c>
      <c r="AL155">
        <v>-20.066732673267325</v>
      </c>
      <c r="AM155">
        <v>-19.373663366336633</v>
      </c>
      <c r="AN155">
        <v>-18.680594059405941</v>
      </c>
      <c r="AO155">
        <v>-18.013366336633663</v>
      </c>
      <c r="AP155">
        <v>-17.355940594059405</v>
      </c>
      <c r="AQ155">
        <v>-16.706435643564355</v>
      </c>
      <c r="AR155">
        <v>-16.088613861386136</v>
      </c>
      <c r="AS155">
        <v>-15.470792079207921</v>
      </c>
      <c r="AT155">
        <v>-14.877029702970297</v>
      </c>
      <c r="AU155">
        <v>-14.294851485148513</v>
      </c>
      <c r="AV155">
        <v>-13.721584158415839</v>
      </c>
      <c r="AW155">
        <v>-13.198811881188117</v>
      </c>
      <c r="AX155">
        <v>-12.676039603960396</v>
      </c>
      <c r="AY155">
        <v>-12.288612143742256</v>
      </c>
      <c r="AZ155">
        <v>-11.982391573729863</v>
      </c>
      <c r="BA155">
        <v>-11.676171003717473</v>
      </c>
      <c r="BB155">
        <v>-11.369950433705082</v>
      </c>
      <c r="BC155">
        <v>-11.063729863692689</v>
      </c>
      <c r="BD155">
        <v>-10.757509293680299</v>
      </c>
      <c r="BE155">
        <v>-10.451288723667908</v>
      </c>
      <c r="BF155">
        <v>-10.145068153655515</v>
      </c>
      <c r="BG155">
        <v>-9.8388475836431244</v>
      </c>
      <c r="BH155">
        <v>-9.5326270136307336</v>
      </c>
      <c r="BI155">
        <v>-9.2852029702970302</v>
      </c>
      <c r="BJ155">
        <v>-9.0883712871287123</v>
      </c>
      <c r="BK155">
        <v>-8.8917079207920793</v>
      </c>
      <c r="BL155">
        <v>-8.7083415841584149</v>
      </c>
      <c r="BM155">
        <v>-8.5249752475247522</v>
      </c>
      <c r="BN155">
        <v>-8.3474009900990094</v>
      </c>
      <c r="BO155">
        <v>-8.1759158415841586</v>
      </c>
      <c r="BP155">
        <v>-8.0044306930693061</v>
      </c>
      <c r="BQ155">
        <v>-7.8546732673267323</v>
      </c>
      <c r="BR155">
        <v>-7.7057623762376233</v>
      </c>
      <c r="BS155">
        <v>-7.6341003717472118</v>
      </c>
      <c r="BT155">
        <v>-7.6617583643122673</v>
      </c>
      <c r="BU155">
        <v>-7.6894163568773228</v>
      </c>
      <c r="BV155">
        <v>-7.7170743494423792</v>
      </c>
      <c r="BW155">
        <v>-7.7447323420074348</v>
      </c>
      <c r="BX155">
        <v>-7.7723903345724903</v>
      </c>
      <c r="BY155">
        <v>-7.8000483271375458</v>
      </c>
      <c r="BZ155">
        <v>-7.8277063197026022</v>
      </c>
      <c r="CA155">
        <v>-7.8553643122676577</v>
      </c>
      <c r="CB155">
        <v>-7.8830223048327133</v>
      </c>
      <c r="CC155">
        <v>-7.9104257425742572</v>
      </c>
      <c r="CD155">
        <v>-7.9373564356435642</v>
      </c>
      <c r="CE155">
        <v>-7.964287128712872</v>
      </c>
      <c r="CF155">
        <v>-7.9905643564356437</v>
      </c>
      <c r="CG155">
        <v>-8.0167029702970307</v>
      </c>
      <c r="CH155">
        <v>-8.0428415841584169</v>
      </c>
      <c r="CI155">
        <v>-8.068980198019803</v>
      </c>
      <c r="CJ155">
        <v>-8.0951188118811892</v>
      </c>
      <c r="CK155">
        <v>-8.1209504950495059</v>
      </c>
      <c r="CL155">
        <v>-8.1466930693069308</v>
      </c>
    </row>
    <row r="156" spans="1:90" ht="21.75" thickBot="1" x14ac:dyDescent="0.4">
      <c r="A156" s="30" t="s">
        <v>6</v>
      </c>
      <c r="B156" s="60">
        <v>-16.351930693069306</v>
      </c>
      <c r="C156" s="60">
        <v>-15.944059405940594</v>
      </c>
      <c r="D156" s="60">
        <v>-15.508415841584158</v>
      </c>
      <c r="E156" s="60">
        <v>-15.067326732673267</v>
      </c>
      <c r="F156">
        <v>-14.544554455445544</v>
      </c>
      <c r="G156">
        <v>-14.021782178217821</v>
      </c>
      <c r="H156">
        <v>-13.475594059405939</v>
      </c>
      <c r="I156">
        <v>-12.909257425742572</v>
      </c>
      <c r="J156">
        <v>-12.343019801980196</v>
      </c>
      <c r="K156">
        <v>-11.784603960396039</v>
      </c>
      <c r="L156">
        <v>-11.226188118811882</v>
      </c>
      <c r="M156">
        <v>-10.687272277227724</v>
      </c>
      <c r="N156">
        <v>-10.168856435643566</v>
      </c>
      <c r="O156">
        <v>-9.6504405940594076</v>
      </c>
      <c r="P156">
        <v>-9.188059405940594</v>
      </c>
      <c r="Q156">
        <v>-8.7278613861386134</v>
      </c>
      <c r="R156">
        <v>-8.3035297029702964</v>
      </c>
      <c r="S156">
        <v>-7.9253118811881187</v>
      </c>
      <c r="T156">
        <v>-7.5470940594059401</v>
      </c>
      <c r="U156">
        <v>-7.37523667905824</v>
      </c>
      <c r="V156">
        <v>-7.2231672862453529</v>
      </c>
      <c r="W156">
        <v>-7.0710978934324658</v>
      </c>
      <c r="X156">
        <v>-6.9190285006195786</v>
      </c>
      <c r="Y156">
        <v>-6.7669591078066915</v>
      </c>
      <c r="Z156">
        <v>-6.6148897149938044</v>
      </c>
      <c r="AA156">
        <v>-6.4628203221809173</v>
      </c>
      <c r="AB156">
        <v>-6.3107509293680302</v>
      </c>
      <c r="AC156">
        <v>-6.1586815365551431</v>
      </c>
      <c r="AD156">
        <v>-6.006612143742255</v>
      </c>
      <c r="AE156">
        <v>-5.9705247524752476</v>
      </c>
      <c r="AF156">
        <v>-5.9590396039603961</v>
      </c>
      <c r="AG156">
        <v>-5.9526633663366333</v>
      </c>
      <c r="AH156">
        <v>-5.9582079207920788</v>
      </c>
      <c r="AI156">
        <v>-5.9637524752475244</v>
      </c>
      <c r="AJ156">
        <v>-5.9751287128712871</v>
      </c>
      <c r="AK156">
        <v>-5.9881980198019802</v>
      </c>
      <c r="AL156">
        <v>-6.0022574257425747</v>
      </c>
      <c r="AM156">
        <v>-6.0192871287128717</v>
      </c>
      <c r="AN156">
        <v>-6.0363168316831688</v>
      </c>
      <c r="AO156">
        <v>-6.0544950495049505</v>
      </c>
      <c r="AP156">
        <v>-6.0731089108910892</v>
      </c>
      <c r="AQ156">
        <v>-6.091960396039604</v>
      </c>
      <c r="AR156">
        <v>-6.1117623762376239</v>
      </c>
      <c r="AS156">
        <v>-6.1315643564356437</v>
      </c>
      <c r="AT156">
        <v>-6.1540396039603964</v>
      </c>
      <c r="AU156">
        <v>-6.1778019801980202</v>
      </c>
      <c r="AV156">
        <v>-6.2031683168316833</v>
      </c>
      <c r="AW156">
        <v>-6.2376237623762378</v>
      </c>
      <c r="AX156">
        <v>-6.2720792079207923</v>
      </c>
      <c r="AY156">
        <v>-6.3157311028500622</v>
      </c>
      <c r="AZ156">
        <v>-6.364900867410161</v>
      </c>
      <c r="BA156">
        <v>-6.4140706319702598</v>
      </c>
      <c r="BB156">
        <v>-6.4632403965303595</v>
      </c>
      <c r="BC156">
        <v>-6.5124101610904583</v>
      </c>
      <c r="BD156">
        <v>-6.5615799256505571</v>
      </c>
      <c r="BE156">
        <v>-6.6107496902106568</v>
      </c>
      <c r="BF156">
        <v>-6.6599194547707556</v>
      </c>
      <c r="BG156">
        <v>-6.7090892193308544</v>
      </c>
      <c r="BH156">
        <v>-6.7582589838909533</v>
      </c>
      <c r="BI156">
        <v>-6.7944108910891083</v>
      </c>
      <c r="BJ156">
        <v>-6.8193613861386142</v>
      </c>
      <c r="BK156">
        <v>-6.8443019801980203</v>
      </c>
      <c r="BL156">
        <v>-6.8684603960396045</v>
      </c>
      <c r="BM156">
        <v>-6.8926188118811886</v>
      </c>
      <c r="BN156">
        <v>-6.9167772277227728</v>
      </c>
      <c r="BO156">
        <v>-6.940935643564357</v>
      </c>
      <c r="BP156">
        <v>-6.9650940594059412</v>
      </c>
      <c r="BQ156">
        <v>-6.9896336633663365</v>
      </c>
      <c r="BR156">
        <v>-7.0141881188118811</v>
      </c>
      <c r="BS156">
        <v>-7.0354163568773229</v>
      </c>
      <c r="BT156">
        <v>-7.0523680297397764</v>
      </c>
      <c r="BU156">
        <v>-7.0693197026022299</v>
      </c>
      <c r="BV156">
        <v>-7.0862713754646833</v>
      </c>
      <c r="BW156">
        <v>-7.1032230483271368</v>
      </c>
      <c r="BX156">
        <v>-7.1201747211895912</v>
      </c>
      <c r="BY156">
        <v>-7.1371263940520446</v>
      </c>
      <c r="BZ156">
        <v>-7.1540780669144981</v>
      </c>
      <c r="CA156">
        <v>-7.1710297397769516</v>
      </c>
      <c r="CB156">
        <v>-7.187981412639405</v>
      </c>
      <c r="CC156">
        <v>-7.2050990099009899</v>
      </c>
      <c r="CD156">
        <v>-7.2225247524752474</v>
      </c>
      <c r="CE156">
        <v>-7.2399504950495057</v>
      </c>
      <c r="CF156">
        <v>-7.2577029702970304</v>
      </c>
      <c r="CG156">
        <v>-7.2755247524752482</v>
      </c>
      <c r="CH156">
        <v>-7.2933465346534652</v>
      </c>
      <c r="CI156">
        <v>-7.311168316831683</v>
      </c>
      <c r="CJ156">
        <v>-7.3289900990099008</v>
      </c>
      <c r="CK156">
        <v>-7.3468118811881187</v>
      </c>
      <c r="CL156">
        <v>-7.3646336633663365</v>
      </c>
    </row>
    <row r="157" spans="1:90" x14ac:dyDescent="0.35">
      <c r="A157" t="s">
        <v>7</v>
      </c>
      <c r="B157" s="60">
        <v>-22.547673267326733</v>
      </c>
      <c r="C157" s="60">
        <v>-22.166188118811881</v>
      </c>
      <c r="D157" s="60">
        <v>-21.85331683168317</v>
      </c>
      <c r="E157" s="60">
        <v>-21.551584158415839</v>
      </c>
      <c r="F157">
        <v>-21.416930693069304</v>
      </c>
      <c r="G157">
        <v>-21.282277227722773</v>
      </c>
      <c r="H157">
        <v>-21.217871287128713</v>
      </c>
      <c r="I157">
        <v>-21.21391089108911</v>
      </c>
      <c r="J157">
        <v>-21.210891089108912</v>
      </c>
      <c r="K157">
        <v>-21.282178217821784</v>
      </c>
      <c r="L157">
        <v>-21.353465346534655</v>
      </c>
      <c r="M157">
        <v>-21.438267326732674</v>
      </c>
      <c r="N157">
        <v>-21.537277227722772</v>
      </c>
      <c r="O157">
        <v>-21.636287128712873</v>
      </c>
      <c r="P157">
        <v>-21.73529702970297</v>
      </c>
      <c r="Q157">
        <v>-21.834306930693071</v>
      </c>
      <c r="R157">
        <v>-21.928118811881188</v>
      </c>
      <c r="S157">
        <v>-22.015247524752475</v>
      </c>
      <c r="T157">
        <v>-22.102376237623762</v>
      </c>
      <c r="U157">
        <v>-22.180557620817844</v>
      </c>
      <c r="V157">
        <v>-22.257881040892194</v>
      </c>
      <c r="W157">
        <v>-22.335204460966544</v>
      </c>
      <c r="X157">
        <v>-22.412527881040891</v>
      </c>
      <c r="Y157">
        <v>-22.489851301115241</v>
      </c>
      <c r="Z157">
        <v>-22.567174721189591</v>
      </c>
      <c r="AA157">
        <v>-22.644498141263941</v>
      </c>
      <c r="AB157">
        <v>-22.721821561338292</v>
      </c>
      <c r="AC157">
        <v>-22.799144981412638</v>
      </c>
      <c r="AD157">
        <v>-22.876468401486989</v>
      </c>
      <c r="AE157">
        <v>-22.974950495049505</v>
      </c>
      <c r="AF157">
        <v>-23.077920792079208</v>
      </c>
      <c r="AG157">
        <v>-23.184455445544554</v>
      </c>
      <c r="AH157">
        <v>-23.299306930693071</v>
      </c>
      <c r="AI157">
        <v>-23.414158415841587</v>
      </c>
      <c r="AJ157">
        <v>-23.525940594059406</v>
      </c>
      <c r="AK157">
        <v>-23.636831683168317</v>
      </c>
      <c r="AL157">
        <v>-23.748712871287129</v>
      </c>
      <c r="AM157">
        <v>-23.863564356435642</v>
      </c>
      <c r="AN157">
        <v>-23.978415841584159</v>
      </c>
      <c r="AO157">
        <v>-24.093267326732676</v>
      </c>
      <c r="AP157">
        <v>-24.208118811881189</v>
      </c>
      <c r="AQ157">
        <v>-24.322178217821783</v>
      </c>
      <c r="AR157">
        <v>-24.433069306930694</v>
      </c>
      <c r="AS157">
        <v>-24.543960396039601</v>
      </c>
      <c r="AT157">
        <v>-24.654851485148512</v>
      </c>
      <c r="AU157">
        <v>-24.765742574257423</v>
      </c>
      <c r="AV157">
        <v>-24.875445544554456</v>
      </c>
      <c r="AW157">
        <v>-24.978415841584159</v>
      </c>
      <c r="AX157">
        <v>-25.081386138613862</v>
      </c>
      <c r="AY157">
        <v>-25.179479553903345</v>
      </c>
      <c r="AZ157">
        <v>-25.274646840148698</v>
      </c>
      <c r="BA157">
        <v>-25.369814126394051</v>
      </c>
      <c r="BB157">
        <v>-25.464981412639403</v>
      </c>
      <c r="BC157">
        <v>-25.560148698884756</v>
      </c>
      <c r="BD157">
        <v>-25.655315985130109</v>
      </c>
      <c r="BE157">
        <v>-25.750483271375465</v>
      </c>
      <c r="BF157">
        <v>-25.845650557620818</v>
      </c>
      <c r="BG157">
        <v>-25.940817843866171</v>
      </c>
      <c r="BH157">
        <v>-26.035985130111523</v>
      </c>
      <c r="BI157">
        <v>-26.135346534653465</v>
      </c>
      <c r="BJ157">
        <v>-26.238316831683168</v>
      </c>
      <c r="BK157">
        <v>-26.341336633663367</v>
      </c>
      <c r="BL157">
        <v>-26.448267326732672</v>
      </c>
      <c r="BM157">
        <v>-26.555198019801981</v>
      </c>
      <c r="BN157">
        <v>-26.660198019801978</v>
      </c>
      <c r="BO157">
        <v>-26.763168316831685</v>
      </c>
      <c r="BP157">
        <v>-26.866138613861388</v>
      </c>
      <c r="BQ157">
        <v>-26.96529702970297</v>
      </c>
      <c r="BR157">
        <v>-27.064306930693071</v>
      </c>
      <c r="BS157">
        <v>-27.155997521685254</v>
      </c>
      <c r="BT157">
        <v>-27.238277571251551</v>
      </c>
      <c r="BU157">
        <v>-27.320557620817844</v>
      </c>
      <c r="BV157">
        <v>-27.402837670384137</v>
      </c>
      <c r="BW157">
        <v>-27.485117719950434</v>
      </c>
      <c r="BX157">
        <v>-27.567397769516727</v>
      </c>
      <c r="BY157">
        <v>-27.649677819083024</v>
      </c>
      <c r="BZ157">
        <v>-27.731957868649317</v>
      </c>
      <c r="CA157">
        <v>-27.814237918215614</v>
      </c>
      <c r="CB157">
        <v>-27.896517967781907</v>
      </c>
      <c r="CC157">
        <v>-27.983267326732673</v>
      </c>
      <c r="CD157">
        <v>-28.078316831683168</v>
      </c>
      <c r="CE157">
        <v>-28.173366336633666</v>
      </c>
      <c r="CF157">
        <v>-28.268415841584158</v>
      </c>
      <c r="CG157">
        <v>-28.363465346534653</v>
      </c>
      <c r="CH157">
        <v>-28.457326732673266</v>
      </c>
      <c r="CI157">
        <v>-28.548415841584159</v>
      </c>
      <c r="CJ157">
        <v>-28.639504950495049</v>
      </c>
      <c r="CK157">
        <v>-28.733663366336632</v>
      </c>
      <c r="CL157">
        <v>-28.828712871287127</v>
      </c>
    </row>
  </sheetData>
  <mergeCells count="1">
    <mergeCell ref="A97:B9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5</xdr:col>
                    <xdr:colOff>95250</xdr:colOff>
                    <xdr:row>0</xdr:row>
                    <xdr:rowOff>47625</xdr:rowOff>
                  </from>
                  <to>
                    <xdr:col>94</xdr:col>
                    <xdr:colOff>647700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I21" sqref="I21"/>
    </sheetView>
  </sheetViews>
  <sheetFormatPr defaultRowHeight="21" x14ac:dyDescent="0.35"/>
  <cols>
    <col min="1" max="1" width="4.81640625" customWidth="1"/>
  </cols>
  <sheetData>
    <row r="1" spans="1:12" ht="28.5" x14ac:dyDescent="0.45">
      <c r="A1" s="67">
        <v>0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</row>
    <row r="2" spans="1:12" ht="21.75" customHeight="1" x14ac:dyDescent="0.35">
      <c r="A2" s="68" t="s">
        <v>39</v>
      </c>
      <c r="B2" s="124"/>
      <c r="C2" s="122"/>
      <c r="D2" s="122"/>
      <c r="E2" s="122"/>
      <c r="F2" s="122"/>
      <c r="G2" s="122"/>
      <c r="H2" s="122"/>
      <c r="I2" s="122"/>
      <c r="J2" s="122"/>
      <c r="K2" s="122"/>
      <c r="L2" s="122"/>
    </row>
    <row r="3" spans="1:12" x14ac:dyDescent="0.35">
      <c r="B3" s="123"/>
      <c r="C3" s="122"/>
      <c r="D3" s="122"/>
      <c r="E3" s="122"/>
      <c r="F3" s="123"/>
      <c r="G3" s="122"/>
      <c r="H3" s="122"/>
      <c r="I3" s="122"/>
      <c r="J3" s="123"/>
      <c r="K3" s="122"/>
      <c r="L3" s="122"/>
    </row>
    <row r="4" spans="1:12" x14ac:dyDescent="0.35">
      <c r="B4" s="124"/>
      <c r="C4" s="122"/>
      <c r="D4" s="122"/>
      <c r="E4" s="122"/>
      <c r="F4" s="122"/>
      <c r="G4" s="122"/>
      <c r="H4" s="122"/>
      <c r="I4" s="122"/>
      <c r="J4" s="122"/>
      <c r="K4" s="122"/>
      <c r="L4" s="122"/>
    </row>
    <row r="5" spans="1:12" x14ac:dyDescent="0.35">
      <c r="B5" s="123"/>
      <c r="C5" s="122"/>
      <c r="D5" s="122"/>
      <c r="E5" s="122"/>
      <c r="F5" s="123"/>
      <c r="G5" s="122"/>
      <c r="H5" s="122"/>
      <c r="I5" s="122"/>
      <c r="J5" s="123"/>
      <c r="K5" s="122"/>
      <c r="L5" s="122"/>
    </row>
    <row r="6" spans="1:12" x14ac:dyDescent="0.35">
      <c r="B6" s="124"/>
      <c r="C6" s="122"/>
      <c r="D6" s="122"/>
      <c r="E6" s="122"/>
      <c r="F6" s="122"/>
      <c r="G6" s="122"/>
      <c r="H6" s="122"/>
      <c r="I6" s="122"/>
      <c r="J6" s="122"/>
      <c r="K6" s="122"/>
      <c r="L6" s="122"/>
    </row>
    <row r="7" spans="1:12" x14ac:dyDescent="0.35">
      <c r="B7" s="123"/>
      <c r="C7" s="122"/>
      <c r="D7" s="122"/>
      <c r="E7" s="122"/>
      <c r="F7" s="122"/>
      <c r="G7" s="122"/>
      <c r="H7" s="122"/>
      <c r="I7" s="122"/>
      <c r="J7" s="123"/>
      <c r="K7" s="122"/>
      <c r="L7" s="122"/>
    </row>
    <row r="8" spans="1:12" x14ac:dyDescent="0.35">
      <c r="B8" s="124"/>
      <c r="C8" s="122"/>
      <c r="D8" s="122"/>
      <c r="E8" s="122"/>
      <c r="F8" s="122"/>
      <c r="G8" s="122"/>
      <c r="H8" s="122"/>
      <c r="I8" s="122"/>
      <c r="J8" s="122"/>
      <c r="K8" s="122"/>
      <c r="L8" s="122"/>
    </row>
    <row r="9" spans="1:12" x14ac:dyDescent="0.35">
      <c r="B9" s="124"/>
      <c r="C9" s="122"/>
      <c r="D9" s="122"/>
      <c r="E9" s="122"/>
      <c r="F9" s="122"/>
      <c r="G9" s="122"/>
      <c r="H9" s="122"/>
      <c r="I9" s="122"/>
      <c r="J9" s="123"/>
      <c r="K9" s="122"/>
      <c r="L9" s="122"/>
    </row>
    <row r="10" spans="1:12" x14ac:dyDescent="0.35">
      <c r="B10" s="123"/>
      <c r="C10" s="122"/>
      <c r="D10" s="122"/>
      <c r="E10" s="122"/>
      <c r="F10" s="122"/>
      <c r="G10" s="122"/>
      <c r="H10" s="122"/>
      <c r="I10" s="122"/>
      <c r="J10" s="122"/>
      <c r="K10" s="122"/>
      <c r="L10" s="122"/>
    </row>
    <row r="11" spans="1:12" x14ac:dyDescent="0.35">
      <c r="B11" s="124"/>
      <c r="C11" s="122"/>
      <c r="D11" s="122"/>
      <c r="E11" s="122"/>
      <c r="F11" s="122"/>
      <c r="G11" s="122"/>
      <c r="H11" s="122"/>
      <c r="I11" s="122"/>
      <c r="J11" s="123"/>
      <c r="K11" s="122"/>
      <c r="L11" s="122"/>
    </row>
    <row r="12" spans="1:12" x14ac:dyDescent="0.35">
      <c r="B12" s="123"/>
      <c r="C12" s="122"/>
      <c r="D12" s="122"/>
      <c r="E12" s="122"/>
      <c r="F12" s="122"/>
      <c r="G12" s="122"/>
      <c r="H12" s="122"/>
      <c r="I12" s="122"/>
      <c r="J12" s="122"/>
      <c r="K12" s="122"/>
      <c r="L12" s="122"/>
    </row>
    <row r="13" spans="1:12" x14ac:dyDescent="0.35">
      <c r="B13" s="124"/>
      <c r="C13" s="122"/>
      <c r="D13" s="122"/>
      <c r="E13" s="122"/>
      <c r="F13" s="123"/>
      <c r="G13" s="122"/>
      <c r="H13" s="122"/>
      <c r="I13" s="122"/>
      <c r="J13" s="123"/>
      <c r="K13" s="122"/>
      <c r="L13" s="122"/>
    </row>
    <row r="14" spans="1:12" x14ac:dyDescent="0.35">
      <c r="B14" s="123"/>
      <c r="C14" s="122"/>
      <c r="D14" s="122"/>
      <c r="E14" s="122"/>
      <c r="F14" s="122"/>
      <c r="G14" s="122"/>
      <c r="H14" s="122"/>
      <c r="I14" s="122"/>
      <c r="J14" s="122"/>
      <c r="K14" s="122"/>
      <c r="L14" s="122"/>
    </row>
    <row r="15" spans="1:12" x14ac:dyDescent="0.35">
      <c r="B15" s="124"/>
      <c r="C15" s="122"/>
      <c r="D15" s="122"/>
      <c r="E15" s="122"/>
      <c r="F15" s="122"/>
      <c r="G15" s="122"/>
      <c r="H15" s="122"/>
      <c r="I15" s="122"/>
      <c r="J15" s="123"/>
      <c r="K15" s="122"/>
      <c r="L15" s="122"/>
    </row>
    <row r="16" spans="1:12" x14ac:dyDescent="0.35">
      <c r="B16" s="124"/>
      <c r="C16" s="122"/>
      <c r="D16" s="122"/>
      <c r="E16" s="122"/>
      <c r="F16" s="122"/>
      <c r="G16" s="122"/>
      <c r="H16" s="122"/>
      <c r="I16" s="122"/>
      <c r="J16" s="122"/>
      <c r="K16" s="122"/>
      <c r="L16" s="122"/>
    </row>
    <row r="17" spans="1:12" x14ac:dyDescent="0.35">
      <c r="B17" s="123"/>
      <c r="C17" s="122"/>
      <c r="D17" s="122"/>
      <c r="E17" s="122"/>
      <c r="F17" s="123"/>
      <c r="G17" s="122"/>
      <c r="H17" s="122"/>
      <c r="I17" s="122"/>
      <c r="J17" s="123"/>
      <c r="K17" s="122"/>
      <c r="L17" s="122"/>
    </row>
    <row r="18" spans="1:12" x14ac:dyDescent="0.35">
      <c r="B18" s="124"/>
      <c r="C18" s="122"/>
      <c r="D18" s="122"/>
      <c r="E18" s="122"/>
      <c r="F18" s="122"/>
      <c r="G18" s="122"/>
      <c r="H18" s="122"/>
      <c r="I18" s="122"/>
      <c r="J18" s="122"/>
      <c r="K18" s="122"/>
      <c r="L18" s="122"/>
    </row>
    <row r="19" spans="1:12" x14ac:dyDescent="0.35">
      <c r="B19" s="124"/>
      <c r="C19" s="122"/>
      <c r="D19" s="122"/>
      <c r="E19" s="122"/>
      <c r="F19" s="123"/>
      <c r="G19" s="122"/>
      <c r="H19" s="122"/>
      <c r="I19" s="122"/>
      <c r="J19" s="123"/>
      <c r="K19" s="122"/>
      <c r="L19" s="122"/>
    </row>
    <row r="20" spans="1:12" x14ac:dyDescent="0.35">
      <c r="B20" s="123"/>
      <c r="C20" s="122"/>
      <c r="D20" s="122"/>
      <c r="E20" s="122"/>
      <c r="F20" s="122"/>
      <c r="G20" s="122"/>
      <c r="H20" s="122"/>
      <c r="I20" s="122"/>
      <c r="J20" s="122"/>
      <c r="K20" s="122"/>
      <c r="L20" s="122"/>
    </row>
    <row r="22" spans="1:12" x14ac:dyDescent="0.35">
      <c r="A22" t="e">
        <f>$A$1:$AZ$21</f>
        <v>#VALUE!</v>
      </c>
    </row>
  </sheetData>
  <conditionalFormatting sqref="A1:Z1 A21 A2:L20">
    <cfRule type="expression" dxfId="3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370F6-E2D9-4B2B-BABB-9C38C4BAA804}">
  <sheetPr codeName="Лист3">
    <tabColor theme="1"/>
  </sheetPr>
  <dimension ref="A1:AE44"/>
  <sheetViews>
    <sheetView topLeftCell="A10" zoomScale="130" zoomScaleNormal="130" workbookViewId="0">
      <selection activeCell="AE19" sqref="A19:AE19"/>
    </sheetView>
  </sheetViews>
  <sheetFormatPr defaultRowHeight="21" x14ac:dyDescent="0.35"/>
  <cols>
    <col min="1" max="16384" width="8.7265625" style="81"/>
  </cols>
  <sheetData>
    <row r="1" spans="1:31" s="96" customFormat="1" ht="12" customHeight="1" x14ac:dyDescent="0.35">
      <c r="A1" s="102" t="s">
        <v>358</v>
      </c>
      <c r="B1" s="101">
        <v>273.10000000000002</v>
      </c>
      <c r="C1" s="101">
        <v>293.3</v>
      </c>
      <c r="D1" s="101">
        <v>313.5</v>
      </c>
      <c r="E1" s="101">
        <v>333.7</v>
      </c>
      <c r="F1" s="101">
        <v>353.9</v>
      </c>
      <c r="G1" s="101">
        <v>434.7</v>
      </c>
      <c r="H1" s="101">
        <v>454.9</v>
      </c>
      <c r="I1" s="101">
        <v>475.1</v>
      </c>
      <c r="J1" s="101">
        <v>495.2</v>
      </c>
      <c r="K1" s="101">
        <v>515.4</v>
      </c>
      <c r="L1" s="101">
        <v>535.6</v>
      </c>
      <c r="M1" s="101">
        <v>555.79999999999995</v>
      </c>
      <c r="N1" s="99">
        <v>576</v>
      </c>
      <c r="O1" s="100">
        <v>596.20000000000005</v>
      </c>
      <c r="P1" s="99">
        <v>677</v>
      </c>
      <c r="Q1" s="98">
        <v>697.1</v>
      </c>
      <c r="R1" s="98">
        <v>717.3</v>
      </c>
      <c r="S1" s="98">
        <v>737.5</v>
      </c>
      <c r="T1" s="98">
        <v>757.7</v>
      </c>
      <c r="U1" s="98">
        <v>777.9</v>
      </c>
      <c r="V1" s="98">
        <v>798.1</v>
      </c>
      <c r="W1" s="98">
        <v>818.3</v>
      </c>
      <c r="X1" s="98">
        <v>838.5</v>
      </c>
      <c r="Y1" s="98">
        <v>919.2</v>
      </c>
      <c r="Z1" s="98">
        <v>939.4</v>
      </c>
      <c r="AA1" s="98">
        <v>959.6</v>
      </c>
      <c r="AB1" s="98">
        <v>979.8</v>
      </c>
      <c r="AC1" s="98">
        <v>959.6</v>
      </c>
      <c r="AD1" s="98">
        <v>979.8</v>
      </c>
      <c r="AE1" s="97">
        <v>1000</v>
      </c>
    </row>
    <row r="2" spans="1:31" x14ac:dyDescent="0.35">
      <c r="A2" s="95" t="s">
        <v>59</v>
      </c>
      <c r="B2" s="93">
        <v>0</v>
      </c>
      <c r="C2" s="94">
        <v>0</v>
      </c>
      <c r="D2" s="94">
        <v>0</v>
      </c>
      <c r="E2" s="93">
        <v>0</v>
      </c>
      <c r="F2" s="94">
        <v>0</v>
      </c>
      <c r="G2" s="94">
        <v>2.3243999999999999E-16</v>
      </c>
      <c r="H2" s="93">
        <v>7.8193999999999996E-12</v>
      </c>
      <c r="I2" s="93">
        <v>7.4438999999999995E-11</v>
      </c>
      <c r="J2" s="94">
        <v>2.2467000000000001E-9</v>
      </c>
      <c r="K2" s="93">
        <v>7.5409000000000004E-2</v>
      </c>
      <c r="L2" s="94">
        <v>0.08</v>
      </c>
      <c r="M2" s="94">
        <v>0.08</v>
      </c>
      <c r="N2" s="93">
        <v>0.08</v>
      </c>
      <c r="O2" s="94">
        <v>0.08</v>
      </c>
      <c r="P2" s="93">
        <v>0.08</v>
      </c>
      <c r="Q2" s="93">
        <v>0.08</v>
      </c>
      <c r="R2" s="94">
        <v>0.08</v>
      </c>
      <c r="S2" s="94">
        <v>0.08</v>
      </c>
      <c r="T2" s="93">
        <v>0.08</v>
      </c>
      <c r="U2" s="94">
        <v>0.08</v>
      </c>
      <c r="V2" s="93">
        <v>6.6105999999999998E-2</v>
      </c>
      <c r="W2" s="93">
        <v>6.3434000000000004E-2</v>
      </c>
      <c r="X2" s="94">
        <v>6.0543E-2</v>
      </c>
      <c r="Y2" s="93">
        <v>4.3836E-2</v>
      </c>
      <c r="Z2" s="93">
        <v>3.7795000000000002E-2</v>
      </c>
      <c r="AA2" s="94">
        <v>3.0667E-2</v>
      </c>
      <c r="AB2" s="93">
        <v>2.2196E-2</v>
      </c>
      <c r="AC2" s="93">
        <v>3.0667E-2</v>
      </c>
      <c r="AD2" s="94">
        <v>2.2196E-2</v>
      </c>
      <c r="AE2" s="93">
        <v>1.1976000000000001E-2</v>
      </c>
    </row>
    <row r="3" spans="1:31" x14ac:dyDescent="0.35">
      <c r="A3" s="91" t="s">
        <v>58</v>
      </c>
      <c r="B3" s="90">
        <v>0.08</v>
      </c>
      <c r="C3" s="89">
        <v>0.08</v>
      </c>
      <c r="D3" s="89">
        <v>0.08</v>
      </c>
      <c r="E3" s="90">
        <v>0.08</v>
      </c>
      <c r="F3" s="89">
        <v>0.16</v>
      </c>
      <c r="G3" s="89">
        <v>0.16</v>
      </c>
      <c r="H3" s="90">
        <v>0.16</v>
      </c>
      <c r="I3" s="89">
        <v>0.16</v>
      </c>
      <c r="J3" s="89">
        <v>0.16</v>
      </c>
      <c r="K3" s="90">
        <v>9.1824000000000003E-3</v>
      </c>
      <c r="L3" s="89">
        <v>3.6989000000000001E-9</v>
      </c>
      <c r="M3" s="89">
        <v>1.1703000000000001E-10</v>
      </c>
      <c r="N3" s="90">
        <v>2.5212E-11</v>
      </c>
      <c r="O3" s="89">
        <v>8.4148999999999998E-13</v>
      </c>
      <c r="P3" s="89">
        <v>1.4323E-22</v>
      </c>
      <c r="Q3" s="90">
        <v>2.0447000000000001E-27</v>
      </c>
      <c r="R3" s="89">
        <v>1.1809E-32</v>
      </c>
      <c r="S3" s="89">
        <v>0</v>
      </c>
      <c r="T3" s="90">
        <v>0</v>
      </c>
      <c r="U3" s="89">
        <v>0</v>
      </c>
      <c r="V3" s="90">
        <v>0</v>
      </c>
      <c r="W3" s="90">
        <v>0</v>
      </c>
      <c r="X3" s="89">
        <v>0</v>
      </c>
      <c r="Y3" s="90">
        <v>0</v>
      </c>
      <c r="Z3" s="90">
        <v>0</v>
      </c>
      <c r="AA3" s="89">
        <v>0</v>
      </c>
      <c r="AB3" s="90">
        <v>0</v>
      </c>
      <c r="AC3" s="90">
        <v>0</v>
      </c>
      <c r="AD3" s="89">
        <v>0</v>
      </c>
      <c r="AE3" s="90">
        <v>0</v>
      </c>
    </row>
    <row r="4" spans="1:31" x14ac:dyDescent="0.35">
      <c r="A4" s="91" t="s">
        <v>57</v>
      </c>
      <c r="B4" s="90">
        <v>0</v>
      </c>
      <c r="C4" s="89">
        <v>0</v>
      </c>
      <c r="D4" s="89">
        <v>0</v>
      </c>
      <c r="E4" s="90">
        <v>0</v>
      </c>
      <c r="F4" s="89">
        <v>0</v>
      </c>
      <c r="G4" s="89">
        <v>0</v>
      </c>
      <c r="H4" s="90">
        <v>0</v>
      </c>
      <c r="I4" s="89">
        <v>0</v>
      </c>
      <c r="J4" s="89">
        <v>0</v>
      </c>
      <c r="K4" s="90">
        <v>0</v>
      </c>
      <c r="L4" s="89">
        <v>0</v>
      </c>
      <c r="M4" s="89">
        <v>0</v>
      </c>
      <c r="N4" s="90">
        <v>0</v>
      </c>
      <c r="O4" s="89">
        <v>0</v>
      </c>
      <c r="P4" s="89">
        <v>1.5319E-30</v>
      </c>
      <c r="Q4" s="90">
        <v>1.2594999999999999E-26</v>
      </c>
      <c r="R4" s="89">
        <v>8.6149000000000006E-22</v>
      </c>
      <c r="S4" s="89">
        <v>0</v>
      </c>
      <c r="T4" s="90">
        <v>2.6909999999999999E-17</v>
      </c>
      <c r="U4" s="89">
        <v>3.8658999999999999E-16</v>
      </c>
      <c r="V4" s="89">
        <v>1.6123E-10</v>
      </c>
      <c r="W4" s="90">
        <v>3.8103000000000002E-7</v>
      </c>
      <c r="X4" s="89">
        <v>2.5778999999999998E-7</v>
      </c>
      <c r="Y4" s="90">
        <v>5.6702E-8</v>
      </c>
      <c r="Z4" s="90">
        <v>4.6037999999999998E-8</v>
      </c>
      <c r="AA4" s="89">
        <v>3.0519999999999998E-8</v>
      </c>
      <c r="AB4" s="90">
        <v>1.0039E-9</v>
      </c>
      <c r="AC4" s="90">
        <v>3.0519999999999998E-8</v>
      </c>
      <c r="AD4" s="89">
        <v>1.0039E-9</v>
      </c>
      <c r="AE4" s="90">
        <v>3.4799000000000001E-16</v>
      </c>
    </row>
    <row r="5" spans="1:31" x14ac:dyDescent="0.35">
      <c r="A5" s="91" t="s">
        <v>56</v>
      </c>
      <c r="B5" s="90">
        <v>0</v>
      </c>
      <c r="C5" s="89">
        <v>0</v>
      </c>
      <c r="D5" s="89">
        <v>0</v>
      </c>
      <c r="E5" s="90">
        <v>0</v>
      </c>
      <c r="F5" s="89">
        <v>0</v>
      </c>
      <c r="G5" s="89">
        <v>0</v>
      </c>
      <c r="H5" s="90">
        <v>0</v>
      </c>
      <c r="I5" s="89">
        <v>0</v>
      </c>
      <c r="J5" s="89">
        <v>0</v>
      </c>
      <c r="K5" s="90">
        <v>0</v>
      </c>
      <c r="L5" s="89">
        <v>0</v>
      </c>
      <c r="M5" s="89">
        <v>0</v>
      </c>
      <c r="N5" s="90">
        <v>0</v>
      </c>
      <c r="O5" s="89">
        <v>0</v>
      </c>
      <c r="P5" s="89">
        <v>1.5241999999999999E-19</v>
      </c>
      <c r="Q5" s="87">
        <v>4.1139000000000001E-15</v>
      </c>
      <c r="R5" s="88">
        <v>9.6581E-10</v>
      </c>
      <c r="S5" s="88">
        <v>9.2078000000000004E-3</v>
      </c>
      <c r="T5" s="87">
        <v>6.4236000000000001E-2</v>
      </c>
      <c r="U5" s="88">
        <v>7.5584999999999999E-2</v>
      </c>
      <c r="V5" s="87">
        <v>2.9709999999999998E-7</v>
      </c>
      <c r="W5" s="90">
        <v>1.8911999999999999E-20</v>
      </c>
      <c r="X5" s="89">
        <v>0</v>
      </c>
      <c r="Y5" s="90">
        <v>0</v>
      </c>
      <c r="Z5" s="90">
        <v>0</v>
      </c>
      <c r="AA5" s="89">
        <v>0</v>
      </c>
      <c r="AB5" s="90">
        <v>0</v>
      </c>
      <c r="AC5" s="90">
        <v>0</v>
      </c>
      <c r="AD5" s="89">
        <v>0</v>
      </c>
      <c r="AE5" s="90">
        <v>0</v>
      </c>
    </row>
    <row r="6" spans="1:31" x14ac:dyDescent="0.35">
      <c r="A6" s="91" t="s">
        <v>55</v>
      </c>
      <c r="B6" s="90">
        <v>0</v>
      </c>
      <c r="C6" s="89">
        <v>0</v>
      </c>
      <c r="D6" s="89">
        <v>0</v>
      </c>
      <c r="E6" s="90">
        <v>0</v>
      </c>
      <c r="F6" s="89">
        <v>0</v>
      </c>
      <c r="G6" s="89">
        <v>2.3243999999999999E-16</v>
      </c>
      <c r="H6" s="87">
        <v>7.8193999999999996E-12</v>
      </c>
      <c r="I6" s="88">
        <v>7.4438999999999995E-11</v>
      </c>
      <c r="J6" s="88">
        <v>2.2467000000000001E-9</v>
      </c>
      <c r="K6" s="90">
        <v>7.5409000000000004E-2</v>
      </c>
      <c r="L6" s="89">
        <v>0.08</v>
      </c>
      <c r="M6" s="89">
        <v>0.08</v>
      </c>
      <c r="N6" s="90">
        <v>0.08</v>
      </c>
      <c r="O6" s="89">
        <v>0.08</v>
      </c>
      <c r="P6" s="89">
        <v>0.08</v>
      </c>
      <c r="Q6" s="90">
        <v>0.08</v>
      </c>
      <c r="R6" s="89">
        <v>0.08</v>
      </c>
      <c r="S6" s="89">
        <v>0.08</v>
      </c>
      <c r="T6" s="90">
        <v>0.08</v>
      </c>
      <c r="U6" s="89">
        <v>0.08</v>
      </c>
      <c r="V6" s="90">
        <v>6.6105999999999998E-2</v>
      </c>
      <c r="W6" s="87">
        <v>6.3434000000000004E-2</v>
      </c>
      <c r="X6" s="88">
        <v>6.0543E-2</v>
      </c>
      <c r="Y6" s="88">
        <v>4.3836E-2</v>
      </c>
      <c r="Z6" s="87">
        <v>3.7795000000000002E-2</v>
      </c>
      <c r="AA6" s="88">
        <v>3.0667E-2</v>
      </c>
      <c r="AB6" s="87">
        <v>2.2196E-2</v>
      </c>
      <c r="AC6" s="87">
        <v>3.0667E-2</v>
      </c>
      <c r="AD6" s="88">
        <v>2.2196E-2</v>
      </c>
      <c r="AE6" s="87">
        <v>1.1976000000000001E-2</v>
      </c>
    </row>
    <row r="7" spans="1:31" x14ac:dyDescent="0.35">
      <c r="A7" s="91" t="s">
        <v>54</v>
      </c>
      <c r="B7" s="90">
        <v>8.5697999999999999E-23</v>
      </c>
      <c r="C7" s="89">
        <v>1.3693E-15</v>
      </c>
      <c r="D7" s="90">
        <v>7.2793000000000001E-11</v>
      </c>
      <c r="E7" s="90">
        <v>2.1086999999999999E-8</v>
      </c>
      <c r="F7" s="89">
        <v>0.08</v>
      </c>
      <c r="G7" s="89">
        <v>0.08</v>
      </c>
      <c r="H7" s="90">
        <v>0.08</v>
      </c>
      <c r="I7" s="89">
        <v>0.08</v>
      </c>
      <c r="J7" s="89">
        <v>0.08</v>
      </c>
      <c r="K7" s="90">
        <v>0.23082</v>
      </c>
      <c r="L7" s="89">
        <v>0.24</v>
      </c>
      <c r="M7" s="89">
        <v>0.24</v>
      </c>
      <c r="N7" s="90">
        <v>0.24</v>
      </c>
      <c r="O7" s="89">
        <v>0.24</v>
      </c>
      <c r="P7" s="89">
        <v>0.24</v>
      </c>
      <c r="Q7" s="90">
        <v>0.24</v>
      </c>
      <c r="R7" s="89">
        <v>0.24</v>
      </c>
      <c r="S7" s="89">
        <v>0.25841999999999998</v>
      </c>
      <c r="T7" s="90">
        <v>0.36847000000000002</v>
      </c>
      <c r="U7" s="89">
        <v>0.39117000000000002</v>
      </c>
      <c r="V7" s="90">
        <v>0.47654000000000002</v>
      </c>
      <c r="W7" s="90">
        <v>0.47964000000000001</v>
      </c>
      <c r="X7" s="89">
        <v>0.47996</v>
      </c>
      <c r="Y7" s="89">
        <v>0.48</v>
      </c>
      <c r="Z7" s="90">
        <v>0.48</v>
      </c>
      <c r="AA7" s="89">
        <v>0.48</v>
      </c>
      <c r="AB7" s="90">
        <v>0.48</v>
      </c>
      <c r="AC7" s="90">
        <v>0.48</v>
      </c>
      <c r="AD7" s="89">
        <v>0.48</v>
      </c>
      <c r="AE7" s="90">
        <v>0.48</v>
      </c>
    </row>
    <row r="8" spans="1:31" x14ac:dyDescent="0.35">
      <c r="A8" s="91" t="s">
        <v>53</v>
      </c>
      <c r="B8" s="90">
        <v>0.08</v>
      </c>
      <c r="C8" s="89">
        <v>0.08</v>
      </c>
      <c r="D8" s="89">
        <v>0.08</v>
      </c>
      <c r="E8" s="90">
        <v>0.08</v>
      </c>
      <c r="F8" s="89">
        <v>5.4299999999999997E-9</v>
      </c>
      <c r="G8" s="89">
        <v>1.8601000000000001E-17</v>
      </c>
      <c r="H8" s="90">
        <v>2.9511000000000003E-20</v>
      </c>
      <c r="I8" s="89">
        <v>2.0618999999999998E-33</v>
      </c>
      <c r="J8" s="89">
        <v>0</v>
      </c>
      <c r="K8" s="90">
        <v>0</v>
      </c>
      <c r="L8" s="89">
        <v>0</v>
      </c>
      <c r="M8" s="89">
        <v>0</v>
      </c>
      <c r="N8" s="90">
        <v>0</v>
      </c>
      <c r="O8" s="89">
        <v>0</v>
      </c>
      <c r="P8" s="89">
        <v>0</v>
      </c>
      <c r="Q8" s="90">
        <v>0</v>
      </c>
      <c r="R8" s="89">
        <v>0</v>
      </c>
      <c r="S8" s="89">
        <v>0</v>
      </c>
      <c r="T8" s="90">
        <v>0</v>
      </c>
      <c r="U8" s="89">
        <v>0</v>
      </c>
      <c r="V8" s="90">
        <v>0</v>
      </c>
      <c r="W8" s="90">
        <v>0</v>
      </c>
      <c r="X8" s="89">
        <v>0</v>
      </c>
      <c r="Y8" s="89">
        <v>0</v>
      </c>
      <c r="Z8" s="90">
        <v>0</v>
      </c>
      <c r="AA8" s="89">
        <v>0</v>
      </c>
      <c r="AB8" s="90">
        <v>0</v>
      </c>
      <c r="AC8" s="90">
        <v>0</v>
      </c>
      <c r="AD8" s="89">
        <v>0</v>
      </c>
      <c r="AE8" s="90">
        <v>0</v>
      </c>
    </row>
    <row r="9" spans="1:31" x14ac:dyDescent="0.35">
      <c r="A9" s="91" t="s">
        <v>52</v>
      </c>
      <c r="B9" s="90">
        <v>0.08</v>
      </c>
      <c r="C9" s="89">
        <v>0.08</v>
      </c>
      <c r="D9" s="89">
        <v>0.08</v>
      </c>
      <c r="E9" s="90">
        <v>0.08</v>
      </c>
      <c r="F9" s="89">
        <v>0.08</v>
      </c>
      <c r="G9" s="89">
        <v>0.08</v>
      </c>
      <c r="H9" s="90">
        <v>0.08</v>
      </c>
      <c r="I9" s="89">
        <v>0.08</v>
      </c>
      <c r="J9" s="89">
        <v>0.08</v>
      </c>
      <c r="K9" s="90">
        <v>0.08</v>
      </c>
      <c r="L9" s="89">
        <v>0.08</v>
      </c>
      <c r="M9" s="89">
        <v>0.08</v>
      </c>
      <c r="N9" s="90">
        <v>0.08</v>
      </c>
      <c r="O9" s="89">
        <v>0.08</v>
      </c>
      <c r="P9" s="89">
        <v>0.08</v>
      </c>
      <c r="Q9" s="90">
        <v>0.08</v>
      </c>
      <c r="R9" s="89">
        <v>0.08</v>
      </c>
      <c r="S9" s="89">
        <v>7.0791999999999994E-2</v>
      </c>
      <c r="T9" s="87">
        <v>1.5764E-2</v>
      </c>
      <c r="U9" s="88">
        <v>4.4145E-3</v>
      </c>
      <c r="V9" s="87">
        <v>1.1531E-3</v>
      </c>
      <c r="W9" s="87">
        <v>1.1998999999999999E-4</v>
      </c>
      <c r="X9" s="88">
        <v>1.3539E-5</v>
      </c>
      <c r="Y9" s="87">
        <v>4.1901999999999999E-9</v>
      </c>
      <c r="Z9" s="87">
        <v>6.3558999999999997E-10</v>
      </c>
      <c r="AA9" s="88">
        <v>1.007E-10</v>
      </c>
      <c r="AB9" s="88">
        <v>1.6584000000000001E-11</v>
      </c>
      <c r="AC9" s="90">
        <v>1.007E-10</v>
      </c>
      <c r="AD9" s="89">
        <v>1.6584000000000001E-11</v>
      </c>
      <c r="AE9" s="90">
        <v>2.8226000000000001E-12</v>
      </c>
    </row>
    <row r="10" spans="1:31" x14ac:dyDescent="0.35">
      <c r="A10" s="91" t="s">
        <v>51</v>
      </c>
      <c r="B10" s="90">
        <v>0</v>
      </c>
      <c r="C10" s="89">
        <v>0</v>
      </c>
      <c r="D10" s="89">
        <v>0</v>
      </c>
      <c r="E10" s="90">
        <v>0</v>
      </c>
      <c r="F10" s="89">
        <v>0</v>
      </c>
      <c r="G10" s="89">
        <v>0</v>
      </c>
      <c r="H10" s="87">
        <v>1.6572999999999999E-34</v>
      </c>
      <c r="I10" s="88">
        <v>7.9071999999999998E-32</v>
      </c>
      <c r="J10" s="88">
        <v>2.3603000000000001E-29</v>
      </c>
      <c r="K10" s="87">
        <v>4.6495999999999999E-27</v>
      </c>
      <c r="L10" s="88">
        <v>6.3423000000000003E-25</v>
      </c>
      <c r="M10" s="88">
        <v>6.2186000000000002E-23</v>
      </c>
      <c r="N10" s="87">
        <v>4.5371000000000001E-21</v>
      </c>
      <c r="O10" s="88">
        <v>2.5367E-19</v>
      </c>
      <c r="P10" s="88">
        <v>2.7617000000000002E-13</v>
      </c>
      <c r="Q10" s="87">
        <v>5.6580999999999999E-12</v>
      </c>
      <c r="R10" s="88">
        <v>9.9572000000000003E-11</v>
      </c>
      <c r="S10" s="88">
        <v>1.3480999999999999E-9</v>
      </c>
      <c r="T10" s="87">
        <v>4.0385000000000001E-9</v>
      </c>
      <c r="U10" s="88">
        <v>1.3505000000000001E-8</v>
      </c>
      <c r="V10" s="87">
        <v>3.7726999999999998E-8</v>
      </c>
      <c r="W10" s="87">
        <v>3.7906000000000002E-8</v>
      </c>
      <c r="X10" s="88">
        <v>3.7554E-8</v>
      </c>
      <c r="Y10" s="87">
        <v>3.0196000000000001E-8</v>
      </c>
      <c r="Z10" s="87">
        <v>2.7293999999999999E-8</v>
      </c>
      <c r="AA10" s="88">
        <v>2.4188000000000001E-8</v>
      </c>
      <c r="AB10" s="87">
        <v>2.0995E-8</v>
      </c>
      <c r="AC10" s="87">
        <v>2.4188000000000001E-8</v>
      </c>
      <c r="AD10" s="88">
        <v>2.0995E-8</v>
      </c>
      <c r="AE10" s="87">
        <v>1.7808E-8</v>
      </c>
    </row>
    <row r="11" spans="1:31" x14ac:dyDescent="0.35">
      <c r="A11" s="91" t="s">
        <v>1</v>
      </c>
      <c r="B11" s="90">
        <v>0.2</v>
      </c>
      <c r="C11" s="89">
        <v>0.2</v>
      </c>
      <c r="D11" s="89">
        <v>0.2</v>
      </c>
      <c r="E11" s="90">
        <v>0.2</v>
      </c>
      <c r="F11" s="89">
        <v>0.2</v>
      </c>
      <c r="G11" s="89">
        <v>0.2</v>
      </c>
      <c r="H11" s="90">
        <v>0.2</v>
      </c>
      <c r="I11" s="89">
        <v>0.2</v>
      </c>
      <c r="J11" s="89">
        <v>0.2</v>
      </c>
      <c r="K11" s="90">
        <v>0.2</v>
      </c>
      <c r="L11" s="89">
        <v>0.2</v>
      </c>
      <c r="M11" s="89">
        <v>0.2</v>
      </c>
      <c r="N11" s="90">
        <v>0.2</v>
      </c>
      <c r="O11" s="89">
        <v>0.2</v>
      </c>
      <c r="P11" s="89">
        <v>0.2</v>
      </c>
      <c r="Q11" s="90">
        <v>0.2</v>
      </c>
      <c r="R11" s="89">
        <v>0.2</v>
      </c>
      <c r="S11" s="89">
        <v>0.2</v>
      </c>
      <c r="T11" s="90">
        <v>0.2</v>
      </c>
      <c r="U11" s="89">
        <v>0.2</v>
      </c>
      <c r="V11" s="90">
        <v>0.2</v>
      </c>
      <c r="W11" s="90">
        <v>0.2</v>
      </c>
      <c r="X11" s="89">
        <v>0.2</v>
      </c>
      <c r="Y11" s="90">
        <v>0.2</v>
      </c>
      <c r="Z11" s="90">
        <v>0.2</v>
      </c>
      <c r="AA11" s="89">
        <v>0.2</v>
      </c>
      <c r="AB11" s="90">
        <v>0.2</v>
      </c>
      <c r="AC11" s="90">
        <v>0.2</v>
      </c>
      <c r="AD11" s="89">
        <v>0.2</v>
      </c>
      <c r="AE11" s="90">
        <v>0.2</v>
      </c>
    </row>
    <row r="12" spans="1:31" x14ac:dyDescent="0.35">
      <c r="A12" s="91" t="s">
        <v>50</v>
      </c>
      <c r="B12" s="90">
        <v>0</v>
      </c>
      <c r="C12" s="89">
        <v>0</v>
      </c>
      <c r="D12" s="89">
        <v>0</v>
      </c>
      <c r="E12" s="90">
        <v>0</v>
      </c>
      <c r="F12" s="89">
        <v>0</v>
      </c>
      <c r="G12" s="89">
        <v>0</v>
      </c>
      <c r="H12" s="90">
        <v>0</v>
      </c>
      <c r="I12" s="89">
        <v>0</v>
      </c>
      <c r="J12" s="89">
        <v>0</v>
      </c>
      <c r="K12" s="90">
        <v>0</v>
      </c>
      <c r="L12" s="89">
        <v>0</v>
      </c>
      <c r="M12" s="89">
        <v>1.3168999999999999E-31</v>
      </c>
      <c r="N12" s="87">
        <v>1.7224E-23</v>
      </c>
      <c r="O12" s="88">
        <v>8.3048000000000002E-20</v>
      </c>
      <c r="P12" s="88">
        <v>3.9772E-13</v>
      </c>
      <c r="Q12" s="90">
        <v>1.4622999999999999E-12</v>
      </c>
      <c r="R12" s="89">
        <v>4.5785E-11</v>
      </c>
      <c r="S12" s="89">
        <v>0</v>
      </c>
      <c r="T12" s="87">
        <v>2.8389000000000002E-9</v>
      </c>
      <c r="U12" s="88">
        <v>3.8255000000000001E-8</v>
      </c>
      <c r="V12" s="87">
        <v>0.15769</v>
      </c>
      <c r="W12" s="90">
        <v>0.15976000000000001</v>
      </c>
      <c r="X12" s="89">
        <v>0.15997</v>
      </c>
      <c r="Y12" s="90">
        <v>0.16</v>
      </c>
      <c r="Z12" s="90">
        <v>0.16</v>
      </c>
      <c r="AA12" s="89">
        <v>0.16</v>
      </c>
      <c r="AB12" s="90">
        <v>0.16</v>
      </c>
      <c r="AC12" s="90">
        <v>0.16</v>
      </c>
      <c r="AD12" s="89">
        <v>0.16</v>
      </c>
      <c r="AE12" s="90">
        <v>0.16</v>
      </c>
    </row>
    <row r="13" spans="1:31" x14ac:dyDescent="0.35">
      <c r="A13" s="91" t="s">
        <v>49</v>
      </c>
      <c r="B13" s="90">
        <v>0</v>
      </c>
      <c r="C13" s="89">
        <v>0</v>
      </c>
      <c r="D13" s="89">
        <v>0</v>
      </c>
      <c r="E13" s="90">
        <v>0</v>
      </c>
      <c r="F13" s="89">
        <v>0</v>
      </c>
      <c r="G13" s="89">
        <v>0</v>
      </c>
      <c r="H13" s="90">
        <v>3.7209000000000002E-35</v>
      </c>
      <c r="I13" s="89">
        <v>0</v>
      </c>
      <c r="J13" s="89">
        <v>0</v>
      </c>
      <c r="K13" s="90">
        <v>0</v>
      </c>
      <c r="L13" s="89">
        <v>0</v>
      </c>
      <c r="M13" s="89">
        <v>1.9468E-26</v>
      </c>
      <c r="N13" s="90">
        <v>4.6849999999999995E-19</v>
      </c>
      <c r="O13" s="89">
        <v>4.5680000000000005E-16</v>
      </c>
      <c r="P13" s="89">
        <v>8.0088000000000004E-12</v>
      </c>
      <c r="Q13" s="90">
        <v>8.5293E-12</v>
      </c>
      <c r="R13" s="89">
        <v>8.1495999999999994E-11</v>
      </c>
      <c r="S13" s="89">
        <v>0</v>
      </c>
      <c r="T13" s="87">
        <v>1.0850000000000001E-9</v>
      </c>
      <c r="U13" s="88">
        <v>9.4720000000000004E-9</v>
      </c>
      <c r="V13" s="87">
        <v>2.7789000000000001E-2</v>
      </c>
      <c r="W13" s="87">
        <v>3.3133000000000003E-2</v>
      </c>
      <c r="X13" s="88">
        <v>3.8913999999999997E-2</v>
      </c>
      <c r="Y13" s="87">
        <v>7.2328000000000003E-2</v>
      </c>
      <c r="Z13" s="87">
        <v>8.4408999999999998E-2</v>
      </c>
      <c r="AA13" s="88">
        <v>9.8666000000000004E-2</v>
      </c>
      <c r="AB13" s="87">
        <v>0.11561</v>
      </c>
      <c r="AC13" s="87">
        <v>9.8666000000000004E-2</v>
      </c>
      <c r="AD13" s="88">
        <v>0.11561</v>
      </c>
      <c r="AE13" s="88">
        <v>0.13605</v>
      </c>
    </row>
    <row r="14" spans="1:31" x14ac:dyDescent="0.35">
      <c r="A14" s="92" t="s">
        <v>35</v>
      </c>
      <c r="B14" s="87">
        <v>-18.96</v>
      </c>
      <c r="C14" s="88">
        <v>-18.95</v>
      </c>
      <c r="D14" s="88">
        <v>-18.95</v>
      </c>
      <c r="E14" s="87">
        <v>-18.96</v>
      </c>
      <c r="F14" s="88">
        <v>-18.98</v>
      </c>
      <c r="G14" s="88">
        <v>-19.100000000000001</v>
      </c>
      <c r="H14" s="87">
        <v>-19.14</v>
      </c>
      <c r="I14" s="88">
        <v>-19.18</v>
      </c>
      <c r="J14" s="88">
        <v>-19.22</v>
      </c>
      <c r="K14" s="87">
        <v>-19.260000000000002</v>
      </c>
      <c r="L14" s="88">
        <v>-19.3</v>
      </c>
      <c r="M14" s="88">
        <v>-19.350000000000001</v>
      </c>
      <c r="N14" s="87">
        <v>-19.39</v>
      </c>
      <c r="O14" s="88">
        <v>-19.43</v>
      </c>
      <c r="P14" s="88">
        <v>-19.600000000000001</v>
      </c>
      <c r="Q14" s="90">
        <v>-19.64</v>
      </c>
      <c r="R14" s="89">
        <v>-19.68</v>
      </c>
      <c r="S14" s="89">
        <v>-19.690000000000001</v>
      </c>
      <c r="T14" s="87">
        <v>-19.5</v>
      </c>
      <c r="U14" s="88">
        <v>-19.489999999999998</v>
      </c>
      <c r="V14" s="87">
        <v>-19.510000000000002</v>
      </c>
      <c r="W14" s="87">
        <v>-19.55</v>
      </c>
      <c r="X14" s="88">
        <v>-19.59</v>
      </c>
      <c r="Y14" s="87">
        <v>-19.739999999999998</v>
      </c>
      <c r="Z14" s="87">
        <v>-19.77</v>
      </c>
      <c r="AA14" s="88">
        <v>-19.809999999999999</v>
      </c>
      <c r="AB14" s="87">
        <v>-19.850000000000001</v>
      </c>
      <c r="AC14" s="87">
        <v>-19.809999999999999</v>
      </c>
      <c r="AD14" s="88">
        <v>-19.850000000000001</v>
      </c>
      <c r="AE14" s="87">
        <v>-19.88</v>
      </c>
    </row>
    <row r="15" spans="1:31" x14ac:dyDescent="0.35">
      <c r="A15" s="92" t="s">
        <v>5</v>
      </c>
      <c r="B15" s="87">
        <v>-66.19</v>
      </c>
      <c r="C15" s="88">
        <v>-61.98</v>
      </c>
      <c r="D15" s="88">
        <v>-58.33</v>
      </c>
      <c r="E15" s="87">
        <v>-55.14</v>
      </c>
      <c r="F15" s="88">
        <v>-51.35</v>
      </c>
      <c r="G15" s="88">
        <v>-37</v>
      </c>
      <c r="H15" s="87">
        <v>-34.130000000000003</v>
      </c>
      <c r="I15" s="88">
        <v>-31.49</v>
      </c>
      <c r="J15" s="88">
        <v>-29.04</v>
      </c>
      <c r="K15" s="87">
        <v>-26.76</v>
      </c>
      <c r="L15" s="88">
        <v>-24.63</v>
      </c>
      <c r="M15" s="88">
        <v>-22.64</v>
      </c>
      <c r="N15" s="87">
        <v>-20.77</v>
      </c>
      <c r="O15" s="88">
        <v>-19.010000000000002</v>
      </c>
      <c r="P15" s="88">
        <v>-12.87</v>
      </c>
      <c r="Q15" s="87">
        <v>-11.53</v>
      </c>
      <c r="R15" s="88">
        <v>-10.25</v>
      </c>
      <c r="S15" s="88">
        <v>-9.0690000000000008</v>
      </c>
      <c r="T15" s="87">
        <v>-8.5370000000000008</v>
      </c>
      <c r="U15" s="88">
        <v>-8.0269999999999992</v>
      </c>
      <c r="V15" s="87">
        <v>-7.617</v>
      </c>
      <c r="W15" s="87">
        <v>-7.7149999999999999</v>
      </c>
      <c r="X15" s="88">
        <v>-7.8150000000000004</v>
      </c>
      <c r="Y15" s="87">
        <v>-8.2360000000000007</v>
      </c>
      <c r="Z15" s="87">
        <v>-8.35</v>
      </c>
      <c r="AA15" s="88">
        <v>-8.4689999999999994</v>
      </c>
      <c r="AB15" s="87">
        <v>-8.593</v>
      </c>
      <c r="AC15" s="87">
        <v>-8.4689999999999994</v>
      </c>
      <c r="AD15" s="88">
        <v>-8.593</v>
      </c>
      <c r="AE15" s="87">
        <v>-8.7249999999999996</v>
      </c>
    </row>
    <row r="16" spans="1:31" x14ac:dyDescent="0.35">
      <c r="A16" s="92" t="s">
        <v>6</v>
      </c>
      <c r="B16" s="87">
        <v>-16.29</v>
      </c>
      <c r="C16" s="88">
        <v>-15.52</v>
      </c>
      <c r="D16" s="88">
        <v>-14.86</v>
      </c>
      <c r="E16" s="87">
        <v>-14.3</v>
      </c>
      <c r="F16" s="88">
        <v>-13.17</v>
      </c>
      <c r="G16" s="88">
        <v>-7.9130000000000003</v>
      </c>
      <c r="H16" s="87">
        <v>-6.851</v>
      </c>
      <c r="I16" s="88">
        <v>-5.867</v>
      </c>
      <c r="J16" s="88">
        <v>-4.9489999999999998</v>
      </c>
      <c r="K16" s="87">
        <v>-4.101</v>
      </c>
      <c r="L16" s="88">
        <v>-4.1500000000000004</v>
      </c>
      <c r="M16" s="88">
        <v>-4.2</v>
      </c>
      <c r="N16" s="87">
        <v>-4.2489999999999997</v>
      </c>
      <c r="O16" s="88">
        <v>-4.2990000000000004</v>
      </c>
      <c r="P16" s="88">
        <v>-4.4989999999999997</v>
      </c>
      <c r="Q16" s="87">
        <v>-4.5490000000000004</v>
      </c>
      <c r="R16" s="88">
        <v>-4.5979999999999999</v>
      </c>
      <c r="S16" s="88">
        <v>-4.6470000000000002</v>
      </c>
      <c r="T16" s="87">
        <v>-4.6959999999999997</v>
      </c>
      <c r="U16" s="88">
        <v>-4.7439999999999998</v>
      </c>
      <c r="V16" s="87">
        <v>-4.7919999999999998</v>
      </c>
      <c r="W16" s="87">
        <v>-4.84</v>
      </c>
      <c r="X16" s="88">
        <v>-4.8869999999999996</v>
      </c>
      <c r="Y16" s="87">
        <v>-5.0709999999999997</v>
      </c>
      <c r="Z16" s="87">
        <v>-5.1159999999999997</v>
      </c>
      <c r="AA16" s="88">
        <v>-5.1609999999999996</v>
      </c>
      <c r="AB16" s="87">
        <v>-5.2060000000000004</v>
      </c>
      <c r="AC16" s="87">
        <v>-5.1609999999999996</v>
      </c>
      <c r="AD16" s="88">
        <v>-5.2060000000000004</v>
      </c>
      <c r="AE16" s="87">
        <v>-5.25</v>
      </c>
    </row>
    <row r="17" spans="1:31" x14ac:dyDescent="0.35">
      <c r="A17" s="91" t="s">
        <v>7</v>
      </c>
      <c r="B17" s="90">
        <v>-23.52</v>
      </c>
      <c r="C17" s="89">
        <v>-22.18</v>
      </c>
      <c r="D17" s="89">
        <v>-21.02</v>
      </c>
      <c r="E17" s="87">
        <v>-20.010000000000002</v>
      </c>
      <c r="F17" s="88">
        <v>-19.77</v>
      </c>
      <c r="G17" s="88">
        <v>-20.97</v>
      </c>
      <c r="H17" s="87">
        <v>-21.27</v>
      </c>
      <c r="I17" s="88">
        <v>-21.58</v>
      </c>
      <c r="J17" s="88">
        <v>-21.88</v>
      </c>
      <c r="K17" s="87">
        <v>-22.19</v>
      </c>
      <c r="L17" s="88">
        <v>-22.49</v>
      </c>
      <c r="M17" s="88">
        <v>-22.79</v>
      </c>
      <c r="N17" s="87">
        <v>-23.08</v>
      </c>
      <c r="O17" s="88">
        <v>-23.37</v>
      </c>
      <c r="P17" s="88">
        <v>-24.51</v>
      </c>
      <c r="Q17" s="87">
        <v>-24.79</v>
      </c>
      <c r="R17" s="88">
        <v>-25.06</v>
      </c>
      <c r="S17" s="88">
        <v>-25.33</v>
      </c>
      <c r="T17" s="87">
        <v>-25.6</v>
      </c>
      <c r="U17" s="88">
        <v>-25.87</v>
      </c>
      <c r="V17" s="87">
        <v>-26.13</v>
      </c>
      <c r="W17" s="87">
        <v>-26.39</v>
      </c>
      <c r="X17" s="88">
        <v>-26.65</v>
      </c>
      <c r="Y17" s="87">
        <v>-27.65</v>
      </c>
      <c r="Z17" s="87">
        <v>-27.89</v>
      </c>
      <c r="AA17" s="88">
        <v>-28.14</v>
      </c>
      <c r="AB17" s="87">
        <v>-28.38</v>
      </c>
      <c r="AC17" s="90">
        <v>-28.14</v>
      </c>
      <c r="AD17" s="89">
        <v>-28.38</v>
      </c>
      <c r="AE17" s="90">
        <v>-28.62</v>
      </c>
    </row>
    <row r="18" spans="1:31" x14ac:dyDescent="0.35">
      <c r="A18" s="91" t="s">
        <v>46</v>
      </c>
      <c r="B18" s="90">
        <v>0.28000000000000003</v>
      </c>
      <c r="C18" s="89">
        <v>0.28000000000000003</v>
      </c>
      <c r="D18" s="89">
        <v>0.28000000000000003</v>
      </c>
      <c r="E18" s="90">
        <v>0.28000000000000003</v>
      </c>
      <c r="F18" s="89">
        <v>0.28000000000000003</v>
      </c>
      <c r="G18" s="89">
        <v>0.28000000000000003</v>
      </c>
      <c r="H18" s="90">
        <v>0.28000000000000003</v>
      </c>
      <c r="I18" s="89">
        <v>0.28000000000000003</v>
      </c>
      <c r="J18" s="89">
        <v>0.28000000000000003</v>
      </c>
      <c r="K18" s="90">
        <v>0.28000000000000003</v>
      </c>
      <c r="L18" s="89">
        <v>0.28000000000000003</v>
      </c>
      <c r="M18" s="89">
        <v>0.28000000000000003</v>
      </c>
      <c r="N18" s="90">
        <v>0.28000000000000003</v>
      </c>
      <c r="O18" s="89">
        <v>0.28000000000000003</v>
      </c>
      <c r="P18" s="89">
        <v>0.28000000000000003</v>
      </c>
      <c r="Q18" s="90">
        <v>0.28000000000000003</v>
      </c>
      <c r="R18" s="89">
        <v>0.28000000000000003</v>
      </c>
      <c r="S18" s="89">
        <v>0.27079999999999999</v>
      </c>
      <c r="T18" s="87">
        <v>0.21576000000000001</v>
      </c>
      <c r="U18" s="88">
        <v>0.20441000000000001</v>
      </c>
      <c r="V18" s="87">
        <v>0.20115</v>
      </c>
      <c r="W18" s="90">
        <v>0.20011999999999999</v>
      </c>
      <c r="X18" s="89">
        <v>0.20000999999999999</v>
      </c>
      <c r="Y18" s="90">
        <v>0.2</v>
      </c>
      <c r="Z18" s="90">
        <v>0.2</v>
      </c>
      <c r="AA18" s="89">
        <v>0.2</v>
      </c>
      <c r="AB18" s="90">
        <v>0.2</v>
      </c>
      <c r="AC18" s="90">
        <v>0.2</v>
      </c>
      <c r="AD18" s="89">
        <v>0.2</v>
      </c>
      <c r="AE18" s="90">
        <v>0.2</v>
      </c>
    </row>
    <row r="19" spans="1:31" x14ac:dyDescent="0.35">
      <c r="A19" s="91" t="s">
        <v>45</v>
      </c>
      <c r="B19" s="90">
        <v>0</v>
      </c>
      <c r="C19" s="89">
        <v>0</v>
      </c>
      <c r="D19" s="89">
        <v>0</v>
      </c>
      <c r="E19" s="90">
        <v>0</v>
      </c>
      <c r="F19" s="89">
        <v>0</v>
      </c>
      <c r="G19" s="90">
        <v>7.1047999999999997E-37</v>
      </c>
      <c r="H19" s="87">
        <v>2.6937000000000002E-31</v>
      </c>
      <c r="I19" s="88">
        <v>4.1582E-39</v>
      </c>
      <c r="J19" s="88">
        <v>0</v>
      </c>
      <c r="K19" s="90">
        <v>0</v>
      </c>
      <c r="L19" s="89">
        <v>7.8265000000000004E-41</v>
      </c>
      <c r="M19" s="89">
        <v>1.4296E-24</v>
      </c>
      <c r="N19" s="87">
        <v>2.5993E-17</v>
      </c>
      <c r="O19" s="88">
        <v>1.953E-14</v>
      </c>
      <c r="P19" s="88">
        <v>1.4264000000000001E-10</v>
      </c>
      <c r="Q19" s="90">
        <v>1.2626000000000001E-10</v>
      </c>
      <c r="R19" s="89">
        <v>1.0119E-9</v>
      </c>
      <c r="S19" s="89">
        <v>0</v>
      </c>
      <c r="T19" s="87">
        <v>9.7267000000000003E-9</v>
      </c>
      <c r="U19" s="88">
        <v>7.2993999999999998E-8</v>
      </c>
      <c r="V19" s="87">
        <v>0.18548000000000001</v>
      </c>
      <c r="W19" s="87">
        <v>0.19289000000000001</v>
      </c>
      <c r="X19" s="88">
        <v>0.19889000000000001</v>
      </c>
      <c r="Y19" s="87">
        <v>0.23233000000000001</v>
      </c>
      <c r="Z19" s="87">
        <v>0.24440999999999999</v>
      </c>
      <c r="AA19" s="88">
        <v>0.25866</v>
      </c>
      <c r="AB19" s="87">
        <v>0.27559</v>
      </c>
      <c r="AC19" s="87">
        <v>0.25866</v>
      </c>
      <c r="AD19" s="88">
        <v>0.27559</v>
      </c>
      <c r="AE19" s="87">
        <v>0.29603000000000002</v>
      </c>
    </row>
    <row r="20" spans="1:31" x14ac:dyDescent="0.35">
      <c r="A20" s="86" t="s">
        <v>44</v>
      </c>
      <c r="B20" s="84">
        <v>1.7248999999999999E-9</v>
      </c>
      <c r="C20" s="85">
        <v>5.3992999999999997E-9</v>
      </c>
      <c r="D20" s="85">
        <v>2.8524999999999998E-9</v>
      </c>
      <c r="E20" s="84">
        <v>7.1092999999999998E-9</v>
      </c>
      <c r="F20" s="85">
        <v>6.5676000000000004E-9</v>
      </c>
      <c r="G20" s="85">
        <v>3.5764999999999998E-9</v>
      </c>
      <c r="H20" s="84">
        <v>7.1643000000000002E-9</v>
      </c>
      <c r="I20" s="85">
        <v>5.2841E-9</v>
      </c>
      <c r="J20" s="85">
        <v>8.1865000000000002E-9</v>
      </c>
      <c r="K20" s="84">
        <v>3.7150000000000001E-7</v>
      </c>
      <c r="L20" s="85">
        <v>5.8954000000000001E-9</v>
      </c>
      <c r="M20" s="85">
        <v>2.8117000000000001E-9</v>
      </c>
      <c r="N20" s="84">
        <v>5.0099999999999999E-9</v>
      </c>
      <c r="O20" s="85">
        <v>1.2273999999999999E-9</v>
      </c>
      <c r="P20" s="85">
        <v>5.3845000000000002E-9</v>
      </c>
      <c r="Q20" s="84">
        <v>2.5708999999999999E-9</v>
      </c>
      <c r="R20" s="85">
        <v>7.2542999999999997E-9</v>
      </c>
      <c r="S20" s="85">
        <v>9.4418000000000002E-9</v>
      </c>
      <c r="T20" s="84">
        <v>5.4284999999999996E-9</v>
      </c>
      <c r="U20" s="85">
        <v>7.0450000000000004E-9</v>
      </c>
      <c r="V20" s="84">
        <v>9.7436999999999998E-9</v>
      </c>
      <c r="W20" s="84">
        <v>9.2729999999999997E-9</v>
      </c>
      <c r="X20" s="85">
        <v>8.7954999999999993E-9</v>
      </c>
      <c r="Y20" s="85">
        <v>7.3713999999999996E-9</v>
      </c>
      <c r="Z20" s="84">
        <v>8.4123999999999996E-9</v>
      </c>
      <c r="AA20" s="85">
        <v>7.8887999999999995E-9</v>
      </c>
      <c r="AB20" s="85">
        <v>7.2149999999999996E-9</v>
      </c>
      <c r="AC20" s="84">
        <v>7.8887999999999995E-9</v>
      </c>
      <c r="AD20" s="85">
        <v>7.2149999999999996E-9</v>
      </c>
      <c r="AE20" s="84">
        <v>9.1939999999999995E-9</v>
      </c>
    </row>
    <row r="21" spans="1:31" x14ac:dyDescent="0.3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</row>
    <row r="22" spans="1:31" x14ac:dyDescent="0.35">
      <c r="A22" s="83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</row>
    <row r="23" spans="1:31" x14ac:dyDescent="0.35">
      <c r="A23" s="82"/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</row>
    <row r="24" spans="1:31" x14ac:dyDescent="0.35">
      <c r="A24" s="83"/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</row>
    <row r="25" spans="1:31" x14ac:dyDescent="0.35">
      <c r="A25" s="82"/>
      <c r="B25" s="82"/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</row>
    <row r="26" spans="1:31" x14ac:dyDescent="0.35">
      <c r="A26" s="8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</row>
    <row r="27" spans="1:31" x14ac:dyDescent="0.35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</row>
    <row r="28" spans="1:31" x14ac:dyDescent="0.35">
      <c r="A28" s="83"/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</row>
    <row r="29" spans="1:31" x14ac:dyDescent="0.35">
      <c r="A29" s="83"/>
      <c r="B29" s="82"/>
      <c r="C29" s="82"/>
      <c r="D29" s="82"/>
      <c r="E29" s="82"/>
      <c r="F29" s="82"/>
      <c r="G29" s="82"/>
      <c r="H29" s="82"/>
      <c r="I29" s="82"/>
      <c r="J29" s="82"/>
      <c r="K29" s="82"/>
      <c r="L29" s="82"/>
      <c r="M29" s="82"/>
      <c r="N29" s="82"/>
      <c r="O29" s="82"/>
      <c r="P29" s="82"/>
    </row>
    <row r="30" spans="1:31" x14ac:dyDescent="0.35">
      <c r="A30" s="83"/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2"/>
      <c r="O30" s="82"/>
      <c r="P30" s="82"/>
    </row>
    <row r="31" spans="1:31" x14ac:dyDescent="0.35">
      <c r="A31" s="82"/>
      <c r="B31" s="82"/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</row>
    <row r="32" spans="1:31" x14ac:dyDescent="0.35">
      <c r="A32" s="83"/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</row>
    <row r="33" spans="1:16" x14ac:dyDescent="0.35">
      <c r="A33" s="83"/>
      <c r="B33" s="82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</row>
    <row r="34" spans="1:16" x14ac:dyDescent="0.35">
      <c r="A34" s="82"/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/>
      <c r="N34" s="82"/>
      <c r="O34" s="82"/>
      <c r="P34" s="82"/>
    </row>
    <row r="35" spans="1:16" x14ac:dyDescent="0.35">
      <c r="A35" s="83"/>
      <c r="B35" s="82"/>
      <c r="C35" s="82"/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</row>
    <row r="36" spans="1:16" x14ac:dyDescent="0.35">
      <c r="A36" s="83"/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</row>
    <row r="37" spans="1:16" x14ac:dyDescent="0.35">
      <c r="A37" s="83"/>
      <c r="B37" s="82"/>
      <c r="C37" s="82"/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</row>
    <row r="38" spans="1:16" x14ac:dyDescent="0.35">
      <c r="A38" s="83"/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</row>
    <row r="39" spans="1:16" x14ac:dyDescent="0.35">
      <c r="A39" s="82"/>
      <c r="B39" s="82"/>
      <c r="C39" s="82"/>
      <c r="D39" s="82"/>
      <c r="E39" s="82"/>
      <c r="F39" s="82"/>
      <c r="G39" s="82"/>
      <c r="H39" s="82"/>
      <c r="I39" s="82"/>
      <c r="J39" s="82"/>
      <c r="K39" s="82"/>
      <c r="L39" s="82"/>
      <c r="M39" s="82"/>
      <c r="N39" s="82"/>
      <c r="O39" s="82"/>
      <c r="P39" s="82"/>
    </row>
    <row r="40" spans="1:16" x14ac:dyDescent="0.35">
      <c r="A40" s="83"/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/>
      <c r="N40" s="82"/>
      <c r="O40" s="82"/>
      <c r="P40" s="82"/>
    </row>
    <row r="41" spans="1:16" x14ac:dyDescent="0.35">
      <c r="A41" s="82"/>
      <c r="B41" s="82"/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</row>
    <row r="42" spans="1:16" x14ac:dyDescent="0.35">
      <c r="A42" s="83"/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</row>
    <row r="43" spans="1:16" x14ac:dyDescent="0.35">
      <c r="A43" s="82"/>
      <c r="B43" s="82"/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</row>
    <row r="44" spans="1:16" x14ac:dyDescent="0.35">
      <c r="A44" s="83"/>
      <c r="B44" s="82"/>
      <c r="C44" s="82"/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</row>
  </sheetData>
  <conditionalFormatting sqref="A1:AZ21">
    <cfRule type="expression" dxfId="2" priority="1">
      <formula>ISNUMBER(A1)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7B45A-AC75-468B-8EF4-A4DE4F7F6264}">
  <sheetPr codeName="Лист4">
    <tabColor theme="1"/>
  </sheetPr>
  <dimension ref="A1:K31"/>
  <sheetViews>
    <sheetView zoomScaleNormal="100" workbookViewId="0">
      <selection activeCell="F39" sqref="F39"/>
    </sheetView>
  </sheetViews>
  <sheetFormatPr defaultRowHeight="21" x14ac:dyDescent="0.35"/>
  <cols>
    <col min="1" max="16384" width="8.7265625" style="81"/>
  </cols>
  <sheetData>
    <row r="1" spans="1:11" x14ac:dyDescent="0.35">
      <c r="B1" s="81">
        <v>273.10000000000002</v>
      </c>
      <c r="C1" s="81">
        <v>353.9</v>
      </c>
      <c r="D1" s="81">
        <v>434.7</v>
      </c>
      <c r="E1" s="81">
        <v>515.4</v>
      </c>
      <c r="F1" s="81">
        <v>596.20000000000005</v>
      </c>
      <c r="G1" s="81">
        <v>677</v>
      </c>
      <c r="H1" s="81">
        <v>757.7</v>
      </c>
      <c r="I1" s="81">
        <v>838.5</v>
      </c>
      <c r="J1" s="81">
        <v>919.2</v>
      </c>
      <c r="K1" s="81">
        <v>1000</v>
      </c>
    </row>
    <row r="2" spans="1:11" x14ac:dyDescent="0.35">
      <c r="A2" s="105" t="s">
        <v>230</v>
      </c>
      <c r="B2" s="103" t="s">
        <v>229</v>
      </c>
      <c r="C2" s="103" t="s">
        <v>228</v>
      </c>
      <c r="D2" s="103" t="s">
        <v>228</v>
      </c>
      <c r="E2" s="103" t="s">
        <v>227</v>
      </c>
      <c r="F2" s="103" t="s">
        <v>226</v>
      </c>
      <c r="G2" s="103" t="s">
        <v>225</v>
      </c>
      <c r="H2" s="103" t="s">
        <v>224</v>
      </c>
      <c r="I2" s="103" t="s">
        <v>223</v>
      </c>
      <c r="J2" s="103" t="s">
        <v>222</v>
      </c>
      <c r="K2" s="103" t="s">
        <v>221</v>
      </c>
    </row>
    <row r="3" spans="1:11" x14ac:dyDescent="0.35">
      <c r="A3" s="104"/>
      <c r="B3" s="103" t="s">
        <v>220</v>
      </c>
      <c r="C3" s="103" t="s">
        <v>219</v>
      </c>
      <c r="D3" s="103" t="s">
        <v>219</v>
      </c>
      <c r="E3" s="104"/>
      <c r="F3" s="103" t="s">
        <v>218</v>
      </c>
      <c r="G3" s="103" t="s">
        <v>217</v>
      </c>
      <c r="H3" s="103" t="s">
        <v>216</v>
      </c>
      <c r="I3" s="104"/>
      <c r="J3" s="103" t="s">
        <v>215</v>
      </c>
      <c r="K3" s="103" t="s">
        <v>214</v>
      </c>
    </row>
    <row r="4" spans="1:11" x14ac:dyDescent="0.35">
      <c r="A4" s="105" t="s">
        <v>213</v>
      </c>
      <c r="B4" s="103" t="s">
        <v>212</v>
      </c>
      <c r="C4" s="103" t="s">
        <v>211</v>
      </c>
      <c r="D4" s="103" t="s">
        <v>211</v>
      </c>
      <c r="E4" s="103" t="s">
        <v>210</v>
      </c>
      <c r="F4" s="103" t="s">
        <v>209</v>
      </c>
      <c r="G4" s="103" t="s">
        <v>208</v>
      </c>
      <c r="H4" s="103" t="s">
        <v>207</v>
      </c>
      <c r="I4" s="103" t="s">
        <v>206</v>
      </c>
      <c r="J4" s="103" t="s">
        <v>205</v>
      </c>
      <c r="K4" s="103" t="s">
        <v>204</v>
      </c>
    </row>
    <row r="5" spans="1:11" x14ac:dyDescent="0.35">
      <c r="A5" s="104"/>
      <c r="B5" s="103" t="s">
        <v>203</v>
      </c>
      <c r="C5" s="103" t="s">
        <v>202</v>
      </c>
      <c r="D5" s="103" t="s">
        <v>202</v>
      </c>
      <c r="E5" s="104"/>
      <c r="F5" s="103" t="s">
        <v>201</v>
      </c>
      <c r="G5" s="103" t="s">
        <v>200</v>
      </c>
      <c r="H5" s="103" t="s">
        <v>199</v>
      </c>
      <c r="I5" s="104"/>
      <c r="J5" s="103" t="s">
        <v>198</v>
      </c>
      <c r="K5" s="103" t="s">
        <v>197</v>
      </c>
    </row>
    <row r="6" spans="1:11" x14ac:dyDescent="0.35">
      <c r="A6" s="105" t="s">
        <v>196</v>
      </c>
      <c r="B6" s="103" t="s">
        <v>195</v>
      </c>
      <c r="C6" s="103" t="s">
        <v>194</v>
      </c>
      <c r="D6" s="103" t="s">
        <v>194</v>
      </c>
      <c r="E6" s="103" t="s">
        <v>193</v>
      </c>
      <c r="F6" s="103" t="s">
        <v>192</v>
      </c>
      <c r="G6" s="103" t="s">
        <v>191</v>
      </c>
      <c r="H6" s="103" t="s">
        <v>190</v>
      </c>
      <c r="I6" s="103" t="s">
        <v>189</v>
      </c>
      <c r="J6" s="103" t="s">
        <v>188</v>
      </c>
      <c r="K6" s="103" t="s">
        <v>187</v>
      </c>
    </row>
    <row r="7" spans="1:11" x14ac:dyDescent="0.35">
      <c r="A7" s="104"/>
      <c r="B7" s="103" t="s">
        <v>186</v>
      </c>
      <c r="C7" s="103" t="s">
        <v>185</v>
      </c>
      <c r="D7" s="103" t="s">
        <v>185</v>
      </c>
      <c r="E7" s="103" t="s">
        <v>184</v>
      </c>
      <c r="F7" s="103" t="s">
        <v>183</v>
      </c>
      <c r="G7" s="103" t="s">
        <v>182</v>
      </c>
      <c r="H7" s="103" t="s">
        <v>181</v>
      </c>
      <c r="I7" s="104"/>
      <c r="J7" s="103" t="s">
        <v>180</v>
      </c>
      <c r="K7" s="103" t="s">
        <v>179</v>
      </c>
    </row>
    <row r="8" spans="1:11" x14ac:dyDescent="0.35">
      <c r="A8" s="105" t="s">
        <v>178</v>
      </c>
      <c r="B8" s="103" t="s">
        <v>177</v>
      </c>
      <c r="C8" s="103" t="s">
        <v>176</v>
      </c>
      <c r="D8" s="103" t="s">
        <v>176</v>
      </c>
      <c r="E8" s="103" t="s">
        <v>175</v>
      </c>
      <c r="F8" s="103" t="s">
        <v>174</v>
      </c>
      <c r="G8" s="103" t="s">
        <v>173</v>
      </c>
      <c r="H8" s="103" t="s">
        <v>172</v>
      </c>
      <c r="I8" s="103" t="s">
        <v>171</v>
      </c>
      <c r="J8" s="103" t="s">
        <v>170</v>
      </c>
      <c r="K8" s="103" t="s">
        <v>169</v>
      </c>
    </row>
    <row r="9" spans="1:11" x14ac:dyDescent="0.35">
      <c r="A9" s="105" t="s">
        <v>168</v>
      </c>
      <c r="B9" s="103" t="s">
        <v>167</v>
      </c>
      <c r="C9" s="103" t="s">
        <v>166</v>
      </c>
      <c r="D9" s="103" t="s">
        <v>166</v>
      </c>
      <c r="E9" s="103" t="s">
        <v>165</v>
      </c>
      <c r="F9" s="103" t="s">
        <v>164</v>
      </c>
      <c r="G9" s="103" t="s">
        <v>163</v>
      </c>
      <c r="H9" s="103" t="s">
        <v>162</v>
      </c>
      <c r="I9" s="104"/>
      <c r="J9" s="103" t="s">
        <v>161</v>
      </c>
      <c r="K9" s="103" t="s">
        <v>160</v>
      </c>
    </row>
    <row r="10" spans="1:11" x14ac:dyDescent="0.35">
      <c r="A10" s="104"/>
      <c r="B10" s="103" t="s">
        <v>159</v>
      </c>
      <c r="C10" s="103" t="s">
        <v>158</v>
      </c>
      <c r="D10" s="103" t="s">
        <v>158</v>
      </c>
      <c r="E10" s="103" t="s">
        <v>157</v>
      </c>
      <c r="F10" s="103" t="s">
        <v>156</v>
      </c>
      <c r="G10" s="103" t="s">
        <v>155</v>
      </c>
      <c r="H10" s="103" t="s">
        <v>154</v>
      </c>
      <c r="I10" s="103" t="s">
        <v>153</v>
      </c>
      <c r="J10" s="103" t="s">
        <v>152</v>
      </c>
      <c r="K10" s="103" t="s">
        <v>151</v>
      </c>
    </row>
    <row r="11" spans="1:11" x14ac:dyDescent="0.35">
      <c r="A11" s="105" t="s">
        <v>150</v>
      </c>
      <c r="B11" s="103" t="s">
        <v>149</v>
      </c>
      <c r="C11" s="103" t="s">
        <v>148</v>
      </c>
      <c r="D11" s="103" t="s">
        <v>148</v>
      </c>
      <c r="E11" s="103" t="s">
        <v>147</v>
      </c>
      <c r="F11" s="103" t="s">
        <v>146</v>
      </c>
      <c r="G11" s="103" t="s">
        <v>145</v>
      </c>
      <c r="H11" s="103" t="s">
        <v>144</v>
      </c>
      <c r="I11" s="104"/>
      <c r="J11" s="103" t="s">
        <v>143</v>
      </c>
      <c r="K11" s="103" t="s">
        <v>142</v>
      </c>
    </row>
    <row r="12" spans="1:11" x14ac:dyDescent="0.35">
      <c r="A12" s="104"/>
      <c r="B12" s="103" t="s">
        <v>76</v>
      </c>
      <c r="C12" s="103" t="s">
        <v>140</v>
      </c>
      <c r="D12" s="103" t="s">
        <v>76</v>
      </c>
      <c r="E12" s="103" t="s">
        <v>141</v>
      </c>
      <c r="F12" s="103" t="s">
        <v>140</v>
      </c>
      <c r="G12" s="103" t="s">
        <v>76</v>
      </c>
      <c r="H12" s="103" t="s">
        <v>76</v>
      </c>
      <c r="I12" s="103" t="s">
        <v>139</v>
      </c>
      <c r="J12" s="103" t="s">
        <v>76</v>
      </c>
      <c r="K12" s="103" t="s">
        <v>138</v>
      </c>
    </row>
    <row r="13" spans="1:11" x14ac:dyDescent="0.35">
      <c r="A13" s="105" t="s">
        <v>137</v>
      </c>
      <c r="B13" s="103" t="s">
        <v>69</v>
      </c>
      <c r="C13" s="103" t="s">
        <v>136</v>
      </c>
      <c r="D13" s="103" t="s">
        <v>136</v>
      </c>
      <c r="E13" s="104"/>
      <c r="F13" s="103" t="s">
        <v>135</v>
      </c>
      <c r="G13" s="103" t="s">
        <v>134</v>
      </c>
      <c r="H13" s="103" t="s">
        <v>133</v>
      </c>
      <c r="I13" s="104"/>
      <c r="J13" s="103" t="s">
        <v>132</v>
      </c>
      <c r="K13" s="103" t="s">
        <v>131</v>
      </c>
    </row>
    <row r="14" spans="1:11" x14ac:dyDescent="0.35">
      <c r="A14" s="104"/>
      <c r="B14" s="103" t="s">
        <v>69</v>
      </c>
      <c r="C14" s="103" t="s">
        <v>129</v>
      </c>
      <c r="D14" s="103" t="s">
        <v>69</v>
      </c>
      <c r="E14" s="103" t="s">
        <v>130</v>
      </c>
      <c r="F14" s="103" t="s">
        <v>129</v>
      </c>
      <c r="G14" s="103" t="s">
        <v>69</v>
      </c>
      <c r="H14" s="103" t="s">
        <v>69</v>
      </c>
      <c r="I14" s="103" t="s">
        <v>128</v>
      </c>
      <c r="J14" s="103" t="s">
        <v>69</v>
      </c>
      <c r="K14" s="103" t="s">
        <v>127</v>
      </c>
    </row>
    <row r="15" spans="1:11" x14ac:dyDescent="0.35">
      <c r="A15" s="105" t="s">
        <v>126</v>
      </c>
      <c r="B15" s="103" t="s">
        <v>125</v>
      </c>
      <c r="C15" s="103" t="s">
        <v>124</v>
      </c>
      <c r="D15" s="103" t="s">
        <v>124</v>
      </c>
      <c r="E15" s="103" t="s">
        <v>76</v>
      </c>
      <c r="F15" s="103" t="s">
        <v>123</v>
      </c>
      <c r="G15" s="103" t="s">
        <v>122</v>
      </c>
      <c r="H15" s="103" t="s">
        <v>121</v>
      </c>
      <c r="I15" s="104"/>
      <c r="J15" s="103" t="s">
        <v>120</v>
      </c>
      <c r="K15" s="103" t="s">
        <v>119</v>
      </c>
    </row>
    <row r="16" spans="1:11" x14ac:dyDescent="0.35">
      <c r="A16" s="105" t="s">
        <v>2</v>
      </c>
      <c r="B16" s="103" t="s">
        <v>118</v>
      </c>
      <c r="C16" s="103" t="s">
        <v>117</v>
      </c>
      <c r="D16" s="103" t="s">
        <v>117</v>
      </c>
      <c r="E16" s="103" t="s">
        <v>116</v>
      </c>
      <c r="F16" s="103" t="s">
        <v>115</v>
      </c>
      <c r="G16" s="103" t="s">
        <v>114</v>
      </c>
      <c r="H16" s="103" t="s">
        <v>113</v>
      </c>
      <c r="I16" s="103" t="s">
        <v>112</v>
      </c>
      <c r="J16" s="103" t="s">
        <v>111</v>
      </c>
      <c r="K16" s="103" t="s">
        <v>110</v>
      </c>
    </row>
    <row r="17" spans="1:11" x14ac:dyDescent="0.35">
      <c r="A17" s="104"/>
      <c r="B17" s="103" t="s">
        <v>109</v>
      </c>
      <c r="C17" s="103" t="s">
        <v>108</v>
      </c>
      <c r="D17" s="103" t="s">
        <v>108</v>
      </c>
      <c r="E17" s="104"/>
      <c r="F17" s="103" t="s">
        <v>107</v>
      </c>
      <c r="G17" s="103" t="s">
        <v>106</v>
      </c>
      <c r="H17" s="103" t="s">
        <v>105</v>
      </c>
      <c r="I17" s="104"/>
      <c r="J17" s="103" t="s">
        <v>104</v>
      </c>
      <c r="K17" s="103" t="s">
        <v>103</v>
      </c>
    </row>
    <row r="18" spans="1:11" x14ac:dyDescent="0.35">
      <c r="A18" s="105" t="s">
        <v>102</v>
      </c>
      <c r="B18" s="103" t="s">
        <v>101</v>
      </c>
      <c r="C18" s="103" t="s">
        <v>100</v>
      </c>
      <c r="D18" s="103" t="s">
        <v>100</v>
      </c>
      <c r="E18" s="103" t="s">
        <v>69</v>
      </c>
      <c r="F18" s="103" t="s">
        <v>99</v>
      </c>
      <c r="G18" s="103" t="s">
        <v>98</v>
      </c>
      <c r="H18" s="103" t="s">
        <v>97</v>
      </c>
      <c r="I18" s="103" t="s">
        <v>96</v>
      </c>
      <c r="J18" s="103" t="s">
        <v>95</v>
      </c>
      <c r="K18" s="103" t="s">
        <v>94</v>
      </c>
    </row>
    <row r="19" spans="1:11" x14ac:dyDescent="0.35">
      <c r="A19" s="105" t="s">
        <v>1</v>
      </c>
      <c r="B19" s="103" t="s">
        <v>93</v>
      </c>
      <c r="C19" s="103" t="s">
        <v>92</v>
      </c>
      <c r="D19" s="103" t="s">
        <v>91</v>
      </c>
      <c r="E19" s="104"/>
      <c r="F19" s="103" t="s">
        <v>90</v>
      </c>
      <c r="G19" s="103" t="s">
        <v>89</v>
      </c>
      <c r="H19" s="103" t="s">
        <v>88</v>
      </c>
      <c r="I19" s="104"/>
      <c r="J19" s="103" t="s">
        <v>87</v>
      </c>
      <c r="K19" s="103" t="s">
        <v>86</v>
      </c>
    </row>
    <row r="20" spans="1:11" x14ac:dyDescent="0.35">
      <c r="A20" s="104"/>
      <c r="B20" s="103" t="s">
        <v>76</v>
      </c>
      <c r="C20" s="103" t="s">
        <v>85</v>
      </c>
      <c r="D20" s="103" t="s">
        <v>85</v>
      </c>
      <c r="E20" s="103" t="s">
        <v>84</v>
      </c>
      <c r="F20" s="103" t="s">
        <v>83</v>
      </c>
      <c r="G20" s="103" t="s">
        <v>82</v>
      </c>
      <c r="H20" s="103" t="s">
        <v>81</v>
      </c>
      <c r="I20" s="103" t="s">
        <v>80</v>
      </c>
      <c r="J20" s="103" t="s">
        <v>79</v>
      </c>
      <c r="K20" s="103" t="s">
        <v>78</v>
      </c>
    </row>
    <row r="21" spans="1:11" x14ac:dyDescent="0.35">
      <c r="A21" s="105" t="s">
        <v>50</v>
      </c>
      <c r="E21" s="103" t="s">
        <v>77</v>
      </c>
      <c r="I21" s="103" t="s">
        <v>76</v>
      </c>
    </row>
    <row r="22" spans="1:11" x14ac:dyDescent="0.35">
      <c r="A22" s="104"/>
      <c r="E22" s="103" t="s">
        <v>75</v>
      </c>
      <c r="I22" s="103" t="s">
        <v>74</v>
      </c>
    </row>
    <row r="23" spans="1:11" x14ac:dyDescent="0.35">
      <c r="A23" s="105" t="s">
        <v>73</v>
      </c>
      <c r="E23" s="103" t="s">
        <v>72</v>
      </c>
      <c r="I23" s="104"/>
    </row>
    <row r="24" spans="1:11" x14ac:dyDescent="0.35">
      <c r="A24" s="105" t="s">
        <v>71</v>
      </c>
      <c r="E24" s="103" t="s">
        <v>70</v>
      </c>
      <c r="I24" s="103" t="s">
        <v>69</v>
      </c>
    </row>
    <row r="25" spans="1:11" x14ac:dyDescent="0.35">
      <c r="A25" s="105" t="s">
        <v>48</v>
      </c>
      <c r="E25" s="103" t="s">
        <v>68</v>
      </c>
      <c r="I25" s="104"/>
    </row>
    <row r="26" spans="1:11" x14ac:dyDescent="0.35">
      <c r="A26" s="105" t="s">
        <v>67</v>
      </c>
      <c r="I26" s="103" t="s">
        <v>66</v>
      </c>
    </row>
    <row r="27" spans="1:11" x14ac:dyDescent="0.35">
      <c r="A27" s="105" t="s">
        <v>47</v>
      </c>
      <c r="I27" s="103" t="s">
        <v>65</v>
      </c>
    </row>
    <row r="28" spans="1:11" x14ac:dyDescent="0.35">
      <c r="A28" s="105" t="s">
        <v>64</v>
      </c>
      <c r="I28" s="103" t="s">
        <v>63</v>
      </c>
    </row>
    <row r="29" spans="1:11" x14ac:dyDescent="0.35">
      <c r="A29" s="105" t="s">
        <v>46</v>
      </c>
      <c r="B29" s="104"/>
      <c r="C29" s="104"/>
      <c r="D29" s="104"/>
      <c r="E29" s="104"/>
      <c r="F29" s="104"/>
      <c r="I29" s="103" t="s">
        <v>62</v>
      </c>
    </row>
    <row r="30" spans="1:11" x14ac:dyDescent="0.35">
      <c r="I30" s="103" t="s">
        <v>61</v>
      </c>
    </row>
    <row r="31" spans="1:11" x14ac:dyDescent="0.35">
      <c r="I31" s="103" t="s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0650A-BD79-4780-93A6-8EA6FC916470}">
  <sheetPr codeName="Лист9">
    <tabColor theme="1"/>
  </sheetPr>
  <dimension ref="A1:AE26"/>
  <sheetViews>
    <sheetView zoomScale="115" zoomScaleNormal="115" workbookViewId="0">
      <selection activeCell="I18" sqref="I18"/>
    </sheetView>
  </sheetViews>
  <sheetFormatPr defaultRowHeight="21" x14ac:dyDescent="0.35"/>
  <cols>
    <col min="1" max="16384" width="8.7265625" style="81"/>
  </cols>
  <sheetData>
    <row r="1" spans="1:31" x14ac:dyDescent="0.35">
      <c r="A1" s="111" t="s">
        <v>258</v>
      </c>
      <c r="B1" s="115">
        <v>273.10000000000002</v>
      </c>
      <c r="C1" s="115">
        <v>293.3</v>
      </c>
      <c r="D1" s="115">
        <v>313.5</v>
      </c>
      <c r="E1" s="108">
        <v>333.7</v>
      </c>
      <c r="F1" s="108">
        <v>353.9</v>
      </c>
      <c r="G1" s="108">
        <v>374.1</v>
      </c>
      <c r="H1" s="108">
        <v>394.3</v>
      </c>
      <c r="I1" s="108">
        <v>414.5</v>
      </c>
      <c r="J1" s="108">
        <v>434.7</v>
      </c>
      <c r="K1" s="108">
        <v>515.4</v>
      </c>
      <c r="L1" s="108">
        <v>535.6</v>
      </c>
      <c r="M1" s="108">
        <v>555.79999999999995</v>
      </c>
      <c r="N1" s="114">
        <v>576</v>
      </c>
      <c r="O1" s="108">
        <v>596.20000000000005</v>
      </c>
      <c r="P1" s="108">
        <v>616.4</v>
      </c>
      <c r="Q1" s="108">
        <v>636.6</v>
      </c>
      <c r="R1" s="108">
        <v>656.8</v>
      </c>
      <c r="S1" s="114">
        <v>677</v>
      </c>
      <c r="T1" s="108">
        <v>757.7</v>
      </c>
      <c r="U1" s="108">
        <v>777.9</v>
      </c>
      <c r="V1" s="108">
        <v>798.1</v>
      </c>
      <c r="W1" s="108">
        <v>818.3</v>
      </c>
      <c r="X1" s="108">
        <v>838.5</v>
      </c>
      <c r="Y1" s="108">
        <v>919.2</v>
      </c>
      <c r="Z1" s="108">
        <v>939.4</v>
      </c>
      <c r="AA1" s="108">
        <v>959.6</v>
      </c>
      <c r="AB1" s="108">
        <v>979.8</v>
      </c>
      <c r="AC1" s="108">
        <v>959.6</v>
      </c>
      <c r="AD1" s="108">
        <v>979.8</v>
      </c>
      <c r="AE1" s="109">
        <v>1000</v>
      </c>
    </row>
    <row r="2" spans="1:31" x14ac:dyDescent="0.35">
      <c r="A2" s="111" t="s">
        <v>257</v>
      </c>
      <c r="B2" s="110">
        <v>1.4885E-9</v>
      </c>
      <c r="C2" s="110">
        <v>2.6960999999999998E-9</v>
      </c>
      <c r="D2" s="110">
        <v>6.4316E-9</v>
      </c>
      <c r="E2" s="126">
        <v>7.9884000000000002E-9</v>
      </c>
      <c r="F2" s="126">
        <v>1.5031000000000001E-8</v>
      </c>
      <c r="G2" s="126">
        <v>1.9553E-8</v>
      </c>
      <c r="H2" s="126">
        <v>2.0324000000000001E-8</v>
      </c>
      <c r="I2" s="126">
        <v>1.1984999999999999E-8</v>
      </c>
      <c r="J2" s="126">
        <v>5.9535000000000002E-9</v>
      </c>
      <c r="K2" s="127">
        <v>2.8796000000000002E-29</v>
      </c>
      <c r="L2" s="127">
        <v>0</v>
      </c>
      <c r="M2" s="127">
        <v>0</v>
      </c>
      <c r="N2" s="127">
        <v>0</v>
      </c>
      <c r="O2" s="127">
        <v>0</v>
      </c>
      <c r="P2" s="127">
        <v>0</v>
      </c>
      <c r="Q2" s="127">
        <v>0</v>
      </c>
      <c r="R2" s="127">
        <v>0</v>
      </c>
      <c r="S2" s="127">
        <v>0</v>
      </c>
      <c r="T2" s="127">
        <v>0</v>
      </c>
      <c r="U2" s="127">
        <v>0</v>
      </c>
      <c r="V2" s="127">
        <v>0</v>
      </c>
      <c r="W2" s="127">
        <v>0</v>
      </c>
      <c r="X2" s="127">
        <v>0</v>
      </c>
      <c r="Y2" s="127">
        <v>0</v>
      </c>
      <c r="Z2" s="127">
        <v>0</v>
      </c>
      <c r="AA2" s="127">
        <v>0</v>
      </c>
      <c r="AB2" s="127">
        <v>0</v>
      </c>
      <c r="AC2" s="127">
        <v>0</v>
      </c>
      <c r="AD2" s="127">
        <v>0</v>
      </c>
      <c r="AE2" s="127">
        <v>0</v>
      </c>
    </row>
    <row r="3" spans="1:31" x14ac:dyDescent="0.35">
      <c r="A3" s="113" t="s">
        <v>256</v>
      </c>
      <c r="B3" s="112">
        <v>0</v>
      </c>
      <c r="C3" s="112">
        <v>0</v>
      </c>
      <c r="D3" s="112">
        <v>0</v>
      </c>
      <c r="E3" s="127">
        <v>0</v>
      </c>
      <c r="F3" s="127">
        <v>0</v>
      </c>
      <c r="G3" s="127">
        <v>0</v>
      </c>
      <c r="H3" s="127">
        <v>0</v>
      </c>
      <c r="I3" s="127">
        <v>0</v>
      </c>
      <c r="J3" s="127">
        <v>0</v>
      </c>
      <c r="K3" s="127">
        <v>0</v>
      </c>
      <c r="L3" s="127">
        <v>0</v>
      </c>
      <c r="M3" s="127">
        <v>0</v>
      </c>
      <c r="N3" s="127">
        <v>0</v>
      </c>
      <c r="O3" s="127">
        <v>0</v>
      </c>
      <c r="P3" s="127">
        <v>0</v>
      </c>
      <c r="Q3" s="127">
        <v>0</v>
      </c>
      <c r="R3" s="127">
        <v>0</v>
      </c>
      <c r="S3" s="127">
        <v>0</v>
      </c>
      <c r="T3" s="126">
        <v>1.3754E-36</v>
      </c>
      <c r="U3" s="126">
        <v>1.2316E-27</v>
      </c>
      <c r="V3" s="126">
        <v>9.9036E-20</v>
      </c>
      <c r="W3" s="126">
        <v>3.6288E-12</v>
      </c>
      <c r="X3" s="126">
        <v>8.1276000000000003E-7</v>
      </c>
      <c r="Y3" s="126">
        <v>4.5038000000000001E-4</v>
      </c>
      <c r="Z3" s="126">
        <v>3.2380000000000001E-4</v>
      </c>
      <c r="AA3" s="126">
        <v>1.5102E-4</v>
      </c>
      <c r="AB3" s="126">
        <v>7.6592000000000001E-5</v>
      </c>
      <c r="AC3" s="126">
        <v>1.5102E-4</v>
      </c>
      <c r="AD3" s="126">
        <v>7.6592000000000001E-5</v>
      </c>
      <c r="AE3" s="126">
        <v>3.7290999999999999E-5</v>
      </c>
    </row>
    <row r="4" spans="1:31" x14ac:dyDescent="0.35">
      <c r="A4" s="111" t="s">
        <v>255</v>
      </c>
      <c r="B4" s="110">
        <v>0</v>
      </c>
      <c r="C4" s="110">
        <v>5.3673999999999998E-31</v>
      </c>
      <c r="D4" s="110">
        <v>8.7909999999999999E-23</v>
      </c>
      <c r="E4" s="126">
        <v>2.1659000000000001E-19</v>
      </c>
      <c r="F4" s="126">
        <v>1.5101999999999999E-17</v>
      </c>
      <c r="G4" s="126">
        <v>8.1085000000000003E-17</v>
      </c>
      <c r="H4" s="126">
        <v>3.2773E-16</v>
      </c>
      <c r="I4" s="126">
        <v>4.3337000000000002E-15</v>
      </c>
      <c r="J4" s="126">
        <v>9.7760999999999991E-13</v>
      </c>
      <c r="K4" s="126">
        <v>7.1665999999999996E-9</v>
      </c>
      <c r="L4" s="126">
        <v>9.619E-9</v>
      </c>
      <c r="M4" s="126">
        <v>1.5732999999999999E-8</v>
      </c>
      <c r="N4" s="126">
        <v>1.0646999999999999E-8</v>
      </c>
      <c r="O4" s="126">
        <v>1.1835E-8</v>
      </c>
      <c r="P4" s="126">
        <v>1.2272000000000001E-8</v>
      </c>
      <c r="Q4" s="126">
        <v>1.2878E-8</v>
      </c>
      <c r="R4" s="126">
        <v>1.4869000000000001E-8</v>
      </c>
      <c r="S4" s="126">
        <v>1.3575000000000001E-8</v>
      </c>
      <c r="T4" s="126">
        <v>3.4117E-8</v>
      </c>
      <c r="U4" s="126">
        <v>3.8187000000000003E-8</v>
      </c>
      <c r="V4" s="126">
        <v>2.5558E-8</v>
      </c>
      <c r="W4" s="126">
        <v>1.9358E-8</v>
      </c>
      <c r="X4" s="126">
        <v>1.9697E-23</v>
      </c>
      <c r="Y4" s="126">
        <v>1.8587000000000001E-20</v>
      </c>
      <c r="Z4" s="126">
        <v>6.0575999999999994E-20</v>
      </c>
      <c r="AA4" s="126">
        <v>1.5035000000000001E-19</v>
      </c>
      <c r="AB4" s="126">
        <v>3.0188E-19</v>
      </c>
      <c r="AC4" s="126">
        <v>1.5035000000000001E-19</v>
      </c>
      <c r="AD4" s="126">
        <v>3.0188E-19</v>
      </c>
      <c r="AE4" s="126">
        <v>5.5668999999999996E-19</v>
      </c>
    </row>
    <row r="5" spans="1:31" x14ac:dyDescent="0.35">
      <c r="A5" s="111" t="s">
        <v>254</v>
      </c>
      <c r="B5" s="110">
        <v>1.2947999999999999E-9</v>
      </c>
      <c r="C5" s="110">
        <v>1.9966000000000001E-10</v>
      </c>
      <c r="D5" s="110">
        <v>1.3767000000000001E-13</v>
      </c>
      <c r="E5" s="126">
        <v>2.0532000000000002E-21</v>
      </c>
      <c r="F5" s="126">
        <v>3.1104000000000002E-32</v>
      </c>
      <c r="G5" s="126">
        <v>0</v>
      </c>
      <c r="H5" s="126">
        <v>0</v>
      </c>
      <c r="I5" s="126">
        <v>0</v>
      </c>
      <c r="J5" s="126">
        <v>0</v>
      </c>
      <c r="K5" s="126">
        <v>0</v>
      </c>
      <c r="L5" s="126">
        <v>0</v>
      </c>
      <c r="M5" s="126">
        <v>0</v>
      </c>
      <c r="N5" s="126">
        <v>0</v>
      </c>
      <c r="O5" s="126">
        <v>0</v>
      </c>
      <c r="P5" s="126">
        <v>0</v>
      </c>
      <c r="Q5" s="126">
        <v>0</v>
      </c>
      <c r="R5" s="126">
        <v>0</v>
      </c>
      <c r="S5" s="126">
        <v>0</v>
      </c>
      <c r="T5" s="126">
        <v>0</v>
      </c>
      <c r="U5" s="126">
        <v>0</v>
      </c>
      <c r="V5" s="126">
        <v>0</v>
      </c>
      <c r="W5" s="126">
        <v>0</v>
      </c>
      <c r="X5" s="126">
        <v>0</v>
      </c>
      <c r="Y5" s="126">
        <v>0</v>
      </c>
      <c r="Z5" s="126">
        <v>0</v>
      </c>
      <c r="AA5" s="126">
        <v>0</v>
      </c>
      <c r="AB5" s="126">
        <v>0</v>
      </c>
      <c r="AC5" s="126">
        <v>0</v>
      </c>
      <c r="AD5" s="126">
        <v>0</v>
      </c>
      <c r="AE5" s="126">
        <v>0</v>
      </c>
    </row>
    <row r="6" spans="1:31" x14ac:dyDescent="0.35">
      <c r="A6" s="111" t="s">
        <v>252</v>
      </c>
      <c r="B6" s="110">
        <v>4.4248999999999997E-2</v>
      </c>
      <c r="C6" s="110">
        <v>4.3611999999999998E-2</v>
      </c>
      <c r="D6" s="110">
        <v>4.1993000000000003E-2</v>
      </c>
      <c r="E6" s="126">
        <v>3.9691999999999998E-2</v>
      </c>
      <c r="F6" s="126">
        <v>3.7877000000000001E-2</v>
      </c>
      <c r="G6" s="126">
        <v>3.6935999999999997E-2</v>
      </c>
      <c r="H6" s="126">
        <v>3.6459999999999999E-2</v>
      </c>
      <c r="I6" s="126">
        <v>3.5982E-2</v>
      </c>
      <c r="J6" s="126">
        <v>3.5087E-2</v>
      </c>
      <c r="K6" s="126">
        <v>2.8146999999999998E-2</v>
      </c>
      <c r="L6" s="126">
        <v>2.7380999999999999E-2</v>
      </c>
      <c r="M6" s="126">
        <v>2.7005000000000001E-2</v>
      </c>
      <c r="N6" s="126">
        <v>2.6828000000000001E-2</v>
      </c>
      <c r="O6" s="126">
        <v>2.674E-2</v>
      </c>
      <c r="P6" s="126">
        <v>2.6667E-2</v>
      </c>
      <c r="Q6" s="126">
        <v>2.6468999999999999E-2</v>
      </c>
      <c r="R6" s="126">
        <v>2.5611999999999999E-2</v>
      </c>
      <c r="S6" s="126">
        <v>2.2405999999999999E-2</v>
      </c>
      <c r="T6" s="126">
        <v>6.3489999999999998E-4</v>
      </c>
      <c r="U6" s="126">
        <v>1.8310000000000001E-4</v>
      </c>
      <c r="V6" s="126">
        <v>5.3794E-5</v>
      </c>
      <c r="W6" s="126">
        <v>1.6172E-5</v>
      </c>
      <c r="X6" s="126">
        <v>4.8161000000000004E-6</v>
      </c>
      <c r="Y6" s="126">
        <v>3.2899E-9</v>
      </c>
      <c r="Z6" s="126">
        <v>5.6190999999999998E-10</v>
      </c>
      <c r="AA6" s="126">
        <v>1.0075E-10</v>
      </c>
      <c r="AB6" s="126">
        <v>1.8944999999999999E-11</v>
      </c>
      <c r="AC6" s="126">
        <v>1.0075E-10</v>
      </c>
      <c r="AD6" s="126">
        <v>1.8944999999999999E-11</v>
      </c>
      <c r="AE6" s="126">
        <v>3.7295999999999998E-12</v>
      </c>
    </row>
    <row r="7" spans="1:31" x14ac:dyDescent="0.35">
      <c r="A7" s="113" t="s">
        <v>250</v>
      </c>
      <c r="B7" s="112">
        <v>0</v>
      </c>
      <c r="C7" s="112">
        <v>0</v>
      </c>
      <c r="D7" s="112">
        <v>0</v>
      </c>
      <c r="E7" s="127">
        <v>0</v>
      </c>
      <c r="F7" s="127">
        <v>0</v>
      </c>
      <c r="G7" s="127">
        <v>0</v>
      </c>
      <c r="H7" s="127">
        <v>0</v>
      </c>
      <c r="I7" s="127">
        <v>0</v>
      </c>
      <c r="J7" s="127">
        <v>0</v>
      </c>
      <c r="K7" s="126">
        <v>6.6561E-27</v>
      </c>
      <c r="L7" s="126">
        <v>8.2350999999999999E-25</v>
      </c>
      <c r="M7" s="126">
        <v>7.7073000000000005E-23</v>
      </c>
      <c r="N7" s="126">
        <v>5.503E-21</v>
      </c>
      <c r="O7" s="126">
        <v>3.0452000000000001E-19</v>
      </c>
      <c r="P7" s="126">
        <v>1.33E-17</v>
      </c>
      <c r="Q7" s="126">
        <v>4.6479999999999998E-16</v>
      </c>
      <c r="R7" s="126">
        <v>1.2888E-14</v>
      </c>
      <c r="S7" s="126">
        <v>2.6198999999999998E-13</v>
      </c>
      <c r="T7" s="126">
        <v>4.2234000000000001E-10</v>
      </c>
      <c r="U7" s="126">
        <v>1.4507E-9</v>
      </c>
      <c r="V7" s="126">
        <v>4.5695999999999996E-9</v>
      </c>
      <c r="W7" s="126">
        <v>1.3325E-8</v>
      </c>
      <c r="X7" s="126">
        <v>3.4411999999999997E-8</v>
      </c>
      <c r="Y7" s="126">
        <v>4.3562000000000003E-8</v>
      </c>
      <c r="Z7" s="126">
        <v>4.3579000000000003E-8</v>
      </c>
      <c r="AA7" s="126">
        <v>4.3140000000000001E-8</v>
      </c>
      <c r="AB7" s="126">
        <v>4.2320999999999999E-8</v>
      </c>
      <c r="AC7" s="126">
        <v>4.3140000000000001E-8</v>
      </c>
      <c r="AD7" s="126">
        <v>4.2320999999999999E-8</v>
      </c>
      <c r="AE7" s="126">
        <v>4.1180000000000002E-8</v>
      </c>
    </row>
    <row r="8" spans="1:31" x14ac:dyDescent="0.35">
      <c r="A8" s="113" t="s">
        <v>249</v>
      </c>
      <c r="B8" s="112">
        <v>0</v>
      </c>
      <c r="C8" s="112">
        <v>0</v>
      </c>
      <c r="D8" s="112">
        <v>0</v>
      </c>
      <c r="E8" s="127">
        <v>0</v>
      </c>
      <c r="F8" s="127">
        <v>0</v>
      </c>
      <c r="G8" s="127">
        <v>0</v>
      </c>
      <c r="H8" s="127">
        <v>0</v>
      </c>
      <c r="I8" s="127">
        <v>0</v>
      </c>
      <c r="J8" s="127">
        <v>0</v>
      </c>
      <c r="K8" s="126">
        <v>2.7964E-31</v>
      </c>
      <c r="L8" s="126">
        <v>2.5344999999999999E-29</v>
      </c>
      <c r="M8" s="126">
        <v>1.7465999999999999E-27</v>
      </c>
      <c r="N8" s="126">
        <v>9.2809999999999994E-26</v>
      </c>
      <c r="O8" s="126">
        <v>3.8725000000000001E-24</v>
      </c>
      <c r="P8" s="126">
        <v>1.2931E-22</v>
      </c>
      <c r="Q8" s="126">
        <v>3.5094999999999998E-21</v>
      </c>
      <c r="R8" s="126">
        <v>7.7528000000000002E-20</v>
      </c>
      <c r="S8" s="126">
        <v>1.3379999999999999E-18</v>
      </c>
      <c r="T8" s="126">
        <v>5.6282000000000002E-15</v>
      </c>
      <c r="U8" s="126">
        <v>2.9783000000000003E-14</v>
      </c>
      <c r="V8" s="126">
        <v>1.4412E-13</v>
      </c>
      <c r="W8" s="126">
        <v>6.4215999999999996E-13</v>
      </c>
      <c r="X8" s="126">
        <v>2.5725000000000002E-12</v>
      </c>
      <c r="Y8" s="126">
        <v>7.2448999999999997E-11</v>
      </c>
      <c r="Z8" s="127">
        <v>1.5230999999999999E-10</v>
      </c>
      <c r="AA8" s="127">
        <v>3.1018999999999999E-10</v>
      </c>
      <c r="AB8" s="127">
        <v>6.1314000000000001E-10</v>
      </c>
      <c r="AC8" s="126">
        <v>3.1018999999999999E-10</v>
      </c>
      <c r="AD8" s="126">
        <v>6.1314000000000001E-10</v>
      </c>
      <c r="AE8" s="126">
        <v>1.1785E-9</v>
      </c>
    </row>
    <row r="9" spans="1:31" x14ac:dyDescent="0.35">
      <c r="A9" s="113" t="s">
        <v>247</v>
      </c>
      <c r="B9" s="112">
        <v>0.2</v>
      </c>
      <c r="C9" s="112">
        <v>0.2</v>
      </c>
      <c r="D9" s="112">
        <v>0.2</v>
      </c>
      <c r="E9" s="127">
        <v>0.2</v>
      </c>
      <c r="F9" s="127">
        <v>0.2</v>
      </c>
      <c r="G9" s="127">
        <v>0.2</v>
      </c>
      <c r="H9" s="127">
        <v>0.2</v>
      </c>
      <c r="I9" s="127">
        <v>0.2</v>
      </c>
      <c r="J9" s="127">
        <v>0.2</v>
      </c>
      <c r="K9" s="127">
        <v>0.2</v>
      </c>
      <c r="L9" s="127">
        <v>0.2</v>
      </c>
      <c r="M9" s="127">
        <v>0.2</v>
      </c>
      <c r="N9" s="127">
        <v>0.2</v>
      </c>
      <c r="O9" s="127">
        <v>0.2</v>
      </c>
      <c r="P9" s="127">
        <v>0.2</v>
      </c>
      <c r="Q9" s="127">
        <v>0.2</v>
      </c>
      <c r="R9" s="127">
        <v>0.2</v>
      </c>
      <c r="S9" s="127">
        <v>0.2</v>
      </c>
      <c r="T9" s="127">
        <v>0.2</v>
      </c>
      <c r="U9" s="127">
        <v>0.2</v>
      </c>
      <c r="V9" s="127">
        <v>0.2</v>
      </c>
      <c r="W9" s="127">
        <v>0.2</v>
      </c>
      <c r="X9" s="127">
        <v>0.2</v>
      </c>
      <c r="Y9" s="127">
        <v>0.2</v>
      </c>
      <c r="Z9" s="127">
        <v>0.2</v>
      </c>
      <c r="AA9" s="127">
        <v>0.2</v>
      </c>
      <c r="AB9" s="127">
        <v>0.2</v>
      </c>
      <c r="AC9" s="127">
        <v>0.2</v>
      </c>
      <c r="AD9" s="127">
        <v>0.2</v>
      </c>
      <c r="AE9" s="127">
        <v>0.2</v>
      </c>
    </row>
    <row r="10" spans="1:31" x14ac:dyDescent="0.35">
      <c r="A10" s="111" t="s">
        <v>246</v>
      </c>
      <c r="B10" s="110">
        <v>7.8411999999999996E-2</v>
      </c>
      <c r="C10" s="110">
        <v>7.3134000000000005E-2</v>
      </c>
      <c r="D10" s="110">
        <v>5.8986999999999998E-2</v>
      </c>
      <c r="E10" s="126">
        <v>3.6919E-2</v>
      </c>
      <c r="F10" s="126">
        <v>1.7676999999999998E-2</v>
      </c>
      <c r="G10" s="126">
        <v>7.2598999999999997E-3</v>
      </c>
      <c r="H10" s="126">
        <v>2.8917999999999999E-3</v>
      </c>
      <c r="I10" s="126">
        <v>1.1887E-3</v>
      </c>
      <c r="J10" s="126">
        <v>5.1097000000000002E-4</v>
      </c>
      <c r="K10" s="126">
        <v>9.0981000000000002E-6</v>
      </c>
      <c r="L10" s="126">
        <v>2.4572E-6</v>
      </c>
      <c r="M10" s="126">
        <v>6.5054999999999996E-7</v>
      </c>
      <c r="N10" s="126">
        <v>1.7638E-7</v>
      </c>
      <c r="O10" s="126">
        <v>4.9921000000000001E-8</v>
      </c>
      <c r="P10" s="126">
        <v>1.4844E-8</v>
      </c>
      <c r="Q10" s="126">
        <v>4.6448000000000003E-9</v>
      </c>
      <c r="R10" s="126">
        <v>1.5360000000000001E-9</v>
      </c>
      <c r="S10" s="126">
        <v>5.4651999999999999E-10</v>
      </c>
      <c r="T10" s="126">
        <v>1.4317E-11</v>
      </c>
      <c r="U10" s="126">
        <v>5.8701999999999998E-12</v>
      </c>
      <c r="V10" s="126">
        <v>2.4643999999999999E-12</v>
      </c>
      <c r="W10" s="126">
        <v>1.0603E-12</v>
      </c>
      <c r="X10" s="126">
        <v>4.7526999999999995E-13</v>
      </c>
      <c r="Y10" s="126">
        <v>3.0937000000000002E-14</v>
      </c>
      <c r="Z10" s="126">
        <v>1.5379E-14</v>
      </c>
      <c r="AA10" s="126">
        <v>7.7425999999999992E-15</v>
      </c>
      <c r="AB10" s="126">
        <v>3.9498999999999998E-15</v>
      </c>
      <c r="AC10" s="126">
        <v>7.7425999999999992E-15</v>
      </c>
      <c r="AD10" s="126">
        <v>3.9498999999999998E-15</v>
      </c>
      <c r="AE10" s="126">
        <v>2.0417E-15</v>
      </c>
    </row>
    <row r="11" spans="1:31" x14ac:dyDescent="0.35">
      <c r="A11" s="113" t="s">
        <v>245</v>
      </c>
      <c r="B11" s="112">
        <v>8.1587000000000007E-2</v>
      </c>
      <c r="C11" s="112">
        <v>8.6863999999999997E-2</v>
      </c>
      <c r="D11" s="112">
        <v>0.10101</v>
      </c>
      <c r="E11" s="126">
        <v>0.12306</v>
      </c>
      <c r="F11" s="126">
        <v>0.14222000000000001</v>
      </c>
      <c r="G11" s="126">
        <v>0.15229999999999999</v>
      </c>
      <c r="H11" s="126">
        <v>0.15537999999999999</v>
      </c>
      <c r="I11" s="128">
        <v>0.15296000000000001</v>
      </c>
      <c r="J11" s="126">
        <v>0.14297000000000001</v>
      </c>
      <c r="K11" s="126">
        <v>3.1546999999999999E-2</v>
      </c>
      <c r="L11" s="126">
        <v>1.5650000000000001E-2</v>
      </c>
      <c r="M11" s="126">
        <v>7.5123999999999998E-3</v>
      </c>
      <c r="N11" s="126">
        <v>3.6213999999999999E-3</v>
      </c>
      <c r="O11" s="126">
        <v>1.7830999999999999E-3</v>
      </c>
      <c r="P11" s="126">
        <v>9.0233000000000002E-4</v>
      </c>
      <c r="Q11" s="126">
        <v>4.7019E-4</v>
      </c>
      <c r="R11" s="126">
        <v>2.5291000000000002E-4</v>
      </c>
      <c r="S11" s="126">
        <v>1.4166E-4</v>
      </c>
      <c r="T11" s="126">
        <v>1.8465E-5</v>
      </c>
      <c r="U11" s="126">
        <v>1.1285E-5</v>
      </c>
      <c r="V11" s="126">
        <v>6.9963999999999996E-6</v>
      </c>
      <c r="W11" s="126">
        <v>4.4017999999999999E-6</v>
      </c>
      <c r="X11" s="126">
        <v>2.8312999999999999E-6</v>
      </c>
      <c r="Y11" s="126">
        <v>6.1798000000000003E-7</v>
      </c>
      <c r="Z11" s="126">
        <v>4.2137000000000002E-7</v>
      </c>
      <c r="AA11" s="126">
        <v>2.8955E-7</v>
      </c>
      <c r="AB11" s="126">
        <v>2.0053999999999999E-7</v>
      </c>
      <c r="AC11" s="126">
        <v>2.8955E-7</v>
      </c>
      <c r="AD11" s="126">
        <v>2.0053999999999999E-7</v>
      </c>
      <c r="AE11" s="126">
        <v>1.3997E-7</v>
      </c>
    </row>
    <row r="12" spans="1:31" x14ac:dyDescent="0.35">
      <c r="A12" s="113" t="s">
        <v>243</v>
      </c>
      <c r="B12" s="112">
        <v>3.5750999999999998E-2</v>
      </c>
      <c r="C12" s="112">
        <v>3.6387000000000003E-2</v>
      </c>
      <c r="D12" s="112">
        <v>3.8006999999999999E-2</v>
      </c>
      <c r="E12" s="127">
        <v>4.0307999999999997E-2</v>
      </c>
      <c r="F12" s="127">
        <v>4.2123000000000001E-2</v>
      </c>
      <c r="G12" s="127">
        <v>4.3063999999999998E-2</v>
      </c>
      <c r="H12" s="127">
        <v>4.3540000000000002E-2</v>
      </c>
      <c r="I12" s="127">
        <v>4.4018000000000002E-2</v>
      </c>
      <c r="J12" s="127">
        <v>4.4913000000000002E-2</v>
      </c>
      <c r="K12" s="127">
        <v>5.1853000000000003E-2</v>
      </c>
      <c r="L12" s="127">
        <v>5.2618999999999999E-2</v>
      </c>
      <c r="M12" s="127">
        <v>5.2995E-2</v>
      </c>
      <c r="N12" s="127">
        <v>5.3170000000000002E-2</v>
      </c>
      <c r="O12" s="127">
        <v>5.3247000000000003E-2</v>
      </c>
      <c r="P12" s="127">
        <v>5.3247999999999997E-2</v>
      </c>
      <c r="Q12" s="127">
        <v>5.3064E-2</v>
      </c>
      <c r="R12" s="127">
        <v>5.2088000000000002E-2</v>
      </c>
      <c r="S12" s="127">
        <v>4.8049000000000001E-2</v>
      </c>
      <c r="T12" s="127">
        <v>2.0374E-3</v>
      </c>
      <c r="U12" s="127">
        <v>5.976E-4</v>
      </c>
      <c r="V12" s="127">
        <v>1.7788E-4</v>
      </c>
      <c r="W12" s="127">
        <v>5.4218000000000002E-5</v>
      </c>
      <c r="X12" s="127">
        <v>1.6365999999999999E-5</v>
      </c>
      <c r="Y12" s="127">
        <v>1.0673000000000001E-8</v>
      </c>
      <c r="Z12" s="127">
        <v>1.8103E-9</v>
      </c>
      <c r="AA12" s="127">
        <v>3.2268000000000002E-10</v>
      </c>
      <c r="AB12" s="127">
        <v>6.0386000000000002E-11</v>
      </c>
      <c r="AC12" s="127">
        <v>3.2268000000000002E-10</v>
      </c>
      <c r="AD12" s="127">
        <v>6.0386000000000002E-11</v>
      </c>
      <c r="AE12" s="127">
        <v>1.184E-11</v>
      </c>
    </row>
    <row r="13" spans="1:31" x14ac:dyDescent="0.35">
      <c r="A13" s="111" t="s">
        <v>242</v>
      </c>
      <c r="B13" s="110">
        <v>2.3397999999999999E-28</v>
      </c>
      <c r="C13" s="110">
        <v>2.0742E-26</v>
      </c>
      <c r="D13" s="110">
        <v>1.6841000000000001E-24</v>
      </c>
      <c r="E13" s="126">
        <v>1.5773E-22</v>
      </c>
      <c r="F13" s="126">
        <v>1.5151E-20</v>
      </c>
      <c r="G13" s="126">
        <v>1.1999000000000001E-18</v>
      </c>
      <c r="H13" s="127">
        <v>6.8945999999999997E-17</v>
      </c>
      <c r="I13" s="127">
        <v>2.7437E-15</v>
      </c>
      <c r="J13" s="127">
        <v>7.4413999999999995E-14</v>
      </c>
      <c r="K13" s="127">
        <v>2.9067999999999999E-9</v>
      </c>
      <c r="L13" s="127">
        <v>2.8701E-8</v>
      </c>
      <c r="M13" s="127">
        <v>2.5057E-7</v>
      </c>
      <c r="N13" s="127">
        <v>1.9350000000000001E-6</v>
      </c>
      <c r="O13" s="127">
        <v>1.3294E-5</v>
      </c>
      <c r="P13" s="127">
        <v>8.1879999999999995E-5</v>
      </c>
      <c r="Q13" s="127">
        <v>4.5427999999999999E-4</v>
      </c>
      <c r="R13" s="127">
        <v>2.2480999999999998E-3</v>
      </c>
      <c r="S13" s="127">
        <v>9.3439000000000005E-3</v>
      </c>
      <c r="T13" s="127">
        <v>7.2410000000000002E-2</v>
      </c>
      <c r="U13" s="127">
        <v>7.1666999999999995E-2</v>
      </c>
      <c r="V13" s="127">
        <v>6.8749000000000005E-2</v>
      </c>
      <c r="W13" s="127">
        <v>6.4551999999999998E-2</v>
      </c>
      <c r="X13" s="127">
        <v>5.6475999999999998E-2</v>
      </c>
      <c r="Y13" s="127">
        <v>1.3301000000000001E-3</v>
      </c>
      <c r="Z13" s="127">
        <v>5.4418000000000001E-4</v>
      </c>
      <c r="AA13" s="127">
        <v>2.2824999999999999E-4</v>
      </c>
      <c r="AB13" s="127">
        <v>9.8068999999999999E-5</v>
      </c>
      <c r="AC13" s="127">
        <v>2.2824999999999999E-4</v>
      </c>
      <c r="AD13" s="127">
        <v>9.8068999999999999E-5</v>
      </c>
      <c r="AE13" s="127">
        <v>4.3111000000000001E-5</v>
      </c>
    </row>
    <row r="14" spans="1:31" x14ac:dyDescent="0.35">
      <c r="A14" s="111" t="s">
        <v>241</v>
      </c>
      <c r="B14" s="110">
        <v>3.0460000000000001E-7</v>
      </c>
      <c r="C14" s="110">
        <v>7.9172999999999996E-7</v>
      </c>
      <c r="D14" s="110">
        <v>2.5660999999999999E-6</v>
      </c>
      <c r="E14" s="126">
        <v>1.0835999999999999E-5</v>
      </c>
      <c r="F14" s="126">
        <v>5.0284000000000002E-5</v>
      </c>
      <c r="G14" s="126">
        <v>2.2064E-4</v>
      </c>
      <c r="H14" s="126">
        <v>8.6361000000000001E-4</v>
      </c>
      <c r="I14" s="126">
        <v>2.9274000000000001E-3</v>
      </c>
      <c r="J14" s="126">
        <v>8.2600999999999994E-3</v>
      </c>
      <c r="K14" s="126">
        <v>6.4222000000000001E-2</v>
      </c>
      <c r="L14" s="126">
        <v>7.2174000000000002E-2</v>
      </c>
      <c r="M14" s="126">
        <v>7.6243000000000005E-2</v>
      </c>
      <c r="N14" s="126">
        <v>7.8188999999999995E-2</v>
      </c>
      <c r="O14" s="126">
        <v>7.9107999999999998E-2</v>
      </c>
      <c r="P14" s="126">
        <v>7.9548999999999995E-2</v>
      </c>
      <c r="Q14" s="126">
        <v>7.9765000000000003E-2</v>
      </c>
      <c r="R14" s="126">
        <v>7.9874000000000001E-2</v>
      </c>
      <c r="S14" s="126">
        <v>7.9929E-2</v>
      </c>
      <c r="T14" s="126">
        <v>7.9991000000000007E-2</v>
      </c>
      <c r="U14" s="126">
        <v>7.9993999999999996E-2</v>
      </c>
      <c r="V14" s="126">
        <v>7.9995999999999998E-2</v>
      </c>
      <c r="W14" s="126">
        <v>7.9998E-2</v>
      </c>
      <c r="X14" s="126">
        <v>7.9913999999999999E-2</v>
      </c>
      <c r="Y14" s="126">
        <v>7.7256000000000005E-2</v>
      </c>
      <c r="Z14" s="126">
        <v>7.6824000000000003E-2</v>
      </c>
      <c r="AA14" s="126">
        <v>7.6387999999999998E-2</v>
      </c>
      <c r="AB14" s="126">
        <v>7.5944999999999999E-2</v>
      </c>
      <c r="AC14" s="126">
        <v>7.6387999999999998E-2</v>
      </c>
      <c r="AD14" s="126">
        <v>7.5944999999999999E-2</v>
      </c>
      <c r="AE14" s="126">
        <v>7.5490000000000002E-2</v>
      </c>
    </row>
    <row r="15" spans="1:31" x14ac:dyDescent="0.35">
      <c r="A15" s="111" t="s">
        <v>239</v>
      </c>
      <c r="B15" s="110">
        <v>4.0423000000000001E-28</v>
      </c>
      <c r="C15" s="110">
        <v>3.3478E-26</v>
      </c>
      <c r="D15" s="110">
        <v>2.3753E-24</v>
      </c>
      <c r="E15" s="126">
        <v>1.739E-22</v>
      </c>
      <c r="F15" s="126">
        <v>1.1968000000000001E-20</v>
      </c>
      <c r="G15" s="126">
        <v>6.5977999999999999E-19</v>
      </c>
      <c r="H15" s="126">
        <v>2.6876000000000001E-17</v>
      </c>
      <c r="I15" s="126">
        <v>7.9278000000000004E-16</v>
      </c>
      <c r="J15" s="126">
        <v>1.6945000000000001E-14</v>
      </c>
      <c r="K15" s="126">
        <v>3.7249000000000002E-10</v>
      </c>
      <c r="L15" s="126">
        <v>3.1746000000000002E-9</v>
      </c>
      <c r="M15" s="126">
        <v>2.3831E-8</v>
      </c>
      <c r="N15" s="126">
        <v>1.5837999999999999E-7</v>
      </c>
      <c r="O15" s="126">
        <v>9.3872999999999999E-7</v>
      </c>
      <c r="P15" s="126">
        <v>5.0003999999999996E-6</v>
      </c>
      <c r="Q15" s="126">
        <v>2.4079000000000001E-5</v>
      </c>
      <c r="R15" s="126">
        <v>1.0474E-4</v>
      </c>
      <c r="S15" s="126">
        <v>4.0225999999999999E-4</v>
      </c>
      <c r="T15" s="126">
        <v>9.8355999999999999E-3</v>
      </c>
      <c r="U15" s="126">
        <v>1.5105E-2</v>
      </c>
      <c r="V15" s="126">
        <v>2.2039E-2</v>
      </c>
      <c r="W15" s="126">
        <v>3.0755000000000001E-2</v>
      </c>
      <c r="X15" s="126">
        <v>3.986E-2</v>
      </c>
      <c r="Y15" s="126">
        <v>1.4336E-2</v>
      </c>
      <c r="Z15" s="126">
        <v>1.0671E-2</v>
      </c>
      <c r="AA15" s="126">
        <v>7.8063999999999998E-3</v>
      </c>
      <c r="AB15" s="126">
        <v>5.6091999999999999E-3</v>
      </c>
      <c r="AC15" s="126">
        <v>7.8063999999999998E-3</v>
      </c>
      <c r="AD15" s="126">
        <v>5.6091999999999999E-3</v>
      </c>
      <c r="AE15" s="126">
        <v>3.9562E-3</v>
      </c>
    </row>
    <row r="16" spans="1:31" x14ac:dyDescent="0.35">
      <c r="A16" s="111" t="s">
        <v>237</v>
      </c>
      <c r="B16" s="110">
        <v>1.8857999999999998E-9</v>
      </c>
      <c r="C16" s="110">
        <v>6.4452999999999997E-9</v>
      </c>
      <c r="D16" s="110">
        <v>1.5402999999999999E-8</v>
      </c>
      <c r="E16" s="126">
        <v>2.4473E-8</v>
      </c>
      <c r="F16" s="126">
        <v>2.7333000000000001E-8</v>
      </c>
      <c r="G16" s="126">
        <v>2.4652000000000001E-8</v>
      </c>
      <c r="H16" s="126">
        <v>2.0415999999999999E-8</v>
      </c>
      <c r="I16" s="126">
        <v>1.6866E-8</v>
      </c>
      <c r="J16" s="126">
        <v>1.4732000000000001E-8</v>
      </c>
      <c r="K16" s="126">
        <v>1.2278000000000001E-8</v>
      </c>
      <c r="L16" s="126">
        <v>1.0916E-8</v>
      </c>
      <c r="M16" s="126">
        <v>9.3466000000000008E-9</v>
      </c>
      <c r="N16" s="126">
        <v>7.8566000000000004E-9</v>
      </c>
      <c r="O16" s="126">
        <v>6.5510999999999998E-9</v>
      </c>
      <c r="P16" s="126">
        <v>5.4476999999999997E-9</v>
      </c>
      <c r="Q16" s="126">
        <v>4.5377000000000002E-9</v>
      </c>
      <c r="R16" s="126">
        <v>3.8261000000000003E-9</v>
      </c>
      <c r="S16" s="126">
        <v>3.3694E-9</v>
      </c>
      <c r="T16" s="126">
        <v>2.4995999999999999E-9</v>
      </c>
      <c r="U16" s="126">
        <v>2.1214000000000001E-9</v>
      </c>
      <c r="V16" s="126">
        <v>1.7939E-9</v>
      </c>
      <c r="W16" s="126">
        <v>1.5189E-9</v>
      </c>
      <c r="X16" s="126">
        <v>1.2981999999999999E-9</v>
      </c>
      <c r="Y16" s="126">
        <v>7.3192999999999997E-10</v>
      </c>
      <c r="Z16" s="126">
        <v>6.1770000000000005E-10</v>
      </c>
      <c r="AA16" s="126">
        <v>5.2130000000000005E-10</v>
      </c>
      <c r="AB16" s="126">
        <v>4.4019999999999999E-10</v>
      </c>
      <c r="AC16" s="126">
        <v>5.2130000000000005E-10</v>
      </c>
      <c r="AD16" s="126">
        <v>4.4019999999999999E-10</v>
      </c>
      <c r="AE16" s="126">
        <v>3.7200000000000001E-10</v>
      </c>
    </row>
    <row r="17" spans="1:31" x14ac:dyDescent="0.35">
      <c r="A17" s="113" t="s">
        <v>235</v>
      </c>
      <c r="B17" s="112">
        <v>4.3467000000000001E-10</v>
      </c>
      <c r="C17" s="112">
        <v>1.7279E-9</v>
      </c>
      <c r="D17" s="112">
        <v>4.7159000000000002E-9</v>
      </c>
      <c r="E17" s="127">
        <v>8.4282000000000003E-9</v>
      </c>
      <c r="F17" s="127">
        <v>1.0452999999999999E-8</v>
      </c>
      <c r="G17" s="127">
        <v>1.0357999999999999E-8</v>
      </c>
      <c r="H17" s="127">
        <v>9.3366999999999998E-9</v>
      </c>
      <c r="I17" s="127">
        <v>8.3278999999999997E-9</v>
      </c>
      <c r="J17" s="127">
        <v>7.7996000000000002E-9</v>
      </c>
      <c r="K17" s="126">
        <v>7.6445999999999998E-9</v>
      </c>
      <c r="L17" s="126">
        <v>6.7225000000000003E-9</v>
      </c>
      <c r="M17" s="126">
        <v>5.6904999999999997E-9</v>
      </c>
      <c r="N17" s="127">
        <v>4.7269000000000003E-9</v>
      </c>
      <c r="O17" s="127">
        <v>3.8939000000000004E-9</v>
      </c>
      <c r="P17" s="127">
        <v>3.1985000000000001E-9</v>
      </c>
      <c r="Q17" s="127">
        <v>2.6313999999999998E-9</v>
      </c>
      <c r="R17" s="127">
        <v>2.1913000000000001E-9</v>
      </c>
      <c r="S17" s="127">
        <v>1.9058999999999998E-9</v>
      </c>
      <c r="T17" s="127">
        <v>1.3460999999999999E-9</v>
      </c>
      <c r="U17" s="127">
        <v>1.1288000000000001E-9</v>
      </c>
      <c r="V17" s="127">
        <v>9.432100000000001E-10</v>
      </c>
      <c r="W17" s="127">
        <v>7.8925000000000004E-10</v>
      </c>
      <c r="X17" s="127">
        <v>6.6673000000000003E-10</v>
      </c>
      <c r="Y17" s="127">
        <v>3.5906999999999998E-10</v>
      </c>
      <c r="Z17" s="127">
        <v>2.9964999999999999E-10</v>
      </c>
      <c r="AA17" s="127">
        <v>2.5007999999999998E-10</v>
      </c>
      <c r="AB17" s="127">
        <v>2.0885000000000001E-10</v>
      </c>
      <c r="AC17" s="127">
        <v>2.5007999999999998E-10</v>
      </c>
      <c r="AD17" s="127">
        <v>2.0885000000000001E-10</v>
      </c>
      <c r="AE17" s="127">
        <v>1.7455999999999999E-10</v>
      </c>
    </row>
    <row r="18" spans="1:31" x14ac:dyDescent="0.35">
      <c r="A18" s="111" t="s">
        <v>355</v>
      </c>
      <c r="B18" s="110">
        <v>1.5883E-3</v>
      </c>
      <c r="C18" s="110">
        <v>6.8672999999999998E-3</v>
      </c>
      <c r="D18" s="110">
        <v>2.1017999999999998E-2</v>
      </c>
      <c r="E18" s="126">
        <v>4.3103000000000002E-2</v>
      </c>
      <c r="F18" s="126">
        <v>6.2424E-2</v>
      </c>
      <c r="G18" s="126">
        <v>7.3180999999999996E-2</v>
      </c>
      <c r="H18" s="126">
        <v>7.8835000000000002E-2</v>
      </c>
      <c r="I18" s="126">
        <v>8.4666000000000005E-2</v>
      </c>
      <c r="J18" s="126">
        <v>9.6008999999999997E-2</v>
      </c>
      <c r="K18" s="126">
        <v>0.20843</v>
      </c>
      <c r="L18" s="126">
        <v>0.22434999999999999</v>
      </c>
      <c r="M18" s="126">
        <v>0.23249</v>
      </c>
      <c r="N18" s="126">
        <v>0.23638000000000001</v>
      </c>
      <c r="O18" s="126">
        <v>0.23824000000000001</v>
      </c>
      <c r="P18" s="126">
        <v>0.23927000000000001</v>
      </c>
      <c r="Q18" s="126">
        <v>0.24046999999999999</v>
      </c>
      <c r="R18" s="126">
        <v>0.24440000000000001</v>
      </c>
      <c r="S18" s="126">
        <v>0.25914999999999999</v>
      </c>
      <c r="T18" s="126">
        <v>0.39955000000000002</v>
      </c>
      <c r="U18" s="126">
        <v>0.40598000000000001</v>
      </c>
      <c r="V18" s="126">
        <v>0.41055000000000003</v>
      </c>
      <c r="W18" s="126">
        <v>0.41522999999999999</v>
      </c>
      <c r="X18" s="126">
        <v>0.42346</v>
      </c>
      <c r="Y18" s="126">
        <v>0.47866999999999998</v>
      </c>
      <c r="Z18" s="126">
        <v>0.47946</v>
      </c>
      <c r="AA18" s="126">
        <v>0.47976999999999997</v>
      </c>
      <c r="AB18" s="126">
        <v>0.47989999999999999</v>
      </c>
      <c r="AC18" s="126">
        <v>0.47976999999999997</v>
      </c>
      <c r="AD18" s="126">
        <v>0.47989999999999999</v>
      </c>
      <c r="AE18" s="126">
        <v>0.47996</v>
      </c>
    </row>
    <row r="19" spans="1:31" x14ac:dyDescent="0.35">
      <c r="A19" s="111" t="s">
        <v>233</v>
      </c>
      <c r="B19" s="110">
        <v>4.8220999999999998E-12</v>
      </c>
      <c r="C19" s="130">
        <v>2.6835E-11</v>
      </c>
      <c r="D19" s="130">
        <v>9.8888000000000003E-11</v>
      </c>
      <c r="E19" s="126">
        <v>2.3156E-10</v>
      </c>
      <c r="F19" s="126">
        <v>3.6692000000000001E-10</v>
      </c>
      <c r="G19" s="126">
        <v>4.5460999999999999E-10</v>
      </c>
      <c r="H19" s="126">
        <v>5.0307999999999998E-10</v>
      </c>
      <c r="I19" s="126">
        <v>5.4215000000000004E-10</v>
      </c>
      <c r="J19" s="126">
        <v>6.0499999999999998E-10</v>
      </c>
      <c r="K19" s="126">
        <v>1.0715999999999999E-9</v>
      </c>
      <c r="L19" s="126">
        <v>1.0692E-9</v>
      </c>
      <c r="M19" s="126">
        <v>1.0197999999999999E-9</v>
      </c>
      <c r="N19" s="126">
        <v>9.4844000000000009E-10</v>
      </c>
      <c r="O19" s="126">
        <v>8.6978999999999995E-10</v>
      </c>
      <c r="P19" s="126">
        <v>7.9120000000000002E-10</v>
      </c>
      <c r="Q19" s="126">
        <v>7.1740000000000002E-10</v>
      </c>
      <c r="R19" s="126">
        <v>6.5553999999999999E-10</v>
      </c>
      <c r="S19" s="126">
        <v>6.2310000000000005E-10</v>
      </c>
      <c r="T19" s="127">
        <v>6.0626000000000003E-10</v>
      </c>
      <c r="U19" s="127">
        <v>5.4663E-10</v>
      </c>
      <c r="V19" s="127">
        <v>4.8986E-10</v>
      </c>
      <c r="W19" s="126">
        <v>4.3852999999999998E-10</v>
      </c>
      <c r="X19" s="126">
        <v>3.9540999999999998E-10</v>
      </c>
      <c r="Y19" s="126">
        <v>2.7087000000000002E-10</v>
      </c>
      <c r="Z19" s="126">
        <v>2.3897E-10</v>
      </c>
      <c r="AA19" s="126">
        <v>2.1051999999999999E-10</v>
      </c>
      <c r="AB19" s="126">
        <v>1.8528000000000001E-10</v>
      </c>
      <c r="AC19" s="126">
        <v>2.1051999999999999E-10</v>
      </c>
      <c r="AD19" s="126">
        <v>1.8528000000000001E-10</v>
      </c>
      <c r="AE19" s="126">
        <v>1.6297000000000001E-10</v>
      </c>
    </row>
    <row r="20" spans="1:31" ht="21.75" thickBot="1" x14ac:dyDescent="0.4">
      <c r="A20" s="107" t="s">
        <v>370</v>
      </c>
      <c r="B20" s="106">
        <v>3.0460000000000001E-7</v>
      </c>
      <c r="C20" s="106">
        <v>7.9172999999999996E-7</v>
      </c>
      <c r="D20" s="106">
        <v>2.5660999999999999E-6</v>
      </c>
      <c r="E20" s="129">
        <v>1.0835999999999999E-5</v>
      </c>
      <c r="F20" s="129">
        <v>5.0284000000000002E-5</v>
      </c>
      <c r="G20" s="129">
        <v>2.2064E-4</v>
      </c>
      <c r="H20" s="129">
        <v>8.6361000000000001E-4</v>
      </c>
      <c r="I20" s="129">
        <v>2.9274000000000001E-3</v>
      </c>
      <c r="J20" s="129">
        <v>8.2600999999999994E-3</v>
      </c>
      <c r="K20" s="129">
        <v>6.4222000000000001E-2</v>
      </c>
      <c r="L20" s="129">
        <v>7.2174000000000002E-2</v>
      </c>
      <c r="M20" s="129">
        <v>7.6243000000000005E-2</v>
      </c>
      <c r="N20" s="129">
        <v>7.8188999999999995E-2</v>
      </c>
      <c r="O20" s="129">
        <v>7.9107999999999998E-2</v>
      </c>
      <c r="P20" s="129">
        <v>7.9548999999999995E-2</v>
      </c>
      <c r="Q20" s="129">
        <v>7.9765000000000003E-2</v>
      </c>
      <c r="R20" s="129">
        <v>7.9874000000000001E-2</v>
      </c>
      <c r="S20" s="129">
        <v>7.9929E-2</v>
      </c>
      <c r="T20" s="129">
        <v>7.9991000000000007E-2</v>
      </c>
      <c r="U20" s="129">
        <v>7.9993999999999996E-2</v>
      </c>
      <c r="V20" s="129">
        <v>7.9995999999999998E-2</v>
      </c>
      <c r="W20" s="129">
        <v>7.9998E-2</v>
      </c>
      <c r="X20" s="129">
        <v>7.9913999999999999E-2</v>
      </c>
      <c r="Y20" s="129">
        <v>7.7256000000000005E-2</v>
      </c>
      <c r="Z20" s="129">
        <v>7.6824000000000003E-2</v>
      </c>
      <c r="AA20" s="129">
        <v>7.6387999999999998E-2</v>
      </c>
      <c r="AB20" s="129">
        <v>7.5944999999999999E-2</v>
      </c>
      <c r="AC20" s="129">
        <v>7.6387999999999998E-2</v>
      </c>
      <c r="AD20" s="129">
        <v>7.5944999999999999E-2</v>
      </c>
      <c r="AE20" s="129">
        <v>7.5490000000000002E-2</v>
      </c>
    </row>
    <row r="21" spans="1:31" x14ac:dyDescent="0.35">
      <c r="A21" s="118" t="s">
        <v>354</v>
      </c>
      <c r="B21" s="145">
        <v>0</v>
      </c>
      <c r="C21" s="146">
        <v>0</v>
      </c>
      <c r="D21" s="116">
        <v>0</v>
      </c>
      <c r="E21" s="145">
        <v>0</v>
      </c>
      <c r="F21" s="146">
        <v>0</v>
      </c>
      <c r="G21" s="116">
        <v>0</v>
      </c>
      <c r="H21" s="145">
        <v>0</v>
      </c>
      <c r="I21" s="146">
        <v>0</v>
      </c>
      <c r="J21" s="116">
        <v>0</v>
      </c>
      <c r="K21" s="145">
        <v>0</v>
      </c>
      <c r="L21" s="146">
        <v>0</v>
      </c>
      <c r="M21" s="116">
        <v>0</v>
      </c>
      <c r="N21" s="145">
        <v>0</v>
      </c>
      <c r="O21" s="146">
        <v>0</v>
      </c>
      <c r="P21" s="116">
        <v>0</v>
      </c>
      <c r="Q21" s="144">
        <v>7.9765000000000003E-2</v>
      </c>
      <c r="R21" s="144">
        <v>7.9874000000000001E-2</v>
      </c>
      <c r="S21" s="144">
        <v>7.9929E-2</v>
      </c>
      <c r="T21" s="145">
        <v>8.4594000000000007E-30</v>
      </c>
      <c r="U21" s="146">
        <v>5.8909000000000003E-22</v>
      </c>
      <c r="V21" s="146">
        <v>6.6172000000000003E-15</v>
      </c>
      <c r="W21" s="145">
        <v>3.8591999999999999E-8</v>
      </c>
      <c r="X21" s="146">
        <v>7.1447999999999998E-3</v>
      </c>
      <c r="Y21" s="146">
        <v>0.14255000000000001</v>
      </c>
      <c r="Z21" s="145">
        <v>0.14792</v>
      </c>
      <c r="AA21" s="146">
        <v>0.15159</v>
      </c>
      <c r="AB21" s="146">
        <v>0.15412000000000001</v>
      </c>
      <c r="AC21" s="145">
        <v>0.15159</v>
      </c>
      <c r="AD21" s="146">
        <v>0.15412000000000001</v>
      </c>
      <c r="AE21" s="146">
        <v>0.15592</v>
      </c>
    </row>
    <row r="22" spans="1:31" x14ac:dyDescent="0.35">
      <c r="A22" s="118" t="s">
        <v>353</v>
      </c>
      <c r="B22" s="145">
        <v>0</v>
      </c>
      <c r="C22" s="146">
        <v>0</v>
      </c>
      <c r="D22" s="116">
        <v>0</v>
      </c>
      <c r="E22" s="145">
        <v>0</v>
      </c>
      <c r="F22" s="146">
        <v>0</v>
      </c>
      <c r="G22" s="116">
        <v>0</v>
      </c>
      <c r="H22" s="145">
        <v>0</v>
      </c>
      <c r="I22" s="146">
        <v>0</v>
      </c>
      <c r="J22" s="116">
        <v>0</v>
      </c>
      <c r="K22" s="145">
        <v>0</v>
      </c>
      <c r="L22" s="146">
        <v>0</v>
      </c>
      <c r="M22" s="116">
        <v>0</v>
      </c>
      <c r="N22" s="145">
        <v>0</v>
      </c>
      <c r="O22" s="146">
        <v>0</v>
      </c>
      <c r="P22" s="116">
        <v>0</v>
      </c>
      <c r="Q22" s="146">
        <v>0</v>
      </c>
      <c r="R22" s="146">
        <v>0</v>
      </c>
      <c r="S22" s="116">
        <v>0</v>
      </c>
      <c r="T22" s="145">
        <v>9.4355000000000004E-31</v>
      </c>
      <c r="U22" s="146">
        <v>4.2505999999999999E-23</v>
      </c>
      <c r="V22" s="146">
        <v>3.1832999999999999E-16</v>
      </c>
      <c r="W22" s="145">
        <v>1.2669E-9</v>
      </c>
      <c r="X22" s="146">
        <v>1.6851E-4</v>
      </c>
      <c r="Y22" s="146">
        <v>5.4868E-3</v>
      </c>
      <c r="Z22" s="145">
        <v>6.352E-3</v>
      </c>
      <c r="AA22" s="146">
        <v>7.2240000000000004E-3</v>
      </c>
      <c r="AB22" s="146">
        <v>8.1103000000000008E-3</v>
      </c>
      <c r="AC22" s="145">
        <v>7.2240000000000004E-3</v>
      </c>
      <c r="AD22" s="146">
        <v>8.1103000000000008E-3</v>
      </c>
      <c r="AE22" s="146">
        <v>9.0189999999999992E-3</v>
      </c>
    </row>
    <row r="23" spans="1:31" x14ac:dyDescent="0.35">
      <c r="A23" s="118" t="s">
        <v>35</v>
      </c>
      <c r="B23" s="145">
        <v>-18.82</v>
      </c>
      <c r="C23" s="146">
        <v>-18.809999999999999</v>
      </c>
      <c r="D23" s="146">
        <v>-18.8</v>
      </c>
      <c r="E23" s="145">
        <v>-18.809999999999999</v>
      </c>
      <c r="F23" s="146">
        <v>-18.82</v>
      </c>
      <c r="G23" s="146">
        <v>-18.84</v>
      </c>
      <c r="H23" s="143">
        <v>-18.87</v>
      </c>
      <c r="I23" s="144">
        <v>-18.899999999999999</v>
      </c>
      <c r="J23" s="144">
        <v>-18.93</v>
      </c>
      <c r="K23" s="143">
        <v>-19.059999999999999</v>
      </c>
      <c r="L23" s="144">
        <v>-19.100000000000001</v>
      </c>
      <c r="M23" s="144">
        <v>-19.14</v>
      </c>
      <c r="N23" s="143">
        <v>-19.18</v>
      </c>
      <c r="O23" s="144">
        <v>-19.22</v>
      </c>
      <c r="P23" s="144">
        <v>-19.260000000000002</v>
      </c>
      <c r="Q23" s="146">
        <v>0</v>
      </c>
      <c r="R23" s="146">
        <v>0</v>
      </c>
      <c r="S23" s="116">
        <v>0</v>
      </c>
      <c r="T23" s="143">
        <v>-19.43</v>
      </c>
      <c r="U23" s="144">
        <v>-19.47</v>
      </c>
      <c r="V23" s="144">
        <v>-19.510000000000002</v>
      </c>
      <c r="W23" s="143">
        <v>-19.55</v>
      </c>
      <c r="X23" s="144">
        <v>-19.59</v>
      </c>
      <c r="Y23" s="144">
        <v>-19.739999999999998</v>
      </c>
      <c r="Z23" s="143">
        <v>-19.77</v>
      </c>
      <c r="AA23" s="144">
        <v>-19.809999999999999</v>
      </c>
      <c r="AB23" s="144">
        <v>-19.850000000000001</v>
      </c>
      <c r="AC23" s="143">
        <v>-19.809999999999999</v>
      </c>
      <c r="AD23" s="144">
        <v>-19.850000000000001</v>
      </c>
      <c r="AE23" s="144">
        <v>-19.88</v>
      </c>
    </row>
    <row r="24" spans="1:31" x14ac:dyDescent="0.35">
      <c r="A24" s="119" t="s">
        <v>5</v>
      </c>
      <c r="B24" s="143">
        <v>-66.36</v>
      </c>
      <c r="C24" s="144">
        <v>-61.96</v>
      </c>
      <c r="D24" s="144">
        <v>-57.78</v>
      </c>
      <c r="E24" s="143">
        <v>-53.6</v>
      </c>
      <c r="F24" s="144">
        <v>-49.48</v>
      </c>
      <c r="G24" s="144">
        <v>-45.55</v>
      </c>
      <c r="H24" s="143">
        <v>-41.9</v>
      </c>
      <c r="I24" s="144">
        <v>-38.58</v>
      </c>
      <c r="J24" s="144">
        <v>-35.61</v>
      </c>
      <c r="K24" s="143">
        <v>-26.13</v>
      </c>
      <c r="L24" s="144">
        <v>-24.06</v>
      </c>
      <c r="M24" s="144">
        <v>-22.1</v>
      </c>
      <c r="N24" s="143">
        <v>-20.239999999999998</v>
      </c>
      <c r="O24" s="144">
        <v>-18.489999999999998</v>
      </c>
      <c r="P24" s="144">
        <v>-16.829999999999998</v>
      </c>
      <c r="Q24" s="143">
        <v>-19.3</v>
      </c>
      <c r="R24" s="144">
        <v>-19.34</v>
      </c>
      <c r="S24" s="144">
        <v>-19.37</v>
      </c>
      <c r="T24" s="143">
        <v>-9.391</v>
      </c>
      <c r="U24" s="144">
        <v>-8.8940000000000001</v>
      </c>
      <c r="V24" s="144">
        <v>-8.4309999999999992</v>
      </c>
      <c r="W24" s="143">
        <v>-7.9980000000000002</v>
      </c>
      <c r="X24" s="144">
        <v>-7.6219999999999999</v>
      </c>
      <c r="Y24" s="144">
        <v>-7.9009999999999998</v>
      </c>
      <c r="Z24" s="143">
        <v>-7.9690000000000003</v>
      </c>
      <c r="AA24" s="144">
        <v>-8.0350000000000001</v>
      </c>
      <c r="AB24" s="144">
        <v>-8.1010000000000009</v>
      </c>
      <c r="AC24" s="143">
        <v>-8.0350000000000001</v>
      </c>
      <c r="AD24" s="144">
        <v>-8.1010000000000009</v>
      </c>
      <c r="AE24" s="144">
        <v>-8.1660000000000004</v>
      </c>
    </row>
    <row r="25" spans="1:31" x14ac:dyDescent="0.35">
      <c r="A25" s="119" t="s">
        <v>6</v>
      </c>
      <c r="B25" s="143">
        <v>-17.13</v>
      </c>
      <c r="C25" s="144">
        <v>-16.2</v>
      </c>
      <c r="D25" s="144">
        <v>-15.1</v>
      </c>
      <c r="E25" s="143">
        <v>-13.78</v>
      </c>
      <c r="F25" s="144">
        <v>-12.35</v>
      </c>
      <c r="G25" s="144">
        <v>-10.94</v>
      </c>
      <c r="H25" s="143">
        <v>-9.6310000000000002</v>
      </c>
      <c r="I25" s="144">
        <v>-8.4689999999999994</v>
      </c>
      <c r="J25" s="144">
        <v>-7.5140000000000002</v>
      </c>
      <c r="K25" s="143">
        <v>-5.98</v>
      </c>
      <c r="L25" s="144">
        <v>-5.9509999999999996</v>
      </c>
      <c r="M25" s="144">
        <v>-5.9649999999999999</v>
      </c>
      <c r="N25" s="143">
        <v>-5.9980000000000002</v>
      </c>
      <c r="O25" s="144">
        <v>-6.0410000000000004</v>
      </c>
      <c r="P25" s="144">
        <v>-6.0880000000000001</v>
      </c>
      <c r="Q25" s="143">
        <v>-15.27</v>
      </c>
      <c r="R25" s="144">
        <v>-13.8</v>
      </c>
      <c r="S25" s="144">
        <v>-12.48</v>
      </c>
      <c r="T25" s="143">
        <v>-6.7809999999999997</v>
      </c>
      <c r="U25" s="144">
        <v>-6.8440000000000003</v>
      </c>
      <c r="V25" s="144">
        <v>-6.9050000000000002</v>
      </c>
      <c r="W25" s="143">
        <v>-6.9660000000000002</v>
      </c>
      <c r="X25" s="144">
        <v>-7.0279999999999996</v>
      </c>
      <c r="Y25" s="144">
        <v>-7.1989999999999998</v>
      </c>
      <c r="Z25" s="143">
        <v>-7.2430000000000003</v>
      </c>
      <c r="AA25" s="144">
        <v>-7.2880000000000003</v>
      </c>
      <c r="AB25" s="144">
        <v>-7.3330000000000002</v>
      </c>
      <c r="AC25" s="143">
        <v>-7.2880000000000003</v>
      </c>
      <c r="AD25" s="144">
        <v>-7.3330000000000002</v>
      </c>
      <c r="AE25" s="144">
        <v>-7.3780000000000001</v>
      </c>
    </row>
    <row r="26" spans="1:31" x14ac:dyDescent="0.35">
      <c r="A26" s="119" t="s">
        <v>7</v>
      </c>
      <c r="B26" s="143">
        <v>-23.56</v>
      </c>
      <c r="C26" s="144">
        <v>-22.35</v>
      </c>
      <c r="D26" s="144">
        <v>-21.56</v>
      </c>
      <c r="E26" s="145">
        <v>-21.22</v>
      </c>
      <c r="F26" s="146">
        <v>-21.21</v>
      </c>
      <c r="G26" s="146">
        <v>-21.39</v>
      </c>
      <c r="H26" s="143">
        <v>-21.64</v>
      </c>
      <c r="I26" s="144">
        <v>-21.89</v>
      </c>
      <c r="J26" s="144">
        <v>-22.11</v>
      </c>
      <c r="K26" s="143">
        <v>-22.89</v>
      </c>
      <c r="L26" s="144">
        <v>-23.15</v>
      </c>
      <c r="M26" s="144">
        <v>-23.44</v>
      </c>
      <c r="N26" s="143">
        <v>-23.72</v>
      </c>
      <c r="O26" s="144">
        <v>-24.01</v>
      </c>
      <c r="P26" s="144">
        <v>-24.3</v>
      </c>
      <c r="Q26" s="144">
        <v>-6.1379999999999999</v>
      </c>
      <c r="R26" s="144">
        <v>-6.1980000000000004</v>
      </c>
      <c r="S26" s="144">
        <v>-6.2850000000000001</v>
      </c>
      <c r="T26" s="145">
        <v>-26.08</v>
      </c>
      <c r="U26" s="146">
        <v>-26.34</v>
      </c>
      <c r="V26" s="146">
        <v>-26.61</v>
      </c>
      <c r="W26" s="143">
        <v>-26.87</v>
      </c>
      <c r="X26" s="144">
        <v>-27.12</v>
      </c>
      <c r="Y26" s="144">
        <v>-27.95</v>
      </c>
      <c r="Z26" s="143">
        <v>-28.19</v>
      </c>
      <c r="AA26" s="144">
        <v>-28.43</v>
      </c>
      <c r="AB26" s="144">
        <v>-28.66</v>
      </c>
      <c r="AC26" s="143">
        <v>-28.43</v>
      </c>
      <c r="AD26" s="144">
        <v>-28.66</v>
      </c>
      <c r="AE26" s="144">
        <v>-28.9</v>
      </c>
    </row>
  </sheetData>
  <conditionalFormatting sqref="A1:AE26">
    <cfRule type="expression" dxfId="1" priority="2">
      <formula>ISNUMBER(A1)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764A6-5A77-4440-82CA-1E8CCB45BD18}">
  <sheetPr codeName="Лист10">
    <tabColor theme="1"/>
  </sheetPr>
  <dimension ref="A1:AE20"/>
  <sheetViews>
    <sheetView zoomScale="175" zoomScaleNormal="175" workbookViewId="0">
      <selection activeCell="A12" sqref="A12"/>
    </sheetView>
  </sheetViews>
  <sheetFormatPr defaultColWidth="5.6328125" defaultRowHeight="21" x14ac:dyDescent="0.35"/>
  <cols>
    <col min="1" max="16384" width="5.6328125" style="81"/>
  </cols>
  <sheetData>
    <row r="1" spans="1:31" ht="12.75" customHeight="1" x14ac:dyDescent="0.35">
      <c r="A1" s="118" t="s">
        <v>357</v>
      </c>
      <c r="B1" s="117">
        <v>273.10000000000002</v>
      </c>
      <c r="C1" s="117">
        <v>293.3</v>
      </c>
      <c r="D1" s="117">
        <v>313.5</v>
      </c>
      <c r="E1" s="117">
        <v>333.7</v>
      </c>
      <c r="F1" s="117">
        <v>353.9</v>
      </c>
      <c r="G1" s="117">
        <v>374.1</v>
      </c>
      <c r="H1" s="117">
        <v>394.3</v>
      </c>
      <c r="I1" s="117">
        <v>414.5</v>
      </c>
      <c r="J1" s="117">
        <v>434.7</v>
      </c>
      <c r="K1" s="117">
        <v>515.4</v>
      </c>
      <c r="L1" s="117">
        <v>535.6</v>
      </c>
      <c r="M1" s="117">
        <v>555.79999999999995</v>
      </c>
      <c r="N1" s="121">
        <v>576</v>
      </c>
      <c r="O1" s="117">
        <v>596.20000000000005</v>
      </c>
      <c r="P1" s="117">
        <v>616.4</v>
      </c>
      <c r="Q1" s="117">
        <v>636.6</v>
      </c>
      <c r="R1" s="117">
        <v>656.8</v>
      </c>
      <c r="S1" s="121">
        <v>677</v>
      </c>
      <c r="T1" s="117">
        <v>757.7</v>
      </c>
      <c r="U1" s="117">
        <v>777.9</v>
      </c>
      <c r="V1" s="117">
        <v>798.1</v>
      </c>
      <c r="W1" s="117">
        <v>818.3</v>
      </c>
      <c r="X1" s="117">
        <v>838.5</v>
      </c>
      <c r="Y1" s="117">
        <v>919.2</v>
      </c>
      <c r="Z1" s="117">
        <v>939.4</v>
      </c>
      <c r="AA1" s="117">
        <v>959.6</v>
      </c>
      <c r="AB1" s="117">
        <v>979.8</v>
      </c>
      <c r="AC1" s="117">
        <v>959.6</v>
      </c>
      <c r="AD1" s="117">
        <v>979.8</v>
      </c>
      <c r="AE1" s="117">
        <v>1000</v>
      </c>
    </row>
    <row r="2" spans="1:31" ht="12.75" customHeight="1" x14ac:dyDescent="0.35">
      <c r="A2" s="120" t="s">
        <v>356</v>
      </c>
      <c r="B2" s="141">
        <v>2.3397999999999999E-28</v>
      </c>
      <c r="C2" s="142">
        <v>2.0742E-26</v>
      </c>
      <c r="D2" s="142">
        <v>1.6841000000000001E-24</v>
      </c>
      <c r="E2" s="141">
        <v>1.5773E-22</v>
      </c>
      <c r="F2" s="142">
        <v>1.5151E-20</v>
      </c>
      <c r="G2" s="142">
        <v>1.1999000000000001E-18</v>
      </c>
      <c r="H2" s="141">
        <v>6.8945999999999997E-17</v>
      </c>
      <c r="I2" s="142">
        <v>2.7437E-15</v>
      </c>
      <c r="J2" s="142">
        <v>7.4413999999999995E-14</v>
      </c>
      <c r="K2" s="141">
        <v>2.9067999999999999E-9</v>
      </c>
      <c r="L2" s="142">
        <v>2.8701E-8</v>
      </c>
      <c r="M2" s="142">
        <v>2.5057E-7</v>
      </c>
      <c r="N2" s="141">
        <v>1.9350000000000001E-6</v>
      </c>
      <c r="O2" s="142">
        <v>1.3294E-5</v>
      </c>
      <c r="P2" s="142">
        <v>8.1879999999999995E-5</v>
      </c>
      <c r="Q2" s="142">
        <v>5.3064E-2</v>
      </c>
      <c r="R2" s="142">
        <v>5.2088000000000002E-2</v>
      </c>
      <c r="S2" s="142">
        <v>4.8049000000000001E-2</v>
      </c>
      <c r="T2" s="141">
        <v>7.2410000000000002E-2</v>
      </c>
      <c r="U2" s="142">
        <v>7.1666999999999995E-2</v>
      </c>
      <c r="V2" s="142">
        <v>6.8749000000000005E-2</v>
      </c>
      <c r="W2" s="141">
        <v>6.4551999999999998E-2</v>
      </c>
      <c r="X2" s="142">
        <v>5.6475999999999998E-2</v>
      </c>
      <c r="Y2" s="142">
        <v>1.3301000000000001E-3</v>
      </c>
      <c r="Z2" s="141">
        <v>5.4418000000000001E-4</v>
      </c>
      <c r="AA2" s="142">
        <v>2.2824999999999999E-4</v>
      </c>
      <c r="AB2" s="142">
        <v>9.8068999999999999E-5</v>
      </c>
      <c r="AC2" s="141">
        <v>2.2824999999999999E-4</v>
      </c>
      <c r="AD2" s="142">
        <v>9.8068999999999999E-5</v>
      </c>
      <c r="AE2" s="142">
        <v>4.3111000000000001E-5</v>
      </c>
    </row>
    <row r="3" spans="1:31" ht="12.75" customHeight="1" x14ac:dyDescent="0.35">
      <c r="A3" s="119" t="s">
        <v>240</v>
      </c>
      <c r="B3" s="143">
        <v>3.0460000000000001E-7</v>
      </c>
      <c r="C3" s="144">
        <v>7.9172999999999996E-7</v>
      </c>
      <c r="D3" s="144">
        <v>2.5660999999999999E-6</v>
      </c>
      <c r="E3" s="143">
        <v>1.0835999999999999E-5</v>
      </c>
      <c r="F3" s="144">
        <v>5.0284000000000002E-5</v>
      </c>
      <c r="G3" s="144">
        <v>2.2064E-4</v>
      </c>
      <c r="H3" s="143">
        <v>8.6361000000000001E-4</v>
      </c>
      <c r="I3" s="144">
        <v>2.9274000000000001E-3</v>
      </c>
      <c r="J3" s="144">
        <v>8.2600999999999994E-3</v>
      </c>
      <c r="K3" s="143">
        <v>6.4222000000000001E-2</v>
      </c>
      <c r="L3" s="144">
        <v>7.2174000000000002E-2</v>
      </c>
      <c r="M3" s="144">
        <v>7.6243000000000005E-2</v>
      </c>
      <c r="N3" s="143">
        <v>7.8188999999999995E-2</v>
      </c>
      <c r="O3" s="144">
        <v>7.9107999999999998E-2</v>
      </c>
      <c r="P3" s="144">
        <v>7.9548999999999995E-2</v>
      </c>
      <c r="Q3" s="144">
        <v>4.5427999999999999E-4</v>
      </c>
      <c r="R3" s="144">
        <v>2.2480999999999998E-3</v>
      </c>
      <c r="S3" s="144">
        <v>9.3439000000000005E-3</v>
      </c>
      <c r="T3" s="143">
        <v>7.9991000000000007E-2</v>
      </c>
      <c r="U3" s="144">
        <v>7.9993999999999996E-2</v>
      </c>
      <c r="V3" s="144">
        <v>7.9995999999999998E-2</v>
      </c>
      <c r="W3" s="143">
        <v>7.9998E-2</v>
      </c>
      <c r="X3" s="144">
        <v>7.9913999999999999E-2</v>
      </c>
      <c r="Y3" s="144">
        <v>7.7256000000000005E-2</v>
      </c>
      <c r="Z3" s="143">
        <v>7.6824000000000003E-2</v>
      </c>
      <c r="AA3" s="144">
        <v>7.6387999999999998E-2</v>
      </c>
      <c r="AB3" s="144">
        <v>7.5944999999999999E-2</v>
      </c>
      <c r="AC3" s="143">
        <v>7.6387999999999998E-2</v>
      </c>
      <c r="AD3" s="144">
        <v>7.5944999999999999E-2</v>
      </c>
      <c r="AE3" s="144">
        <v>7.5490000000000002E-2</v>
      </c>
    </row>
    <row r="4" spans="1:31" ht="12.75" customHeight="1" x14ac:dyDescent="0.35">
      <c r="A4" s="119" t="s">
        <v>238</v>
      </c>
      <c r="B4" s="143">
        <v>4.0423000000000001E-28</v>
      </c>
      <c r="C4" s="144">
        <v>3.3478E-26</v>
      </c>
      <c r="D4" s="144">
        <v>2.3753E-24</v>
      </c>
      <c r="E4" s="143">
        <v>1.739E-22</v>
      </c>
      <c r="F4" s="144">
        <v>1.1968000000000001E-20</v>
      </c>
      <c r="G4" s="144">
        <v>6.5977999999999999E-19</v>
      </c>
      <c r="H4" s="143">
        <v>2.6876000000000001E-17</v>
      </c>
      <c r="I4" s="144">
        <v>7.9278000000000004E-16</v>
      </c>
      <c r="J4" s="144">
        <v>1.6945000000000001E-14</v>
      </c>
      <c r="K4" s="143">
        <v>3.7249000000000002E-10</v>
      </c>
      <c r="L4" s="144">
        <v>3.1746000000000002E-9</v>
      </c>
      <c r="M4" s="144">
        <v>2.3831E-8</v>
      </c>
      <c r="N4" s="143">
        <v>1.5837999999999999E-7</v>
      </c>
      <c r="O4" s="144">
        <v>9.3872999999999999E-7</v>
      </c>
      <c r="P4" s="144">
        <v>5.0003999999999996E-6</v>
      </c>
      <c r="Q4" s="144">
        <v>7.9765000000000003E-2</v>
      </c>
      <c r="R4" s="144">
        <v>7.9874000000000001E-2</v>
      </c>
      <c r="S4" s="144">
        <v>7.9929E-2</v>
      </c>
      <c r="T4" s="143">
        <v>9.8355999999999999E-3</v>
      </c>
      <c r="U4" s="144">
        <v>1.5105E-2</v>
      </c>
      <c r="V4" s="144">
        <v>2.2039E-2</v>
      </c>
      <c r="W4" s="143">
        <v>3.0755000000000001E-2</v>
      </c>
      <c r="X4" s="144">
        <v>3.986E-2</v>
      </c>
      <c r="Y4" s="144">
        <v>1.4336E-2</v>
      </c>
      <c r="Z4" s="143">
        <v>1.0671E-2</v>
      </c>
      <c r="AA4" s="144">
        <v>7.8063999999999998E-3</v>
      </c>
      <c r="AB4" s="144">
        <v>5.6091999999999999E-3</v>
      </c>
      <c r="AC4" s="143">
        <v>7.8063999999999998E-3</v>
      </c>
      <c r="AD4" s="144">
        <v>5.6091999999999999E-3</v>
      </c>
      <c r="AE4" s="144">
        <v>3.9562E-3</v>
      </c>
    </row>
    <row r="5" spans="1:31" ht="12.75" customHeight="1" x14ac:dyDescent="0.35">
      <c r="A5" s="119" t="s">
        <v>236</v>
      </c>
      <c r="B5" s="143">
        <v>1.8857999999999998E-9</v>
      </c>
      <c r="C5" s="144">
        <v>6.4452999999999997E-9</v>
      </c>
      <c r="D5" s="144">
        <v>1.5402999999999999E-8</v>
      </c>
      <c r="E5" s="143">
        <v>2.4473E-8</v>
      </c>
      <c r="F5" s="144">
        <v>2.7333000000000001E-8</v>
      </c>
      <c r="G5" s="144">
        <v>2.4652000000000001E-8</v>
      </c>
      <c r="H5" s="143">
        <v>2.0415999999999999E-8</v>
      </c>
      <c r="I5" s="144">
        <v>1.6866E-8</v>
      </c>
      <c r="J5" s="144">
        <v>1.4732000000000001E-8</v>
      </c>
      <c r="K5" s="143">
        <v>1.2278000000000001E-8</v>
      </c>
      <c r="L5" s="144">
        <v>1.0916E-8</v>
      </c>
      <c r="M5" s="144">
        <v>9.3466000000000008E-9</v>
      </c>
      <c r="N5" s="143">
        <v>7.8566000000000004E-9</v>
      </c>
      <c r="O5" s="144">
        <v>6.5510999999999998E-9</v>
      </c>
      <c r="P5" s="144">
        <v>5.4476999999999997E-9</v>
      </c>
      <c r="Q5" s="144">
        <v>2.4079000000000001E-5</v>
      </c>
      <c r="R5" s="144">
        <v>1.0474E-4</v>
      </c>
      <c r="S5" s="144">
        <v>4.0225999999999999E-4</v>
      </c>
      <c r="T5" s="143">
        <v>2.4995999999999999E-9</v>
      </c>
      <c r="U5" s="144">
        <v>2.1214000000000001E-9</v>
      </c>
      <c r="V5" s="144">
        <v>1.7939E-9</v>
      </c>
      <c r="W5" s="143">
        <v>1.5189E-9</v>
      </c>
      <c r="X5" s="144">
        <v>1.2981999999999999E-9</v>
      </c>
      <c r="Y5" s="144">
        <v>7.3192999999999997E-10</v>
      </c>
      <c r="Z5" s="143">
        <v>6.1770000000000005E-10</v>
      </c>
      <c r="AA5" s="144">
        <v>5.2130000000000005E-10</v>
      </c>
      <c r="AB5" s="144">
        <v>4.4019999999999999E-10</v>
      </c>
      <c r="AC5" s="143">
        <v>5.2130000000000005E-10</v>
      </c>
      <c r="AD5" s="144">
        <v>4.4019999999999999E-10</v>
      </c>
      <c r="AE5" s="144">
        <v>3.7200000000000001E-10</v>
      </c>
    </row>
    <row r="6" spans="1:31" ht="12.75" customHeight="1" x14ac:dyDescent="0.35">
      <c r="A6" s="119" t="s">
        <v>234</v>
      </c>
      <c r="B6" s="143">
        <v>4.3467000000000001E-10</v>
      </c>
      <c r="C6" s="144">
        <v>1.7279E-9</v>
      </c>
      <c r="D6" s="144">
        <v>4.7159000000000002E-9</v>
      </c>
      <c r="E6" s="143">
        <v>8.4282000000000003E-9</v>
      </c>
      <c r="F6" s="144">
        <v>1.0452999999999999E-8</v>
      </c>
      <c r="G6" s="144">
        <v>1.0357999999999999E-8</v>
      </c>
      <c r="H6" s="143">
        <v>9.3366999999999998E-9</v>
      </c>
      <c r="I6" s="144">
        <v>8.3278999999999997E-9</v>
      </c>
      <c r="J6" s="144">
        <v>7.7996000000000002E-9</v>
      </c>
      <c r="K6" s="143">
        <v>7.6445999999999998E-9</v>
      </c>
      <c r="L6" s="144">
        <v>6.7225000000000003E-9</v>
      </c>
      <c r="M6" s="144">
        <v>5.6904999999999997E-9</v>
      </c>
      <c r="N6" s="143">
        <v>4.7269000000000003E-9</v>
      </c>
      <c r="O6" s="144">
        <v>3.8939000000000004E-9</v>
      </c>
      <c r="P6" s="144">
        <v>3.1985000000000001E-9</v>
      </c>
      <c r="Q6" s="144">
        <v>4.5377000000000002E-9</v>
      </c>
      <c r="R6" s="144">
        <v>3.8261000000000003E-9</v>
      </c>
      <c r="S6" s="144">
        <v>3.3694E-9</v>
      </c>
      <c r="T6" s="143">
        <v>1.3460999999999999E-9</v>
      </c>
      <c r="U6" s="144">
        <v>1.1288000000000001E-9</v>
      </c>
      <c r="V6" s="144">
        <v>9.432100000000001E-10</v>
      </c>
      <c r="W6" s="143">
        <v>7.8925000000000004E-10</v>
      </c>
      <c r="X6" s="144">
        <v>6.6673000000000003E-10</v>
      </c>
      <c r="Y6" s="144">
        <v>3.5906999999999998E-10</v>
      </c>
      <c r="Z6" s="143">
        <v>2.9964999999999999E-10</v>
      </c>
      <c r="AA6" s="144">
        <v>2.5007999999999998E-10</v>
      </c>
      <c r="AB6" s="144">
        <v>2.0885000000000001E-10</v>
      </c>
      <c r="AC6" s="143">
        <v>2.5007999999999998E-10</v>
      </c>
      <c r="AD6" s="144">
        <v>2.0885000000000001E-10</v>
      </c>
      <c r="AE6" s="144">
        <v>1.7455999999999999E-10</v>
      </c>
    </row>
    <row r="7" spans="1:31" ht="12.75" customHeight="1" x14ac:dyDescent="0.35">
      <c r="A7" s="118" t="s">
        <v>355</v>
      </c>
      <c r="B7" s="145">
        <v>1.5883E-3</v>
      </c>
      <c r="C7" s="146">
        <v>6.8672999999999998E-3</v>
      </c>
      <c r="D7" s="146">
        <v>2.1017999999999998E-2</v>
      </c>
      <c r="E7" s="145">
        <v>4.3103000000000002E-2</v>
      </c>
      <c r="F7" s="146">
        <v>6.2424E-2</v>
      </c>
      <c r="G7" s="146">
        <v>7.3180999999999996E-2</v>
      </c>
      <c r="H7" s="145">
        <v>7.8835000000000002E-2</v>
      </c>
      <c r="I7" s="146">
        <v>8.4666000000000005E-2</v>
      </c>
      <c r="J7" s="146">
        <v>9.6008999999999997E-2</v>
      </c>
      <c r="K7" s="145">
        <v>0.20843</v>
      </c>
      <c r="L7" s="146">
        <v>0.22434999999999999</v>
      </c>
      <c r="M7" s="146">
        <v>0.23249</v>
      </c>
      <c r="N7" s="145">
        <v>0.23638000000000001</v>
      </c>
      <c r="O7" s="146">
        <v>0.23824000000000001</v>
      </c>
      <c r="P7" s="146">
        <v>0.23927000000000001</v>
      </c>
      <c r="Q7" s="146">
        <v>2.6313999999999998E-9</v>
      </c>
      <c r="R7" s="146">
        <v>2.1913000000000001E-9</v>
      </c>
      <c r="S7" s="146">
        <v>1.9058999999999998E-9</v>
      </c>
      <c r="T7" s="145">
        <v>0.39955000000000002</v>
      </c>
      <c r="U7" s="146">
        <v>0.40598000000000001</v>
      </c>
      <c r="V7" s="146">
        <v>0.41055000000000003</v>
      </c>
      <c r="W7" s="145">
        <v>0.41522999999999999</v>
      </c>
      <c r="X7" s="146">
        <v>0.42346</v>
      </c>
      <c r="Y7" s="146">
        <v>0.47866999999999998</v>
      </c>
      <c r="Z7" s="145">
        <v>0.47946</v>
      </c>
      <c r="AA7" s="146">
        <v>0.47976999999999997</v>
      </c>
      <c r="AB7" s="146">
        <v>0.47989999999999999</v>
      </c>
      <c r="AC7" s="145">
        <v>0.47976999999999997</v>
      </c>
      <c r="AD7" s="146">
        <v>0.47989999999999999</v>
      </c>
      <c r="AE7" s="146">
        <v>0.47996</v>
      </c>
    </row>
    <row r="8" spans="1:31" ht="12.75" customHeight="1" x14ac:dyDescent="0.35">
      <c r="A8" s="118" t="s">
        <v>232</v>
      </c>
      <c r="B8" s="145">
        <v>4.8220999999999998E-12</v>
      </c>
      <c r="C8" s="146">
        <v>2.6835E-11</v>
      </c>
      <c r="D8" s="146">
        <v>9.8888000000000003E-11</v>
      </c>
      <c r="E8" s="145">
        <v>2.3156E-10</v>
      </c>
      <c r="F8" s="146">
        <v>3.6692000000000001E-10</v>
      </c>
      <c r="G8" s="146">
        <v>4.5460999999999999E-10</v>
      </c>
      <c r="H8" s="145">
        <v>5.0307999999999998E-10</v>
      </c>
      <c r="I8" s="146">
        <v>5.4215000000000004E-10</v>
      </c>
      <c r="J8" s="146">
        <v>6.0499999999999998E-10</v>
      </c>
      <c r="K8" s="145">
        <v>1.0715999999999999E-9</v>
      </c>
      <c r="L8" s="146">
        <v>1.0692E-9</v>
      </c>
      <c r="M8" s="146">
        <v>1.0197999999999999E-9</v>
      </c>
      <c r="N8" s="145">
        <v>9.4844000000000009E-10</v>
      </c>
      <c r="O8" s="146">
        <v>8.6978999999999995E-10</v>
      </c>
      <c r="P8" s="146">
        <v>7.9120000000000002E-10</v>
      </c>
      <c r="Q8" s="146">
        <v>0.24046999999999999</v>
      </c>
      <c r="R8" s="146">
        <v>0.24440000000000001</v>
      </c>
      <c r="S8" s="146">
        <v>0.25914999999999999</v>
      </c>
      <c r="T8" s="145">
        <v>6.0626000000000003E-10</v>
      </c>
      <c r="U8" s="146">
        <v>5.4663E-10</v>
      </c>
      <c r="V8" s="146">
        <v>4.8986E-10</v>
      </c>
      <c r="W8" s="145">
        <v>4.3852999999999998E-10</v>
      </c>
      <c r="X8" s="146">
        <v>3.9540999999999998E-10</v>
      </c>
      <c r="Y8" s="146">
        <v>2.7087000000000002E-10</v>
      </c>
      <c r="Z8" s="145">
        <v>2.3897E-10</v>
      </c>
      <c r="AA8" s="146">
        <v>2.1051999999999999E-10</v>
      </c>
      <c r="AB8" s="146">
        <v>1.8528000000000001E-10</v>
      </c>
      <c r="AC8" s="145">
        <v>2.1051999999999999E-10</v>
      </c>
      <c r="AD8" s="146">
        <v>1.8528000000000001E-10</v>
      </c>
      <c r="AE8" s="146">
        <v>1.6297000000000001E-10</v>
      </c>
    </row>
    <row r="9" spans="1:31" ht="12.75" customHeight="1" x14ac:dyDescent="0.35">
      <c r="A9" s="119" t="s">
        <v>231</v>
      </c>
      <c r="B9" s="143">
        <v>3.0460000000000001E-7</v>
      </c>
      <c r="C9" s="144">
        <v>7.9172999999999996E-7</v>
      </c>
      <c r="D9" s="144">
        <v>2.5660999999999999E-6</v>
      </c>
      <c r="E9" s="143">
        <v>1.0835999999999999E-5</v>
      </c>
      <c r="F9" s="144">
        <v>5.0284000000000002E-5</v>
      </c>
      <c r="G9" s="144">
        <v>2.2064E-4</v>
      </c>
      <c r="H9" s="143">
        <v>8.6361000000000001E-4</v>
      </c>
      <c r="I9" s="144">
        <v>2.9274000000000001E-3</v>
      </c>
      <c r="J9" s="144">
        <v>8.2600999999999994E-3</v>
      </c>
      <c r="K9" s="143">
        <v>6.4222000000000001E-2</v>
      </c>
      <c r="L9" s="144">
        <v>7.2174000000000002E-2</v>
      </c>
      <c r="M9" s="144">
        <v>7.6243000000000005E-2</v>
      </c>
      <c r="N9" s="143">
        <v>7.8188999999999995E-2</v>
      </c>
      <c r="O9" s="144">
        <v>7.9107999999999998E-2</v>
      </c>
      <c r="P9" s="144">
        <v>7.9548999999999995E-2</v>
      </c>
      <c r="Q9" s="146">
        <v>7.1740000000000002E-10</v>
      </c>
      <c r="R9" s="146">
        <v>6.5553999999999999E-10</v>
      </c>
      <c r="S9" s="146">
        <v>6.2310000000000005E-10</v>
      </c>
      <c r="T9" s="143">
        <v>7.9991000000000007E-2</v>
      </c>
      <c r="U9" s="144">
        <v>7.9993999999999996E-2</v>
      </c>
      <c r="V9" s="144">
        <v>7.9995999999999998E-2</v>
      </c>
      <c r="W9" s="143">
        <v>7.9998E-2</v>
      </c>
      <c r="X9" s="144">
        <v>7.9913999999999999E-2</v>
      </c>
      <c r="Y9" s="144">
        <v>7.7256000000000005E-2</v>
      </c>
      <c r="Z9" s="143">
        <v>7.6824000000000003E-2</v>
      </c>
      <c r="AA9" s="144">
        <v>7.6387999999999998E-2</v>
      </c>
      <c r="AB9" s="144">
        <v>7.5944999999999999E-2</v>
      </c>
      <c r="AC9" s="143">
        <v>7.6387999999999998E-2</v>
      </c>
      <c r="AD9" s="144">
        <v>7.5944999999999999E-2</v>
      </c>
      <c r="AE9" s="144">
        <v>7.5490000000000002E-2</v>
      </c>
    </row>
    <row r="10" spans="1:31" ht="21" customHeight="1" x14ac:dyDescent="0.35">
      <c r="A10" s="118" t="s">
        <v>354</v>
      </c>
      <c r="B10" s="145">
        <v>0</v>
      </c>
      <c r="C10" s="146">
        <v>0</v>
      </c>
      <c r="D10" s="116">
        <v>0</v>
      </c>
      <c r="E10" s="145">
        <v>0</v>
      </c>
      <c r="F10" s="146">
        <v>0</v>
      </c>
      <c r="G10" s="116">
        <v>0</v>
      </c>
      <c r="H10" s="145">
        <v>0</v>
      </c>
      <c r="I10" s="146">
        <v>0</v>
      </c>
      <c r="J10" s="116">
        <v>0</v>
      </c>
      <c r="K10" s="145">
        <v>0</v>
      </c>
      <c r="L10" s="146">
        <v>0</v>
      </c>
      <c r="M10" s="116">
        <v>0</v>
      </c>
      <c r="N10" s="145">
        <v>0</v>
      </c>
      <c r="O10" s="146">
        <v>0</v>
      </c>
      <c r="P10" s="116">
        <v>0</v>
      </c>
      <c r="Q10" s="144">
        <v>7.9765000000000003E-2</v>
      </c>
      <c r="R10" s="144">
        <v>7.9874000000000001E-2</v>
      </c>
      <c r="S10" s="144">
        <v>7.9929E-2</v>
      </c>
      <c r="T10" s="145">
        <v>8.4594000000000007E-30</v>
      </c>
      <c r="U10" s="146">
        <v>5.8909000000000003E-22</v>
      </c>
      <c r="V10" s="146">
        <v>6.6172000000000003E-15</v>
      </c>
      <c r="W10" s="145">
        <v>3.8591999999999999E-8</v>
      </c>
      <c r="X10" s="146">
        <v>7.1447999999999998E-3</v>
      </c>
      <c r="Y10" s="146">
        <v>0.14255000000000001</v>
      </c>
      <c r="Z10" s="145">
        <v>0.14792</v>
      </c>
      <c r="AA10" s="146">
        <v>0.15159</v>
      </c>
      <c r="AB10" s="146">
        <v>0.15412000000000001</v>
      </c>
      <c r="AC10" s="145">
        <v>0.15159</v>
      </c>
      <c r="AD10" s="146">
        <v>0.15412000000000001</v>
      </c>
      <c r="AE10" s="146">
        <v>0.15592</v>
      </c>
    </row>
    <row r="11" spans="1:31" ht="12.75" customHeight="1" x14ac:dyDescent="0.35">
      <c r="A11" s="118" t="s">
        <v>353</v>
      </c>
      <c r="B11" s="145">
        <v>0</v>
      </c>
      <c r="C11" s="146">
        <v>0</v>
      </c>
      <c r="D11" s="116">
        <v>0</v>
      </c>
      <c r="E11" s="145">
        <v>0</v>
      </c>
      <c r="F11" s="146">
        <v>0</v>
      </c>
      <c r="G11" s="116">
        <v>0</v>
      </c>
      <c r="H11" s="145">
        <v>0</v>
      </c>
      <c r="I11" s="146">
        <v>0</v>
      </c>
      <c r="J11" s="116">
        <v>0</v>
      </c>
      <c r="K11" s="145">
        <v>0</v>
      </c>
      <c r="L11" s="146">
        <v>0</v>
      </c>
      <c r="M11" s="116">
        <v>0</v>
      </c>
      <c r="N11" s="145">
        <v>0</v>
      </c>
      <c r="O11" s="146">
        <v>0</v>
      </c>
      <c r="P11" s="116">
        <v>0</v>
      </c>
      <c r="Q11" s="146">
        <v>0</v>
      </c>
      <c r="R11" s="146">
        <v>0</v>
      </c>
      <c r="S11" s="116">
        <v>0</v>
      </c>
      <c r="T11" s="145">
        <v>9.4355000000000004E-31</v>
      </c>
      <c r="U11" s="146">
        <v>4.2505999999999999E-23</v>
      </c>
      <c r="V11" s="146">
        <v>3.1832999999999999E-16</v>
      </c>
      <c r="W11" s="145">
        <v>1.2669E-9</v>
      </c>
      <c r="X11" s="146">
        <v>1.6851E-4</v>
      </c>
      <c r="Y11" s="146">
        <v>5.4868E-3</v>
      </c>
      <c r="Z11" s="145">
        <v>6.352E-3</v>
      </c>
      <c r="AA11" s="146">
        <v>7.2240000000000004E-3</v>
      </c>
      <c r="AB11" s="146">
        <v>8.1103000000000008E-3</v>
      </c>
      <c r="AC11" s="145">
        <v>7.2240000000000004E-3</v>
      </c>
      <c r="AD11" s="146">
        <v>8.1103000000000008E-3</v>
      </c>
      <c r="AE11" s="146">
        <v>9.0189999999999992E-3</v>
      </c>
    </row>
    <row r="12" spans="1:31" ht="12.75" customHeight="1" x14ac:dyDescent="0.35">
      <c r="A12" s="118" t="s">
        <v>35</v>
      </c>
      <c r="B12" s="145">
        <v>-18.82</v>
      </c>
      <c r="C12" s="146">
        <v>-18.809999999999999</v>
      </c>
      <c r="D12" s="146">
        <v>-18.8</v>
      </c>
      <c r="E12" s="145">
        <v>-18.809999999999999</v>
      </c>
      <c r="F12" s="146">
        <v>-18.82</v>
      </c>
      <c r="G12" s="146">
        <v>-18.84</v>
      </c>
      <c r="H12" s="143">
        <v>-18.87</v>
      </c>
      <c r="I12" s="144">
        <v>-18.899999999999999</v>
      </c>
      <c r="J12" s="144">
        <v>-18.93</v>
      </c>
      <c r="K12" s="143">
        <v>-19.059999999999999</v>
      </c>
      <c r="L12" s="144">
        <v>-19.100000000000001</v>
      </c>
      <c r="M12" s="144">
        <v>-19.14</v>
      </c>
      <c r="N12" s="143">
        <v>-19.18</v>
      </c>
      <c r="O12" s="144">
        <v>-19.22</v>
      </c>
      <c r="P12" s="144">
        <v>-19.260000000000002</v>
      </c>
      <c r="Q12" s="146">
        <v>0</v>
      </c>
      <c r="R12" s="146">
        <v>0</v>
      </c>
      <c r="S12" s="116">
        <v>0</v>
      </c>
      <c r="T12" s="143">
        <v>-19.43</v>
      </c>
      <c r="U12" s="144">
        <v>-19.47</v>
      </c>
      <c r="V12" s="144">
        <v>-19.510000000000002</v>
      </c>
      <c r="W12" s="143">
        <v>-19.55</v>
      </c>
      <c r="X12" s="144">
        <v>-19.59</v>
      </c>
      <c r="Y12" s="144">
        <v>-19.739999999999998</v>
      </c>
      <c r="Z12" s="143">
        <v>-19.77</v>
      </c>
      <c r="AA12" s="144">
        <v>-19.809999999999999</v>
      </c>
      <c r="AB12" s="144">
        <v>-19.850000000000001</v>
      </c>
      <c r="AC12" s="143">
        <v>-19.809999999999999</v>
      </c>
      <c r="AD12" s="144">
        <v>-19.850000000000001</v>
      </c>
      <c r="AE12" s="144">
        <v>-19.88</v>
      </c>
    </row>
    <row r="13" spans="1:31" ht="12.75" customHeight="1" x14ac:dyDescent="0.35">
      <c r="A13" s="119" t="s">
        <v>5</v>
      </c>
      <c r="B13" s="143">
        <v>-66.36</v>
      </c>
      <c r="C13" s="144">
        <v>-61.96</v>
      </c>
      <c r="D13" s="144">
        <v>-57.78</v>
      </c>
      <c r="E13" s="143">
        <v>-53.6</v>
      </c>
      <c r="F13" s="144">
        <v>-49.48</v>
      </c>
      <c r="G13" s="144">
        <v>-45.55</v>
      </c>
      <c r="H13" s="143">
        <v>-41.9</v>
      </c>
      <c r="I13" s="144">
        <v>-38.58</v>
      </c>
      <c r="J13" s="144">
        <v>-35.61</v>
      </c>
      <c r="K13" s="143">
        <v>-26.13</v>
      </c>
      <c r="L13" s="144">
        <v>-24.06</v>
      </c>
      <c r="M13" s="144">
        <v>-22.1</v>
      </c>
      <c r="N13" s="143">
        <v>-20.239999999999998</v>
      </c>
      <c r="O13" s="144">
        <v>-18.489999999999998</v>
      </c>
      <c r="P13" s="144">
        <v>-16.829999999999998</v>
      </c>
      <c r="Q13" s="143">
        <v>-19.3</v>
      </c>
      <c r="R13" s="144">
        <v>-19.34</v>
      </c>
      <c r="S13" s="144">
        <v>-19.37</v>
      </c>
      <c r="T13" s="143">
        <v>-9.391</v>
      </c>
      <c r="U13" s="144">
        <v>-8.8940000000000001</v>
      </c>
      <c r="V13" s="144">
        <v>-8.4309999999999992</v>
      </c>
      <c r="W13" s="143">
        <v>-7.9980000000000002</v>
      </c>
      <c r="X13" s="144">
        <v>-7.6219999999999999</v>
      </c>
      <c r="Y13" s="144">
        <v>-7.9009999999999998</v>
      </c>
      <c r="Z13" s="143">
        <v>-7.9690000000000003</v>
      </c>
      <c r="AA13" s="144">
        <v>-8.0350000000000001</v>
      </c>
      <c r="AB13" s="144">
        <v>-8.1010000000000009</v>
      </c>
      <c r="AC13" s="143">
        <v>-8.0350000000000001</v>
      </c>
      <c r="AD13" s="144">
        <v>-8.1010000000000009</v>
      </c>
      <c r="AE13" s="144">
        <v>-8.1660000000000004</v>
      </c>
    </row>
    <row r="14" spans="1:31" ht="12.75" customHeight="1" x14ac:dyDescent="0.35">
      <c r="A14" s="119" t="s">
        <v>6</v>
      </c>
      <c r="B14" s="143">
        <v>-17.13</v>
      </c>
      <c r="C14" s="144">
        <v>-16.2</v>
      </c>
      <c r="D14" s="144">
        <v>-15.1</v>
      </c>
      <c r="E14" s="143">
        <v>-13.78</v>
      </c>
      <c r="F14" s="144">
        <v>-12.35</v>
      </c>
      <c r="G14" s="144">
        <v>-10.94</v>
      </c>
      <c r="H14" s="143">
        <v>-9.6310000000000002</v>
      </c>
      <c r="I14" s="144">
        <v>-8.4689999999999994</v>
      </c>
      <c r="J14" s="144">
        <v>-7.5140000000000002</v>
      </c>
      <c r="K14" s="143">
        <v>-5.98</v>
      </c>
      <c r="L14" s="144">
        <v>-5.9509999999999996</v>
      </c>
      <c r="M14" s="144">
        <v>-5.9649999999999999</v>
      </c>
      <c r="N14" s="143">
        <v>-5.9980000000000002</v>
      </c>
      <c r="O14" s="144">
        <v>-6.0410000000000004</v>
      </c>
      <c r="P14" s="144">
        <v>-6.0880000000000001</v>
      </c>
      <c r="Q14" s="143">
        <v>-15.27</v>
      </c>
      <c r="R14" s="144">
        <v>-13.8</v>
      </c>
      <c r="S14" s="144">
        <v>-12.48</v>
      </c>
      <c r="T14" s="143">
        <v>-6.7809999999999997</v>
      </c>
      <c r="U14" s="144">
        <v>-6.8440000000000003</v>
      </c>
      <c r="V14" s="144">
        <v>-6.9050000000000002</v>
      </c>
      <c r="W14" s="143">
        <v>-6.9660000000000002</v>
      </c>
      <c r="X14" s="144">
        <v>-7.0279999999999996</v>
      </c>
      <c r="Y14" s="144">
        <v>-7.1989999999999998</v>
      </c>
      <c r="Z14" s="143">
        <v>-7.2430000000000003</v>
      </c>
      <c r="AA14" s="144">
        <v>-7.2880000000000003</v>
      </c>
      <c r="AB14" s="144">
        <v>-7.3330000000000002</v>
      </c>
      <c r="AC14" s="143">
        <v>-7.2880000000000003</v>
      </c>
      <c r="AD14" s="144">
        <v>-7.3330000000000002</v>
      </c>
      <c r="AE14" s="144">
        <v>-7.3780000000000001</v>
      </c>
    </row>
    <row r="15" spans="1:31" ht="12.75" customHeight="1" x14ac:dyDescent="0.35">
      <c r="A15" s="119" t="s">
        <v>7</v>
      </c>
      <c r="B15" s="143">
        <v>-23.56</v>
      </c>
      <c r="C15" s="144">
        <v>-22.35</v>
      </c>
      <c r="D15" s="144">
        <v>-21.56</v>
      </c>
      <c r="E15" s="145">
        <v>-21.22</v>
      </c>
      <c r="F15" s="146">
        <v>-21.21</v>
      </c>
      <c r="G15" s="146">
        <v>-21.39</v>
      </c>
      <c r="H15" s="143">
        <v>-21.64</v>
      </c>
      <c r="I15" s="144">
        <v>-21.89</v>
      </c>
      <c r="J15" s="144">
        <v>-22.11</v>
      </c>
      <c r="K15" s="143">
        <v>-22.89</v>
      </c>
      <c r="L15" s="144">
        <v>-23.15</v>
      </c>
      <c r="M15" s="144">
        <v>-23.44</v>
      </c>
      <c r="N15" s="143">
        <v>-23.72</v>
      </c>
      <c r="O15" s="144">
        <v>-24.01</v>
      </c>
      <c r="P15" s="144">
        <v>-24.3</v>
      </c>
      <c r="Q15" s="144">
        <v>-6.1379999999999999</v>
      </c>
      <c r="R15" s="144">
        <v>-6.1980000000000004</v>
      </c>
      <c r="S15" s="144">
        <v>-6.2850000000000001</v>
      </c>
      <c r="T15" s="145">
        <v>-26.08</v>
      </c>
      <c r="U15" s="146">
        <v>-26.34</v>
      </c>
      <c r="V15" s="146">
        <v>-26.61</v>
      </c>
      <c r="W15" s="143">
        <v>-26.87</v>
      </c>
      <c r="X15" s="144">
        <v>-27.12</v>
      </c>
      <c r="Y15" s="144">
        <v>-27.95</v>
      </c>
      <c r="Z15" s="143">
        <v>-28.19</v>
      </c>
      <c r="AA15" s="144">
        <v>-28.43</v>
      </c>
      <c r="AB15" s="144">
        <v>-28.66</v>
      </c>
      <c r="AC15" s="143">
        <v>-28.43</v>
      </c>
      <c r="AD15" s="144">
        <v>-28.66</v>
      </c>
      <c r="AE15" s="144">
        <v>-28.9</v>
      </c>
    </row>
    <row r="16" spans="1:31" s="136" customFormat="1" ht="12.75" customHeight="1" x14ac:dyDescent="0.35">
      <c r="A16" s="131" t="s">
        <v>46</v>
      </c>
      <c r="B16" s="132" t="s">
        <v>352</v>
      </c>
      <c r="C16" s="133" t="s">
        <v>351</v>
      </c>
      <c r="D16" s="133" t="s">
        <v>350</v>
      </c>
      <c r="E16" s="132" t="s">
        <v>349</v>
      </c>
      <c r="F16" s="133" t="s">
        <v>348</v>
      </c>
      <c r="G16" s="133" t="s">
        <v>347</v>
      </c>
      <c r="H16" s="132" t="s">
        <v>346</v>
      </c>
      <c r="I16" s="133" t="s">
        <v>345</v>
      </c>
      <c r="J16" s="133" t="s">
        <v>344</v>
      </c>
      <c r="K16" s="132" t="s">
        <v>343</v>
      </c>
      <c r="L16" s="133" t="s">
        <v>342</v>
      </c>
      <c r="M16" s="133" t="s">
        <v>341</v>
      </c>
      <c r="N16" s="132" t="s">
        <v>340</v>
      </c>
      <c r="O16" s="133" t="s">
        <v>339</v>
      </c>
      <c r="P16" s="133" t="s">
        <v>338</v>
      </c>
      <c r="Q16" s="133" t="s">
        <v>337</v>
      </c>
      <c r="R16" s="133" t="s">
        <v>336</v>
      </c>
      <c r="S16" s="133" t="s">
        <v>335</v>
      </c>
      <c r="T16" s="132" t="s">
        <v>334</v>
      </c>
      <c r="U16" s="133" t="s">
        <v>333</v>
      </c>
      <c r="V16" s="133" t="s">
        <v>332</v>
      </c>
      <c r="W16" s="134" t="s">
        <v>331</v>
      </c>
      <c r="X16" s="135" t="s">
        <v>138</v>
      </c>
      <c r="Y16" s="135" t="s">
        <v>138</v>
      </c>
      <c r="Z16" s="134" t="s">
        <v>138</v>
      </c>
      <c r="AA16" s="135" t="s">
        <v>138</v>
      </c>
      <c r="AB16" s="135" t="s">
        <v>138</v>
      </c>
      <c r="AC16" s="134" t="s">
        <v>138</v>
      </c>
      <c r="AD16" s="135" t="s">
        <v>138</v>
      </c>
      <c r="AE16" s="135" t="s">
        <v>138</v>
      </c>
    </row>
    <row r="17" spans="1:31" s="136" customFormat="1" ht="12.75" customHeight="1" x14ac:dyDescent="0.35">
      <c r="A17" s="131" t="s">
        <v>45</v>
      </c>
      <c r="B17" s="132" t="s">
        <v>330</v>
      </c>
      <c r="C17" s="133" t="s">
        <v>329</v>
      </c>
      <c r="D17" s="133" t="s">
        <v>328</v>
      </c>
      <c r="E17" s="132" t="s">
        <v>327</v>
      </c>
      <c r="F17" s="133" t="s">
        <v>326</v>
      </c>
      <c r="G17" s="133" t="s">
        <v>325</v>
      </c>
      <c r="H17" s="134" t="s">
        <v>324</v>
      </c>
      <c r="I17" s="135" t="s">
        <v>323</v>
      </c>
      <c r="J17" s="135" t="s">
        <v>322</v>
      </c>
      <c r="K17" s="132" t="s">
        <v>321</v>
      </c>
      <c r="L17" s="133" t="s">
        <v>320</v>
      </c>
      <c r="M17" s="133" t="s">
        <v>319</v>
      </c>
      <c r="N17" s="132" t="s">
        <v>318</v>
      </c>
      <c r="O17" s="133" t="s">
        <v>317</v>
      </c>
      <c r="P17" s="133" t="s">
        <v>316</v>
      </c>
      <c r="Q17" s="133" t="s">
        <v>315</v>
      </c>
      <c r="R17" s="133" t="s">
        <v>314</v>
      </c>
      <c r="S17" s="133" t="s">
        <v>313</v>
      </c>
      <c r="T17" s="132" t="s">
        <v>312</v>
      </c>
      <c r="U17" s="133" t="s">
        <v>311</v>
      </c>
      <c r="V17" s="133" t="s">
        <v>310</v>
      </c>
      <c r="W17" s="132" t="s">
        <v>309</v>
      </c>
      <c r="X17" s="133" t="s">
        <v>308</v>
      </c>
      <c r="Y17" s="133" t="s">
        <v>307</v>
      </c>
      <c r="Z17" s="132" t="s">
        <v>306</v>
      </c>
      <c r="AA17" s="133" t="s">
        <v>305</v>
      </c>
      <c r="AB17" s="133" t="s">
        <v>304</v>
      </c>
      <c r="AC17" s="132" t="s">
        <v>305</v>
      </c>
      <c r="AD17" s="133" t="s">
        <v>304</v>
      </c>
      <c r="AE17" s="133" t="s">
        <v>303</v>
      </c>
    </row>
    <row r="18" spans="1:31" s="136" customFormat="1" ht="12.75" customHeight="1" x14ac:dyDescent="0.35">
      <c r="A18" s="131" t="s">
        <v>296</v>
      </c>
      <c r="B18" s="132" t="s">
        <v>302</v>
      </c>
      <c r="C18" s="133" t="s">
        <v>301</v>
      </c>
      <c r="D18" s="133" t="s">
        <v>300</v>
      </c>
      <c r="E18" s="134" t="s">
        <v>248</v>
      </c>
      <c r="F18" s="135" t="s">
        <v>248</v>
      </c>
      <c r="G18" s="135" t="s">
        <v>159</v>
      </c>
      <c r="H18" s="134" t="s">
        <v>248</v>
      </c>
      <c r="I18" s="135" t="s">
        <v>248</v>
      </c>
      <c r="J18" s="135" t="s">
        <v>159</v>
      </c>
      <c r="K18" s="134" t="s">
        <v>248</v>
      </c>
      <c r="L18" s="135" t="s">
        <v>248</v>
      </c>
      <c r="M18" s="135" t="s">
        <v>159</v>
      </c>
      <c r="N18" s="134" t="s">
        <v>248</v>
      </c>
      <c r="O18" s="135" t="s">
        <v>248</v>
      </c>
      <c r="P18" s="135" t="s">
        <v>159</v>
      </c>
      <c r="Q18" s="133" t="s">
        <v>299</v>
      </c>
      <c r="R18" s="133" t="s">
        <v>298</v>
      </c>
      <c r="S18" s="133" t="s">
        <v>297</v>
      </c>
      <c r="T18" s="134" t="s">
        <v>248</v>
      </c>
      <c r="U18" s="135" t="s">
        <v>248</v>
      </c>
      <c r="V18" s="135" t="s">
        <v>159</v>
      </c>
      <c r="W18" s="134" t="s">
        <v>248</v>
      </c>
      <c r="X18" s="135" t="s">
        <v>248</v>
      </c>
      <c r="Y18" s="135" t="s">
        <v>159</v>
      </c>
      <c r="Z18" s="134" t="s">
        <v>248</v>
      </c>
      <c r="AA18" s="135" t="s">
        <v>248</v>
      </c>
      <c r="AB18" s="135" t="s">
        <v>159</v>
      </c>
      <c r="AC18" s="134" t="s">
        <v>248</v>
      </c>
      <c r="AD18" s="135" t="s">
        <v>248</v>
      </c>
      <c r="AE18" s="135" t="s">
        <v>159</v>
      </c>
    </row>
    <row r="19" spans="1:31" s="136" customFormat="1" ht="12.75" customHeight="1" x14ac:dyDescent="0.35">
      <c r="A19" s="137" t="s">
        <v>270</v>
      </c>
      <c r="B19" s="134" t="s">
        <v>248</v>
      </c>
      <c r="C19" s="135" t="s">
        <v>248</v>
      </c>
      <c r="D19" s="135" t="s">
        <v>159</v>
      </c>
      <c r="E19" s="134" t="s">
        <v>248</v>
      </c>
      <c r="F19" s="135" t="s">
        <v>248</v>
      </c>
      <c r="G19" s="135" t="s">
        <v>159</v>
      </c>
      <c r="H19" s="134" t="s">
        <v>248</v>
      </c>
      <c r="I19" s="135" t="s">
        <v>248</v>
      </c>
      <c r="J19" s="135" t="s">
        <v>159</v>
      </c>
      <c r="K19" s="134" t="s">
        <v>248</v>
      </c>
      <c r="L19" s="135" t="s">
        <v>248</v>
      </c>
      <c r="M19" s="135" t="s">
        <v>159</v>
      </c>
      <c r="N19" s="134" t="s">
        <v>248</v>
      </c>
      <c r="O19" s="135" t="s">
        <v>248</v>
      </c>
      <c r="P19" s="135" t="s">
        <v>159</v>
      </c>
      <c r="Q19" s="135" t="s">
        <v>248</v>
      </c>
      <c r="R19" s="135" t="s">
        <v>248</v>
      </c>
      <c r="S19" s="135" t="s">
        <v>159</v>
      </c>
      <c r="T19" s="132" t="s">
        <v>295</v>
      </c>
      <c r="U19" s="133" t="s">
        <v>294</v>
      </c>
      <c r="V19" s="133" t="s">
        <v>293</v>
      </c>
      <c r="W19" s="134" t="s">
        <v>292</v>
      </c>
      <c r="X19" s="135" t="s">
        <v>291</v>
      </c>
      <c r="Y19" s="135" t="s">
        <v>290</v>
      </c>
      <c r="Z19" s="134" t="s">
        <v>289</v>
      </c>
      <c r="AA19" s="135" t="s">
        <v>288</v>
      </c>
      <c r="AB19" s="135" t="s">
        <v>287</v>
      </c>
      <c r="AC19" s="134" t="s">
        <v>288</v>
      </c>
      <c r="AD19" s="135" t="s">
        <v>287</v>
      </c>
      <c r="AE19" s="135" t="s">
        <v>286</v>
      </c>
    </row>
    <row r="20" spans="1:31" s="136" customFormat="1" ht="12.75" customHeight="1" x14ac:dyDescent="0.35">
      <c r="A20" s="138" t="s">
        <v>262</v>
      </c>
      <c r="B20" s="139" t="s">
        <v>285</v>
      </c>
      <c r="C20" s="140" t="s">
        <v>284</v>
      </c>
      <c r="D20" s="140" t="s">
        <v>283</v>
      </c>
      <c r="E20" s="139" t="s">
        <v>282</v>
      </c>
      <c r="F20" s="140" t="s">
        <v>281</v>
      </c>
      <c r="G20" s="140" t="s">
        <v>280</v>
      </c>
      <c r="H20" s="139" t="s">
        <v>279</v>
      </c>
      <c r="I20" s="140" t="s">
        <v>278</v>
      </c>
      <c r="J20" s="140" t="s">
        <v>277</v>
      </c>
      <c r="K20" s="139" t="s">
        <v>276</v>
      </c>
      <c r="L20" s="140" t="s">
        <v>275</v>
      </c>
      <c r="M20" s="140" t="s">
        <v>274</v>
      </c>
      <c r="N20" s="139" t="s">
        <v>273</v>
      </c>
      <c r="O20" s="140" t="s">
        <v>272</v>
      </c>
      <c r="P20" s="140" t="s">
        <v>271</v>
      </c>
      <c r="Q20" s="140" t="s">
        <v>248</v>
      </c>
      <c r="R20" s="140" t="s">
        <v>248</v>
      </c>
      <c r="S20" s="140" t="s">
        <v>248</v>
      </c>
      <c r="T20" s="139" t="s">
        <v>269</v>
      </c>
      <c r="U20" s="140" t="s">
        <v>268</v>
      </c>
      <c r="V20" s="140" t="s">
        <v>267</v>
      </c>
      <c r="W20" s="139" t="s">
        <v>266</v>
      </c>
      <c r="X20" s="140" t="s">
        <v>265</v>
      </c>
      <c r="Y20" s="140" t="s">
        <v>264</v>
      </c>
      <c r="Z20" s="139" t="s">
        <v>263</v>
      </c>
      <c r="AA20" s="140" t="s">
        <v>261</v>
      </c>
      <c r="AB20" s="140" t="s">
        <v>260</v>
      </c>
      <c r="AC20" s="139" t="s">
        <v>261</v>
      </c>
      <c r="AD20" s="140" t="s">
        <v>260</v>
      </c>
      <c r="AE20" s="140" t="s">
        <v>259</v>
      </c>
    </row>
  </sheetData>
  <conditionalFormatting sqref="A1:AE15">
    <cfRule type="expression" dxfId="0" priority="1">
      <formula>ISNUMBER(A1)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12</vt:i4>
      </vt:variant>
    </vt:vector>
  </HeadingPairs>
  <TitlesOfParts>
    <vt:vector size="22" baseType="lpstr">
      <vt:lpstr>Values</vt:lpstr>
      <vt:lpstr>ALL</vt:lpstr>
      <vt:lpstr>FLUID</vt:lpstr>
      <vt:lpstr>SOLID</vt:lpstr>
      <vt:lpstr>EVALUATION</vt:lpstr>
      <vt:lpstr>data</vt:lpstr>
      <vt:lpstr>Solid (2)</vt:lpstr>
      <vt:lpstr>Fluid (2)</vt:lpstr>
      <vt:lpstr>All (2)</vt:lpstr>
      <vt:lpstr>All2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2021-03-21T14:53:10Z</dcterms:modified>
</cp:coreProperties>
</file>