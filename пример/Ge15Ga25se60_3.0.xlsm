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Ge15Ga25Se60=A\"/>
    </mc:Choice>
  </mc:AlternateContent>
  <xr:revisionPtr revIDLastSave="0" documentId="13_ncr:1_{FD113A3A-69B9-44DE-AFBE-B420B13EAD67}" xr6:coauthVersionLast="46" xr6:coauthVersionMax="46" xr10:uidLastSave="{00000000-0000-0000-0000-000000000000}"/>
  <bookViews>
    <workbookView xWindow="28680" yWindow="-120" windowWidth="29040" windowHeight="15990" activeTab="1" xr2:uid="{0302BE19-1FF7-41F7-880F-6539212B9FEB}"/>
  </bookViews>
  <sheets>
    <sheet name="Values" sheetId="2" r:id="rId1"/>
    <sheet name="ALL" sheetId="4" r:id="rId2"/>
    <sheet name="FLUID" sheetId="10" r:id="rId3"/>
    <sheet name="SOLID" sheetId="9" r:id="rId4"/>
    <sheet name="EVALUATION" sheetId="8" r:id="rId5"/>
    <sheet name="data" sheetId="7" r:id="rId6"/>
  </sheets>
  <functionGroups builtInGroupCount="19"/>
  <definedNames>
    <definedName name="H.Ar" localSheetId="1">ALL!$F$34:$AL$34</definedName>
    <definedName name="H.Ar" localSheetId="2">FLUID!$F$34:$AL$34</definedName>
    <definedName name="H.Ar" localSheetId="3">SOLID!$F$34:$AL$34</definedName>
    <definedName name="H.Ga" localSheetId="1">ALL!$F$35:$AL$35</definedName>
    <definedName name="H.Ga" localSheetId="2">FLUID!$F$35:$AL$35</definedName>
    <definedName name="H.Ga" localSheetId="3">SOLID!$F$35:$AL$35</definedName>
    <definedName name="H.Ge" localSheetId="1">ALL!$F$36:$AL$36</definedName>
    <definedName name="H.Ge" localSheetId="2">FLUID!$F$36:$AL$36</definedName>
    <definedName name="H.Ge" localSheetId="3">SOLID!$F$36:$AL$36</definedName>
    <definedName name="H.Se" localSheetId="1">ALL!$F$37:$AL$37</definedName>
    <definedName name="H.Se" localSheetId="2">FLUID!$F$37:$AL$37</definedName>
    <definedName name="H.Se" localSheetId="3">SOLID!$F$37:$AL$37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8" i="8" l="1"/>
  <c r="A99" i="8" s="1"/>
  <c r="B98" i="8"/>
  <c r="E34" i="10" l="1"/>
  <c r="D35" i="9"/>
  <c r="D36" i="9"/>
  <c r="D37" i="9"/>
  <c r="D34" i="9"/>
  <c r="D35" i="4"/>
  <c r="D36" i="4"/>
  <c r="D37" i="4"/>
  <c r="D34" i="4"/>
  <c r="D35" i="10"/>
  <c r="D36" i="10"/>
  <c r="D37" i="10"/>
  <c r="A22" i="7"/>
  <c r="A51" i="8" l="1"/>
  <c r="A54" i="8"/>
  <c r="A55" i="8"/>
  <c r="A56" i="8"/>
  <c r="A57" i="8"/>
  <c r="A58" i="8"/>
  <c r="A59" i="8"/>
  <c r="A60" i="8"/>
  <c r="A61" i="8"/>
  <c r="A62" i="8"/>
  <c r="A63" i="8"/>
  <c r="A64" i="8"/>
  <c r="B64" i="8"/>
  <c r="AI34" i="8"/>
  <c r="AI35" i="8"/>
  <c r="AI36" i="8"/>
  <c r="AI37" i="8"/>
  <c r="AI38" i="8"/>
  <c r="AI39" i="8"/>
  <c r="AI40" i="8"/>
  <c r="AI41" i="8"/>
  <c r="AI42" i="8"/>
  <c r="AI43" i="8"/>
  <c r="AI44" i="8"/>
  <c r="AI45" i="8"/>
  <c r="AI46" i="8"/>
  <c r="AI47" i="8"/>
  <c r="AI48" i="8"/>
  <c r="AI49" i="8"/>
  <c r="AI50" i="8"/>
  <c r="AI51" i="8"/>
  <c r="AI52" i="8"/>
  <c r="AI53" i="8"/>
  <c r="AI54" i="8"/>
  <c r="AI55" i="8"/>
  <c r="AI56" i="8"/>
  <c r="AI57" i="8"/>
  <c r="AI58" i="8"/>
  <c r="AI59" i="8"/>
  <c r="AI60" i="8"/>
  <c r="AI61" i="8"/>
  <c r="AI62" i="8"/>
  <c r="AI63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23" i="8"/>
  <c r="A24" i="8"/>
  <c r="A25" i="8"/>
  <c r="A26" i="8"/>
  <c r="A27" i="8"/>
  <c r="A28" i="8"/>
  <c r="A29" i="8"/>
  <c r="A30" i="8"/>
  <c r="A31" i="8"/>
  <c r="A32" i="8"/>
  <c r="B32" i="8"/>
  <c r="AI2" i="8"/>
  <c r="AI3" i="8"/>
  <c r="AI4" i="8"/>
  <c r="AI5" i="8"/>
  <c r="AI6" i="8"/>
  <c r="AI7" i="8"/>
  <c r="AI8" i="8"/>
  <c r="AI9" i="8"/>
  <c r="AI10" i="8"/>
  <c r="AI11" i="8"/>
  <c r="AI12" i="8"/>
  <c r="AI13" i="8"/>
  <c r="AI14" i="8"/>
  <c r="AI15" i="8"/>
  <c r="AI16" i="8"/>
  <c r="AI17" i="8"/>
  <c r="AI18" i="8"/>
  <c r="AI19" i="8"/>
  <c r="AI20" i="8"/>
  <c r="AI21" i="8"/>
  <c r="AI22" i="8"/>
  <c r="AI23" i="8"/>
  <c r="AI24" i="8"/>
  <c r="AI25" i="8"/>
  <c r="AI26" i="8"/>
  <c r="AI27" i="8"/>
  <c r="AI28" i="8"/>
  <c r="AI29" i="8"/>
  <c r="AI30" i="8"/>
  <c r="AI31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F145" i="10"/>
  <c r="F146" i="10" s="1"/>
  <c r="E145" i="10"/>
  <c r="E146" i="10" s="1"/>
  <c r="D145" i="10"/>
  <c r="D146" i="10" s="1"/>
  <c r="C145" i="10"/>
  <c r="C146" i="10" s="1"/>
  <c r="C118" i="10"/>
  <c r="AL117" i="10"/>
  <c r="AK117" i="10"/>
  <c r="AJ117" i="10"/>
  <c r="AI117" i="10"/>
  <c r="AH117" i="10"/>
  <c r="AG117" i="10"/>
  <c r="AF117" i="10"/>
  <c r="AE117" i="10"/>
  <c r="AD117" i="10"/>
  <c r="AC117" i="10"/>
  <c r="AB117" i="10"/>
  <c r="AA117" i="10"/>
  <c r="Z117" i="10"/>
  <c r="Y117" i="10"/>
  <c r="X117" i="10"/>
  <c r="W117" i="10"/>
  <c r="V117" i="10"/>
  <c r="U117" i="10"/>
  <c r="T117" i="10"/>
  <c r="S117" i="10"/>
  <c r="R117" i="10"/>
  <c r="Q117" i="10"/>
  <c r="P117" i="10"/>
  <c r="O117" i="10"/>
  <c r="N117" i="10"/>
  <c r="M117" i="10"/>
  <c r="L117" i="10"/>
  <c r="K117" i="10"/>
  <c r="J117" i="10"/>
  <c r="I117" i="10"/>
  <c r="H117" i="10"/>
  <c r="G117" i="10"/>
  <c r="F117" i="10"/>
  <c r="AL83" i="10"/>
  <c r="AK83" i="10"/>
  <c r="AJ83" i="10"/>
  <c r="AI83" i="10"/>
  <c r="AH83" i="10"/>
  <c r="AG83" i="10"/>
  <c r="AF83" i="10"/>
  <c r="AE83" i="10"/>
  <c r="AD83" i="10"/>
  <c r="AC83" i="10"/>
  <c r="AB83" i="10"/>
  <c r="AA83" i="10"/>
  <c r="Z83" i="10"/>
  <c r="Y83" i="10"/>
  <c r="X83" i="10"/>
  <c r="W83" i="10"/>
  <c r="V83" i="10"/>
  <c r="U83" i="10"/>
  <c r="T83" i="10"/>
  <c r="S83" i="10"/>
  <c r="R83" i="10"/>
  <c r="Q83" i="10"/>
  <c r="P83" i="10"/>
  <c r="O83" i="10"/>
  <c r="N83" i="10"/>
  <c r="M83" i="10"/>
  <c r="L83" i="10"/>
  <c r="K83" i="10"/>
  <c r="J83" i="10"/>
  <c r="I83" i="10"/>
  <c r="H83" i="10"/>
  <c r="G83" i="10"/>
  <c r="F83" i="10"/>
  <c r="E79" i="10"/>
  <c r="E113" i="10" s="1"/>
  <c r="E78" i="10"/>
  <c r="E112" i="10" s="1"/>
  <c r="E77" i="10"/>
  <c r="E111" i="10" s="1"/>
  <c r="E76" i="10"/>
  <c r="E110" i="10" s="1"/>
  <c r="E75" i="10"/>
  <c r="E109" i="10" s="1"/>
  <c r="E74" i="10"/>
  <c r="E108" i="10" s="1"/>
  <c r="E73" i="10"/>
  <c r="E107" i="10" s="1"/>
  <c r="E72" i="10"/>
  <c r="E106" i="10" s="1"/>
  <c r="E71" i="10"/>
  <c r="E105" i="10" s="1"/>
  <c r="E70" i="10"/>
  <c r="E104" i="10" s="1"/>
  <c r="E69" i="10"/>
  <c r="E103" i="10" s="1"/>
  <c r="E68" i="10"/>
  <c r="E102" i="10" s="1"/>
  <c r="E67" i="10"/>
  <c r="E101" i="10" s="1"/>
  <c r="E66" i="10"/>
  <c r="E100" i="10" s="1"/>
  <c r="E65" i="10"/>
  <c r="E99" i="10" s="1"/>
  <c r="E64" i="10"/>
  <c r="E98" i="10" s="1"/>
  <c r="E63" i="10"/>
  <c r="E97" i="10" s="1"/>
  <c r="E62" i="10"/>
  <c r="E96" i="10" s="1"/>
  <c r="E61" i="10"/>
  <c r="E95" i="10" s="1"/>
  <c r="E60" i="10"/>
  <c r="E94" i="10" s="1"/>
  <c r="E59" i="10"/>
  <c r="E93" i="10" s="1"/>
  <c r="E58" i="10"/>
  <c r="E92" i="10" s="1"/>
  <c r="E57" i="10"/>
  <c r="E91" i="10" s="1"/>
  <c r="E56" i="10"/>
  <c r="E90" i="10" s="1"/>
  <c r="E55" i="10"/>
  <c r="E89" i="10" s="1"/>
  <c r="E54" i="10"/>
  <c r="E88" i="10" s="1"/>
  <c r="E53" i="10"/>
  <c r="E87" i="10" s="1"/>
  <c r="E52" i="10"/>
  <c r="E86" i="10" s="1"/>
  <c r="E51" i="10"/>
  <c r="E85" i="10" s="1"/>
  <c r="E50" i="10"/>
  <c r="E84" i="10" s="1"/>
  <c r="AL49" i="10"/>
  <c r="AH2" i="8" s="1"/>
  <c r="AK49" i="10"/>
  <c r="AG2" i="8" s="1"/>
  <c r="AJ49" i="10"/>
  <c r="AF2" i="8" s="1"/>
  <c r="AI49" i="10"/>
  <c r="AE2" i="8" s="1"/>
  <c r="AH49" i="10"/>
  <c r="AD2" i="8" s="1"/>
  <c r="AG49" i="10"/>
  <c r="AC2" i="8" s="1"/>
  <c r="AF49" i="10"/>
  <c r="AB2" i="8" s="1"/>
  <c r="AE49" i="10"/>
  <c r="AA2" i="8" s="1"/>
  <c r="AD49" i="10"/>
  <c r="Z2" i="8" s="1"/>
  <c r="AC49" i="10"/>
  <c r="Y2" i="8" s="1"/>
  <c r="AB49" i="10"/>
  <c r="X2" i="8" s="1"/>
  <c r="AA49" i="10"/>
  <c r="W2" i="8" s="1"/>
  <c r="Z49" i="10"/>
  <c r="V2" i="8" s="1"/>
  <c r="Y49" i="10"/>
  <c r="U2" i="8" s="1"/>
  <c r="X49" i="10"/>
  <c r="T2" i="8" s="1"/>
  <c r="W49" i="10"/>
  <c r="S2" i="8" s="1"/>
  <c r="V49" i="10"/>
  <c r="R2" i="8" s="1"/>
  <c r="U49" i="10"/>
  <c r="Q2" i="8" s="1"/>
  <c r="T49" i="10"/>
  <c r="P2" i="8" s="1"/>
  <c r="S49" i="10"/>
  <c r="O2" i="8" s="1"/>
  <c r="R49" i="10"/>
  <c r="N2" i="8" s="1"/>
  <c r="Q49" i="10"/>
  <c r="M2" i="8" s="1"/>
  <c r="P49" i="10"/>
  <c r="L2" i="8" s="1"/>
  <c r="O49" i="10"/>
  <c r="K2" i="8" s="1"/>
  <c r="N49" i="10"/>
  <c r="J2" i="8" s="1"/>
  <c r="M49" i="10"/>
  <c r="I2" i="8" s="1"/>
  <c r="L49" i="10"/>
  <c r="H2" i="8" s="1"/>
  <c r="K49" i="10"/>
  <c r="G2" i="8" s="1"/>
  <c r="J49" i="10"/>
  <c r="F2" i="8" s="1"/>
  <c r="I49" i="10"/>
  <c r="E2" i="8" s="1"/>
  <c r="H49" i="10"/>
  <c r="D2" i="8" s="1"/>
  <c r="G49" i="10"/>
  <c r="C2" i="8" s="1"/>
  <c r="F49" i="10"/>
  <c r="B2" i="8" s="1"/>
  <c r="E49" i="10"/>
  <c r="E83" i="10" s="1"/>
  <c r="A45" i="10"/>
  <c r="A45" i="10" a="1"/>
  <c r="D45" i="10" s="1"/>
  <c r="AL40" i="10"/>
  <c r="AK40" i="10"/>
  <c r="AJ40" i="10"/>
  <c r="AI40" i="10"/>
  <c r="AH40" i="10"/>
  <c r="AG40" i="10"/>
  <c r="AF40" i="10"/>
  <c r="AE40" i="10"/>
  <c r="AD40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P40" i="10"/>
  <c r="O40" i="10"/>
  <c r="N40" i="10"/>
  <c r="M40" i="10"/>
  <c r="L40" i="10"/>
  <c r="K40" i="10"/>
  <c r="J40" i="10"/>
  <c r="I40" i="10"/>
  <c r="H40" i="10"/>
  <c r="G40" i="10"/>
  <c r="F40" i="10"/>
  <c r="AL37" i="10"/>
  <c r="AG36" i="10"/>
  <c r="AJ35" i="10"/>
  <c r="AG34" i="10"/>
  <c r="D33" i="10"/>
  <c r="D79" i="10" s="1"/>
  <c r="D113" i="10" s="1"/>
  <c r="C33" i="10"/>
  <c r="C79" i="10" s="1"/>
  <c r="C113" i="10" s="1"/>
  <c r="B33" i="10"/>
  <c r="B79" i="10" s="1"/>
  <c r="B113" i="10" s="1"/>
  <c r="A33" i="10"/>
  <c r="A79" i="10" s="1"/>
  <c r="A113" i="10" s="1"/>
  <c r="D32" i="10"/>
  <c r="D78" i="10" s="1"/>
  <c r="D112" i="10" s="1"/>
  <c r="C32" i="10"/>
  <c r="C78" i="10" s="1"/>
  <c r="C112" i="10" s="1"/>
  <c r="B32" i="10"/>
  <c r="B78" i="10" s="1"/>
  <c r="B112" i="10" s="1"/>
  <c r="A32" i="10"/>
  <c r="A78" i="10" s="1"/>
  <c r="D31" i="10"/>
  <c r="D77" i="10" s="1"/>
  <c r="D111" i="10" s="1"/>
  <c r="C31" i="10"/>
  <c r="C77" i="10" s="1"/>
  <c r="C111" i="10" s="1"/>
  <c r="B31" i="10"/>
  <c r="B77" i="10" s="1"/>
  <c r="B111" i="10" s="1"/>
  <c r="A31" i="10"/>
  <c r="A77" i="10" s="1"/>
  <c r="D30" i="10"/>
  <c r="D76" i="10" s="1"/>
  <c r="D110" i="10" s="1"/>
  <c r="C30" i="10"/>
  <c r="C76" i="10" s="1"/>
  <c r="C110" i="10" s="1"/>
  <c r="B30" i="10"/>
  <c r="B76" i="10" s="1"/>
  <c r="B110" i="10" s="1"/>
  <c r="A30" i="10"/>
  <c r="A76" i="10" s="1"/>
  <c r="D29" i="10"/>
  <c r="D75" i="10" s="1"/>
  <c r="D109" i="10" s="1"/>
  <c r="C29" i="10"/>
  <c r="C75" i="10" s="1"/>
  <c r="C109" i="10" s="1"/>
  <c r="B29" i="10"/>
  <c r="B75" i="10" s="1"/>
  <c r="B109" i="10" s="1"/>
  <c r="A29" i="10"/>
  <c r="A75" i="10" s="1"/>
  <c r="D28" i="10"/>
  <c r="D74" i="10" s="1"/>
  <c r="D108" i="10" s="1"/>
  <c r="C28" i="10"/>
  <c r="C74" i="10" s="1"/>
  <c r="C108" i="10" s="1"/>
  <c r="B28" i="10"/>
  <c r="B74" i="10" s="1"/>
  <c r="B108" i="10" s="1"/>
  <c r="A28" i="10"/>
  <c r="A74" i="10" s="1"/>
  <c r="D27" i="10"/>
  <c r="D73" i="10" s="1"/>
  <c r="D107" i="10" s="1"/>
  <c r="C27" i="10"/>
  <c r="C73" i="10" s="1"/>
  <c r="C107" i="10" s="1"/>
  <c r="B27" i="10"/>
  <c r="B73" i="10" s="1"/>
  <c r="B107" i="10" s="1"/>
  <c r="A27" i="10"/>
  <c r="A73" i="10" s="1"/>
  <c r="D26" i="10"/>
  <c r="D72" i="10" s="1"/>
  <c r="D106" i="10" s="1"/>
  <c r="C26" i="10"/>
  <c r="C72" i="10" s="1"/>
  <c r="C106" i="10" s="1"/>
  <c r="B26" i="10"/>
  <c r="B72" i="10" s="1"/>
  <c r="B106" i="10" s="1"/>
  <c r="A26" i="10"/>
  <c r="A72" i="10" s="1"/>
  <c r="D25" i="10"/>
  <c r="D71" i="10" s="1"/>
  <c r="D105" i="10" s="1"/>
  <c r="C25" i="10"/>
  <c r="C71" i="10" s="1"/>
  <c r="C105" i="10" s="1"/>
  <c r="B25" i="10"/>
  <c r="B71" i="10" s="1"/>
  <c r="B105" i="10" s="1"/>
  <c r="A25" i="10"/>
  <c r="A71" i="10" s="1"/>
  <c r="D24" i="10"/>
  <c r="D70" i="10" s="1"/>
  <c r="D104" i="10" s="1"/>
  <c r="C24" i="10"/>
  <c r="C70" i="10" s="1"/>
  <c r="C104" i="10" s="1"/>
  <c r="B24" i="10"/>
  <c r="B70" i="10" s="1"/>
  <c r="B104" i="10" s="1"/>
  <c r="A24" i="10"/>
  <c r="A70" i="10" s="1"/>
  <c r="D23" i="10"/>
  <c r="D69" i="10" s="1"/>
  <c r="D103" i="10" s="1"/>
  <c r="C23" i="10"/>
  <c r="C69" i="10" s="1"/>
  <c r="C103" i="10" s="1"/>
  <c r="B23" i="10"/>
  <c r="B69" i="10" s="1"/>
  <c r="B103" i="10" s="1"/>
  <c r="A23" i="10"/>
  <c r="A69" i="10" s="1"/>
  <c r="D22" i="10"/>
  <c r="D68" i="10" s="1"/>
  <c r="D102" i="10" s="1"/>
  <c r="C22" i="10"/>
  <c r="C68" i="10" s="1"/>
  <c r="C102" i="10" s="1"/>
  <c r="B22" i="10"/>
  <c r="B68" i="10" s="1"/>
  <c r="B102" i="10" s="1"/>
  <c r="A22" i="10"/>
  <c r="A68" i="10" s="1"/>
  <c r="D21" i="10"/>
  <c r="D67" i="10" s="1"/>
  <c r="D101" i="10" s="1"/>
  <c r="C21" i="10"/>
  <c r="C67" i="10" s="1"/>
  <c r="C101" i="10" s="1"/>
  <c r="B21" i="10"/>
  <c r="B67" i="10" s="1"/>
  <c r="B101" i="10" s="1"/>
  <c r="A21" i="10"/>
  <c r="A67" i="10" s="1"/>
  <c r="D20" i="10"/>
  <c r="D66" i="10" s="1"/>
  <c r="D100" i="10" s="1"/>
  <c r="C20" i="10"/>
  <c r="C66" i="10" s="1"/>
  <c r="C100" i="10" s="1"/>
  <c r="B20" i="10"/>
  <c r="B66" i="10" s="1"/>
  <c r="B100" i="10" s="1"/>
  <c r="A20" i="10"/>
  <c r="A66" i="10" s="1"/>
  <c r="D19" i="10"/>
  <c r="D65" i="10" s="1"/>
  <c r="D99" i="10" s="1"/>
  <c r="C19" i="10"/>
  <c r="C65" i="10" s="1"/>
  <c r="C99" i="10" s="1"/>
  <c r="B19" i="10"/>
  <c r="B65" i="10" s="1"/>
  <c r="B99" i="10" s="1"/>
  <c r="A19" i="10"/>
  <c r="A65" i="10" s="1"/>
  <c r="D18" i="10"/>
  <c r="D64" i="10" s="1"/>
  <c r="D98" i="10" s="1"/>
  <c r="C18" i="10"/>
  <c r="C64" i="10" s="1"/>
  <c r="C98" i="10" s="1"/>
  <c r="B18" i="10"/>
  <c r="B64" i="10" s="1"/>
  <c r="B98" i="10" s="1"/>
  <c r="A18" i="10"/>
  <c r="A64" i="10" s="1"/>
  <c r="D17" i="10"/>
  <c r="D63" i="10" s="1"/>
  <c r="D97" i="10" s="1"/>
  <c r="C17" i="10"/>
  <c r="C63" i="10" s="1"/>
  <c r="C97" i="10" s="1"/>
  <c r="B17" i="10"/>
  <c r="B63" i="10" s="1"/>
  <c r="B97" i="10" s="1"/>
  <c r="A17" i="10"/>
  <c r="A63" i="10" s="1"/>
  <c r="D16" i="10"/>
  <c r="D62" i="10" s="1"/>
  <c r="D96" i="10" s="1"/>
  <c r="C16" i="10"/>
  <c r="C62" i="10" s="1"/>
  <c r="C96" i="10" s="1"/>
  <c r="B16" i="10"/>
  <c r="B62" i="10" s="1"/>
  <c r="B96" i="10" s="1"/>
  <c r="A16" i="10"/>
  <c r="A62" i="10" s="1"/>
  <c r="D15" i="10"/>
  <c r="D61" i="10" s="1"/>
  <c r="D95" i="10" s="1"/>
  <c r="C15" i="10"/>
  <c r="C61" i="10" s="1"/>
  <c r="C95" i="10" s="1"/>
  <c r="B15" i="10"/>
  <c r="B61" i="10" s="1"/>
  <c r="B95" i="10" s="1"/>
  <c r="A15" i="10"/>
  <c r="A61" i="10" s="1"/>
  <c r="D14" i="10"/>
  <c r="D60" i="10" s="1"/>
  <c r="D94" i="10" s="1"/>
  <c r="C14" i="10"/>
  <c r="C60" i="10" s="1"/>
  <c r="C94" i="10" s="1"/>
  <c r="B14" i="10"/>
  <c r="B60" i="10" s="1"/>
  <c r="B94" i="10" s="1"/>
  <c r="A14" i="10"/>
  <c r="A60" i="10" s="1"/>
  <c r="D13" i="10"/>
  <c r="D59" i="10" s="1"/>
  <c r="D93" i="10" s="1"/>
  <c r="C13" i="10"/>
  <c r="C59" i="10" s="1"/>
  <c r="C93" i="10" s="1"/>
  <c r="B13" i="10"/>
  <c r="B59" i="10" s="1"/>
  <c r="B93" i="10" s="1"/>
  <c r="A13" i="10"/>
  <c r="A59" i="10" s="1"/>
  <c r="D12" i="10"/>
  <c r="D58" i="10" s="1"/>
  <c r="D92" i="10" s="1"/>
  <c r="C12" i="10"/>
  <c r="C58" i="10" s="1"/>
  <c r="C92" i="10" s="1"/>
  <c r="B12" i="10"/>
  <c r="B58" i="10" s="1"/>
  <c r="B92" i="10" s="1"/>
  <c r="A12" i="10"/>
  <c r="A58" i="10" s="1"/>
  <c r="D11" i="10"/>
  <c r="D57" i="10" s="1"/>
  <c r="D91" i="10" s="1"/>
  <c r="C11" i="10"/>
  <c r="C57" i="10" s="1"/>
  <c r="C91" i="10" s="1"/>
  <c r="B11" i="10"/>
  <c r="B57" i="10" s="1"/>
  <c r="B91" i="10" s="1"/>
  <c r="A11" i="10"/>
  <c r="A57" i="10" s="1"/>
  <c r="D10" i="10"/>
  <c r="D56" i="10" s="1"/>
  <c r="D90" i="10" s="1"/>
  <c r="C10" i="10"/>
  <c r="C56" i="10" s="1"/>
  <c r="C90" i="10" s="1"/>
  <c r="B10" i="10"/>
  <c r="B56" i="10" s="1"/>
  <c r="B90" i="10" s="1"/>
  <c r="A10" i="10"/>
  <c r="A56" i="10" s="1"/>
  <c r="D9" i="10"/>
  <c r="D55" i="10" s="1"/>
  <c r="D89" i="10" s="1"/>
  <c r="C9" i="10"/>
  <c r="C55" i="10" s="1"/>
  <c r="C89" i="10" s="1"/>
  <c r="B9" i="10"/>
  <c r="B55" i="10" s="1"/>
  <c r="B89" i="10" s="1"/>
  <c r="A9" i="10"/>
  <c r="A55" i="10" s="1"/>
  <c r="D8" i="10"/>
  <c r="D54" i="10" s="1"/>
  <c r="D88" i="10" s="1"/>
  <c r="C8" i="10"/>
  <c r="C54" i="10" s="1"/>
  <c r="C88" i="10" s="1"/>
  <c r="B8" i="10"/>
  <c r="B54" i="10" s="1"/>
  <c r="B88" i="10" s="1"/>
  <c r="A8" i="10"/>
  <c r="A54" i="10" s="1"/>
  <c r="D7" i="10"/>
  <c r="D53" i="10" s="1"/>
  <c r="D87" i="10" s="1"/>
  <c r="C7" i="10"/>
  <c r="C53" i="10" s="1"/>
  <c r="C87" i="10" s="1"/>
  <c r="B7" i="10"/>
  <c r="B53" i="10" s="1"/>
  <c r="B87" i="10" s="1"/>
  <c r="A7" i="10"/>
  <c r="A53" i="10" s="1"/>
  <c r="A87" i="10" s="1"/>
  <c r="D6" i="10"/>
  <c r="D52" i="10" s="1"/>
  <c r="D86" i="10" s="1"/>
  <c r="C6" i="10"/>
  <c r="C52" i="10" s="1"/>
  <c r="C86" i="10" s="1"/>
  <c r="B6" i="10"/>
  <c r="B52" i="10" s="1"/>
  <c r="B86" i="10" s="1"/>
  <c r="A6" i="10"/>
  <c r="A52" i="10" s="1"/>
  <c r="D5" i="10"/>
  <c r="D51" i="10" s="1"/>
  <c r="D85" i="10" s="1"/>
  <c r="C5" i="10"/>
  <c r="C51" i="10" s="1"/>
  <c r="C85" i="10" s="1"/>
  <c r="B5" i="10"/>
  <c r="B51" i="10" s="1"/>
  <c r="B85" i="10" s="1"/>
  <c r="A5" i="10"/>
  <c r="A51" i="10" s="1"/>
  <c r="D4" i="10"/>
  <c r="D50" i="10" s="1"/>
  <c r="D84" i="10" s="1"/>
  <c r="C4" i="10"/>
  <c r="C50" i="10" s="1"/>
  <c r="C84" i="10" s="1"/>
  <c r="B4" i="10"/>
  <c r="B50" i="10" s="1"/>
  <c r="B84" i="10" s="1"/>
  <c r="A4" i="10"/>
  <c r="A50" i="10" s="1"/>
  <c r="A2" i="10"/>
  <c r="A118" i="10" s="1"/>
  <c r="A119" i="10" s="1"/>
  <c r="F145" i="9"/>
  <c r="F146" i="9" s="1"/>
  <c r="E145" i="9"/>
  <c r="E146" i="9" s="1"/>
  <c r="D145" i="9"/>
  <c r="D146" i="9" s="1"/>
  <c r="C145" i="9"/>
  <c r="C146" i="9" s="1"/>
  <c r="C118" i="9"/>
  <c r="AL117" i="9"/>
  <c r="AK117" i="9"/>
  <c r="AJ117" i="9"/>
  <c r="AI117" i="9"/>
  <c r="AH117" i="9"/>
  <c r="AG117" i="9"/>
  <c r="AF117" i="9"/>
  <c r="AE117" i="9"/>
  <c r="AD117" i="9"/>
  <c r="AC117" i="9"/>
  <c r="AB117" i="9"/>
  <c r="AA117" i="9"/>
  <c r="Z117" i="9"/>
  <c r="Y117" i="9"/>
  <c r="X117" i="9"/>
  <c r="W117" i="9"/>
  <c r="V117" i="9"/>
  <c r="U117" i="9"/>
  <c r="T117" i="9"/>
  <c r="S117" i="9"/>
  <c r="R117" i="9"/>
  <c r="Q117" i="9"/>
  <c r="P117" i="9"/>
  <c r="O117" i="9"/>
  <c r="N117" i="9"/>
  <c r="M117" i="9"/>
  <c r="L117" i="9"/>
  <c r="K117" i="9"/>
  <c r="J117" i="9"/>
  <c r="I117" i="9"/>
  <c r="H117" i="9"/>
  <c r="G117" i="9"/>
  <c r="F117" i="9"/>
  <c r="B110" i="9"/>
  <c r="AL83" i="9"/>
  <c r="AK83" i="9"/>
  <c r="AJ83" i="9"/>
  <c r="AI83" i="9"/>
  <c r="AH83" i="9"/>
  <c r="AG83" i="9"/>
  <c r="AF83" i="9"/>
  <c r="AE83" i="9"/>
  <c r="AD83" i="9"/>
  <c r="AC83" i="9"/>
  <c r="AB83" i="9"/>
  <c r="AA83" i="9"/>
  <c r="Z83" i="9"/>
  <c r="Y83" i="9"/>
  <c r="X83" i="9"/>
  <c r="W83" i="9"/>
  <c r="V83" i="9"/>
  <c r="U83" i="9"/>
  <c r="T83" i="9"/>
  <c r="S83" i="9"/>
  <c r="R83" i="9"/>
  <c r="Q83" i="9"/>
  <c r="P83" i="9"/>
  <c r="O83" i="9"/>
  <c r="N83" i="9"/>
  <c r="M83" i="9"/>
  <c r="L83" i="9"/>
  <c r="K83" i="9"/>
  <c r="J83" i="9"/>
  <c r="I83" i="9"/>
  <c r="H83" i="9"/>
  <c r="G83" i="9"/>
  <c r="F83" i="9"/>
  <c r="E79" i="9"/>
  <c r="E113" i="9" s="1"/>
  <c r="E78" i="9"/>
  <c r="E112" i="9" s="1"/>
  <c r="E77" i="9"/>
  <c r="E111" i="9" s="1"/>
  <c r="E76" i="9"/>
  <c r="E110" i="9" s="1"/>
  <c r="E75" i="9"/>
  <c r="E109" i="9" s="1"/>
  <c r="E74" i="9"/>
  <c r="E108" i="9" s="1"/>
  <c r="E73" i="9"/>
  <c r="E107" i="9" s="1"/>
  <c r="E72" i="9"/>
  <c r="E106" i="9" s="1"/>
  <c r="E71" i="9"/>
  <c r="E105" i="9" s="1"/>
  <c r="E70" i="9"/>
  <c r="E104" i="9" s="1"/>
  <c r="E69" i="9"/>
  <c r="E103" i="9" s="1"/>
  <c r="E68" i="9"/>
  <c r="E102" i="9" s="1"/>
  <c r="E67" i="9"/>
  <c r="E101" i="9" s="1"/>
  <c r="E66" i="9"/>
  <c r="E100" i="9" s="1"/>
  <c r="E65" i="9"/>
  <c r="E99" i="9" s="1"/>
  <c r="E64" i="9"/>
  <c r="E98" i="9" s="1"/>
  <c r="E63" i="9"/>
  <c r="E97" i="9" s="1"/>
  <c r="E62" i="9"/>
  <c r="E96" i="9" s="1"/>
  <c r="E61" i="9"/>
  <c r="E95" i="9" s="1"/>
  <c r="E60" i="9"/>
  <c r="E94" i="9" s="1"/>
  <c r="E59" i="9"/>
  <c r="E93" i="9" s="1"/>
  <c r="E58" i="9"/>
  <c r="E92" i="9" s="1"/>
  <c r="E57" i="9"/>
  <c r="E91" i="9" s="1"/>
  <c r="E56" i="9"/>
  <c r="E90" i="9" s="1"/>
  <c r="E55" i="9"/>
  <c r="E89" i="9" s="1"/>
  <c r="E54" i="9"/>
  <c r="E88" i="9" s="1"/>
  <c r="E53" i="9"/>
  <c r="E87" i="9" s="1"/>
  <c r="E52" i="9"/>
  <c r="E86" i="9" s="1"/>
  <c r="E51" i="9"/>
  <c r="E85" i="9" s="1"/>
  <c r="E50" i="9"/>
  <c r="E84" i="9" s="1"/>
  <c r="AL49" i="9"/>
  <c r="AH34" i="8" s="1"/>
  <c r="AK49" i="9"/>
  <c r="AG34" i="8" s="1"/>
  <c r="AJ49" i="9"/>
  <c r="AF34" i="8" s="1"/>
  <c r="AI49" i="9"/>
  <c r="AE34" i="8" s="1"/>
  <c r="AH49" i="9"/>
  <c r="AD34" i="8" s="1"/>
  <c r="AG49" i="9"/>
  <c r="AC34" i="8" s="1"/>
  <c r="AF49" i="9"/>
  <c r="AB34" i="8" s="1"/>
  <c r="AE49" i="9"/>
  <c r="AA34" i="8" s="1"/>
  <c r="AD49" i="9"/>
  <c r="Z34" i="8" s="1"/>
  <c r="AC49" i="9"/>
  <c r="Y34" i="8" s="1"/>
  <c r="AB49" i="9"/>
  <c r="X34" i="8" s="1"/>
  <c r="AA49" i="9"/>
  <c r="W34" i="8" s="1"/>
  <c r="Z49" i="9"/>
  <c r="V34" i="8" s="1"/>
  <c r="Y49" i="9"/>
  <c r="U34" i="8" s="1"/>
  <c r="X49" i="9"/>
  <c r="T34" i="8" s="1"/>
  <c r="W49" i="9"/>
  <c r="S34" i="8" s="1"/>
  <c r="V49" i="9"/>
  <c r="R34" i="8" s="1"/>
  <c r="U49" i="9"/>
  <c r="Q34" i="8" s="1"/>
  <c r="T49" i="9"/>
  <c r="P34" i="8" s="1"/>
  <c r="S49" i="9"/>
  <c r="O34" i="8" s="1"/>
  <c r="R49" i="9"/>
  <c r="N34" i="8" s="1"/>
  <c r="Q49" i="9"/>
  <c r="M34" i="8" s="1"/>
  <c r="P49" i="9"/>
  <c r="L34" i="8" s="1"/>
  <c r="O49" i="9"/>
  <c r="K34" i="8" s="1"/>
  <c r="N49" i="9"/>
  <c r="J34" i="8" s="1"/>
  <c r="M49" i="9"/>
  <c r="I34" i="8" s="1"/>
  <c r="L49" i="9"/>
  <c r="H34" i="8" s="1"/>
  <c r="K49" i="9"/>
  <c r="G34" i="8" s="1"/>
  <c r="J49" i="9"/>
  <c r="F34" i="8" s="1"/>
  <c r="I49" i="9"/>
  <c r="E34" i="8" s="1"/>
  <c r="H49" i="9"/>
  <c r="D34" i="8" s="1"/>
  <c r="G49" i="9"/>
  <c r="C34" i="8" s="1"/>
  <c r="F49" i="9"/>
  <c r="B34" i="8" s="1"/>
  <c r="E49" i="9"/>
  <c r="E83" i="9" s="1"/>
  <c r="D45" i="9"/>
  <c r="A45" i="9" a="1"/>
  <c r="C45" i="9" s="1"/>
  <c r="AL40" i="9"/>
  <c r="AK40" i="9"/>
  <c r="AJ40" i="9"/>
  <c r="AI40" i="9"/>
  <c r="AH40" i="9"/>
  <c r="AG40" i="9"/>
  <c r="AF40" i="9"/>
  <c r="AE40" i="9"/>
  <c r="AD40" i="9"/>
  <c r="AC40" i="9"/>
  <c r="AB40" i="9"/>
  <c r="AA40" i="9"/>
  <c r="Z40" i="9"/>
  <c r="Y40" i="9"/>
  <c r="X40" i="9"/>
  <c r="W40" i="9"/>
  <c r="V40" i="9"/>
  <c r="U40" i="9"/>
  <c r="T40" i="9"/>
  <c r="S40" i="9"/>
  <c r="R40" i="9"/>
  <c r="Q40" i="9"/>
  <c r="P40" i="9"/>
  <c r="O40" i="9"/>
  <c r="N40" i="9"/>
  <c r="M40" i="9"/>
  <c r="L40" i="9"/>
  <c r="K40" i="9"/>
  <c r="J40" i="9"/>
  <c r="I40" i="9"/>
  <c r="H40" i="9"/>
  <c r="G40" i="9"/>
  <c r="F40" i="9"/>
  <c r="AH37" i="9"/>
  <c r="AL36" i="9"/>
  <c r="AH35" i="9"/>
  <c r="AC34" i="9"/>
  <c r="D33" i="9"/>
  <c r="D79" i="9" s="1"/>
  <c r="D113" i="9" s="1"/>
  <c r="C33" i="9"/>
  <c r="C79" i="9" s="1"/>
  <c r="C113" i="9" s="1"/>
  <c r="B33" i="9"/>
  <c r="B79" i="9" s="1"/>
  <c r="B113" i="9" s="1"/>
  <c r="A33" i="9"/>
  <c r="A79" i="9" s="1"/>
  <c r="A113" i="9" s="1"/>
  <c r="D32" i="9"/>
  <c r="D78" i="9" s="1"/>
  <c r="D112" i="9" s="1"/>
  <c r="C32" i="9"/>
  <c r="C78" i="9" s="1"/>
  <c r="C112" i="9" s="1"/>
  <c r="B32" i="9"/>
  <c r="B78" i="9" s="1"/>
  <c r="B112" i="9" s="1"/>
  <c r="A32" i="9"/>
  <c r="A78" i="9" s="1"/>
  <c r="D31" i="9"/>
  <c r="D77" i="9" s="1"/>
  <c r="D111" i="9" s="1"/>
  <c r="C31" i="9"/>
  <c r="C77" i="9" s="1"/>
  <c r="C111" i="9" s="1"/>
  <c r="B31" i="9"/>
  <c r="B77" i="9" s="1"/>
  <c r="B111" i="9" s="1"/>
  <c r="A31" i="9"/>
  <c r="A77" i="9" s="1"/>
  <c r="D30" i="9"/>
  <c r="D76" i="9" s="1"/>
  <c r="D110" i="9" s="1"/>
  <c r="C30" i="9"/>
  <c r="C76" i="9" s="1"/>
  <c r="C110" i="9" s="1"/>
  <c r="B30" i="9"/>
  <c r="B76" i="9" s="1"/>
  <c r="A30" i="9"/>
  <c r="A76" i="9" s="1"/>
  <c r="D29" i="9"/>
  <c r="D75" i="9" s="1"/>
  <c r="D109" i="9" s="1"/>
  <c r="C29" i="9"/>
  <c r="C75" i="9" s="1"/>
  <c r="C109" i="9" s="1"/>
  <c r="B29" i="9"/>
  <c r="B75" i="9" s="1"/>
  <c r="B109" i="9" s="1"/>
  <c r="A29" i="9"/>
  <c r="A75" i="9" s="1"/>
  <c r="D28" i="9"/>
  <c r="D74" i="9" s="1"/>
  <c r="D108" i="9" s="1"/>
  <c r="C28" i="9"/>
  <c r="C74" i="9" s="1"/>
  <c r="C108" i="9" s="1"/>
  <c r="B28" i="9"/>
  <c r="B74" i="9" s="1"/>
  <c r="B108" i="9" s="1"/>
  <c r="A28" i="9"/>
  <c r="A74" i="9" s="1"/>
  <c r="D27" i="9"/>
  <c r="D73" i="9" s="1"/>
  <c r="D107" i="9" s="1"/>
  <c r="C27" i="9"/>
  <c r="C73" i="9" s="1"/>
  <c r="C107" i="9" s="1"/>
  <c r="B27" i="9"/>
  <c r="B73" i="9" s="1"/>
  <c r="B107" i="9" s="1"/>
  <c r="A27" i="9"/>
  <c r="A73" i="9" s="1"/>
  <c r="D26" i="9"/>
  <c r="D72" i="9" s="1"/>
  <c r="D106" i="9" s="1"/>
  <c r="C26" i="9"/>
  <c r="C72" i="9" s="1"/>
  <c r="C106" i="9" s="1"/>
  <c r="B26" i="9"/>
  <c r="B72" i="9" s="1"/>
  <c r="B106" i="9" s="1"/>
  <c r="A26" i="9"/>
  <c r="A72" i="9" s="1"/>
  <c r="D25" i="9"/>
  <c r="D71" i="9" s="1"/>
  <c r="D105" i="9" s="1"/>
  <c r="C25" i="9"/>
  <c r="C71" i="9" s="1"/>
  <c r="C105" i="9" s="1"/>
  <c r="B25" i="9"/>
  <c r="B71" i="9" s="1"/>
  <c r="B105" i="9" s="1"/>
  <c r="A25" i="9"/>
  <c r="A71" i="9" s="1"/>
  <c r="D24" i="9"/>
  <c r="D70" i="9" s="1"/>
  <c r="D104" i="9" s="1"/>
  <c r="C24" i="9"/>
  <c r="C70" i="9" s="1"/>
  <c r="C104" i="9" s="1"/>
  <c r="B24" i="9"/>
  <c r="B70" i="9" s="1"/>
  <c r="B104" i="9" s="1"/>
  <c r="A24" i="9"/>
  <c r="A70" i="9" s="1"/>
  <c r="D23" i="9"/>
  <c r="D69" i="9" s="1"/>
  <c r="D103" i="9" s="1"/>
  <c r="C23" i="9"/>
  <c r="C69" i="9" s="1"/>
  <c r="C103" i="9" s="1"/>
  <c r="B23" i="9"/>
  <c r="B69" i="9" s="1"/>
  <c r="B103" i="9" s="1"/>
  <c r="A23" i="9"/>
  <c r="A69" i="9" s="1"/>
  <c r="D22" i="9"/>
  <c r="D68" i="9" s="1"/>
  <c r="D102" i="9" s="1"/>
  <c r="C22" i="9"/>
  <c r="C68" i="9" s="1"/>
  <c r="C102" i="9" s="1"/>
  <c r="B22" i="9"/>
  <c r="B68" i="9" s="1"/>
  <c r="B102" i="9" s="1"/>
  <c r="A22" i="9"/>
  <c r="A68" i="9" s="1"/>
  <c r="D21" i="9"/>
  <c r="D67" i="9" s="1"/>
  <c r="D101" i="9" s="1"/>
  <c r="C21" i="9"/>
  <c r="C67" i="9" s="1"/>
  <c r="C101" i="9" s="1"/>
  <c r="B21" i="9"/>
  <c r="B67" i="9" s="1"/>
  <c r="B101" i="9" s="1"/>
  <c r="A21" i="9"/>
  <c r="A67" i="9" s="1"/>
  <c r="D20" i="9"/>
  <c r="D66" i="9" s="1"/>
  <c r="D100" i="9" s="1"/>
  <c r="C20" i="9"/>
  <c r="C66" i="9" s="1"/>
  <c r="C100" i="9" s="1"/>
  <c r="B20" i="9"/>
  <c r="B66" i="9" s="1"/>
  <c r="B100" i="9" s="1"/>
  <c r="A20" i="9"/>
  <c r="A66" i="9" s="1"/>
  <c r="D19" i="9"/>
  <c r="D65" i="9" s="1"/>
  <c r="D99" i="9" s="1"/>
  <c r="C19" i="9"/>
  <c r="C65" i="9" s="1"/>
  <c r="C99" i="9" s="1"/>
  <c r="B19" i="9"/>
  <c r="B65" i="9" s="1"/>
  <c r="B99" i="9" s="1"/>
  <c r="A19" i="9"/>
  <c r="A65" i="9" s="1"/>
  <c r="D18" i="9"/>
  <c r="D64" i="9" s="1"/>
  <c r="D98" i="9" s="1"/>
  <c r="C18" i="9"/>
  <c r="C64" i="9" s="1"/>
  <c r="C98" i="9" s="1"/>
  <c r="B18" i="9"/>
  <c r="B64" i="9" s="1"/>
  <c r="B98" i="9" s="1"/>
  <c r="A18" i="9"/>
  <c r="A64" i="9" s="1"/>
  <c r="D17" i="9"/>
  <c r="D63" i="9" s="1"/>
  <c r="D97" i="9" s="1"/>
  <c r="C17" i="9"/>
  <c r="C63" i="9" s="1"/>
  <c r="C97" i="9" s="1"/>
  <c r="B17" i="9"/>
  <c r="B63" i="9" s="1"/>
  <c r="B97" i="9" s="1"/>
  <c r="A17" i="9"/>
  <c r="A63" i="9" s="1"/>
  <c r="D16" i="9"/>
  <c r="D62" i="9" s="1"/>
  <c r="D96" i="9" s="1"/>
  <c r="C16" i="9"/>
  <c r="C62" i="9" s="1"/>
  <c r="C96" i="9" s="1"/>
  <c r="B16" i="9"/>
  <c r="B62" i="9" s="1"/>
  <c r="B96" i="9" s="1"/>
  <c r="A16" i="9"/>
  <c r="A62" i="9" s="1"/>
  <c r="D15" i="9"/>
  <c r="D61" i="9" s="1"/>
  <c r="D95" i="9" s="1"/>
  <c r="C15" i="9"/>
  <c r="C61" i="9" s="1"/>
  <c r="C95" i="9" s="1"/>
  <c r="B15" i="9"/>
  <c r="B61" i="9" s="1"/>
  <c r="B95" i="9" s="1"/>
  <c r="A15" i="9"/>
  <c r="A61" i="9" s="1"/>
  <c r="D14" i="9"/>
  <c r="D60" i="9" s="1"/>
  <c r="D94" i="9" s="1"/>
  <c r="C14" i="9"/>
  <c r="C60" i="9" s="1"/>
  <c r="C94" i="9" s="1"/>
  <c r="B14" i="9"/>
  <c r="B60" i="9" s="1"/>
  <c r="B94" i="9" s="1"/>
  <c r="A14" i="9"/>
  <c r="A60" i="9" s="1"/>
  <c r="D13" i="9"/>
  <c r="D59" i="9" s="1"/>
  <c r="D93" i="9" s="1"/>
  <c r="C13" i="9"/>
  <c r="C59" i="9" s="1"/>
  <c r="C93" i="9" s="1"/>
  <c r="B13" i="9"/>
  <c r="B59" i="9" s="1"/>
  <c r="B93" i="9" s="1"/>
  <c r="A13" i="9"/>
  <c r="A59" i="9" s="1"/>
  <c r="D12" i="9"/>
  <c r="D58" i="9" s="1"/>
  <c r="D92" i="9" s="1"/>
  <c r="C12" i="9"/>
  <c r="C58" i="9" s="1"/>
  <c r="C92" i="9" s="1"/>
  <c r="B12" i="9"/>
  <c r="B58" i="9" s="1"/>
  <c r="B92" i="9" s="1"/>
  <c r="A12" i="9"/>
  <c r="A58" i="9" s="1"/>
  <c r="D11" i="9"/>
  <c r="D57" i="9" s="1"/>
  <c r="D91" i="9" s="1"/>
  <c r="C11" i="9"/>
  <c r="C57" i="9" s="1"/>
  <c r="C91" i="9" s="1"/>
  <c r="B11" i="9"/>
  <c r="B57" i="9" s="1"/>
  <c r="B91" i="9" s="1"/>
  <c r="A11" i="9"/>
  <c r="A57" i="9" s="1"/>
  <c r="D10" i="9"/>
  <c r="D56" i="9" s="1"/>
  <c r="D90" i="9" s="1"/>
  <c r="C10" i="9"/>
  <c r="C56" i="9" s="1"/>
  <c r="C90" i="9" s="1"/>
  <c r="B10" i="9"/>
  <c r="B56" i="9" s="1"/>
  <c r="B90" i="9" s="1"/>
  <c r="A10" i="9"/>
  <c r="A56" i="9" s="1"/>
  <c r="D9" i="9"/>
  <c r="D55" i="9" s="1"/>
  <c r="D89" i="9" s="1"/>
  <c r="C9" i="9"/>
  <c r="C55" i="9" s="1"/>
  <c r="C89" i="9" s="1"/>
  <c r="B9" i="9"/>
  <c r="B55" i="9" s="1"/>
  <c r="B89" i="9" s="1"/>
  <c r="A9" i="9"/>
  <c r="A55" i="9" s="1"/>
  <c r="D8" i="9"/>
  <c r="D54" i="9" s="1"/>
  <c r="D88" i="9" s="1"/>
  <c r="C8" i="9"/>
  <c r="C54" i="9" s="1"/>
  <c r="C88" i="9" s="1"/>
  <c r="B8" i="9"/>
  <c r="B54" i="9" s="1"/>
  <c r="B88" i="9" s="1"/>
  <c r="A8" i="9"/>
  <c r="A54" i="9" s="1"/>
  <c r="D7" i="9"/>
  <c r="D53" i="9" s="1"/>
  <c r="D87" i="9" s="1"/>
  <c r="C7" i="9"/>
  <c r="C53" i="9" s="1"/>
  <c r="C87" i="9" s="1"/>
  <c r="B7" i="9"/>
  <c r="B53" i="9" s="1"/>
  <c r="B87" i="9" s="1"/>
  <c r="A7" i="9"/>
  <c r="A53" i="9" s="1"/>
  <c r="D6" i="9"/>
  <c r="D52" i="9" s="1"/>
  <c r="D86" i="9" s="1"/>
  <c r="C6" i="9"/>
  <c r="C52" i="9" s="1"/>
  <c r="C86" i="9" s="1"/>
  <c r="B6" i="9"/>
  <c r="B52" i="9" s="1"/>
  <c r="B86" i="9" s="1"/>
  <c r="A6" i="9"/>
  <c r="A52" i="9" s="1"/>
  <c r="D5" i="9"/>
  <c r="D51" i="9" s="1"/>
  <c r="D85" i="9" s="1"/>
  <c r="C5" i="9"/>
  <c r="C51" i="9" s="1"/>
  <c r="C85" i="9" s="1"/>
  <c r="B5" i="9"/>
  <c r="B51" i="9" s="1"/>
  <c r="B85" i="9" s="1"/>
  <c r="A5" i="9"/>
  <c r="A51" i="9" s="1"/>
  <c r="D4" i="9"/>
  <c r="D50" i="9" s="1"/>
  <c r="D84" i="9" s="1"/>
  <c r="C4" i="9"/>
  <c r="C50" i="9" s="1"/>
  <c r="C84" i="9" s="1"/>
  <c r="B4" i="9"/>
  <c r="B50" i="9" s="1"/>
  <c r="B84" i="9" s="1"/>
  <c r="A4" i="9"/>
  <c r="A50" i="9" s="1"/>
  <c r="A2" i="9"/>
  <c r="A35" i="9" s="1"/>
  <c r="H37" i="4"/>
  <c r="J36" i="4"/>
  <c r="K34" i="4"/>
  <c r="J35" i="4"/>
  <c r="A34" i="10" l="1"/>
  <c r="P35" i="9"/>
  <c r="A43" i="8"/>
  <c r="E36" i="9"/>
  <c r="AC36" i="9"/>
  <c r="A35" i="8"/>
  <c r="A50" i="8"/>
  <c r="A42" i="8"/>
  <c r="W36" i="9"/>
  <c r="L35" i="9"/>
  <c r="G36" i="9"/>
  <c r="AE36" i="9"/>
  <c r="A49" i="8"/>
  <c r="A41" i="8"/>
  <c r="O35" i="9"/>
  <c r="I36" i="9"/>
  <c r="AK36" i="9"/>
  <c r="A48" i="8"/>
  <c r="A40" i="8"/>
  <c r="M36" i="9"/>
  <c r="A47" i="8"/>
  <c r="A39" i="8"/>
  <c r="AB35" i="9"/>
  <c r="O36" i="9"/>
  <c r="A46" i="8"/>
  <c r="A38" i="8"/>
  <c r="AE35" i="9"/>
  <c r="Q36" i="9"/>
  <c r="A53" i="8"/>
  <c r="A45" i="8"/>
  <c r="A37" i="8"/>
  <c r="AF35" i="9"/>
  <c r="U36" i="9"/>
  <c r="A52" i="8"/>
  <c r="A44" i="8"/>
  <c r="A36" i="8"/>
  <c r="O35" i="10"/>
  <c r="Z34" i="10"/>
  <c r="AH34" i="10"/>
  <c r="A11" i="8"/>
  <c r="O37" i="10"/>
  <c r="J35" i="10"/>
  <c r="R35" i="10"/>
  <c r="J34" i="10"/>
  <c r="AE35" i="10"/>
  <c r="AK35" i="10"/>
  <c r="A19" i="8"/>
  <c r="R34" i="10"/>
  <c r="M35" i="10"/>
  <c r="AH35" i="10"/>
  <c r="G37" i="10"/>
  <c r="A20" i="8"/>
  <c r="A12" i="8"/>
  <c r="A4" i="8"/>
  <c r="W37" i="10"/>
  <c r="A3" i="8"/>
  <c r="A18" i="8"/>
  <c r="A10" i="8"/>
  <c r="U35" i="10"/>
  <c r="J36" i="10"/>
  <c r="AE37" i="10"/>
  <c r="A17" i="8"/>
  <c r="A9" i="8"/>
  <c r="W35" i="10"/>
  <c r="R36" i="10"/>
  <c r="A16" i="8"/>
  <c r="A8" i="8"/>
  <c r="E35" i="10"/>
  <c r="Z35" i="10"/>
  <c r="Z36" i="10"/>
  <c r="A15" i="8"/>
  <c r="A7" i="8"/>
  <c r="G35" i="10"/>
  <c r="AC35" i="10"/>
  <c r="AH36" i="10"/>
  <c r="A22" i="8"/>
  <c r="A14" i="8"/>
  <c r="A6" i="8"/>
  <c r="A21" i="8"/>
  <c r="A13" i="8"/>
  <c r="A5" i="8"/>
  <c r="A89" i="10"/>
  <c r="A95" i="10"/>
  <c r="A88" i="10"/>
  <c r="A90" i="10"/>
  <c r="A92" i="10"/>
  <c r="A94" i="10"/>
  <c r="A96" i="10"/>
  <c r="A98" i="10"/>
  <c r="A100" i="10"/>
  <c r="A102" i="10"/>
  <c r="A104" i="10"/>
  <c r="A106" i="10"/>
  <c r="A108" i="10"/>
  <c r="A110" i="10"/>
  <c r="A112" i="10"/>
  <c r="A84" i="10"/>
  <c r="A86" i="10"/>
  <c r="D41" i="10"/>
  <c r="A85" i="10"/>
  <c r="A97" i="10"/>
  <c r="A105" i="10"/>
  <c r="A93" i="10"/>
  <c r="A99" i="10"/>
  <c r="A101" i="10"/>
  <c r="A91" i="10"/>
  <c r="K34" i="10"/>
  <c r="S34" i="10"/>
  <c r="AA34" i="10"/>
  <c r="AI34" i="10"/>
  <c r="F35" i="10"/>
  <c r="N35" i="10"/>
  <c r="V35" i="10"/>
  <c r="AD35" i="10"/>
  <c r="AL35" i="10"/>
  <c r="K36" i="10"/>
  <c r="S36" i="10"/>
  <c r="AA36" i="10"/>
  <c r="AI36" i="10"/>
  <c r="H37" i="10"/>
  <c r="P37" i="10"/>
  <c r="X37" i="10"/>
  <c r="AF37" i="10"/>
  <c r="B45" i="10"/>
  <c r="L34" i="10"/>
  <c r="T34" i="10"/>
  <c r="AB34" i="10"/>
  <c r="AJ34" i="10"/>
  <c r="L36" i="10"/>
  <c r="T36" i="10"/>
  <c r="AB36" i="10"/>
  <c r="AJ36" i="10"/>
  <c r="I37" i="10"/>
  <c r="Q37" i="10"/>
  <c r="Y37" i="10"/>
  <c r="AG37" i="10"/>
  <c r="C45" i="10"/>
  <c r="C41" i="10" s="1"/>
  <c r="M34" i="10"/>
  <c r="U34" i="10"/>
  <c r="AC34" i="10"/>
  <c r="AK34" i="10"/>
  <c r="H35" i="10"/>
  <c r="P35" i="10"/>
  <c r="X35" i="10"/>
  <c r="AF35" i="10"/>
  <c r="E36" i="10"/>
  <c r="M36" i="10"/>
  <c r="U36" i="10"/>
  <c r="AC36" i="10"/>
  <c r="AK36" i="10"/>
  <c r="J37" i="10"/>
  <c r="R37" i="10"/>
  <c r="Z37" i="10"/>
  <c r="AH37" i="10"/>
  <c r="A103" i="10"/>
  <c r="A107" i="10"/>
  <c r="A109" i="10"/>
  <c r="A111" i="10"/>
  <c r="F34" i="10"/>
  <c r="N34" i="10"/>
  <c r="V34" i="10"/>
  <c r="AD34" i="10"/>
  <c r="AL34" i="10"/>
  <c r="I35" i="10"/>
  <c r="Q35" i="10"/>
  <c r="Y35" i="10"/>
  <c r="AG35" i="10"/>
  <c r="F36" i="10"/>
  <c r="N36" i="10"/>
  <c r="V36" i="10"/>
  <c r="AD36" i="10"/>
  <c r="AL36" i="10"/>
  <c r="K37" i="10"/>
  <c r="S37" i="10"/>
  <c r="AA37" i="10"/>
  <c r="AI37" i="10"/>
  <c r="G34" i="10"/>
  <c r="O34" i="10"/>
  <c r="W34" i="10"/>
  <c r="AE34" i="10"/>
  <c r="A35" i="10"/>
  <c r="G36" i="10"/>
  <c r="O36" i="10"/>
  <c r="W36" i="10"/>
  <c r="AE36" i="10"/>
  <c r="L37" i="10"/>
  <c r="T37" i="10"/>
  <c r="AB37" i="10"/>
  <c r="AJ37" i="10"/>
  <c r="H34" i="10"/>
  <c r="P34" i="10"/>
  <c r="X34" i="10"/>
  <c r="AF34" i="10"/>
  <c r="K35" i="10"/>
  <c r="S35" i="10"/>
  <c r="AA35" i="10"/>
  <c r="AI35" i="10"/>
  <c r="H36" i="10"/>
  <c r="P36" i="10"/>
  <c r="X36" i="10"/>
  <c r="AF36" i="10"/>
  <c r="E37" i="10"/>
  <c r="M37" i="10"/>
  <c r="U37" i="10"/>
  <c r="AC37" i="10"/>
  <c r="AK37" i="10"/>
  <c r="I34" i="10"/>
  <c r="Q34" i="10"/>
  <c r="Y34" i="10"/>
  <c r="L35" i="10"/>
  <c r="T35" i="10"/>
  <c r="AB35" i="10"/>
  <c r="I36" i="10"/>
  <c r="Q36" i="10"/>
  <c r="Y36" i="10"/>
  <c r="F37" i="10"/>
  <c r="N37" i="10"/>
  <c r="V37" i="10"/>
  <c r="AD37" i="10"/>
  <c r="C119" i="10"/>
  <c r="AI37" i="9"/>
  <c r="AA37" i="9"/>
  <c r="S37" i="9"/>
  <c r="K37" i="9"/>
  <c r="AG37" i="9"/>
  <c r="Y37" i="9"/>
  <c r="Q37" i="9"/>
  <c r="I37" i="9"/>
  <c r="AF37" i="9"/>
  <c r="X37" i="9"/>
  <c r="P37" i="9"/>
  <c r="H37" i="9"/>
  <c r="AE37" i="9"/>
  <c r="W37" i="9"/>
  <c r="O37" i="9"/>
  <c r="G37" i="9"/>
  <c r="AL37" i="9"/>
  <c r="AD37" i="9"/>
  <c r="V37" i="9"/>
  <c r="N37" i="9"/>
  <c r="F37" i="9"/>
  <c r="AK37" i="9"/>
  <c r="AC37" i="9"/>
  <c r="U37" i="9"/>
  <c r="M37" i="9"/>
  <c r="E37" i="9"/>
  <c r="AJ37" i="9"/>
  <c r="G34" i="9"/>
  <c r="A85" i="9"/>
  <c r="A87" i="9"/>
  <c r="A89" i="9"/>
  <c r="A91" i="9"/>
  <c r="A93" i="9"/>
  <c r="A95" i="9"/>
  <c r="A97" i="9"/>
  <c r="A99" i="9"/>
  <c r="A101" i="9"/>
  <c r="A103" i="9"/>
  <c r="A105" i="9"/>
  <c r="A107" i="9"/>
  <c r="I34" i="9"/>
  <c r="Y34" i="9"/>
  <c r="R35" i="9"/>
  <c r="L37" i="9"/>
  <c r="AK34" i="9"/>
  <c r="L34" i="9"/>
  <c r="AB34" i="9"/>
  <c r="AG35" i="9"/>
  <c r="Y35" i="9"/>
  <c r="Q35" i="9"/>
  <c r="I35" i="9"/>
  <c r="AL35" i="9"/>
  <c r="AD35" i="9"/>
  <c r="V35" i="9"/>
  <c r="N35" i="9"/>
  <c r="F35" i="9"/>
  <c r="AK35" i="9"/>
  <c r="AC35" i="9"/>
  <c r="U35" i="9"/>
  <c r="M35" i="9"/>
  <c r="E35" i="9"/>
  <c r="AI35" i="9"/>
  <c r="AA35" i="9"/>
  <c r="S35" i="9"/>
  <c r="K35" i="9"/>
  <c r="T35" i="9"/>
  <c r="AJ35" i="9"/>
  <c r="R37" i="9"/>
  <c r="M34" i="9"/>
  <c r="G35" i="9"/>
  <c r="W35" i="9"/>
  <c r="T37" i="9"/>
  <c r="AL34" i="9"/>
  <c r="AD34" i="9"/>
  <c r="V34" i="9"/>
  <c r="N34" i="9"/>
  <c r="F34" i="9"/>
  <c r="AI34" i="9"/>
  <c r="AA34" i="9"/>
  <c r="S34" i="9"/>
  <c r="K34" i="9"/>
  <c r="AH34" i="9"/>
  <c r="Z34" i="9"/>
  <c r="R34" i="9"/>
  <c r="J34" i="9"/>
  <c r="AF34" i="9"/>
  <c r="X34" i="9"/>
  <c r="P34" i="9"/>
  <c r="H34" i="9"/>
  <c r="AJ34" i="9"/>
  <c r="E34" i="9"/>
  <c r="U34" i="9"/>
  <c r="O34" i="9"/>
  <c r="AE34" i="9"/>
  <c r="H35" i="9"/>
  <c r="X35" i="9"/>
  <c r="Z37" i="9"/>
  <c r="T34" i="9"/>
  <c r="W34" i="9"/>
  <c r="J37" i="9"/>
  <c r="A118" i="9"/>
  <c r="A119" i="9" s="1"/>
  <c r="A34" i="9"/>
  <c r="A84" i="9"/>
  <c r="A86" i="9"/>
  <c r="A88" i="9"/>
  <c r="A90" i="9"/>
  <c r="A92" i="9"/>
  <c r="A94" i="9"/>
  <c r="A96" i="9"/>
  <c r="A98" i="9"/>
  <c r="A100" i="9"/>
  <c r="A102" i="9"/>
  <c r="A104" i="9"/>
  <c r="A106" i="9"/>
  <c r="A108" i="9"/>
  <c r="Q34" i="9"/>
  <c r="AG34" i="9"/>
  <c r="J35" i="9"/>
  <c r="Z35" i="9"/>
  <c r="AB37" i="9"/>
  <c r="H36" i="9"/>
  <c r="P36" i="9"/>
  <c r="X36" i="9"/>
  <c r="AF36" i="9"/>
  <c r="Y36" i="9"/>
  <c r="AG36" i="9"/>
  <c r="A110" i="9"/>
  <c r="A112" i="9"/>
  <c r="J36" i="9"/>
  <c r="R36" i="9"/>
  <c r="Z36" i="9"/>
  <c r="AH36" i="9"/>
  <c r="A45" i="9"/>
  <c r="A41" i="9" s="1"/>
  <c r="K36" i="9"/>
  <c r="S36" i="9"/>
  <c r="AA36" i="9"/>
  <c r="AI36" i="9"/>
  <c r="B45" i="9"/>
  <c r="L36" i="9"/>
  <c r="T36" i="9"/>
  <c r="AB36" i="9"/>
  <c r="AJ36" i="9"/>
  <c r="A109" i="9"/>
  <c r="A111" i="9"/>
  <c r="F36" i="9"/>
  <c r="N36" i="9"/>
  <c r="V36" i="9"/>
  <c r="AD36" i="9"/>
  <c r="C119" i="9"/>
  <c r="AH34" i="4"/>
  <c r="AG34" i="4"/>
  <c r="AI34" i="4"/>
  <c r="J34" i="4"/>
  <c r="I34" i="4"/>
  <c r="K35" i="4"/>
  <c r="AF34" i="4"/>
  <c r="AD37" i="4"/>
  <c r="Z34" i="4"/>
  <c r="V37" i="4"/>
  <c r="T34" i="4"/>
  <c r="U37" i="4"/>
  <c r="AE37" i="4"/>
  <c r="O34" i="4"/>
  <c r="F37" i="4"/>
  <c r="L34" i="4"/>
  <c r="AK35" i="4"/>
  <c r="AI35" i="4"/>
  <c r="AC35" i="4"/>
  <c r="Y34" i="4"/>
  <c r="H34" i="4"/>
  <c r="R37" i="4"/>
  <c r="AA35" i="4"/>
  <c r="S37" i="4"/>
  <c r="J37" i="4"/>
  <c r="X34" i="4"/>
  <c r="AI37" i="4"/>
  <c r="U35" i="4"/>
  <c r="AJ34" i="4"/>
  <c r="W34" i="4"/>
  <c r="AH37" i="4"/>
  <c r="G37" i="4"/>
  <c r="S35" i="4"/>
  <c r="E37" i="4"/>
  <c r="Z35" i="4"/>
  <c r="AC37" i="4"/>
  <c r="Q35" i="4"/>
  <c r="AE34" i="4"/>
  <c r="R34" i="4"/>
  <c r="G34" i="4"/>
  <c r="AA37" i="4"/>
  <c r="N37" i="4"/>
  <c r="Y36" i="4"/>
  <c r="AF35" i="4"/>
  <c r="X35" i="4"/>
  <c r="P35" i="4"/>
  <c r="H35" i="4"/>
  <c r="AH35" i="4"/>
  <c r="R35" i="4"/>
  <c r="O37" i="4"/>
  <c r="AG36" i="4"/>
  <c r="AG35" i="4"/>
  <c r="Y35" i="4"/>
  <c r="I35" i="4"/>
  <c r="AB34" i="4"/>
  <c r="Z37" i="4"/>
  <c r="AE35" i="4"/>
  <c r="G35" i="4"/>
  <c r="Q34" i="4"/>
  <c r="AL37" i="4"/>
  <c r="M37" i="4"/>
  <c r="Q36" i="4"/>
  <c r="W35" i="4"/>
  <c r="O35" i="4"/>
  <c r="E34" i="4"/>
  <c r="AA34" i="4"/>
  <c r="P34" i="4"/>
  <c r="AK37" i="4"/>
  <c r="W37" i="4"/>
  <c r="K37" i="4"/>
  <c r="AL35" i="4"/>
  <c r="AD35" i="4"/>
  <c r="V35" i="4"/>
  <c r="N35" i="4"/>
  <c r="F35" i="4"/>
  <c r="M35" i="4"/>
  <c r="E35" i="4"/>
  <c r="AJ35" i="4"/>
  <c r="AB35" i="4"/>
  <c r="T35" i="4"/>
  <c r="L35" i="4"/>
  <c r="AJ37" i="4"/>
  <c r="AB37" i="4"/>
  <c r="T37" i="4"/>
  <c r="L37" i="4"/>
  <c r="AG37" i="4"/>
  <c r="Y37" i="4"/>
  <c r="Q37" i="4"/>
  <c r="I37" i="4"/>
  <c r="AF37" i="4"/>
  <c r="X37" i="4"/>
  <c r="P37" i="4"/>
  <c r="I36" i="4"/>
  <c r="AF36" i="4"/>
  <c r="X36" i="4"/>
  <c r="P36" i="4"/>
  <c r="H36" i="4"/>
  <c r="AE36" i="4"/>
  <c r="W36" i="4"/>
  <c r="O36" i="4"/>
  <c r="G36" i="4"/>
  <c r="AL36" i="4"/>
  <c r="V36" i="4"/>
  <c r="N36" i="4"/>
  <c r="F36" i="4"/>
  <c r="E36" i="4"/>
  <c r="AD36" i="4"/>
  <c r="AC36" i="4"/>
  <c r="AJ36" i="4"/>
  <c r="AB36" i="4"/>
  <c r="T36" i="4"/>
  <c r="L36" i="4"/>
  <c r="AK36" i="4"/>
  <c r="U36" i="4"/>
  <c r="M36" i="4"/>
  <c r="AI36" i="4"/>
  <c r="AA36" i="4"/>
  <c r="S36" i="4"/>
  <c r="K36" i="4"/>
  <c r="AH36" i="4"/>
  <c r="Z36" i="4"/>
  <c r="R36" i="4"/>
  <c r="AL34" i="4"/>
  <c r="AD34" i="4"/>
  <c r="V34" i="4"/>
  <c r="N34" i="4"/>
  <c r="F34" i="4"/>
  <c r="AK34" i="4"/>
  <c r="AC34" i="4"/>
  <c r="U34" i="4"/>
  <c r="M34" i="4"/>
  <c r="S34" i="4"/>
  <c r="AH59" i="10" l="1"/>
  <c r="AD12" i="8" s="1"/>
  <c r="J53" i="10"/>
  <c r="F6" i="8" s="1"/>
  <c r="R65" i="10"/>
  <c r="N18" i="8" s="1"/>
  <c r="Z76" i="10"/>
  <c r="V29" i="8" s="1"/>
  <c r="AC53" i="10"/>
  <c r="Y6" i="8" s="1"/>
  <c r="AE53" i="10"/>
  <c r="AA6" i="8" s="1"/>
  <c r="AH75" i="10"/>
  <c r="AD28" i="8" s="1"/>
  <c r="P53" i="10"/>
  <c r="L6" i="8" s="1"/>
  <c r="AG77" i="10"/>
  <c r="AC30" i="8" s="1"/>
  <c r="AL53" i="10"/>
  <c r="AH6" i="8" s="1"/>
  <c r="O74" i="9"/>
  <c r="K59" i="8" s="1"/>
  <c r="R69" i="10"/>
  <c r="N22" i="8" s="1"/>
  <c r="U73" i="10"/>
  <c r="Q26" i="8" s="1"/>
  <c r="AF69" i="10"/>
  <c r="AB22" i="8" s="1"/>
  <c r="AH57" i="10"/>
  <c r="AD10" i="8" s="1"/>
  <c r="F76" i="9"/>
  <c r="B61" i="8" s="1"/>
  <c r="AE76" i="9"/>
  <c r="AA61" i="8" s="1"/>
  <c r="R73" i="10"/>
  <c r="N26" i="8" s="1"/>
  <c r="AH77" i="9"/>
  <c r="AD62" i="8" s="1"/>
  <c r="Q75" i="9"/>
  <c r="M60" i="8" s="1"/>
  <c r="AI75" i="9"/>
  <c r="AE60" i="8" s="1"/>
  <c r="R77" i="10"/>
  <c r="N30" i="8" s="1"/>
  <c r="X53" i="10"/>
  <c r="T6" i="8" s="1"/>
  <c r="AC75" i="9"/>
  <c r="Y60" i="8" s="1"/>
  <c r="X75" i="9"/>
  <c r="T60" i="8" s="1"/>
  <c r="K77" i="9"/>
  <c r="G62" i="8" s="1"/>
  <c r="AH75" i="9"/>
  <c r="AD60" i="8" s="1"/>
  <c r="AE57" i="10"/>
  <c r="AA10" i="8" s="1"/>
  <c r="AD74" i="9"/>
  <c r="Z59" i="8" s="1"/>
  <c r="Q73" i="10"/>
  <c r="M26" i="8" s="1"/>
  <c r="F53" i="10"/>
  <c r="B6" i="8" s="1"/>
  <c r="U69" i="10"/>
  <c r="Q22" i="8" s="1"/>
  <c r="S78" i="9"/>
  <c r="O63" i="8" s="1"/>
  <c r="AE54" i="9"/>
  <c r="AA39" i="8" s="1"/>
  <c r="M70" i="10"/>
  <c r="I23" i="8" s="1"/>
  <c r="AJ50" i="10"/>
  <c r="AF3" i="8" s="1"/>
  <c r="P53" i="9"/>
  <c r="L38" i="8" s="1"/>
  <c r="Y76" i="10"/>
  <c r="U29" i="8" s="1"/>
  <c r="AE77" i="10"/>
  <c r="AA30" i="8" s="1"/>
  <c r="AB53" i="10"/>
  <c r="X6" i="8" s="1"/>
  <c r="AA77" i="9"/>
  <c r="W62" i="8" s="1"/>
  <c r="Q76" i="9"/>
  <c r="M61" i="8" s="1"/>
  <c r="AB75" i="9"/>
  <c r="X60" i="8" s="1"/>
  <c r="AL60" i="9"/>
  <c r="AH45" i="8" s="1"/>
  <c r="AK56" i="9"/>
  <c r="AG41" i="8" s="1"/>
  <c r="M76" i="9"/>
  <c r="I61" i="8" s="1"/>
  <c r="O59" i="10"/>
  <c r="K12" i="8" s="1"/>
  <c r="AL69" i="10"/>
  <c r="AH22" i="8" s="1"/>
  <c r="R75" i="10"/>
  <c r="N28" i="8" s="1"/>
  <c r="AH69" i="10"/>
  <c r="AD22" i="8" s="1"/>
  <c r="T77" i="9"/>
  <c r="P62" i="8" s="1"/>
  <c r="AD75" i="10"/>
  <c r="Z28" i="8" s="1"/>
  <c r="AJ75" i="10"/>
  <c r="AF28" i="8" s="1"/>
  <c r="U77" i="10"/>
  <c r="Q30" i="8" s="1"/>
  <c r="AE75" i="9"/>
  <c r="AA60" i="8" s="1"/>
  <c r="L77" i="9"/>
  <c r="H62" i="8" s="1"/>
  <c r="AH61" i="9"/>
  <c r="U57" i="10"/>
  <c r="Q10" i="8" s="1"/>
  <c r="W73" i="10"/>
  <c r="S26" i="8" s="1"/>
  <c r="V65" i="10"/>
  <c r="R18" i="8" s="1"/>
  <c r="M57" i="10"/>
  <c r="I10" i="8" s="1"/>
  <c r="AJ73" i="10"/>
  <c r="AF26" i="8" s="1"/>
  <c r="T73" i="10"/>
  <c r="P26" i="8" s="1"/>
  <c r="J75" i="9"/>
  <c r="F60" i="8" s="1"/>
  <c r="M74" i="9"/>
  <c r="I59" i="8" s="1"/>
  <c r="AK74" i="9"/>
  <c r="AG59" i="8" s="1"/>
  <c r="G52" i="10"/>
  <c r="C5" i="8" s="1"/>
  <c r="AA73" i="10"/>
  <c r="W26" i="8" s="1"/>
  <c r="AA69" i="10"/>
  <c r="W22" i="8" s="1"/>
  <c r="V63" i="9"/>
  <c r="R48" i="8" s="1"/>
  <c r="AL76" i="9"/>
  <c r="AH61" i="8" s="1"/>
  <c r="AL66" i="9"/>
  <c r="AH51" i="8" s="1"/>
  <c r="AJ77" i="9"/>
  <c r="AF62" i="8" s="1"/>
  <c r="AD67" i="10"/>
  <c r="Z20" i="8" s="1"/>
  <c r="V53" i="10"/>
  <c r="R6" i="8" s="1"/>
  <c r="AI72" i="10"/>
  <c r="AE25" i="8" s="1"/>
  <c r="F65" i="10"/>
  <c r="B18" i="8" s="1"/>
  <c r="N78" i="10"/>
  <c r="J31" i="8" s="1"/>
  <c r="AH77" i="10"/>
  <c r="AD30" i="8" s="1"/>
  <c r="AB75" i="10"/>
  <c r="X28" i="8" s="1"/>
  <c r="V73" i="10"/>
  <c r="R26" i="8" s="1"/>
  <c r="AG69" i="10"/>
  <c r="AC22" i="8" s="1"/>
  <c r="AB57" i="10"/>
  <c r="X10" i="8" s="1"/>
  <c r="AH63" i="10"/>
  <c r="AD16" i="8" s="1"/>
  <c r="R75" i="9"/>
  <c r="N60" i="8" s="1"/>
  <c r="AL72" i="9"/>
  <c r="AH57" i="8" s="1"/>
  <c r="P77" i="9"/>
  <c r="L62" i="8" s="1"/>
  <c r="AL64" i="9"/>
  <c r="AH49" i="8" s="1"/>
  <c r="S75" i="10"/>
  <c r="O28" i="8" s="1"/>
  <c r="M77" i="10"/>
  <c r="I30" i="8" s="1"/>
  <c r="AJ77" i="10"/>
  <c r="AF30" i="8" s="1"/>
  <c r="M75" i="10"/>
  <c r="I28" i="8" s="1"/>
  <c r="AB67" i="10"/>
  <c r="X20" i="8" s="1"/>
  <c r="AL77" i="9"/>
  <c r="AH62" i="8" s="1"/>
  <c r="Q77" i="9"/>
  <c r="M62" i="8" s="1"/>
  <c r="J77" i="9"/>
  <c r="F62" i="8" s="1"/>
  <c r="M72" i="9"/>
  <c r="I57" i="8" s="1"/>
  <c r="AL62" i="9"/>
  <c r="AH47" i="8" s="1"/>
  <c r="AA75" i="9"/>
  <c r="W60" i="8" s="1"/>
  <c r="W52" i="9"/>
  <c r="S37" i="8" s="1"/>
  <c r="AB77" i="9"/>
  <c r="X62" i="8" s="1"/>
  <c r="U58" i="9"/>
  <c r="Q43" i="8" s="1"/>
  <c r="F51" i="10"/>
  <c r="B4" i="8" s="1"/>
  <c r="Q52" i="10"/>
  <c r="M5" i="8" s="1"/>
  <c r="AF50" i="10"/>
  <c r="AB3" i="8" s="1"/>
  <c r="AB59" i="10"/>
  <c r="X12" i="8" s="1"/>
  <c r="K75" i="10"/>
  <c r="G28" i="8" s="1"/>
  <c r="V75" i="10"/>
  <c r="R28" i="8" s="1"/>
  <c r="Z73" i="10"/>
  <c r="V26" i="8" s="1"/>
  <c r="AC71" i="10"/>
  <c r="Y24" i="8" s="1"/>
  <c r="AK59" i="10"/>
  <c r="AG12" i="8" s="1"/>
  <c r="Q65" i="10"/>
  <c r="M18" i="8" s="1"/>
  <c r="T76" i="10"/>
  <c r="P29" i="8" s="1"/>
  <c r="Z56" i="9"/>
  <c r="V41" i="8" s="1"/>
  <c r="AA77" i="10"/>
  <c r="W30" i="8" s="1"/>
  <c r="AK78" i="9"/>
  <c r="AG63" i="8" s="1"/>
  <c r="AK72" i="9"/>
  <c r="AG57" i="8" s="1"/>
  <c r="AF67" i="9"/>
  <c r="AB52" i="8" s="1"/>
  <c r="AI59" i="9"/>
  <c r="AE44" i="8" s="1"/>
  <c r="G56" i="9"/>
  <c r="C41" i="8" s="1"/>
  <c r="L75" i="9"/>
  <c r="H60" i="8" s="1"/>
  <c r="AL69" i="9"/>
  <c r="AH54" i="8" s="1"/>
  <c r="AC72" i="9"/>
  <c r="Y57" i="8" s="1"/>
  <c r="O68" i="9"/>
  <c r="K53" i="8" s="1"/>
  <c r="I65" i="10"/>
  <c r="E18" i="8" s="1"/>
  <c r="X74" i="10"/>
  <c r="T27" i="8" s="1"/>
  <c r="AL50" i="10"/>
  <c r="AH3" i="8" s="1"/>
  <c r="Z75" i="10"/>
  <c r="V28" i="8" s="1"/>
  <c r="AC50" i="10"/>
  <c r="Y3" i="8" s="1"/>
  <c r="L67" i="10"/>
  <c r="H20" i="8" s="1"/>
  <c r="AA51" i="10"/>
  <c r="W4" i="8" s="1"/>
  <c r="AH65" i="10"/>
  <c r="AD18" i="8" s="1"/>
  <c r="AH52" i="10"/>
  <c r="AD5" i="8" s="1"/>
  <c r="V57" i="10"/>
  <c r="R10" i="8" s="1"/>
  <c r="R77" i="9"/>
  <c r="N62" i="8" s="1"/>
  <c r="T75" i="9"/>
  <c r="P60" i="8" s="1"/>
  <c r="AB72" i="9"/>
  <c r="X57" i="8" s="1"/>
  <c r="S68" i="9"/>
  <c r="O53" i="8" s="1"/>
  <c r="AL78" i="9"/>
  <c r="AH63" i="8" s="1"/>
  <c r="AF53" i="10"/>
  <c r="AB6" i="8" s="1"/>
  <c r="P78" i="10"/>
  <c r="L31" i="8" s="1"/>
  <c r="L69" i="10"/>
  <c r="H22" i="8" s="1"/>
  <c r="AF77" i="10"/>
  <c r="AB30" i="8" s="1"/>
  <c r="S78" i="10"/>
  <c r="O31" i="8" s="1"/>
  <c r="K78" i="9"/>
  <c r="G63" i="8" s="1"/>
  <c r="AK53" i="10"/>
  <c r="AG6" i="8" s="1"/>
  <c r="H65" i="10"/>
  <c r="D18" i="8" s="1"/>
  <c r="G76" i="10"/>
  <c r="C29" i="8" s="1"/>
  <c r="J75" i="10"/>
  <c r="F28" i="8" s="1"/>
  <c r="AJ69" i="10"/>
  <c r="AF22" i="8" s="1"/>
  <c r="AF59" i="10"/>
  <c r="AB12" i="8" s="1"/>
  <c r="K50" i="10"/>
  <c r="G3" i="8" s="1"/>
  <c r="R50" i="10"/>
  <c r="N3" i="8" s="1"/>
  <c r="AE60" i="9"/>
  <c r="AA45" i="8" s="1"/>
  <c r="F75" i="9"/>
  <c r="B60" i="8" s="1"/>
  <c r="AC77" i="9"/>
  <c r="Y62" i="8" s="1"/>
  <c r="O77" i="9"/>
  <c r="K62" i="8" s="1"/>
  <c r="AF75" i="9"/>
  <c r="AB60" i="8" s="1"/>
  <c r="AC78" i="9"/>
  <c r="Y63" i="8" s="1"/>
  <c r="AI72" i="9"/>
  <c r="AE57" i="8" s="1"/>
  <c r="J70" i="9"/>
  <c r="F55" i="8" s="1"/>
  <c r="Q78" i="9"/>
  <c r="M63" i="8" s="1"/>
  <c r="AC76" i="9"/>
  <c r="Y61" i="8" s="1"/>
  <c r="AL74" i="9"/>
  <c r="AH59" i="8" s="1"/>
  <c r="AL68" i="9"/>
  <c r="AH53" i="8" s="1"/>
  <c r="AE64" i="9"/>
  <c r="AA49" i="8" s="1"/>
  <c r="AL58" i="9"/>
  <c r="AH43" i="8" s="1"/>
  <c r="S57" i="10"/>
  <c r="O10" i="8" s="1"/>
  <c r="Q57" i="10"/>
  <c r="M10" i="8" s="1"/>
  <c r="AE64" i="10"/>
  <c r="AA17" i="8" s="1"/>
  <c r="AE68" i="10"/>
  <c r="AA21" i="8" s="1"/>
  <c r="AE76" i="10"/>
  <c r="AA29" i="8" s="1"/>
  <c r="AE59" i="10"/>
  <c r="AA12" i="8" s="1"/>
  <c r="AE60" i="10"/>
  <c r="AA13" i="8" s="1"/>
  <c r="AE66" i="10"/>
  <c r="AA19" i="8" s="1"/>
  <c r="AE61" i="10"/>
  <c r="AA14" i="8" s="1"/>
  <c r="AE58" i="10"/>
  <c r="AA11" i="8" s="1"/>
  <c r="AE54" i="10"/>
  <c r="AA7" i="8" s="1"/>
  <c r="AE72" i="10"/>
  <c r="AA25" i="8" s="1"/>
  <c r="AE52" i="10"/>
  <c r="AA5" i="8" s="1"/>
  <c r="AE71" i="10"/>
  <c r="AA24" i="8" s="1"/>
  <c r="AE56" i="10"/>
  <c r="AA9" i="8" s="1"/>
  <c r="AE70" i="10"/>
  <c r="AA23" i="8" s="1"/>
  <c r="AE78" i="10"/>
  <c r="AA31" i="8" s="1"/>
  <c r="AE50" i="10"/>
  <c r="AA3" i="8" s="1"/>
  <c r="AE55" i="10"/>
  <c r="AA8" i="8" s="1"/>
  <c r="AE62" i="10"/>
  <c r="AA15" i="8" s="1"/>
  <c r="U53" i="10"/>
  <c r="Q6" i="8" s="1"/>
  <c r="AD61" i="10"/>
  <c r="Z14" i="8" s="1"/>
  <c r="AD65" i="10"/>
  <c r="Z18" i="8" s="1"/>
  <c r="AD54" i="10"/>
  <c r="Z7" i="8" s="1"/>
  <c r="AD56" i="10"/>
  <c r="Z9" i="8" s="1"/>
  <c r="AD64" i="10"/>
  <c r="Z17" i="8" s="1"/>
  <c r="AD72" i="10"/>
  <c r="Z25" i="8" s="1"/>
  <c r="AD58" i="10"/>
  <c r="Z11" i="8" s="1"/>
  <c r="AD66" i="10"/>
  <c r="Z19" i="8" s="1"/>
  <c r="AD55" i="10"/>
  <c r="Z8" i="8" s="1"/>
  <c r="AD71" i="10"/>
  <c r="Z24" i="8" s="1"/>
  <c r="AD60" i="10"/>
  <c r="Z13" i="8" s="1"/>
  <c r="AD68" i="10"/>
  <c r="Z21" i="8" s="1"/>
  <c r="AD62" i="10"/>
  <c r="Z15" i="8" s="1"/>
  <c r="AD70" i="10"/>
  <c r="Z23" i="8" s="1"/>
  <c r="AD74" i="10"/>
  <c r="Z27" i="8" s="1"/>
  <c r="AD78" i="10"/>
  <c r="Z31" i="8" s="1"/>
  <c r="AC77" i="10"/>
  <c r="Y30" i="8" s="1"/>
  <c r="P77" i="10"/>
  <c r="L30" i="8" s="1"/>
  <c r="T77" i="10"/>
  <c r="P30" i="8" s="1"/>
  <c r="I75" i="10"/>
  <c r="E28" i="8" s="1"/>
  <c r="AA75" i="10"/>
  <c r="W28" i="8" s="1"/>
  <c r="AC75" i="10"/>
  <c r="Y28" i="8" s="1"/>
  <c r="AE75" i="10"/>
  <c r="AA28" i="8" s="1"/>
  <c r="AK73" i="10"/>
  <c r="AG26" i="8" s="1"/>
  <c r="M73" i="10"/>
  <c r="I26" i="8" s="1"/>
  <c r="H73" i="10"/>
  <c r="D26" i="8" s="1"/>
  <c r="J73" i="10"/>
  <c r="F26" i="8" s="1"/>
  <c r="I69" i="10"/>
  <c r="E22" i="8" s="1"/>
  <c r="AK69" i="10"/>
  <c r="AG22" i="8" s="1"/>
  <c r="G69" i="10"/>
  <c r="C22" i="8" s="1"/>
  <c r="L53" i="10"/>
  <c r="H6" i="8" s="1"/>
  <c r="U56" i="10"/>
  <c r="Q9" i="8" s="1"/>
  <c r="U67" i="10"/>
  <c r="Q20" i="8" s="1"/>
  <c r="U55" i="10"/>
  <c r="Q8" i="8" s="1"/>
  <c r="U66" i="10"/>
  <c r="Q19" i="8" s="1"/>
  <c r="U62" i="10"/>
  <c r="Q15" i="8" s="1"/>
  <c r="U70" i="10"/>
  <c r="Q23" i="8" s="1"/>
  <c r="U68" i="10"/>
  <c r="Q21" i="8" s="1"/>
  <c r="U60" i="10"/>
  <c r="Q13" i="8" s="1"/>
  <c r="U61" i="10"/>
  <c r="Q14" i="8" s="1"/>
  <c r="U58" i="10"/>
  <c r="Q11" i="8" s="1"/>
  <c r="U51" i="10"/>
  <c r="Q4" i="8" s="1"/>
  <c r="U54" i="10"/>
  <c r="Q7" i="8" s="1"/>
  <c r="U64" i="10"/>
  <c r="Q17" i="8" s="1"/>
  <c r="U72" i="10"/>
  <c r="Q25" i="8" s="1"/>
  <c r="U63" i="10"/>
  <c r="Q16" i="8" s="1"/>
  <c r="K53" i="10"/>
  <c r="G6" i="8" s="1"/>
  <c r="AH53" i="10"/>
  <c r="AD6" i="8" s="1"/>
  <c r="P57" i="10"/>
  <c r="L10" i="8" s="1"/>
  <c r="AH67" i="10"/>
  <c r="AD20" i="8" s="1"/>
  <c r="AC67" i="10"/>
  <c r="Y20" i="8" s="1"/>
  <c r="AE67" i="10"/>
  <c r="AA20" i="8" s="1"/>
  <c r="U65" i="10"/>
  <c r="Q18" i="8" s="1"/>
  <c r="J65" i="10"/>
  <c r="F18" i="8" s="1"/>
  <c r="AC59" i="10"/>
  <c r="Y12" i="8" s="1"/>
  <c r="P71" i="10"/>
  <c r="L24" i="8" s="1"/>
  <c r="K71" i="10"/>
  <c r="G24" i="8" s="1"/>
  <c r="AL71" i="10"/>
  <c r="AH24" i="8" s="1"/>
  <c r="R63" i="10"/>
  <c r="N16" i="8" s="1"/>
  <c r="H63" i="10"/>
  <c r="D16" i="8" s="1"/>
  <c r="AE51" i="10"/>
  <c r="AA4" i="8" s="1"/>
  <c r="K51" i="10"/>
  <c r="G4" i="8" s="1"/>
  <c r="AF52" i="10"/>
  <c r="AB5" i="8" s="1"/>
  <c r="AJ52" i="10"/>
  <c r="AF5" i="8" s="1"/>
  <c r="H50" i="10"/>
  <c r="D3" i="8" s="1"/>
  <c r="R78" i="10"/>
  <c r="N31" i="8" s="1"/>
  <c r="AK76" i="10"/>
  <c r="AG29" i="8" s="1"/>
  <c r="AK74" i="10"/>
  <c r="AG27" i="8" s="1"/>
  <c r="K74" i="10"/>
  <c r="G27" i="8" s="1"/>
  <c r="AB72" i="10"/>
  <c r="X25" i="8" s="1"/>
  <c r="AE68" i="9"/>
  <c r="AA53" i="8" s="1"/>
  <c r="AE77" i="9"/>
  <c r="AA62" i="8" s="1"/>
  <c r="M75" i="9"/>
  <c r="I60" i="8" s="1"/>
  <c r="AJ55" i="9"/>
  <c r="AF40" i="8" s="1"/>
  <c r="U78" i="9"/>
  <c r="Q63" i="8" s="1"/>
  <c r="AC74" i="9"/>
  <c r="Y59" i="8" s="1"/>
  <c r="M70" i="9"/>
  <c r="I55" i="8" s="1"/>
  <c r="M68" i="9"/>
  <c r="I53" i="8" s="1"/>
  <c r="AE58" i="9"/>
  <c r="AA43" i="8" s="1"/>
  <c r="AL52" i="9"/>
  <c r="AH37" i="8" s="1"/>
  <c r="W59" i="9"/>
  <c r="S44" i="8" s="1"/>
  <c r="AK57" i="10"/>
  <c r="AG10" i="8" s="1"/>
  <c r="G57" i="10"/>
  <c r="C10" i="8" s="1"/>
  <c r="F57" i="10"/>
  <c r="B10" i="8" s="1"/>
  <c r="W55" i="10"/>
  <c r="S8" i="8" s="1"/>
  <c r="W62" i="10"/>
  <c r="S15" i="8" s="1"/>
  <c r="W64" i="10"/>
  <c r="S17" i="8" s="1"/>
  <c r="W78" i="10"/>
  <c r="S31" i="8" s="1"/>
  <c r="W59" i="10"/>
  <c r="S12" i="8" s="1"/>
  <c r="W60" i="10"/>
  <c r="S13" i="8" s="1"/>
  <c r="W68" i="10"/>
  <c r="S21" i="8" s="1"/>
  <c r="W61" i="10"/>
  <c r="S14" i="8" s="1"/>
  <c r="W58" i="10"/>
  <c r="S11" i="8" s="1"/>
  <c r="W66" i="10"/>
  <c r="S19" i="8" s="1"/>
  <c r="W74" i="10"/>
  <c r="S27" i="8" s="1"/>
  <c r="W71" i="10"/>
  <c r="S24" i="8" s="1"/>
  <c r="W65" i="10"/>
  <c r="S18" i="8" s="1"/>
  <c r="W57" i="10"/>
  <c r="S10" i="8" s="1"/>
  <c r="W54" i="10"/>
  <c r="S7" i="8" s="1"/>
  <c r="W70" i="10"/>
  <c r="S23" i="8" s="1"/>
  <c r="W72" i="10"/>
  <c r="S25" i="8" s="1"/>
  <c r="W51" i="10"/>
  <c r="S4" i="8" s="1"/>
  <c r="W63" i="10"/>
  <c r="S16" i="8" s="1"/>
  <c r="W56" i="10"/>
  <c r="S9" i="8" s="1"/>
  <c r="W50" i="10"/>
  <c r="S3" i="8" s="1"/>
  <c r="M53" i="10"/>
  <c r="I6" i="8" s="1"/>
  <c r="V62" i="10"/>
  <c r="R15" i="8" s="1"/>
  <c r="V78" i="10"/>
  <c r="R31" i="8" s="1"/>
  <c r="V61" i="10"/>
  <c r="R14" i="8" s="1"/>
  <c r="V54" i="10"/>
  <c r="R7" i="8" s="1"/>
  <c r="V56" i="10"/>
  <c r="R9" i="8" s="1"/>
  <c r="V64" i="10"/>
  <c r="R17" i="8" s="1"/>
  <c r="V58" i="10"/>
  <c r="R11" i="8" s="1"/>
  <c r="V66" i="10"/>
  <c r="R19" i="8" s="1"/>
  <c r="V50" i="10"/>
  <c r="R3" i="8" s="1"/>
  <c r="V52" i="10"/>
  <c r="R5" i="8" s="1"/>
  <c r="V55" i="10"/>
  <c r="R8" i="8" s="1"/>
  <c r="V60" i="10"/>
  <c r="R13" i="8" s="1"/>
  <c r="V68" i="10"/>
  <c r="R21" i="8" s="1"/>
  <c r="V76" i="10"/>
  <c r="R29" i="8" s="1"/>
  <c r="V63" i="10"/>
  <c r="R16" i="8" s="1"/>
  <c r="V70" i="10"/>
  <c r="R23" i="8" s="1"/>
  <c r="V74" i="10"/>
  <c r="R27" i="8" s="1"/>
  <c r="AD77" i="10"/>
  <c r="Z30" i="8" s="1"/>
  <c r="X77" i="10"/>
  <c r="T30" i="8" s="1"/>
  <c r="Z77" i="10"/>
  <c r="V30" i="8" s="1"/>
  <c r="AB77" i="10"/>
  <c r="X30" i="8" s="1"/>
  <c r="AI75" i="10"/>
  <c r="AE28" i="8" s="1"/>
  <c r="AK75" i="10"/>
  <c r="AG28" i="8" s="1"/>
  <c r="P75" i="10"/>
  <c r="L28" i="8" s="1"/>
  <c r="F73" i="10"/>
  <c r="B26" i="8" s="1"/>
  <c r="AC73" i="10"/>
  <c r="Y26" i="8" s="1"/>
  <c r="P73" i="10"/>
  <c r="L26" i="8" s="1"/>
  <c r="T69" i="10"/>
  <c r="P22" i="8" s="1"/>
  <c r="M69" i="10"/>
  <c r="I22" i="8" s="1"/>
  <c r="O69" i="10"/>
  <c r="K22" i="8" s="1"/>
  <c r="Z69" i="10"/>
  <c r="V22" i="8" s="1"/>
  <c r="AH64" i="10"/>
  <c r="AD17" i="8" s="1"/>
  <c r="AH50" i="10"/>
  <c r="AD3" i="8" s="1"/>
  <c r="AH55" i="10"/>
  <c r="AD8" i="8" s="1"/>
  <c r="AH56" i="10"/>
  <c r="AD9" i="8" s="1"/>
  <c r="AH58" i="10"/>
  <c r="AD11" i="8" s="1"/>
  <c r="AH60" i="10"/>
  <c r="AD13" i="8" s="1"/>
  <c r="AH68" i="10"/>
  <c r="AD21" i="8" s="1"/>
  <c r="AH76" i="10"/>
  <c r="AD29" i="8" s="1"/>
  <c r="AH72" i="10"/>
  <c r="AD25" i="8" s="1"/>
  <c r="AH54" i="10"/>
  <c r="AD7" i="8" s="1"/>
  <c r="AH70" i="10"/>
  <c r="AD23" i="8" s="1"/>
  <c r="AH71" i="10"/>
  <c r="AD24" i="8" s="1"/>
  <c r="AH61" i="10"/>
  <c r="AD14" i="8" s="1"/>
  <c r="AH62" i="10"/>
  <c r="AD15" i="8" s="1"/>
  <c r="AH66" i="10"/>
  <c r="AD19" i="8" s="1"/>
  <c r="AH78" i="10"/>
  <c r="AD31" i="8" s="1"/>
  <c r="AH51" i="10"/>
  <c r="AD4" i="8" s="1"/>
  <c r="M54" i="10"/>
  <c r="I7" i="8" s="1"/>
  <c r="Z53" i="10"/>
  <c r="V6" i="8" s="1"/>
  <c r="AI66" i="10"/>
  <c r="AE19" i="8" s="1"/>
  <c r="X57" i="10"/>
  <c r="T10" i="8" s="1"/>
  <c r="I53" i="10"/>
  <c r="E6" i="8" s="1"/>
  <c r="K67" i="10"/>
  <c r="G20" i="8" s="1"/>
  <c r="AK67" i="10"/>
  <c r="AG20" i="8" s="1"/>
  <c r="P67" i="10"/>
  <c r="L20" i="8" s="1"/>
  <c r="M65" i="10"/>
  <c r="I18" i="8" s="1"/>
  <c r="AL65" i="10"/>
  <c r="AH18" i="8" s="1"/>
  <c r="L59" i="10"/>
  <c r="H12" i="8" s="1"/>
  <c r="AF71" i="10"/>
  <c r="AB24" i="8" s="1"/>
  <c r="S71" i="10"/>
  <c r="O24" i="8" s="1"/>
  <c r="Z63" i="10"/>
  <c r="V16" i="8" s="1"/>
  <c r="P63" i="10"/>
  <c r="L16" i="8" s="1"/>
  <c r="P51" i="10"/>
  <c r="L4" i="8" s="1"/>
  <c r="M52" i="10"/>
  <c r="I5" i="8" s="1"/>
  <c r="M50" i="10"/>
  <c r="I3" i="8" s="1"/>
  <c r="X50" i="10"/>
  <c r="T3" i="8" s="1"/>
  <c r="AF78" i="10"/>
  <c r="AB31" i="8" s="1"/>
  <c r="AD76" i="10"/>
  <c r="Z29" i="8" s="1"/>
  <c r="G74" i="10"/>
  <c r="C27" i="8" s="1"/>
  <c r="L74" i="10"/>
  <c r="H27" i="8" s="1"/>
  <c r="AF76" i="9"/>
  <c r="AB61" i="8" s="1"/>
  <c r="AE74" i="9"/>
  <c r="AA59" i="8" s="1"/>
  <c r="AE52" i="9"/>
  <c r="AA37" i="8" s="1"/>
  <c r="AH71" i="9"/>
  <c r="AD56" i="8" s="1"/>
  <c r="Y53" i="10"/>
  <c r="U6" i="8" s="1"/>
  <c r="Y55" i="10"/>
  <c r="U8" i="8" s="1"/>
  <c r="Y61" i="10"/>
  <c r="U14" i="8" s="1"/>
  <c r="Y71" i="10"/>
  <c r="U24" i="8" s="1"/>
  <c r="Y67" i="10"/>
  <c r="U20" i="8" s="1"/>
  <c r="Y56" i="10"/>
  <c r="U9" i="8" s="1"/>
  <c r="Y58" i="10"/>
  <c r="U11" i="8" s="1"/>
  <c r="Y68" i="10"/>
  <c r="U21" i="8" s="1"/>
  <c r="Y54" i="10"/>
  <c r="U7" i="8" s="1"/>
  <c r="Y70" i="10"/>
  <c r="U23" i="8" s="1"/>
  <c r="Y66" i="10"/>
  <c r="U19" i="8" s="1"/>
  <c r="Y78" i="10"/>
  <c r="U31" i="8" s="1"/>
  <c r="Y57" i="10"/>
  <c r="U10" i="8" s="1"/>
  <c r="Y62" i="10"/>
  <c r="U15" i="8" s="1"/>
  <c r="Y50" i="10"/>
  <c r="U3" i="8" s="1"/>
  <c r="Y59" i="10"/>
  <c r="U12" i="8" s="1"/>
  <c r="Y60" i="10"/>
  <c r="U13" i="8" s="1"/>
  <c r="Y64" i="10"/>
  <c r="U17" i="8" s="1"/>
  <c r="Y72" i="10"/>
  <c r="U25" i="8" s="1"/>
  <c r="Y74" i="10"/>
  <c r="U27" i="8" s="1"/>
  <c r="O62" i="10"/>
  <c r="K15" i="8" s="1"/>
  <c r="O50" i="10"/>
  <c r="K3" i="8" s="1"/>
  <c r="O55" i="10"/>
  <c r="K8" i="8" s="1"/>
  <c r="O56" i="10"/>
  <c r="K9" i="8" s="1"/>
  <c r="O60" i="10"/>
  <c r="K13" i="8" s="1"/>
  <c r="O68" i="10"/>
  <c r="K21" i="8" s="1"/>
  <c r="O61" i="10"/>
  <c r="K14" i="8" s="1"/>
  <c r="O58" i="10"/>
  <c r="K11" i="8" s="1"/>
  <c r="O64" i="10"/>
  <c r="K17" i="8" s="1"/>
  <c r="O66" i="10"/>
  <c r="K19" i="8" s="1"/>
  <c r="O54" i="10"/>
  <c r="K7" i="8" s="1"/>
  <c r="O70" i="10"/>
  <c r="K23" i="8" s="1"/>
  <c r="O72" i="10"/>
  <c r="K25" i="8" s="1"/>
  <c r="O74" i="10"/>
  <c r="K27" i="8" s="1"/>
  <c r="O52" i="10"/>
  <c r="K5" i="8" s="1"/>
  <c r="O51" i="10"/>
  <c r="K4" i="8" s="1"/>
  <c r="AI68" i="10"/>
  <c r="AE21" i="8" s="1"/>
  <c r="AI70" i="10"/>
  <c r="AE23" i="8" s="1"/>
  <c r="N70" i="10"/>
  <c r="J23" i="8" s="1"/>
  <c r="N74" i="10"/>
  <c r="J27" i="8" s="1"/>
  <c r="N62" i="10"/>
  <c r="J15" i="8" s="1"/>
  <c r="N61" i="10"/>
  <c r="J14" i="8" s="1"/>
  <c r="N54" i="10"/>
  <c r="J7" i="8" s="1"/>
  <c r="N56" i="10"/>
  <c r="J9" i="8" s="1"/>
  <c r="N64" i="10"/>
  <c r="J17" i="8" s="1"/>
  <c r="N72" i="10"/>
  <c r="J25" i="8" s="1"/>
  <c r="N51" i="10"/>
  <c r="J4" i="8" s="1"/>
  <c r="N59" i="10"/>
  <c r="J12" i="8" s="1"/>
  <c r="N67" i="10"/>
  <c r="J20" i="8" s="1"/>
  <c r="N58" i="10"/>
  <c r="J11" i="8" s="1"/>
  <c r="N66" i="10"/>
  <c r="J19" i="8" s="1"/>
  <c r="N55" i="10"/>
  <c r="J8" i="8" s="1"/>
  <c r="N71" i="10"/>
  <c r="J24" i="8" s="1"/>
  <c r="N60" i="10"/>
  <c r="J13" i="8" s="1"/>
  <c r="N68" i="10"/>
  <c r="J21" i="8" s="1"/>
  <c r="N76" i="10"/>
  <c r="J29" i="8" s="1"/>
  <c r="N63" i="10"/>
  <c r="J16" i="8" s="1"/>
  <c r="AK77" i="10"/>
  <c r="AG30" i="8" s="1"/>
  <c r="L75" i="10"/>
  <c r="H28" i="8" s="1"/>
  <c r="F75" i="10"/>
  <c r="B28" i="8" s="1"/>
  <c r="X75" i="10"/>
  <c r="T28" i="8" s="1"/>
  <c r="N73" i="10"/>
  <c r="J26" i="8" s="1"/>
  <c r="X73" i="10"/>
  <c r="T26" i="8" s="1"/>
  <c r="AI69" i="10"/>
  <c r="AE22" i="8" s="1"/>
  <c r="X69" i="10"/>
  <c r="T22" i="8" s="1"/>
  <c r="W69" i="10"/>
  <c r="S22" i="8" s="1"/>
  <c r="Z61" i="10"/>
  <c r="V14" i="8" s="1"/>
  <c r="Z62" i="10"/>
  <c r="V15" i="8" s="1"/>
  <c r="Z66" i="10"/>
  <c r="V19" i="8" s="1"/>
  <c r="Z78" i="10"/>
  <c r="V31" i="8" s="1"/>
  <c r="Z51" i="10"/>
  <c r="V4" i="8" s="1"/>
  <c r="Z64" i="10"/>
  <c r="V17" i="8" s="1"/>
  <c r="Z55" i="10"/>
  <c r="V8" i="8" s="1"/>
  <c r="Z56" i="10"/>
  <c r="V9" i="8" s="1"/>
  <c r="Z58" i="10"/>
  <c r="V11" i="8" s="1"/>
  <c r="Z65" i="10"/>
  <c r="V18" i="8" s="1"/>
  <c r="Z60" i="10"/>
  <c r="V13" i="8" s="1"/>
  <c r="Z68" i="10"/>
  <c r="V21" i="8" s="1"/>
  <c r="Z52" i="10"/>
  <c r="V5" i="8" s="1"/>
  <c r="Z71" i="10"/>
  <c r="V24" i="8" s="1"/>
  <c r="Z54" i="10"/>
  <c r="V7" i="8" s="1"/>
  <c r="Z70" i="10"/>
  <c r="V23" i="8" s="1"/>
  <c r="AG61" i="10"/>
  <c r="AC14" i="8" s="1"/>
  <c r="AG56" i="10"/>
  <c r="AC9" i="8" s="1"/>
  <c r="AG68" i="10"/>
  <c r="AC21" i="8" s="1"/>
  <c r="AG76" i="10"/>
  <c r="AC29" i="8" s="1"/>
  <c r="AG71" i="10"/>
  <c r="AC24" i="8" s="1"/>
  <c r="AG58" i="10"/>
  <c r="AC11" i="8" s="1"/>
  <c r="AG54" i="10"/>
  <c r="AC7" i="8" s="1"/>
  <c r="AG70" i="10"/>
  <c r="AC23" i="8" s="1"/>
  <c r="AG62" i="10"/>
  <c r="AC15" i="8" s="1"/>
  <c r="AG66" i="10"/>
  <c r="AC19" i="8" s="1"/>
  <c r="AG51" i="10"/>
  <c r="AC4" i="8" s="1"/>
  <c r="AG65" i="10"/>
  <c r="AC18" i="8" s="1"/>
  <c r="AG53" i="10"/>
  <c r="AC6" i="8" s="1"/>
  <c r="AG64" i="10"/>
  <c r="AC17" i="8" s="1"/>
  <c r="AG74" i="10"/>
  <c r="AC27" i="8" s="1"/>
  <c r="AG59" i="10"/>
  <c r="AC12" i="8" s="1"/>
  <c r="AG55" i="10"/>
  <c r="AC8" i="8" s="1"/>
  <c r="AG60" i="10"/>
  <c r="AC13" i="8" s="1"/>
  <c r="AG72" i="10"/>
  <c r="AC25" i="8" s="1"/>
  <c r="AJ53" i="10"/>
  <c r="AF6" i="8" s="1"/>
  <c r="AJ55" i="10"/>
  <c r="AF8" i="8" s="1"/>
  <c r="AJ54" i="10"/>
  <c r="AF7" i="8" s="1"/>
  <c r="AJ60" i="10"/>
  <c r="AF13" i="8" s="1"/>
  <c r="AJ64" i="10"/>
  <c r="AF17" i="8" s="1"/>
  <c r="AJ72" i="10"/>
  <c r="AF25" i="8" s="1"/>
  <c r="AJ56" i="10"/>
  <c r="AF9" i="8" s="1"/>
  <c r="AJ61" i="10"/>
  <c r="AF14" i="8" s="1"/>
  <c r="AJ62" i="10"/>
  <c r="AF15" i="8" s="1"/>
  <c r="AJ66" i="10"/>
  <c r="AF19" i="8" s="1"/>
  <c r="AJ71" i="10"/>
  <c r="AF24" i="8" s="1"/>
  <c r="AJ68" i="10"/>
  <c r="AF21" i="8" s="1"/>
  <c r="AJ70" i="10"/>
  <c r="AF23" i="8" s="1"/>
  <c r="AJ76" i="10"/>
  <c r="AF29" i="8" s="1"/>
  <c r="AJ51" i="10"/>
  <c r="AF4" i="8" s="1"/>
  <c r="AJ59" i="10"/>
  <c r="AF12" i="8" s="1"/>
  <c r="AJ58" i="10"/>
  <c r="AF11" i="8" s="1"/>
  <c r="AJ78" i="10"/>
  <c r="AF31" i="8" s="1"/>
  <c r="AJ65" i="10"/>
  <c r="AF18" i="8" s="1"/>
  <c r="AA65" i="10"/>
  <c r="W18" i="8" s="1"/>
  <c r="AA57" i="10"/>
  <c r="W10" i="8" s="1"/>
  <c r="AA66" i="10"/>
  <c r="W19" i="8" s="1"/>
  <c r="AA68" i="10"/>
  <c r="W21" i="8" s="1"/>
  <c r="AA62" i="10"/>
  <c r="W15" i="8" s="1"/>
  <c r="AA70" i="10"/>
  <c r="W23" i="8" s="1"/>
  <c r="AA78" i="10"/>
  <c r="W31" i="8" s="1"/>
  <c r="AA50" i="10"/>
  <c r="W3" i="8" s="1"/>
  <c r="AA59" i="10"/>
  <c r="W12" i="8" s="1"/>
  <c r="AA60" i="10"/>
  <c r="W13" i="8" s="1"/>
  <c r="AA64" i="10"/>
  <c r="W17" i="8" s="1"/>
  <c r="AA61" i="10"/>
  <c r="W14" i="8" s="1"/>
  <c r="AA54" i="10"/>
  <c r="W7" i="8" s="1"/>
  <c r="AA63" i="10"/>
  <c r="W16" i="8" s="1"/>
  <c r="AA55" i="10"/>
  <c r="W8" i="8" s="1"/>
  <c r="AA56" i="10"/>
  <c r="W9" i="8" s="1"/>
  <c r="AA58" i="10"/>
  <c r="W11" i="8" s="1"/>
  <c r="AA74" i="10"/>
  <c r="W27" i="8" s="1"/>
  <c r="AF57" i="10"/>
  <c r="AB10" i="8" s="1"/>
  <c r="AL77" i="10"/>
  <c r="AH30" i="8" s="1"/>
  <c r="AA67" i="10"/>
  <c r="W20" i="8" s="1"/>
  <c r="F67" i="10"/>
  <c r="B20" i="8" s="1"/>
  <c r="X67" i="10"/>
  <c r="T20" i="8" s="1"/>
  <c r="Y65" i="10"/>
  <c r="U18" i="8" s="1"/>
  <c r="G65" i="10"/>
  <c r="C18" i="8" s="1"/>
  <c r="S59" i="10"/>
  <c r="O12" i="8" s="1"/>
  <c r="F59" i="10"/>
  <c r="B12" i="8" s="1"/>
  <c r="Q71" i="10"/>
  <c r="M24" i="8" s="1"/>
  <c r="AA71" i="10"/>
  <c r="W24" i="8" s="1"/>
  <c r="AI73" i="10"/>
  <c r="AE26" i="8" s="1"/>
  <c r="X63" i="10"/>
  <c r="T16" i="8" s="1"/>
  <c r="X51" i="10"/>
  <c r="T4" i="8" s="1"/>
  <c r="AI51" i="10"/>
  <c r="AE4" i="8" s="1"/>
  <c r="Y52" i="10"/>
  <c r="U5" i="8" s="1"/>
  <c r="U52" i="10"/>
  <c r="Q5" i="8" s="1"/>
  <c r="U50" i="10"/>
  <c r="Q3" i="8" s="1"/>
  <c r="H78" i="10"/>
  <c r="D31" i="8" s="1"/>
  <c r="AI78" i="10"/>
  <c r="AE31" i="8" s="1"/>
  <c r="S76" i="10"/>
  <c r="O29" i="8" s="1"/>
  <c r="H74" i="10"/>
  <c r="D27" i="8" s="1"/>
  <c r="AB74" i="10"/>
  <c r="X27" i="8" s="1"/>
  <c r="T72" i="10"/>
  <c r="P25" i="8" s="1"/>
  <c r="Z77" i="9"/>
  <c r="V62" i="8" s="1"/>
  <c r="AE78" i="9"/>
  <c r="AA63" i="8" s="1"/>
  <c r="AC70" i="9"/>
  <c r="Y55" i="8" s="1"/>
  <c r="M77" i="9"/>
  <c r="I62" i="8" s="1"/>
  <c r="O75" i="9"/>
  <c r="K60" i="8" s="1"/>
  <c r="T50" i="9"/>
  <c r="P35" i="8" s="1"/>
  <c r="M78" i="9"/>
  <c r="I63" i="8" s="1"/>
  <c r="O76" i="9"/>
  <c r="K61" i="8" s="1"/>
  <c r="AG77" i="9"/>
  <c r="AC62" i="8" s="1"/>
  <c r="AL70" i="9"/>
  <c r="AH55" i="8" s="1"/>
  <c r="M66" i="9"/>
  <c r="I51" i="8" s="1"/>
  <c r="AE62" i="9"/>
  <c r="AA47" i="8" s="1"/>
  <c r="AC56" i="9"/>
  <c r="Y41" i="8" s="1"/>
  <c r="AL55" i="9"/>
  <c r="AH40" i="8" s="1"/>
  <c r="K75" i="9"/>
  <c r="G60" i="8" s="1"/>
  <c r="I60" i="9"/>
  <c r="E45" i="8" s="1"/>
  <c r="H57" i="10"/>
  <c r="D10" i="8" s="1"/>
  <c r="Q60" i="10"/>
  <c r="M13" i="8" s="1"/>
  <c r="Q72" i="10"/>
  <c r="M25" i="8" s="1"/>
  <c r="Q74" i="10"/>
  <c r="M27" i="8" s="1"/>
  <c r="Q63" i="10"/>
  <c r="M16" i="8" s="1"/>
  <c r="Q55" i="10"/>
  <c r="M8" i="8" s="1"/>
  <c r="Q61" i="10"/>
  <c r="M14" i="8" s="1"/>
  <c r="Q56" i="10"/>
  <c r="M9" i="8" s="1"/>
  <c r="Q58" i="10"/>
  <c r="M11" i="8" s="1"/>
  <c r="Q64" i="10"/>
  <c r="M17" i="8" s="1"/>
  <c r="Q68" i="10"/>
  <c r="M21" i="8" s="1"/>
  <c r="Q54" i="10"/>
  <c r="M7" i="8" s="1"/>
  <c r="Q70" i="10"/>
  <c r="M23" i="8" s="1"/>
  <c r="Q66" i="10"/>
  <c r="M19" i="8" s="1"/>
  <c r="Q62" i="10"/>
  <c r="M15" i="8" s="1"/>
  <c r="Q51" i="10"/>
  <c r="M4" i="8" s="1"/>
  <c r="Q50" i="10"/>
  <c r="M3" i="8" s="1"/>
  <c r="Q59" i="10"/>
  <c r="M12" i="8" s="1"/>
  <c r="W53" i="10"/>
  <c r="S6" i="8" s="1"/>
  <c r="AF60" i="10"/>
  <c r="AB13" i="8" s="1"/>
  <c r="AF72" i="10"/>
  <c r="AB25" i="8" s="1"/>
  <c r="AF63" i="10"/>
  <c r="AB16" i="8" s="1"/>
  <c r="AF55" i="10"/>
  <c r="AB8" i="8" s="1"/>
  <c r="AF61" i="10"/>
  <c r="AB14" i="8" s="1"/>
  <c r="AF70" i="10"/>
  <c r="AB23" i="8" s="1"/>
  <c r="AF56" i="10"/>
  <c r="AB9" i="8" s="1"/>
  <c r="AF62" i="10"/>
  <c r="AB15" i="8" s="1"/>
  <c r="AF64" i="10"/>
  <c r="AB17" i="8" s="1"/>
  <c r="AF68" i="10"/>
  <c r="AB21" i="8" s="1"/>
  <c r="AF76" i="10"/>
  <c r="AB29" i="8" s="1"/>
  <c r="AF54" i="10"/>
  <c r="AB7" i="8" s="1"/>
  <c r="AF58" i="10"/>
  <c r="AB11" i="8" s="1"/>
  <c r="AF66" i="10"/>
  <c r="AB19" i="8" s="1"/>
  <c r="AD53" i="10"/>
  <c r="Z6" i="8" s="1"/>
  <c r="G56" i="10"/>
  <c r="C9" i="8" s="1"/>
  <c r="G51" i="10"/>
  <c r="C4" i="8" s="1"/>
  <c r="G63" i="10"/>
  <c r="C16" i="8" s="1"/>
  <c r="G67" i="10"/>
  <c r="C20" i="8" s="1"/>
  <c r="G62" i="10"/>
  <c r="C15" i="8" s="1"/>
  <c r="G55" i="10"/>
  <c r="C8" i="8" s="1"/>
  <c r="G60" i="10"/>
  <c r="C13" i="8" s="1"/>
  <c r="G61" i="10"/>
  <c r="C14" i="8" s="1"/>
  <c r="G68" i="10"/>
  <c r="C21" i="8" s="1"/>
  <c r="G58" i="10"/>
  <c r="C11" i="8" s="1"/>
  <c r="G78" i="10"/>
  <c r="C31" i="8" s="1"/>
  <c r="G64" i="10"/>
  <c r="C17" i="8" s="1"/>
  <c r="G70" i="10"/>
  <c r="C23" i="8" s="1"/>
  <c r="G54" i="10"/>
  <c r="C7" i="8" s="1"/>
  <c r="G66" i="10"/>
  <c r="C19" i="8" s="1"/>
  <c r="G72" i="10"/>
  <c r="C25" i="8" s="1"/>
  <c r="F60" i="10"/>
  <c r="B13" i="8" s="1"/>
  <c r="F68" i="10"/>
  <c r="B21" i="8" s="1"/>
  <c r="F70" i="10"/>
  <c r="B23" i="8" s="1"/>
  <c r="F74" i="10"/>
  <c r="B27" i="8" s="1"/>
  <c r="F76" i="10"/>
  <c r="B29" i="8" s="1"/>
  <c r="F63" i="10"/>
  <c r="B16" i="8" s="1"/>
  <c r="F62" i="10"/>
  <c r="B15" i="8" s="1"/>
  <c r="F61" i="10"/>
  <c r="B14" i="8" s="1"/>
  <c r="F54" i="10"/>
  <c r="B7" i="8" s="1"/>
  <c r="F56" i="10"/>
  <c r="B9" i="8" s="1"/>
  <c r="F64" i="10"/>
  <c r="B17" i="8" s="1"/>
  <c r="F72" i="10"/>
  <c r="B25" i="8" s="1"/>
  <c r="F58" i="10"/>
  <c r="B11" i="8" s="1"/>
  <c r="F66" i="10"/>
  <c r="B19" i="8" s="1"/>
  <c r="F50" i="10"/>
  <c r="B3" i="8" s="1"/>
  <c r="F52" i="10"/>
  <c r="B5" i="8" s="1"/>
  <c r="F55" i="10"/>
  <c r="B8" i="8" s="1"/>
  <c r="F71" i="10"/>
  <c r="B24" i="8" s="1"/>
  <c r="G77" i="10"/>
  <c r="C30" i="8" s="1"/>
  <c r="I77" i="10"/>
  <c r="E30" i="8" s="1"/>
  <c r="K77" i="10"/>
  <c r="G30" i="8" s="1"/>
  <c r="O75" i="10"/>
  <c r="K28" i="8" s="1"/>
  <c r="T75" i="10"/>
  <c r="P28" i="8" s="1"/>
  <c r="N75" i="10"/>
  <c r="J28" i="8" s="1"/>
  <c r="AF75" i="10"/>
  <c r="AB28" i="8" s="1"/>
  <c r="AL73" i="10"/>
  <c r="AH26" i="8" s="1"/>
  <c r="AD73" i="10"/>
  <c r="Z26" i="8" s="1"/>
  <c r="AF73" i="10"/>
  <c r="AB26" i="8" s="1"/>
  <c r="AH73" i="10"/>
  <c r="AD26" i="8" s="1"/>
  <c r="K69" i="10"/>
  <c r="G22" i="8" s="1"/>
  <c r="AE69" i="10"/>
  <c r="AA22" i="8" s="1"/>
  <c r="R54" i="10"/>
  <c r="N7" i="8" s="1"/>
  <c r="R70" i="10"/>
  <c r="N23" i="8" s="1"/>
  <c r="R53" i="10"/>
  <c r="N6" i="8" s="1"/>
  <c r="R61" i="10"/>
  <c r="N14" i="8" s="1"/>
  <c r="R62" i="10"/>
  <c r="N15" i="8" s="1"/>
  <c r="R66" i="10"/>
  <c r="N19" i="8" s="1"/>
  <c r="R64" i="10"/>
  <c r="N17" i="8" s="1"/>
  <c r="R55" i="10"/>
  <c r="N8" i="8" s="1"/>
  <c r="R74" i="10"/>
  <c r="N27" i="8" s="1"/>
  <c r="R59" i="10"/>
  <c r="N12" i="8" s="1"/>
  <c r="R67" i="10"/>
  <c r="N20" i="8" s="1"/>
  <c r="R57" i="10"/>
  <c r="N10" i="8" s="1"/>
  <c r="R56" i="10"/>
  <c r="N9" i="8" s="1"/>
  <c r="R58" i="10"/>
  <c r="N11" i="8" s="1"/>
  <c r="R60" i="10"/>
  <c r="N13" i="8" s="1"/>
  <c r="R68" i="10"/>
  <c r="N21" i="8" s="1"/>
  <c r="R72" i="10"/>
  <c r="N25" i="8" s="1"/>
  <c r="R76" i="10"/>
  <c r="N29" i="8" s="1"/>
  <c r="R52" i="10"/>
  <c r="N5" i="8" s="1"/>
  <c r="R71" i="10"/>
  <c r="N24" i="8" s="1"/>
  <c r="F77" i="10"/>
  <c r="B30" i="8" s="1"/>
  <c r="AB58" i="10"/>
  <c r="X11" i="8" s="1"/>
  <c r="B41" i="10"/>
  <c r="A41" i="10"/>
  <c r="S73" i="10"/>
  <c r="O26" i="8" s="1"/>
  <c r="S55" i="10"/>
  <c r="O8" i="8" s="1"/>
  <c r="S56" i="10"/>
  <c r="O9" i="8" s="1"/>
  <c r="S58" i="10"/>
  <c r="O11" i="8" s="1"/>
  <c r="S74" i="10"/>
  <c r="O27" i="8" s="1"/>
  <c r="S67" i="10"/>
  <c r="O20" i="8" s="1"/>
  <c r="S64" i="10"/>
  <c r="O17" i="8" s="1"/>
  <c r="S66" i="10"/>
  <c r="O19" i="8" s="1"/>
  <c r="S68" i="10"/>
  <c r="O21" i="8" s="1"/>
  <c r="S62" i="10"/>
  <c r="O15" i="8" s="1"/>
  <c r="S70" i="10"/>
  <c r="O23" i="8" s="1"/>
  <c r="S72" i="10"/>
  <c r="O25" i="8" s="1"/>
  <c r="S50" i="10"/>
  <c r="O3" i="8" s="1"/>
  <c r="S51" i="10"/>
  <c r="O4" i="8" s="1"/>
  <c r="S65" i="10"/>
  <c r="O18" i="8" s="1"/>
  <c r="S53" i="10"/>
  <c r="O6" i="8" s="1"/>
  <c r="S54" i="10"/>
  <c r="O7" i="8" s="1"/>
  <c r="S60" i="10"/>
  <c r="O13" i="8" s="1"/>
  <c r="S61" i="10"/>
  <c r="O14" i="8" s="1"/>
  <c r="S63" i="10"/>
  <c r="O16" i="8" s="1"/>
  <c r="Z57" i="10"/>
  <c r="V10" i="8" s="1"/>
  <c r="AG67" i="10"/>
  <c r="AC20" i="8" s="1"/>
  <c r="AI67" i="10"/>
  <c r="AE20" i="8" s="1"/>
  <c r="V67" i="10"/>
  <c r="R20" i="8" s="1"/>
  <c r="AF67" i="10"/>
  <c r="AB20" i="8" s="1"/>
  <c r="O65" i="10"/>
  <c r="K18" i="8" s="1"/>
  <c r="L65" i="10"/>
  <c r="H18" i="8" s="1"/>
  <c r="U59" i="10"/>
  <c r="Q12" i="8" s="1"/>
  <c r="V59" i="10"/>
  <c r="R12" i="8" s="1"/>
  <c r="G71" i="10"/>
  <c r="C24" i="8" s="1"/>
  <c r="AB71" i="10"/>
  <c r="X24" i="8" s="1"/>
  <c r="AE63" i="10"/>
  <c r="AA16" i="8" s="1"/>
  <c r="AI63" i="10"/>
  <c r="AE16" i="8" s="1"/>
  <c r="AF51" i="10"/>
  <c r="AB4" i="8" s="1"/>
  <c r="L51" i="10"/>
  <c r="H4" i="8" s="1"/>
  <c r="AG52" i="10"/>
  <c r="AC5" i="8" s="1"/>
  <c r="AC52" i="10"/>
  <c r="Y5" i="8" s="1"/>
  <c r="O78" i="10"/>
  <c r="K31" i="8" s="1"/>
  <c r="L78" i="10"/>
  <c r="H31" i="8" s="1"/>
  <c r="O76" i="10"/>
  <c r="K29" i="8" s="1"/>
  <c r="M74" i="10"/>
  <c r="I27" i="8" s="1"/>
  <c r="AJ74" i="10"/>
  <c r="AF27" i="8" s="1"/>
  <c r="V72" i="10"/>
  <c r="R25" i="8" s="1"/>
  <c r="L74" i="9"/>
  <c r="H59" i="8" s="1"/>
  <c r="O78" i="9"/>
  <c r="K63" i="8" s="1"/>
  <c r="AF68" i="9"/>
  <c r="AB53" i="8" s="1"/>
  <c r="Q56" i="9"/>
  <c r="M41" i="8" s="1"/>
  <c r="AE70" i="9"/>
  <c r="AA55" i="8" s="1"/>
  <c r="O50" i="9"/>
  <c r="K35" i="8" s="1"/>
  <c r="I57" i="10"/>
  <c r="E10" i="8" s="1"/>
  <c r="I60" i="10"/>
  <c r="E13" i="8" s="1"/>
  <c r="I72" i="10"/>
  <c r="E25" i="8" s="1"/>
  <c r="I50" i="10"/>
  <c r="E3" i="8" s="1"/>
  <c r="I61" i="10"/>
  <c r="E14" i="8" s="1"/>
  <c r="I55" i="10"/>
  <c r="E8" i="8" s="1"/>
  <c r="I58" i="10"/>
  <c r="E11" i="8" s="1"/>
  <c r="I56" i="10"/>
  <c r="E9" i="8" s="1"/>
  <c r="I68" i="10"/>
  <c r="E21" i="8" s="1"/>
  <c r="I52" i="10"/>
  <c r="E5" i="8" s="1"/>
  <c r="I54" i="10"/>
  <c r="E7" i="8" s="1"/>
  <c r="I62" i="10"/>
  <c r="E15" i="8" s="1"/>
  <c r="I64" i="10"/>
  <c r="E17" i="8" s="1"/>
  <c r="I70" i="10"/>
  <c r="E23" i="8" s="1"/>
  <c r="I66" i="10"/>
  <c r="E19" i="8" s="1"/>
  <c r="I78" i="10"/>
  <c r="E31" i="8" s="1"/>
  <c r="I63" i="10"/>
  <c r="E16" i="8" s="1"/>
  <c r="I51" i="10"/>
  <c r="E4" i="8" s="1"/>
  <c r="I59" i="10"/>
  <c r="E12" i="8" s="1"/>
  <c r="O53" i="10"/>
  <c r="K6" i="8" s="1"/>
  <c r="X54" i="10"/>
  <c r="T7" i="8" s="1"/>
  <c r="X58" i="10"/>
  <c r="T11" i="8" s="1"/>
  <c r="X66" i="10"/>
  <c r="T19" i="8" s="1"/>
  <c r="X65" i="10"/>
  <c r="T18" i="8" s="1"/>
  <c r="X60" i="10"/>
  <c r="T13" i="8" s="1"/>
  <c r="X72" i="10"/>
  <c r="T25" i="8" s="1"/>
  <c r="X70" i="10"/>
  <c r="T23" i="8" s="1"/>
  <c r="X55" i="10"/>
  <c r="T8" i="8" s="1"/>
  <c r="X61" i="10"/>
  <c r="T14" i="8" s="1"/>
  <c r="X56" i="10"/>
  <c r="T9" i="8" s="1"/>
  <c r="X62" i="10"/>
  <c r="T15" i="8" s="1"/>
  <c r="X64" i="10"/>
  <c r="T17" i="8" s="1"/>
  <c r="X68" i="10"/>
  <c r="T21" i="8" s="1"/>
  <c r="X52" i="10"/>
  <c r="T5" i="8" s="1"/>
  <c r="X59" i="10"/>
  <c r="T12" i="8" s="1"/>
  <c r="X78" i="10"/>
  <c r="T31" i="8" s="1"/>
  <c r="O77" i="10"/>
  <c r="K30" i="8" s="1"/>
  <c r="Q77" i="10"/>
  <c r="M30" i="8" s="1"/>
  <c r="S77" i="10"/>
  <c r="O30" i="8" s="1"/>
  <c r="G75" i="10"/>
  <c r="C28" i="8" s="1"/>
  <c r="Q75" i="10"/>
  <c r="M28" i="8" s="1"/>
  <c r="K73" i="10"/>
  <c r="G26" i="8" s="1"/>
  <c r="G73" i="10"/>
  <c r="C26" i="8" s="1"/>
  <c r="I73" i="10"/>
  <c r="E26" i="8" s="1"/>
  <c r="N69" i="10"/>
  <c r="J22" i="8" s="1"/>
  <c r="AC57" i="10"/>
  <c r="Y10" i="8" s="1"/>
  <c r="J52" i="10"/>
  <c r="F5" i="8" s="1"/>
  <c r="J54" i="10"/>
  <c r="F7" i="8" s="1"/>
  <c r="J70" i="10"/>
  <c r="F23" i="8" s="1"/>
  <c r="J61" i="10"/>
  <c r="F14" i="8" s="1"/>
  <c r="J62" i="10"/>
  <c r="F15" i="8" s="1"/>
  <c r="J66" i="10"/>
  <c r="F19" i="8" s="1"/>
  <c r="J64" i="10"/>
  <c r="F17" i="8" s="1"/>
  <c r="J63" i="10"/>
  <c r="F16" i="8" s="1"/>
  <c r="J55" i="10"/>
  <c r="F8" i="8" s="1"/>
  <c r="J56" i="10"/>
  <c r="F9" i="8" s="1"/>
  <c r="J58" i="10"/>
  <c r="F11" i="8" s="1"/>
  <c r="J72" i="10"/>
  <c r="F25" i="8" s="1"/>
  <c r="J60" i="10"/>
  <c r="F13" i="8" s="1"/>
  <c r="J68" i="10"/>
  <c r="F21" i="8" s="1"/>
  <c r="J76" i="10"/>
  <c r="F29" i="8" s="1"/>
  <c r="J71" i="10"/>
  <c r="F24" i="8" s="1"/>
  <c r="Q69" i="10"/>
  <c r="M22" i="8" s="1"/>
  <c r="T70" i="10"/>
  <c r="P23" i="8" s="1"/>
  <c r="T51" i="10"/>
  <c r="P4" i="8" s="1"/>
  <c r="T59" i="10"/>
  <c r="P12" i="8" s="1"/>
  <c r="T57" i="10"/>
  <c r="P10" i="8" s="1"/>
  <c r="T58" i="10"/>
  <c r="P11" i="8" s="1"/>
  <c r="T55" i="10"/>
  <c r="P8" i="8" s="1"/>
  <c r="T54" i="10"/>
  <c r="P7" i="8" s="1"/>
  <c r="T60" i="10"/>
  <c r="P13" i="8" s="1"/>
  <c r="T64" i="10"/>
  <c r="P17" i="8" s="1"/>
  <c r="T56" i="10"/>
  <c r="P9" i="8" s="1"/>
  <c r="T74" i="10"/>
  <c r="P27" i="8" s="1"/>
  <c r="T67" i="10"/>
  <c r="P20" i="8" s="1"/>
  <c r="T61" i="10"/>
  <c r="P14" i="8" s="1"/>
  <c r="T62" i="10"/>
  <c r="P15" i="8" s="1"/>
  <c r="T66" i="10"/>
  <c r="P19" i="8" s="1"/>
  <c r="T71" i="10"/>
  <c r="P24" i="8" s="1"/>
  <c r="T68" i="10"/>
  <c r="P21" i="8" s="1"/>
  <c r="T50" i="10"/>
  <c r="P3" i="8" s="1"/>
  <c r="T52" i="10"/>
  <c r="P5" i="8" s="1"/>
  <c r="K58" i="10"/>
  <c r="G11" i="8" s="1"/>
  <c r="K63" i="10"/>
  <c r="G16" i="8" s="1"/>
  <c r="K55" i="10"/>
  <c r="G8" i="8" s="1"/>
  <c r="K56" i="10"/>
  <c r="G9" i="8" s="1"/>
  <c r="K54" i="10"/>
  <c r="G7" i="8" s="1"/>
  <c r="K62" i="10"/>
  <c r="G15" i="8" s="1"/>
  <c r="K68" i="10"/>
  <c r="G21" i="8" s="1"/>
  <c r="K72" i="10"/>
  <c r="G25" i="8" s="1"/>
  <c r="K52" i="10"/>
  <c r="G5" i="8" s="1"/>
  <c r="K70" i="10"/>
  <c r="G23" i="8" s="1"/>
  <c r="K60" i="10"/>
  <c r="G13" i="8" s="1"/>
  <c r="K66" i="10"/>
  <c r="G19" i="8" s="1"/>
  <c r="K78" i="10"/>
  <c r="G31" i="8" s="1"/>
  <c r="K61" i="10"/>
  <c r="G14" i="8" s="1"/>
  <c r="K64" i="10"/>
  <c r="G17" i="8" s="1"/>
  <c r="I67" i="10"/>
  <c r="E20" i="8" s="1"/>
  <c r="AC65" i="10"/>
  <c r="Y18" i="8" s="1"/>
  <c r="AE65" i="10"/>
  <c r="AA18" i="8" s="1"/>
  <c r="T65" i="10"/>
  <c r="P18" i="8" s="1"/>
  <c r="AD59" i="10"/>
  <c r="Z12" i="8" s="1"/>
  <c r="H71" i="10"/>
  <c r="D24" i="8" s="1"/>
  <c r="M71" i="10"/>
  <c r="I24" i="8" s="1"/>
  <c r="AG63" i="10"/>
  <c r="AC16" i="8" s="1"/>
  <c r="T63" i="10"/>
  <c r="P16" i="8" s="1"/>
  <c r="Y51" i="10"/>
  <c r="U4" i="8" s="1"/>
  <c r="N52" i="10"/>
  <c r="J5" i="8" s="1"/>
  <c r="N50" i="10"/>
  <c r="J3" i="8" s="1"/>
  <c r="AG50" i="10"/>
  <c r="AC3" i="8" s="1"/>
  <c r="T78" i="10"/>
  <c r="P31" i="8" s="1"/>
  <c r="AA76" i="10"/>
  <c r="W29" i="8" s="1"/>
  <c r="W76" i="10"/>
  <c r="S29" i="8" s="1"/>
  <c r="AC74" i="10"/>
  <c r="Y27" i="8" s="1"/>
  <c r="I74" i="10"/>
  <c r="E27" i="8" s="1"/>
  <c r="AE72" i="9"/>
  <c r="AA57" i="8" s="1"/>
  <c r="AE66" i="9"/>
  <c r="AA51" i="8" s="1"/>
  <c r="AE56" i="9"/>
  <c r="AA41" i="8" s="1"/>
  <c r="X50" i="9"/>
  <c r="T35" i="8" s="1"/>
  <c r="G52" i="9"/>
  <c r="C37" i="8" s="1"/>
  <c r="Q53" i="10"/>
  <c r="M6" i="8" s="1"/>
  <c r="G53" i="10"/>
  <c r="C6" i="8" s="1"/>
  <c r="P54" i="10"/>
  <c r="L7" i="8" s="1"/>
  <c r="P58" i="10"/>
  <c r="L11" i="8" s="1"/>
  <c r="P66" i="10"/>
  <c r="L19" i="8" s="1"/>
  <c r="P60" i="10"/>
  <c r="L13" i="8" s="1"/>
  <c r="P72" i="10"/>
  <c r="L25" i="8" s="1"/>
  <c r="P70" i="10"/>
  <c r="L23" i="8" s="1"/>
  <c r="P74" i="10"/>
  <c r="L27" i="8" s="1"/>
  <c r="P50" i="10"/>
  <c r="L3" i="8" s="1"/>
  <c r="P55" i="10"/>
  <c r="L8" i="8" s="1"/>
  <c r="P61" i="10"/>
  <c r="L14" i="8" s="1"/>
  <c r="P56" i="10"/>
  <c r="L9" i="8" s="1"/>
  <c r="P62" i="10"/>
  <c r="L15" i="8" s="1"/>
  <c r="P64" i="10"/>
  <c r="L17" i="8" s="1"/>
  <c r="P68" i="10"/>
  <c r="L21" i="8" s="1"/>
  <c r="P76" i="10"/>
  <c r="L29" i="8" s="1"/>
  <c r="P52" i="10"/>
  <c r="L5" i="8" s="1"/>
  <c r="P59" i="10"/>
  <c r="L12" i="8" s="1"/>
  <c r="N53" i="10"/>
  <c r="J6" i="8" s="1"/>
  <c r="O57" i="10"/>
  <c r="K10" i="8" s="1"/>
  <c r="N77" i="10"/>
  <c r="J30" i="8" s="1"/>
  <c r="W77" i="10"/>
  <c r="S30" i="8" s="1"/>
  <c r="Y77" i="10"/>
  <c r="U30" i="8" s="1"/>
  <c r="O73" i="10"/>
  <c r="K26" i="8" s="1"/>
  <c r="H69" i="10"/>
  <c r="D22" i="8" s="1"/>
  <c r="Y69" i="10"/>
  <c r="U22" i="8" s="1"/>
  <c r="K57" i="10"/>
  <c r="G10" i="8" s="1"/>
  <c r="L68" i="10"/>
  <c r="H21" i="8" s="1"/>
  <c r="L50" i="10"/>
  <c r="H3" i="8" s="1"/>
  <c r="L52" i="10"/>
  <c r="H5" i="8" s="1"/>
  <c r="L70" i="10"/>
  <c r="H23" i="8" s="1"/>
  <c r="L58" i="10"/>
  <c r="H11" i="8" s="1"/>
  <c r="L55" i="10"/>
  <c r="H8" i="8" s="1"/>
  <c r="L54" i="10"/>
  <c r="H7" i="8" s="1"/>
  <c r="L60" i="10"/>
  <c r="H13" i="8" s="1"/>
  <c r="L64" i="10"/>
  <c r="H17" i="8" s="1"/>
  <c r="L76" i="10"/>
  <c r="H29" i="8" s="1"/>
  <c r="L63" i="10"/>
  <c r="H16" i="8" s="1"/>
  <c r="L56" i="10"/>
  <c r="H9" i="8" s="1"/>
  <c r="L61" i="10"/>
  <c r="H14" i="8" s="1"/>
  <c r="L62" i="10"/>
  <c r="H15" i="8" s="1"/>
  <c r="L66" i="10"/>
  <c r="H19" i="8" s="1"/>
  <c r="L71" i="10"/>
  <c r="H24" i="8" s="1"/>
  <c r="N57" i="10"/>
  <c r="J10" i="8" s="1"/>
  <c r="L57" i="10"/>
  <c r="H10" i="8" s="1"/>
  <c r="Q67" i="10"/>
  <c r="M20" i="8" s="1"/>
  <c r="AL67" i="10"/>
  <c r="AH20" i="8" s="1"/>
  <c r="AI65" i="10"/>
  <c r="AE18" i="8" s="1"/>
  <c r="K65" i="10"/>
  <c r="G18" i="8" s="1"/>
  <c r="G59" i="10"/>
  <c r="C12" i="8" s="1"/>
  <c r="AL59" i="10"/>
  <c r="AH12" i="8" s="1"/>
  <c r="X71" i="10"/>
  <c r="T24" i="8" s="1"/>
  <c r="U71" i="10"/>
  <c r="Q24" i="8" s="1"/>
  <c r="O63" i="10"/>
  <c r="K16" i="8" s="1"/>
  <c r="AB63" i="10"/>
  <c r="X16" i="8" s="1"/>
  <c r="V51" i="10"/>
  <c r="R4" i="8" s="1"/>
  <c r="M51" i="10"/>
  <c r="I4" i="8" s="1"/>
  <c r="S52" i="10"/>
  <c r="O5" i="8" s="1"/>
  <c r="AD52" i="10"/>
  <c r="Z5" i="8" s="1"/>
  <c r="AD50" i="10"/>
  <c r="Z3" i="8" s="1"/>
  <c r="J50" i="10"/>
  <c r="F3" i="8" s="1"/>
  <c r="Q78" i="10"/>
  <c r="M31" i="8" s="1"/>
  <c r="U78" i="10"/>
  <c r="Q31" i="8" s="1"/>
  <c r="K76" i="10"/>
  <c r="G29" i="8" s="1"/>
  <c r="X76" i="10"/>
  <c r="T29" i="8" s="1"/>
  <c r="AE74" i="10"/>
  <c r="AA27" i="8" s="1"/>
  <c r="J74" i="10"/>
  <c r="F27" i="8" s="1"/>
  <c r="Z72" i="10"/>
  <c r="V25" i="8" s="1"/>
  <c r="Y75" i="10"/>
  <c r="U28" i="8" s="1"/>
  <c r="H52" i="10"/>
  <c r="D5" i="8" s="1"/>
  <c r="H59" i="10"/>
  <c r="D12" i="8" s="1"/>
  <c r="H54" i="10"/>
  <c r="D7" i="8" s="1"/>
  <c r="H58" i="10"/>
  <c r="D11" i="8" s="1"/>
  <c r="H66" i="10"/>
  <c r="D19" i="8" s="1"/>
  <c r="H60" i="10"/>
  <c r="D13" i="8" s="1"/>
  <c r="H72" i="10"/>
  <c r="D25" i="8" s="1"/>
  <c r="H70" i="10"/>
  <c r="D23" i="8" s="1"/>
  <c r="H51" i="10"/>
  <c r="D4" i="8" s="1"/>
  <c r="H67" i="10"/>
  <c r="D20" i="8" s="1"/>
  <c r="H55" i="10"/>
  <c r="D8" i="8" s="1"/>
  <c r="H61" i="10"/>
  <c r="D14" i="8" s="1"/>
  <c r="H56" i="10"/>
  <c r="D9" i="8" s="1"/>
  <c r="H62" i="10"/>
  <c r="D15" i="8" s="1"/>
  <c r="H64" i="10"/>
  <c r="D17" i="8" s="1"/>
  <c r="H68" i="10"/>
  <c r="D21" i="8" s="1"/>
  <c r="H76" i="10"/>
  <c r="D29" i="8" s="1"/>
  <c r="AI77" i="10"/>
  <c r="AE30" i="8" s="1"/>
  <c r="H75" i="10"/>
  <c r="D28" i="8" s="1"/>
  <c r="AL75" i="10"/>
  <c r="AH28" i="8" s="1"/>
  <c r="L73" i="10"/>
  <c r="H26" i="8" s="1"/>
  <c r="Y73" i="10"/>
  <c r="U26" i="8" s="1"/>
  <c r="S69" i="10"/>
  <c r="O22" i="8" s="1"/>
  <c r="P69" i="10"/>
  <c r="L22" i="8" s="1"/>
  <c r="AK55" i="10"/>
  <c r="AG8" i="8" s="1"/>
  <c r="AK50" i="10"/>
  <c r="AG3" i="8" s="1"/>
  <c r="AK52" i="10"/>
  <c r="AG5" i="8" s="1"/>
  <c r="AK51" i="10"/>
  <c r="AG4" i="8" s="1"/>
  <c r="AK71" i="10"/>
  <c r="AG24" i="8" s="1"/>
  <c r="AK68" i="10"/>
  <c r="AG21" i="8" s="1"/>
  <c r="AK70" i="10"/>
  <c r="AG23" i="8" s="1"/>
  <c r="AK60" i="10"/>
  <c r="AG13" i="8" s="1"/>
  <c r="AK62" i="10"/>
  <c r="AG15" i="8" s="1"/>
  <c r="AK61" i="10"/>
  <c r="AG14" i="8" s="1"/>
  <c r="AK54" i="10"/>
  <c r="AG7" i="8" s="1"/>
  <c r="AK58" i="10"/>
  <c r="AG11" i="8" s="1"/>
  <c r="AK64" i="10"/>
  <c r="AG17" i="8" s="1"/>
  <c r="AK72" i="10"/>
  <c r="AG25" i="8" s="1"/>
  <c r="AK56" i="10"/>
  <c r="AG9" i="8" s="1"/>
  <c r="AK66" i="10"/>
  <c r="AG19" i="8" s="1"/>
  <c r="AI53" i="10"/>
  <c r="AE6" i="8" s="1"/>
  <c r="F69" i="10"/>
  <c r="B22" i="8" s="1"/>
  <c r="J67" i="10"/>
  <c r="F20" i="8" s="1"/>
  <c r="AJ67" i="10"/>
  <c r="AF20" i="8" s="1"/>
  <c r="O67" i="10"/>
  <c r="K20" i="8" s="1"/>
  <c r="P65" i="10"/>
  <c r="L18" i="8" s="1"/>
  <c r="K59" i="10"/>
  <c r="G12" i="8" s="1"/>
  <c r="J59" i="10"/>
  <c r="F12" i="8" s="1"/>
  <c r="I71" i="10"/>
  <c r="E24" i="8" s="1"/>
  <c r="AK63" i="10"/>
  <c r="AG16" i="8" s="1"/>
  <c r="AJ63" i="10"/>
  <c r="AF16" i="8" s="1"/>
  <c r="AD51" i="10"/>
  <c r="Z4" i="8" s="1"/>
  <c r="J51" i="10"/>
  <c r="F4" i="8" s="1"/>
  <c r="AA52" i="10"/>
  <c r="W5" i="8" s="1"/>
  <c r="AL52" i="10"/>
  <c r="AH5" i="8" s="1"/>
  <c r="AG78" i="10"/>
  <c r="AC31" i="8" s="1"/>
  <c r="AK78" i="10"/>
  <c r="AG31" i="8" s="1"/>
  <c r="U76" i="10"/>
  <c r="Q29" i="8" s="1"/>
  <c r="I76" i="10"/>
  <c r="E29" i="8" s="1"/>
  <c r="AF74" i="10"/>
  <c r="AB27" i="8" s="1"/>
  <c r="Z74" i="10"/>
  <c r="V27" i="8" s="1"/>
  <c r="AA72" i="10"/>
  <c r="W25" i="8" s="1"/>
  <c r="N74" i="9"/>
  <c r="J59" i="8" s="1"/>
  <c r="G77" i="9"/>
  <c r="C62" i="8" s="1"/>
  <c r="AF78" i="9"/>
  <c r="AB63" i="8" s="1"/>
  <c r="H68" i="9"/>
  <c r="D53" i="8" s="1"/>
  <c r="U54" i="9"/>
  <c r="Q39" i="8" s="1"/>
  <c r="O51" i="9"/>
  <c r="K36" i="8" s="1"/>
  <c r="M54" i="9"/>
  <c r="I39" i="8" s="1"/>
  <c r="H53" i="10"/>
  <c r="D6" i="8" s="1"/>
  <c r="AI57" i="10"/>
  <c r="AE10" i="8" s="1"/>
  <c r="AG57" i="10"/>
  <c r="AC10" i="8" s="1"/>
  <c r="AL54" i="10"/>
  <c r="AH7" i="8" s="1"/>
  <c r="AL56" i="10"/>
  <c r="AH9" i="8" s="1"/>
  <c r="AL64" i="10"/>
  <c r="AH17" i="8" s="1"/>
  <c r="AL72" i="10"/>
  <c r="AH25" i="8" s="1"/>
  <c r="AL57" i="10"/>
  <c r="AH10" i="8" s="1"/>
  <c r="AL58" i="10"/>
  <c r="AH11" i="8" s="1"/>
  <c r="AL66" i="10"/>
  <c r="AH19" i="8" s="1"/>
  <c r="AL55" i="10"/>
  <c r="AH8" i="8" s="1"/>
  <c r="AL60" i="10"/>
  <c r="AH13" i="8" s="1"/>
  <c r="AL68" i="10"/>
  <c r="AH21" i="8" s="1"/>
  <c r="AL76" i="10"/>
  <c r="AH29" i="8" s="1"/>
  <c r="AL63" i="10"/>
  <c r="AH16" i="8" s="1"/>
  <c r="AL62" i="10"/>
  <c r="AH15" i="8" s="1"/>
  <c r="AL70" i="10"/>
  <c r="AH23" i="8" s="1"/>
  <c r="AL74" i="10"/>
  <c r="AH27" i="8" s="1"/>
  <c r="AL78" i="10"/>
  <c r="AH31" i="8" s="1"/>
  <c r="AL61" i="10"/>
  <c r="AH14" i="8" s="1"/>
  <c r="V77" i="10"/>
  <c r="R30" i="8" s="1"/>
  <c r="H77" i="10"/>
  <c r="D30" i="8" s="1"/>
  <c r="J77" i="10"/>
  <c r="F30" i="8" s="1"/>
  <c r="L77" i="10"/>
  <c r="H30" i="8" s="1"/>
  <c r="AG75" i="10"/>
  <c r="AC28" i="8" s="1"/>
  <c r="U75" i="10"/>
  <c r="Q28" i="8" s="1"/>
  <c r="W75" i="10"/>
  <c r="S28" i="8" s="1"/>
  <c r="AB73" i="10"/>
  <c r="X26" i="8" s="1"/>
  <c r="AE73" i="10"/>
  <c r="AA26" i="8" s="1"/>
  <c r="AG73" i="10"/>
  <c r="AC26" i="8" s="1"/>
  <c r="AD69" i="10"/>
  <c r="Z22" i="8" s="1"/>
  <c r="V69" i="10"/>
  <c r="R22" i="8" s="1"/>
  <c r="AB69" i="10"/>
  <c r="X22" i="8" s="1"/>
  <c r="J69" i="10"/>
  <c r="F22" i="8" s="1"/>
  <c r="T53" i="10"/>
  <c r="P6" i="8" s="1"/>
  <c r="AC66" i="10"/>
  <c r="Y19" i="8" s="1"/>
  <c r="AC62" i="10"/>
  <c r="Y15" i="8" s="1"/>
  <c r="AC70" i="10"/>
  <c r="Y23" i="8" s="1"/>
  <c r="AC68" i="10"/>
  <c r="Y21" i="8" s="1"/>
  <c r="AC60" i="10"/>
  <c r="Y13" i="8" s="1"/>
  <c r="AC61" i="10"/>
  <c r="Y14" i="8" s="1"/>
  <c r="AC69" i="10"/>
  <c r="Y22" i="8" s="1"/>
  <c r="AC78" i="10"/>
  <c r="Y31" i="8" s="1"/>
  <c r="AC58" i="10"/>
  <c r="Y11" i="8" s="1"/>
  <c r="AC55" i="10"/>
  <c r="Y8" i="8" s="1"/>
  <c r="AC54" i="10"/>
  <c r="Y7" i="8" s="1"/>
  <c r="AC64" i="10"/>
  <c r="Y17" i="8" s="1"/>
  <c r="AC72" i="10"/>
  <c r="Y25" i="8" s="1"/>
  <c r="AC51" i="10"/>
  <c r="Y4" i="8" s="1"/>
  <c r="AC56" i="10"/>
  <c r="Y9" i="8" s="1"/>
  <c r="AC63" i="10"/>
  <c r="Y16" i="8" s="1"/>
  <c r="AA53" i="10"/>
  <c r="W6" i="8" s="1"/>
  <c r="J57" i="10"/>
  <c r="F10" i="8" s="1"/>
  <c r="AD57" i="10"/>
  <c r="Z10" i="8" s="1"/>
  <c r="AJ57" i="10"/>
  <c r="AF10" i="8" s="1"/>
  <c r="Z67" i="10"/>
  <c r="V20" i="8" s="1"/>
  <c r="M67" i="10"/>
  <c r="I20" i="8" s="1"/>
  <c r="W67" i="10"/>
  <c r="S20" i="8" s="1"/>
  <c r="AK65" i="10"/>
  <c r="AG18" i="8" s="1"/>
  <c r="N65" i="10"/>
  <c r="J18" i="8" s="1"/>
  <c r="AF65" i="10"/>
  <c r="AB18" i="8" s="1"/>
  <c r="M59" i="10"/>
  <c r="I12" i="8" s="1"/>
  <c r="Z59" i="10"/>
  <c r="V12" i="8" s="1"/>
  <c r="O71" i="10"/>
  <c r="K24" i="8" s="1"/>
  <c r="V71" i="10"/>
  <c r="R24" i="8" s="1"/>
  <c r="Y63" i="10"/>
  <c r="U16" i="8" s="1"/>
  <c r="AD63" i="10"/>
  <c r="Z16" i="8" s="1"/>
  <c r="AL51" i="10"/>
  <c r="AH4" i="8" s="1"/>
  <c r="R51" i="10"/>
  <c r="N4" i="8" s="1"/>
  <c r="W52" i="10"/>
  <c r="S5" i="8" s="1"/>
  <c r="AI52" i="10"/>
  <c r="AE5" i="8" s="1"/>
  <c r="G50" i="10"/>
  <c r="C3" i="8" s="1"/>
  <c r="Z50" i="10"/>
  <c r="V3" i="8" s="1"/>
  <c r="J78" i="10"/>
  <c r="F31" i="8" s="1"/>
  <c r="F78" i="10"/>
  <c r="B31" i="8" s="1"/>
  <c r="AC76" i="10"/>
  <c r="Y29" i="8" s="1"/>
  <c r="Q76" i="10"/>
  <c r="M29" i="8" s="1"/>
  <c r="U74" i="10"/>
  <c r="Q27" i="8" s="1"/>
  <c r="AH74" i="10"/>
  <c r="AD27" i="8" s="1"/>
  <c r="L72" i="10"/>
  <c r="H25" i="8" s="1"/>
  <c r="AB51" i="10"/>
  <c r="X4" i="8" s="1"/>
  <c r="AI50" i="10"/>
  <c r="AE3" i="8" s="1"/>
  <c r="AI76" i="10"/>
  <c r="AE29" i="8" s="1"/>
  <c r="AB70" i="10"/>
  <c r="X23" i="8" s="1"/>
  <c r="AI58" i="10"/>
  <c r="AE11" i="8" s="1"/>
  <c r="AB52" i="10"/>
  <c r="X5" i="8" s="1"/>
  <c r="AB50" i="10"/>
  <c r="X3" i="8" s="1"/>
  <c r="M78" i="10"/>
  <c r="I31" i="8" s="1"/>
  <c r="AI74" i="10"/>
  <c r="AE27" i="8" s="1"/>
  <c r="AB68" i="10"/>
  <c r="X21" i="8" s="1"/>
  <c r="M58" i="10"/>
  <c r="I11" i="8" s="1"/>
  <c r="AI56" i="10"/>
  <c r="AE9" i="8" s="1"/>
  <c r="AI61" i="10"/>
  <c r="AE14" i="8" s="1"/>
  <c r="AI55" i="10"/>
  <c r="AE8" i="8" s="1"/>
  <c r="AI62" i="10"/>
  <c r="AE15" i="8" s="1"/>
  <c r="AI60" i="10"/>
  <c r="AE13" i="8" s="1"/>
  <c r="AI54" i="10"/>
  <c r="AE7" i="8" s="1"/>
  <c r="M61" i="10"/>
  <c r="I14" i="8" s="1"/>
  <c r="M55" i="10"/>
  <c r="I8" i="8" s="1"/>
  <c r="AI59" i="10"/>
  <c r="AE12" i="8" s="1"/>
  <c r="M63" i="10"/>
  <c r="I16" i="8" s="1"/>
  <c r="M76" i="10"/>
  <c r="I29" i="8" s="1"/>
  <c r="M68" i="10"/>
  <c r="I21" i="8" s="1"/>
  <c r="AB66" i="10"/>
  <c r="X19" i="8" s="1"/>
  <c r="AB62" i="10"/>
  <c r="X15" i="8" s="1"/>
  <c r="M60" i="10"/>
  <c r="I13" i="8" s="1"/>
  <c r="AB61" i="10"/>
  <c r="X14" i="8" s="1"/>
  <c r="AI64" i="10"/>
  <c r="AE17" i="8" s="1"/>
  <c r="AB56" i="10"/>
  <c r="X9" i="8" s="1"/>
  <c r="M66" i="10"/>
  <c r="I19" i="8" s="1"/>
  <c r="AB64" i="10"/>
  <c r="X17" i="8" s="1"/>
  <c r="M62" i="10"/>
  <c r="I15" i="8" s="1"/>
  <c r="AB60" i="10"/>
  <c r="X13" i="8" s="1"/>
  <c r="AB54" i="10"/>
  <c r="X7" i="8" s="1"/>
  <c r="AB55" i="10"/>
  <c r="X8" i="8" s="1"/>
  <c r="M56" i="10"/>
  <c r="I9" i="8" s="1"/>
  <c r="AB65" i="10"/>
  <c r="X18" i="8" s="1"/>
  <c r="AI71" i="10"/>
  <c r="AE24" i="8" s="1"/>
  <c r="AB78" i="10"/>
  <c r="X31" i="8" s="1"/>
  <c r="AB76" i="10"/>
  <c r="X29" i="8" s="1"/>
  <c r="M72" i="10"/>
  <c r="I25" i="8" s="1"/>
  <c r="M64" i="10"/>
  <c r="I17" i="8" s="1"/>
  <c r="AK77" i="9"/>
  <c r="AG62" i="8" s="1"/>
  <c r="U77" i="9"/>
  <c r="Q62" i="8" s="1"/>
  <c r="I75" i="9"/>
  <c r="E60" i="8" s="1"/>
  <c r="AJ75" i="9"/>
  <c r="AF60" i="8" s="1"/>
  <c r="F78" i="9"/>
  <c r="B63" i="8" s="1"/>
  <c r="AK76" i="9"/>
  <c r="AG61" i="8" s="1"/>
  <c r="Z59" i="9"/>
  <c r="V44" i="8" s="1"/>
  <c r="F74" i="9"/>
  <c r="B59" i="8" s="1"/>
  <c r="X74" i="9"/>
  <c r="T59" i="8" s="1"/>
  <c r="I72" i="9"/>
  <c r="E57" i="8" s="1"/>
  <c r="I70" i="9"/>
  <c r="E55" i="8" s="1"/>
  <c r="U66" i="9"/>
  <c r="Q51" i="8" s="1"/>
  <c r="I66" i="9"/>
  <c r="E51" i="8" s="1"/>
  <c r="U64" i="9"/>
  <c r="Q49" i="8" s="1"/>
  <c r="W62" i="9"/>
  <c r="S47" i="8" s="1"/>
  <c r="G60" i="9"/>
  <c r="C45" i="8" s="1"/>
  <c r="W58" i="9"/>
  <c r="S43" i="8" s="1"/>
  <c r="W56" i="9"/>
  <c r="S41" i="8" s="1"/>
  <c r="AK54" i="9"/>
  <c r="AG39" i="8" s="1"/>
  <c r="I52" i="9"/>
  <c r="E37" i="8" s="1"/>
  <c r="G51" i="9"/>
  <c r="C36" i="8" s="1"/>
  <c r="U73" i="9"/>
  <c r="Q58" i="8" s="1"/>
  <c r="O56" i="9"/>
  <c r="K41" i="8" s="1"/>
  <c r="W77" i="9"/>
  <c r="S62" i="8" s="1"/>
  <c r="U75" i="9"/>
  <c r="Q60" i="8" s="1"/>
  <c r="V78" i="9"/>
  <c r="R63" i="8" s="1"/>
  <c r="R78" i="9"/>
  <c r="N63" i="8" s="1"/>
  <c r="K76" i="9"/>
  <c r="G61" i="8" s="1"/>
  <c r="G76" i="9"/>
  <c r="C61" i="8" s="1"/>
  <c r="I58" i="9"/>
  <c r="E43" i="8" s="1"/>
  <c r="I76" i="9"/>
  <c r="E61" i="8" s="1"/>
  <c r="R74" i="9"/>
  <c r="N59" i="8" s="1"/>
  <c r="I74" i="9"/>
  <c r="E59" i="8" s="1"/>
  <c r="AA72" i="9"/>
  <c r="W57" i="8" s="1"/>
  <c r="Q70" i="9"/>
  <c r="M55" i="8" s="1"/>
  <c r="AH66" i="9"/>
  <c r="AD51" i="8" s="1"/>
  <c r="Q66" i="9"/>
  <c r="M51" i="8" s="1"/>
  <c r="AK64" i="9"/>
  <c r="AG49" i="8" s="1"/>
  <c r="U60" i="9"/>
  <c r="Q45" i="8" s="1"/>
  <c r="AI58" i="9"/>
  <c r="AE43" i="8" s="1"/>
  <c r="G54" i="9"/>
  <c r="C39" i="8" s="1"/>
  <c r="G73" i="9"/>
  <c r="C58" i="8" s="1"/>
  <c r="AE51" i="9"/>
  <c r="AA36" i="8" s="1"/>
  <c r="X77" i="9"/>
  <c r="T62" i="8" s="1"/>
  <c r="AK75" i="9"/>
  <c r="AG60" i="8" s="1"/>
  <c r="AA69" i="9"/>
  <c r="W54" i="8" s="1"/>
  <c r="W76" i="9"/>
  <c r="S61" i="8" s="1"/>
  <c r="H55" i="9"/>
  <c r="D40" i="8" s="1"/>
  <c r="V74" i="9"/>
  <c r="R59" i="8" s="1"/>
  <c r="Q74" i="9"/>
  <c r="M59" i="8" s="1"/>
  <c r="U72" i="9"/>
  <c r="Q57" i="8" s="1"/>
  <c r="U70" i="9"/>
  <c r="Q55" i="8" s="1"/>
  <c r="AH70" i="9"/>
  <c r="AD55" i="8" s="1"/>
  <c r="W68" i="9"/>
  <c r="S53" i="8" s="1"/>
  <c r="X62" i="9"/>
  <c r="T47" i="8" s="1"/>
  <c r="AK60" i="9"/>
  <c r="AG45" i="8" s="1"/>
  <c r="I56" i="9"/>
  <c r="E41" i="8" s="1"/>
  <c r="W54" i="9"/>
  <c r="S39" i="8" s="1"/>
  <c r="I50" i="9"/>
  <c r="E35" i="8" s="1"/>
  <c r="W53" i="9"/>
  <c r="S38" i="8" s="1"/>
  <c r="U51" i="9"/>
  <c r="Q36" i="8" s="1"/>
  <c r="AL54" i="9"/>
  <c r="AH39" i="8" s="1"/>
  <c r="I77" i="9"/>
  <c r="E62" i="8" s="1"/>
  <c r="W78" i="9"/>
  <c r="S63" i="8" s="1"/>
  <c r="X78" i="9"/>
  <c r="T63" i="8" s="1"/>
  <c r="X76" i="9"/>
  <c r="T61" i="8" s="1"/>
  <c r="H76" i="9"/>
  <c r="D61" i="8" s="1"/>
  <c r="Y70" i="9"/>
  <c r="U55" i="8" s="1"/>
  <c r="G74" i="9"/>
  <c r="C59" i="8" s="1"/>
  <c r="AA70" i="9"/>
  <c r="W55" i="8" s="1"/>
  <c r="AK66" i="9"/>
  <c r="AG51" i="8" s="1"/>
  <c r="AI62" i="9"/>
  <c r="AE47" i="8" s="1"/>
  <c r="I62" i="9"/>
  <c r="E47" i="8" s="1"/>
  <c r="AF60" i="9"/>
  <c r="AB45" i="8" s="1"/>
  <c r="U56" i="9"/>
  <c r="Q41" i="8" s="1"/>
  <c r="AK50" i="9"/>
  <c r="AG35" i="8" s="1"/>
  <c r="N53" i="9"/>
  <c r="J38" i="8" s="1"/>
  <c r="AK70" i="9"/>
  <c r="AG55" i="8" s="1"/>
  <c r="G71" i="9"/>
  <c r="C56" i="8" s="1"/>
  <c r="G57" i="9"/>
  <c r="G58" i="9"/>
  <c r="C43" i="8" s="1"/>
  <c r="V77" i="9"/>
  <c r="R62" i="8" s="1"/>
  <c r="G75" i="9"/>
  <c r="C60" i="8" s="1"/>
  <c r="T78" i="9"/>
  <c r="P63" i="8" s="1"/>
  <c r="AI78" i="9"/>
  <c r="AE63" i="8" s="1"/>
  <c r="AH76" i="9"/>
  <c r="AD61" i="8" s="1"/>
  <c r="R76" i="9"/>
  <c r="N61" i="8" s="1"/>
  <c r="W74" i="9"/>
  <c r="S59" i="8" s="1"/>
  <c r="AH72" i="9"/>
  <c r="AD57" i="8" s="1"/>
  <c r="U68" i="9"/>
  <c r="Q53" i="8" s="1"/>
  <c r="W64" i="9"/>
  <c r="S49" i="8" s="1"/>
  <c r="AK62" i="9"/>
  <c r="AG47" i="8" s="1"/>
  <c r="U52" i="9"/>
  <c r="Q37" i="8" s="1"/>
  <c r="G50" i="9"/>
  <c r="C35" i="8" s="1"/>
  <c r="I61" i="9"/>
  <c r="L71" i="9"/>
  <c r="H56" i="8" s="1"/>
  <c r="I71" i="9"/>
  <c r="E56" i="8" s="1"/>
  <c r="U63" i="9"/>
  <c r="Q48" i="8" s="1"/>
  <c r="I57" i="9"/>
  <c r="U53" i="9"/>
  <c r="Q38" i="8" s="1"/>
  <c r="AD77" i="9"/>
  <c r="Z62" i="8" s="1"/>
  <c r="G78" i="9"/>
  <c r="C63" i="8" s="1"/>
  <c r="AD78" i="9"/>
  <c r="Z63" i="8" s="1"/>
  <c r="N78" i="9"/>
  <c r="J63" i="8" s="1"/>
  <c r="I78" i="9"/>
  <c r="E63" i="8" s="1"/>
  <c r="Z72" i="9"/>
  <c r="V57" i="8" s="1"/>
  <c r="AI74" i="9"/>
  <c r="AE59" i="8" s="1"/>
  <c r="K74" i="9"/>
  <c r="G59" i="8" s="1"/>
  <c r="G72" i="9"/>
  <c r="C57" i="8" s="1"/>
  <c r="AF72" i="9"/>
  <c r="AB57" i="8" s="1"/>
  <c r="G70" i="9"/>
  <c r="C55" i="8" s="1"/>
  <c r="G68" i="9"/>
  <c r="C53" i="8" s="1"/>
  <c r="AK68" i="9"/>
  <c r="AG53" i="8" s="1"/>
  <c r="G66" i="9"/>
  <c r="C51" i="8" s="1"/>
  <c r="G64" i="9"/>
  <c r="C49" i="8" s="1"/>
  <c r="G62" i="9"/>
  <c r="C47" i="8" s="1"/>
  <c r="W60" i="9"/>
  <c r="S45" i="8" s="1"/>
  <c r="I54" i="9"/>
  <c r="E39" i="8" s="1"/>
  <c r="U50" i="9"/>
  <c r="Q35" i="8" s="1"/>
  <c r="W75" i="9"/>
  <c r="S60" i="8" s="1"/>
  <c r="S76" i="9"/>
  <c r="O61" i="8" s="1"/>
  <c r="AI76" i="9"/>
  <c r="AE61" i="8" s="1"/>
  <c r="U76" i="9"/>
  <c r="Q61" i="8" s="1"/>
  <c r="U74" i="9"/>
  <c r="Q59" i="8" s="1"/>
  <c r="W72" i="9"/>
  <c r="S57" i="8" s="1"/>
  <c r="W70" i="9"/>
  <c r="S55" i="8" s="1"/>
  <c r="I68" i="9"/>
  <c r="E53" i="8" s="1"/>
  <c r="W66" i="9"/>
  <c r="S51" i="8" s="1"/>
  <c r="I64" i="9"/>
  <c r="E49" i="8" s="1"/>
  <c r="U62" i="9"/>
  <c r="Q47" i="8" s="1"/>
  <c r="AL56" i="9"/>
  <c r="AH41" i="8" s="1"/>
  <c r="AL61" i="9"/>
  <c r="V75" i="9"/>
  <c r="R60" i="8" s="1"/>
  <c r="S75" i="9"/>
  <c r="O60" i="8" s="1"/>
  <c r="K66" i="9"/>
  <c r="G51" i="8" s="1"/>
  <c r="K52" i="9"/>
  <c r="G37" i="8" s="1"/>
  <c r="K58" i="9"/>
  <c r="G43" i="8" s="1"/>
  <c r="K50" i="9"/>
  <c r="G35" i="8" s="1"/>
  <c r="K56" i="9"/>
  <c r="G41" i="8" s="1"/>
  <c r="K60" i="9"/>
  <c r="G45" i="8" s="1"/>
  <c r="K62" i="9"/>
  <c r="G47" i="8" s="1"/>
  <c r="K64" i="9"/>
  <c r="G49" i="8" s="1"/>
  <c r="J78" i="9"/>
  <c r="F63" i="8" s="1"/>
  <c r="AH78" i="9"/>
  <c r="AD63" i="8" s="1"/>
  <c r="AA78" i="9"/>
  <c r="W63" i="8" s="1"/>
  <c r="V76" i="9"/>
  <c r="R61" i="8" s="1"/>
  <c r="AJ76" i="9"/>
  <c r="AF61" i="8" s="1"/>
  <c r="AF56" i="9"/>
  <c r="AB41" i="8" s="1"/>
  <c r="AF58" i="9"/>
  <c r="AB43" i="8" s="1"/>
  <c r="AF52" i="9"/>
  <c r="AB37" i="8" s="1"/>
  <c r="AF62" i="9"/>
  <c r="AB47" i="8" s="1"/>
  <c r="AF64" i="9"/>
  <c r="AB49" i="8" s="1"/>
  <c r="AF66" i="9"/>
  <c r="AB51" i="8" s="1"/>
  <c r="T57" i="9"/>
  <c r="AB68" i="9"/>
  <c r="X53" i="8" s="1"/>
  <c r="AB70" i="9"/>
  <c r="X55" i="8" s="1"/>
  <c r="AB54" i="9"/>
  <c r="X39" i="8" s="1"/>
  <c r="AB60" i="9"/>
  <c r="X45" i="8" s="1"/>
  <c r="AB58" i="9"/>
  <c r="X43" i="8" s="1"/>
  <c r="AB52" i="9"/>
  <c r="X37" i="8" s="1"/>
  <c r="AB50" i="9"/>
  <c r="X35" i="8" s="1"/>
  <c r="AH74" i="9"/>
  <c r="AD59" i="8" s="1"/>
  <c r="AA74" i="9"/>
  <c r="W59" i="8" s="1"/>
  <c r="J74" i="9"/>
  <c r="F59" i="8" s="1"/>
  <c r="AF74" i="9"/>
  <c r="AB59" i="8" s="1"/>
  <c r="F72" i="9"/>
  <c r="B57" i="8" s="1"/>
  <c r="AJ72" i="9"/>
  <c r="AF57" i="8" s="1"/>
  <c r="N70" i="9"/>
  <c r="J55" i="8" s="1"/>
  <c r="P70" i="9"/>
  <c r="L55" i="8" s="1"/>
  <c r="K70" i="9"/>
  <c r="G55" i="8" s="1"/>
  <c r="AH68" i="9"/>
  <c r="AD53" i="8" s="1"/>
  <c r="AC68" i="9"/>
  <c r="Y53" i="8" s="1"/>
  <c r="T63" i="9"/>
  <c r="P48" i="8" s="1"/>
  <c r="T62" i="9"/>
  <c r="P47" i="8" s="1"/>
  <c r="T64" i="9"/>
  <c r="P49" i="8" s="1"/>
  <c r="T66" i="9"/>
  <c r="P51" i="8" s="1"/>
  <c r="T55" i="9"/>
  <c r="P40" i="8" s="1"/>
  <c r="T61" i="9"/>
  <c r="T65" i="9"/>
  <c r="P50" i="8" s="1"/>
  <c r="T56" i="9"/>
  <c r="P41" i="8" s="1"/>
  <c r="T68" i="9"/>
  <c r="P53" i="8" s="1"/>
  <c r="T70" i="9"/>
  <c r="P55" i="8" s="1"/>
  <c r="T69" i="9"/>
  <c r="P54" i="8" s="1"/>
  <c r="T71" i="9"/>
  <c r="P56" i="8" s="1"/>
  <c r="T73" i="9"/>
  <c r="P58" i="8" s="1"/>
  <c r="T52" i="9"/>
  <c r="P37" i="8" s="1"/>
  <c r="T54" i="9"/>
  <c r="P39" i="8" s="1"/>
  <c r="T67" i="9"/>
  <c r="P52" i="8" s="1"/>
  <c r="T60" i="9"/>
  <c r="P45" i="8" s="1"/>
  <c r="T59" i="9"/>
  <c r="P44" i="8" s="1"/>
  <c r="T58" i="9"/>
  <c r="P43" i="8" s="1"/>
  <c r="T51" i="9"/>
  <c r="P36" i="8" s="1"/>
  <c r="T53" i="9"/>
  <c r="P38" i="8" s="1"/>
  <c r="R61" i="9"/>
  <c r="N55" i="9"/>
  <c r="J40" i="8" s="1"/>
  <c r="M53" i="9"/>
  <c r="I38" i="8" s="1"/>
  <c r="M59" i="9"/>
  <c r="I44" i="8" s="1"/>
  <c r="M67" i="9"/>
  <c r="I52" i="8" s="1"/>
  <c r="M61" i="9"/>
  <c r="M56" i="9"/>
  <c r="I41" i="8" s="1"/>
  <c r="M73" i="9"/>
  <c r="I58" i="8" s="1"/>
  <c r="M62" i="9"/>
  <c r="I47" i="8" s="1"/>
  <c r="M51" i="9"/>
  <c r="I36" i="8" s="1"/>
  <c r="M57" i="9"/>
  <c r="M63" i="9"/>
  <c r="I48" i="8" s="1"/>
  <c r="M71" i="9"/>
  <c r="I56" i="8" s="1"/>
  <c r="M50" i="9"/>
  <c r="I35" i="8" s="1"/>
  <c r="M64" i="9"/>
  <c r="I49" i="8" s="1"/>
  <c r="M55" i="9"/>
  <c r="I40" i="8" s="1"/>
  <c r="M65" i="9"/>
  <c r="I50" i="8" s="1"/>
  <c r="M52" i="9"/>
  <c r="I37" i="8" s="1"/>
  <c r="M58" i="9"/>
  <c r="I43" i="8" s="1"/>
  <c r="M60" i="9"/>
  <c r="I45" i="8" s="1"/>
  <c r="AB57" i="9"/>
  <c r="AB73" i="9"/>
  <c r="X58" i="8" s="1"/>
  <c r="AD65" i="9"/>
  <c r="Z50" i="8" s="1"/>
  <c r="S77" i="9"/>
  <c r="O62" i="8" s="1"/>
  <c r="H75" i="9"/>
  <c r="D60" i="8" s="1"/>
  <c r="Y75" i="9"/>
  <c r="U60" i="8" s="1"/>
  <c r="Y76" i="9"/>
  <c r="U61" i="8" s="1"/>
  <c r="AA76" i="9"/>
  <c r="W61" i="8" s="1"/>
  <c r="X60" i="9"/>
  <c r="T45" i="8" s="1"/>
  <c r="X68" i="9"/>
  <c r="T53" i="8" s="1"/>
  <c r="X70" i="9"/>
  <c r="T55" i="8" s="1"/>
  <c r="X56" i="9"/>
  <c r="T41" i="8" s="1"/>
  <c r="X73" i="9"/>
  <c r="T58" i="8" s="1"/>
  <c r="X58" i="9"/>
  <c r="T43" i="8" s="1"/>
  <c r="AB56" i="9"/>
  <c r="X41" i="8" s="1"/>
  <c r="T74" i="9"/>
  <c r="P59" i="8" s="1"/>
  <c r="R72" i="9"/>
  <c r="N57" i="8" s="1"/>
  <c r="V72" i="9"/>
  <c r="R57" i="8" s="1"/>
  <c r="V70" i="9"/>
  <c r="R55" i="8" s="1"/>
  <c r="AF70" i="9"/>
  <c r="AB55" i="8" s="1"/>
  <c r="S70" i="9"/>
  <c r="O55" i="8" s="1"/>
  <c r="K68" i="9"/>
  <c r="G53" i="8" s="1"/>
  <c r="R66" i="9"/>
  <c r="N51" i="8" s="1"/>
  <c r="X66" i="9"/>
  <c r="T51" i="8" s="1"/>
  <c r="F64" i="9"/>
  <c r="B49" i="8" s="1"/>
  <c r="X64" i="9"/>
  <c r="T49" i="8" s="1"/>
  <c r="S60" i="9"/>
  <c r="O45" i="8" s="1"/>
  <c r="X52" i="9"/>
  <c r="T37" i="8" s="1"/>
  <c r="Z51" i="9"/>
  <c r="V36" i="8" s="1"/>
  <c r="Z61" i="9"/>
  <c r="Z67" i="9"/>
  <c r="V52" i="8" s="1"/>
  <c r="Z69" i="9"/>
  <c r="V54" i="8" s="1"/>
  <c r="Z71" i="9"/>
  <c r="V56" i="8" s="1"/>
  <c r="Z58" i="9"/>
  <c r="V43" i="8" s="1"/>
  <c r="Z60" i="9"/>
  <c r="V45" i="8" s="1"/>
  <c r="Z62" i="9"/>
  <c r="V47" i="8" s="1"/>
  <c r="Z68" i="9"/>
  <c r="V53" i="8" s="1"/>
  <c r="Z70" i="9"/>
  <c r="V55" i="8" s="1"/>
  <c r="Z57" i="9"/>
  <c r="Z54" i="9"/>
  <c r="V39" i="8" s="1"/>
  <c r="Z55" i="9"/>
  <c r="V40" i="8" s="1"/>
  <c r="Z53" i="9"/>
  <c r="V38" i="8" s="1"/>
  <c r="Z73" i="9"/>
  <c r="V58" i="8" s="1"/>
  <c r="Z52" i="9"/>
  <c r="V37" i="8" s="1"/>
  <c r="Z50" i="9"/>
  <c r="V35" i="8" s="1"/>
  <c r="V57" i="9"/>
  <c r="V54" i="9"/>
  <c r="R39" i="8" s="1"/>
  <c r="V55" i="9"/>
  <c r="R40" i="8" s="1"/>
  <c r="V65" i="9"/>
  <c r="R50" i="8" s="1"/>
  <c r="V67" i="9"/>
  <c r="R52" i="8" s="1"/>
  <c r="V53" i="9"/>
  <c r="R38" i="8" s="1"/>
  <c r="V52" i="9"/>
  <c r="R37" i="8" s="1"/>
  <c r="V66" i="9"/>
  <c r="R51" i="8" s="1"/>
  <c r="V50" i="9"/>
  <c r="R35" i="8" s="1"/>
  <c r="V69" i="9"/>
  <c r="R54" i="8" s="1"/>
  <c r="V60" i="9"/>
  <c r="R45" i="8" s="1"/>
  <c r="V64" i="9"/>
  <c r="R49" i="8" s="1"/>
  <c r="V59" i="9"/>
  <c r="R44" i="8" s="1"/>
  <c r="V71" i="9"/>
  <c r="R56" i="8" s="1"/>
  <c r="V56" i="9"/>
  <c r="R41" i="8" s="1"/>
  <c r="V51" i="9"/>
  <c r="R36" i="8" s="1"/>
  <c r="V58" i="9"/>
  <c r="R43" i="8" s="1"/>
  <c r="V62" i="9"/>
  <c r="R47" i="8" s="1"/>
  <c r="L55" i="9"/>
  <c r="H40" i="8" s="1"/>
  <c r="AF71" i="9"/>
  <c r="AB56" i="8" s="1"/>
  <c r="AJ67" i="9"/>
  <c r="AF52" i="8" s="1"/>
  <c r="Z65" i="9"/>
  <c r="V50" i="8" s="1"/>
  <c r="S61" i="9"/>
  <c r="P62" i="9"/>
  <c r="L47" i="8" s="1"/>
  <c r="P64" i="9"/>
  <c r="L49" i="8" s="1"/>
  <c r="P66" i="9"/>
  <c r="L51" i="8" s="1"/>
  <c r="P60" i="9"/>
  <c r="L45" i="8" s="1"/>
  <c r="P68" i="9"/>
  <c r="L53" i="8" s="1"/>
  <c r="P72" i="9"/>
  <c r="L57" i="8" s="1"/>
  <c r="J51" i="9"/>
  <c r="F36" i="8" s="1"/>
  <c r="P73" i="9"/>
  <c r="L58" i="8" s="1"/>
  <c r="AJ61" i="9"/>
  <c r="R53" i="9"/>
  <c r="N38" i="8" s="1"/>
  <c r="AJ56" i="9"/>
  <c r="AF41" i="8" s="1"/>
  <c r="AD70" i="9"/>
  <c r="Z55" i="8" s="1"/>
  <c r="AD60" i="9"/>
  <c r="Z45" i="8" s="1"/>
  <c r="AD56" i="9"/>
  <c r="Z41" i="8" s="1"/>
  <c r="AD62" i="9"/>
  <c r="Z47" i="8" s="1"/>
  <c r="AD64" i="9"/>
  <c r="Z49" i="8" s="1"/>
  <c r="H72" i="9"/>
  <c r="D57" i="8" s="1"/>
  <c r="H74" i="9"/>
  <c r="D59" i="8" s="1"/>
  <c r="H52" i="9"/>
  <c r="D37" i="8" s="1"/>
  <c r="H62" i="9"/>
  <c r="D47" i="8" s="1"/>
  <c r="H64" i="9"/>
  <c r="D49" i="8" s="1"/>
  <c r="H66" i="9"/>
  <c r="D51" i="8" s="1"/>
  <c r="H58" i="9"/>
  <c r="D43" i="8" s="1"/>
  <c r="H60" i="9"/>
  <c r="D45" i="8" s="1"/>
  <c r="H51" i="9"/>
  <c r="D36" i="8" s="1"/>
  <c r="H56" i="9"/>
  <c r="D41" i="8" s="1"/>
  <c r="H69" i="9"/>
  <c r="D54" i="8" s="1"/>
  <c r="P54" i="9"/>
  <c r="L39" i="8" s="1"/>
  <c r="AG68" i="9"/>
  <c r="AC53" i="8" s="1"/>
  <c r="AG53" i="9"/>
  <c r="AC38" i="8" s="1"/>
  <c r="AG50" i="9"/>
  <c r="AC35" i="8" s="1"/>
  <c r="AG63" i="9"/>
  <c r="AC48" i="8" s="1"/>
  <c r="AG69" i="9"/>
  <c r="AC54" i="8" s="1"/>
  <c r="AG52" i="9"/>
  <c r="AC37" i="8" s="1"/>
  <c r="AG62" i="9"/>
  <c r="AC47" i="8" s="1"/>
  <c r="AG66" i="9"/>
  <c r="AC51" i="8" s="1"/>
  <c r="AG64" i="9"/>
  <c r="AC49" i="8" s="1"/>
  <c r="AG51" i="9"/>
  <c r="AC36" i="8" s="1"/>
  <c r="AG61" i="9"/>
  <c r="AG65" i="9"/>
  <c r="AC50" i="8" s="1"/>
  <c r="AG67" i="9"/>
  <c r="AC52" i="8" s="1"/>
  <c r="AG71" i="9"/>
  <c r="AC56" i="8" s="1"/>
  <c r="AG60" i="9"/>
  <c r="AC45" i="8" s="1"/>
  <c r="AG70" i="9"/>
  <c r="AC55" i="8" s="1"/>
  <c r="AG57" i="9"/>
  <c r="AG54" i="9"/>
  <c r="AC39" i="8" s="1"/>
  <c r="AG56" i="9"/>
  <c r="AC41" i="8" s="1"/>
  <c r="AG58" i="9"/>
  <c r="AC43" i="8" s="1"/>
  <c r="AG55" i="9"/>
  <c r="AC40" i="8" s="1"/>
  <c r="AG59" i="9"/>
  <c r="AC44" i="8" s="1"/>
  <c r="AG73" i="9"/>
  <c r="AC58" i="8" s="1"/>
  <c r="Y74" i="9"/>
  <c r="U59" i="8" s="1"/>
  <c r="Y72" i="9"/>
  <c r="U57" i="8" s="1"/>
  <c r="J72" i="9"/>
  <c r="F57" i="8" s="1"/>
  <c r="L70" i="9"/>
  <c r="H55" i="8" s="1"/>
  <c r="AA68" i="9"/>
  <c r="W53" i="8" s="1"/>
  <c r="AD66" i="9"/>
  <c r="Z51" i="8" s="1"/>
  <c r="AD58" i="9"/>
  <c r="Z43" i="8" s="1"/>
  <c r="AA52" i="9"/>
  <c r="W37" i="8" s="1"/>
  <c r="H53" i="9"/>
  <c r="D38" i="8" s="1"/>
  <c r="K73" i="9"/>
  <c r="G58" i="8" s="1"/>
  <c r="AJ57" i="9"/>
  <c r="V73" i="9"/>
  <c r="R58" i="8" s="1"/>
  <c r="AH67" i="9"/>
  <c r="AD52" i="8" s="1"/>
  <c r="K57" i="9"/>
  <c r="F77" i="9"/>
  <c r="B62" i="8" s="1"/>
  <c r="AG75" i="9"/>
  <c r="AC60" i="8" s="1"/>
  <c r="B41" i="9"/>
  <c r="C41" i="9"/>
  <c r="D41" i="9"/>
  <c r="AH54" i="9"/>
  <c r="AD39" i="8" s="1"/>
  <c r="AH55" i="9"/>
  <c r="AD40" i="8" s="1"/>
  <c r="AH62" i="9"/>
  <c r="AD47" i="8" s="1"/>
  <c r="AH58" i="9"/>
  <c r="AD43" i="8" s="1"/>
  <c r="AH50" i="9"/>
  <c r="AD35" i="8" s="1"/>
  <c r="AH64" i="9"/>
  <c r="AD49" i="8" s="1"/>
  <c r="AB78" i="9"/>
  <c r="X63" i="8" s="1"/>
  <c r="Y78" i="9"/>
  <c r="U63" i="8" s="1"/>
  <c r="AG76" i="9"/>
  <c r="AC61" i="8" s="1"/>
  <c r="P76" i="9"/>
  <c r="L61" i="8" s="1"/>
  <c r="AD76" i="9"/>
  <c r="Z61" i="8" s="1"/>
  <c r="AB53" i="9"/>
  <c r="X38" i="8" s="1"/>
  <c r="Q55" i="9"/>
  <c r="M40" i="8" s="1"/>
  <c r="Q58" i="9"/>
  <c r="M43" i="8" s="1"/>
  <c r="Q61" i="9"/>
  <c r="Q71" i="9"/>
  <c r="M56" i="8" s="1"/>
  <c r="Q60" i="9"/>
  <c r="M45" i="8" s="1"/>
  <c r="Q64" i="9"/>
  <c r="M49" i="8" s="1"/>
  <c r="Q53" i="9"/>
  <c r="M38" i="8" s="1"/>
  <c r="Q59" i="9"/>
  <c r="M44" i="8" s="1"/>
  <c r="Q50" i="9"/>
  <c r="M35" i="8" s="1"/>
  <c r="Q63" i="9"/>
  <c r="M48" i="8" s="1"/>
  <c r="Q65" i="9"/>
  <c r="M50" i="8" s="1"/>
  <c r="Q73" i="9"/>
  <c r="M58" i="8" s="1"/>
  <c r="Q52" i="9"/>
  <c r="M37" i="8" s="1"/>
  <c r="Q62" i="9"/>
  <c r="M47" i="8" s="1"/>
  <c r="Q51" i="9"/>
  <c r="M36" i="8" s="1"/>
  <c r="Q67" i="9"/>
  <c r="M52" i="8" s="1"/>
  <c r="Q57" i="9"/>
  <c r="Q54" i="9"/>
  <c r="M39" i="8" s="1"/>
  <c r="AB74" i="9"/>
  <c r="X59" i="8" s="1"/>
  <c r="AG74" i="9"/>
  <c r="AC59" i="8" s="1"/>
  <c r="AD72" i="9"/>
  <c r="Z57" i="8" s="1"/>
  <c r="AG72" i="9"/>
  <c r="AC57" i="8" s="1"/>
  <c r="O70" i="9"/>
  <c r="K55" i="8" s="1"/>
  <c r="AJ70" i="9"/>
  <c r="AF55" i="8" s="1"/>
  <c r="Q68" i="9"/>
  <c r="M53" i="8" s="1"/>
  <c r="L68" i="9"/>
  <c r="H53" i="8" s="1"/>
  <c r="AB66" i="9"/>
  <c r="X51" i="8" s="1"/>
  <c r="AH60" i="9"/>
  <c r="AD45" i="8" s="1"/>
  <c r="P71" i="9"/>
  <c r="L56" i="8" s="1"/>
  <c r="S59" i="9"/>
  <c r="O44" i="8" s="1"/>
  <c r="H54" i="9"/>
  <c r="D39" i="8" s="1"/>
  <c r="L50" i="9"/>
  <c r="H35" i="8" s="1"/>
  <c r="L60" i="9"/>
  <c r="H45" i="8" s="1"/>
  <c r="L62" i="9"/>
  <c r="H47" i="8" s="1"/>
  <c r="L64" i="9"/>
  <c r="H49" i="8" s="1"/>
  <c r="L66" i="9"/>
  <c r="H51" i="8" s="1"/>
  <c r="L57" i="9"/>
  <c r="L54" i="9"/>
  <c r="H39" i="8" s="1"/>
  <c r="L63" i="9"/>
  <c r="H48" i="8" s="1"/>
  <c r="L58" i="9"/>
  <c r="H43" i="8" s="1"/>
  <c r="Q69" i="9"/>
  <c r="M54" i="8" s="1"/>
  <c r="AD67" i="9"/>
  <c r="Z52" i="8" s="1"/>
  <c r="AF63" i="9"/>
  <c r="AB48" i="8" s="1"/>
  <c r="AD75" i="9"/>
  <c r="Z60" i="8" s="1"/>
  <c r="N72" i="9"/>
  <c r="J57" i="8" s="1"/>
  <c r="N52" i="9"/>
  <c r="J37" i="8" s="1"/>
  <c r="N66" i="9"/>
  <c r="J51" i="8" s="1"/>
  <c r="N68" i="9"/>
  <c r="J53" i="8" s="1"/>
  <c r="N57" i="9"/>
  <c r="N58" i="9"/>
  <c r="J43" i="8" s="1"/>
  <c r="N50" i="9"/>
  <c r="J35" i="8" s="1"/>
  <c r="N56" i="9"/>
  <c r="J41" i="8" s="1"/>
  <c r="N60" i="9"/>
  <c r="J45" i="8" s="1"/>
  <c r="N62" i="9"/>
  <c r="J47" i="8" s="1"/>
  <c r="H77" i="9"/>
  <c r="D62" i="8" s="1"/>
  <c r="AF77" i="9"/>
  <c r="AB62" i="8" s="1"/>
  <c r="N77" i="9"/>
  <c r="J62" i="8" s="1"/>
  <c r="N75" i="9"/>
  <c r="J60" i="8" s="1"/>
  <c r="Z75" i="9"/>
  <c r="V60" i="8" s="1"/>
  <c r="AI50" i="9"/>
  <c r="AE35" i="8" s="1"/>
  <c r="AI56" i="9"/>
  <c r="AE41" i="8" s="1"/>
  <c r="AI64" i="9"/>
  <c r="AE49" i="8" s="1"/>
  <c r="AI68" i="9"/>
  <c r="AE53" i="8" s="1"/>
  <c r="AI70" i="9"/>
  <c r="AE55" i="8" s="1"/>
  <c r="AI54" i="9"/>
  <c r="AE39" i="8" s="1"/>
  <c r="AI66" i="9"/>
  <c r="AE51" i="8" s="1"/>
  <c r="AI52" i="9"/>
  <c r="AE37" i="8" s="1"/>
  <c r="Z78" i="9"/>
  <c r="V63" i="8" s="1"/>
  <c r="AG78" i="9"/>
  <c r="AC63" i="8" s="1"/>
  <c r="N76" i="9"/>
  <c r="J61" i="8" s="1"/>
  <c r="Z76" i="9"/>
  <c r="V61" i="8" s="1"/>
  <c r="L76" i="9"/>
  <c r="H61" i="8" s="1"/>
  <c r="V61" i="9"/>
  <c r="AJ52" i="9"/>
  <c r="AF37" i="8" s="1"/>
  <c r="Z74" i="9"/>
  <c r="V59" i="8" s="1"/>
  <c r="Q72" i="9"/>
  <c r="M57" i="8" s="1"/>
  <c r="K72" i="9"/>
  <c r="G57" i="8" s="1"/>
  <c r="L72" i="9"/>
  <c r="H57" i="8" s="1"/>
  <c r="V68" i="9"/>
  <c r="R53" i="8" s="1"/>
  <c r="AJ68" i="9"/>
  <c r="AF53" i="8" s="1"/>
  <c r="Z64" i="9"/>
  <c r="V49" i="8" s="1"/>
  <c r="AB62" i="9"/>
  <c r="X47" i="8" s="1"/>
  <c r="K54" i="9"/>
  <c r="G39" i="8" s="1"/>
  <c r="AD52" i="9"/>
  <c r="Z37" i="8" s="1"/>
  <c r="X63" i="9"/>
  <c r="T48" i="8" s="1"/>
  <c r="AA62" i="9"/>
  <c r="W47" i="8" s="1"/>
  <c r="M69" i="9"/>
  <c r="I54" i="8" s="1"/>
  <c r="AB59" i="9"/>
  <c r="X44" i="8" s="1"/>
  <c r="L51" i="9"/>
  <c r="H36" i="8" s="1"/>
  <c r="F58" i="9"/>
  <c r="B43" i="8" s="1"/>
  <c r="F60" i="9"/>
  <c r="B45" i="8" s="1"/>
  <c r="F52" i="9"/>
  <c r="B37" i="8" s="1"/>
  <c r="F66" i="9"/>
  <c r="B51" i="8" s="1"/>
  <c r="F57" i="9"/>
  <c r="F56" i="9"/>
  <c r="B41" i="8" s="1"/>
  <c r="AJ54" i="9"/>
  <c r="AF39" i="8" s="1"/>
  <c r="AJ60" i="9"/>
  <c r="AF45" i="8" s="1"/>
  <c r="AJ58" i="9"/>
  <c r="AF43" i="8" s="1"/>
  <c r="AJ50" i="9"/>
  <c r="AF35" i="8" s="1"/>
  <c r="AJ62" i="9"/>
  <c r="AF47" i="8" s="1"/>
  <c r="AJ64" i="9"/>
  <c r="AF49" i="8" s="1"/>
  <c r="AJ66" i="9"/>
  <c r="AF51" i="8" s="1"/>
  <c r="AA50" i="9"/>
  <c r="W35" i="8" s="1"/>
  <c r="AA56" i="9"/>
  <c r="W41" i="8" s="1"/>
  <c r="AA64" i="9"/>
  <c r="W49" i="8" s="1"/>
  <c r="AA66" i="9"/>
  <c r="W51" i="8" s="1"/>
  <c r="AA54" i="9"/>
  <c r="W39" i="8" s="1"/>
  <c r="AA60" i="9"/>
  <c r="W45" i="8" s="1"/>
  <c r="R64" i="9"/>
  <c r="N49" i="8" s="1"/>
  <c r="R60" i="9"/>
  <c r="N45" i="8" s="1"/>
  <c r="R68" i="9"/>
  <c r="N53" i="8" s="1"/>
  <c r="R54" i="9"/>
  <c r="N39" i="8" s="1"/>
  <c r="R62" i="9"/>
  <c r="N47" i="8" s="1"/>
  <c r="L78" i="9"/>
  <c r="H63" i="8" s="1"/>
  <c r="AJ78" i="9"/>
  <c r="AF63" i="8" s="1"/>
  <c r="H78" i="9"/>
  <c r="D63" i="8" s="1"/>
  <c r="T76" i="9"/>
  <c r="P61" i="8" s="1"/>
  <c r="P51" i="9"/>
  <c r="L36" i="8" s="1"/>
  <c r="AJ74" i="9"/>
  <c r="AF59" i="8" s="1"/>
  <c r="P74" i="9"/>
  <c r="L59" i="8" s="1"/>
  <c r="X72" i="9"/>
  <c r="T57" i="8" s="1"/>
  <c r="T72" i="9"/>
  <c r="P57" i="8" s="1"/>
  <c r="R70" i="9"/>
  <c r="N55" i="8" s="1"/>
  <c r="Z66" i="9"/>
  <c r="V51" i="8" s="1"/>
  <c r="O66" i="9"/>
  <c r="K51" i="8" s="1"/>
  <c r="O64" i="9"/>
  <c r="K49" i="8" s="1"/>
  <c r="AB64" i="9"/>
  <c r="X49" i="8" s="1"/>
  <c r="O58" i="9"/>
  <c r="K43" i="8" s="1"/>
  <c r="R50" i="9"/>
  <c r="N35" i="8" s="1"/>
  <c r="AF57" i="9"/>
  <c r="AI55" i="9"/>
  <c r="AE40" i="8" s="1"/>
  <c r="AA65" i="9"/>
  <c r="W50" i="8" s="1"/>
  <c r="Z63" i="9"/>
  <c r="V48" i="8" s="1"/>
  <c r="AD55" i="9"/>
  <c r="Z40" i="8" s="1"/>
  <c r="F51" i="9"/>
  <c r="B36" i="8" s="1"/>
  <c r="P55" i="9"/>
  <c r="L40" i="8" s="1"/>
  <c r="S72" i="9"/>
  <c r="O57" i="8" s="1"/>
  <c r="S74" i="9"/>
  <c r="O59" i="8" s="1"/>
  <c r="S58" i="9"/>
  <c r="O43" i="8" s="1"/>
  <c r="S62" i="9"/>
  <c r="O47" i="8" s="1"/>
  <c r="S64" i="9"/>
  <c r="O49" i="8" s="1"/>
  <c r="S54" i="9"/>
  <c r="O39" i="8" s="1"/>
  <c r="J64" i="9"/>
  <c r="F49" i="8" s="1"/>
  <c r="J60" i="9"/>
  <c r="F45" i="8" s="1"/>
  <c r="J66" i="9"/>
  <c r="F51" i="8" s="1"/>
  <c r="J58" i="9"/>
  <c r="F43" i="8" s="1"/>
  <c r="P78" i="9"/>
  <c r="L63" i="8" s="1"/>
  <c r="J76" i="9"/>
  <c r="F61" i="8" s="1"/>
  <c r="AB76" i="9"/>
  <c r="X61" i="8" s="1"/>
  <c r="Y60" i="9"/>
  <c r="U45" i="8" s="1"/>
  <c r="Y73" i="9"/>
  <c r="U58" i="8" s="1"/>
  <c r="Y50" i="9"/>
  <c r="U35" i="8" s="1"/>
  <c r="Y52" i="9"/>
  <c r="U37" i="8" s="1"/>
  <c r="Y62" i="9"/>
  <c r="U47" i="8" s="1"/>
  <c r="Y66" i="9"/>
  <c r="U51" i="8" s="1"/>
  <c r="Y58" i="9"/>
  <c r="U43" i="8" s="1"/>
  <c r="Y54" i="9"/>
  <c r="U39" i="8" s="1"/>
  <c r="Y56" i="9"/>
  <c r="U41" i="8" s="1"/>
  <c r="Y64" i="9"/>
  <c r="U49" i="8" s="1"/>
  <c r="F70" i="9"/>
  <c r="B55" i="8" s="1"/>
  <c r="H70" i="9"/>
  <c r="D55" i="8" s="1"/>
  <c r="AD68" i="9"/>
  <c r="Z53" i="8" s="1"/>
  <c r="J68" i="9"/>
  <c r="F53" i="8" s="1"/>
  <c r="F62" i="9"/>
  <c r="B47" i="8" s="1"/>
  <c r="J61" i="9"/>
  <c r="F55" i="9"/>
  <c r="B40" i="8" s="1"/>
  <c r="AH69" i="9"/>
  <c r="AD54" i="8" s="1"/>
  <c r="AJ65" i="9"/>
  <c r="AF50" i="8" s="1"/>
  <c r="Y55" i="9"/>
  <c r="U40" i="8" s="1"/>
  <c r="AC51" i="9"/>
  <c r="Y36" i="8" s="1"/>
  <c r="AC57" i="9"/>
  <c r="AC71" i="9"/>
  <c r="Y56" i="8" s="1"/>
  <c r="AC66" i="9"/>
  <c r="Y51" i="8" s="1"/>
  <c r="AC50" i="9"/>
  <c r="Y35" i="8" s="1"/>
  <c r="AC61" i="9"/>
  <c r="AC63" i="9"/>
  <c r="Y48" i="8" s="1"/>
  <c r="AC67" i="9"/>
  <c r="Y52" i="8" s="1"/>
  <c r="AC58" i="9"/>
  <c r="Y43" i="8" s="1"/>
  <c r="AC62" i="9"/>
  <c r="Y47" i="8" s="1"/>
  <c r="AC64" i="9"/>
  <c r="Y49" i="8" s="1"/>
  <c r="AC55" i="9"/>
  <c r="Y40" i="8" s="1"/>
  <c r="AC59" i="9"/>
  <c r="Y44" i="8" s="1"/>
  <c r="AC65" i="9"/>
  <c r="Y50" i="8" s="1"/>
  <c r="AC73" i="9"/>
  <c r="Y58" i="8" s="1"/>
  <c r="AC52" i="9"/>
  <c r="Y37" i="8" s="1"/>
  <c r="AC60" i="9"/>
  <c r="Y45" i="8" s="1"/>
  <c r="AC69" i="9"/>
  <c r="Y54" i="8" s="1"/>
  <c r="AC54" i="9"/>
  <c r="Y39" i="8" s="1"/>
  <c r="AC53" i="9"/>
  <c r="Y38" i="8" s="1"/>
  <c r="O54" i="9"/>
  <c r="K39" i="8" s="1"/>
  <c r="O62" i="9"/>
  <c r="K47" i="8" s="1"/>
  <c r="O52" i="9"/>
  <c r="K37" i="8" s="1"/>
  <c r="O60" i="9"/>
  <c r="K45" i="8" s="1"/>
  <c r="W50" i="9"/>
  <c r="S35" i="8" s="1"/>
  <c r="AJ59" i="9"/>
  <c r="AF44" i="8" s="1"/>
  <c r="AH56" i="9"/>
  <c r="AD41" i="8" s="1"/>
  <c r="AD57" i="9"/>
  <c r="AD53" i="9"/>
  <c r="Z38" i="8" s="1"/>
  <c r="AD54" i="9"/>
  <c r="Z39" i="8" s="1"/>
  <c r="AD50" i="9"/>
  <c r="Z35" i="8" s="1"/>
  <c r="AI65" i="9"/>
  <c r="AE50" i="8" s="1"/>
  <c r="L56" i="9"/>
  <c r="H41" i="8" s="1"/>
  <c r="I73" i="9"/>
  <c r="E58" i="8" s="1"/>
  <c r="AD73" i="9"/>
  <c r="Z58" i="8" s="1"/>
  <c r="S71" i="9"/>
  <c r="O56" i="8" s="1"/>
  <c r="U71" i="9"/>
  <c r="Q56" i="8" s="1"/>
  <c r="F71" i="9"/>
  <c r="B56" i="8" s="1"/>
  <c r="S69" i="9"/>
  <c r="O54" i="8" s="1"/>
  <c r="U69" i="9"/>
  <c r="Q54" i="8" s="1"/>
  <c r="G69" i="9"/>
  <c r="C54" i="8" s="1"/>
  <c r="O67" i="9"/>
  <c r="K52" i="8" s="1"/>
  <c r="I67" i="9"/>
  <c r="E52" i="8" s="1"/>
  <c r="K67" i="9"/>
  <c r="G52" i="8" s="1"/>
  <c r="AL67" i="9"/>
  <c r="AH52" i="8" s="1"/>
  <c r="I65" i="9"/>
  <c r="E50" i="8" s="1"/>
  <c r="AL65" i="9"/>
  <c r="AH50" i="8" s="1"/>
  <c r="AH65" i="9"/>
  <c r="AD50" i="8" s="1"/>
  <c r="W63" i="9"/>
  <c r="S48" i="8" s="1"/>
  <c r="AH63" i="9"/>
  <c r="AD48" i="8" s="1"/>
  <c r="AD63" i="9"/>
  <c r="Z48" i="8" s="1"/>
  <c r="N61" i="9"/>
  <c r="AF61" i="9"/>
  <c r="G61" i="9"/>
  <c r="K59" i="9"/>
  <c r="G44" i="8" s="1"/>
  <c r="AF59" i="9"/>
  <c r="AB44" i="8" s="1"/>
  <c r="O57" i="9"/>
  <c r="S57" i="9"/>
  <c r="K55" i="9"/>
  <c r="G40" i="8" s="1"/>
  <c r="X53" i="9"/>
  <c r="T38" i="8" s="1"/>
  <c r="N51" i="9"/>
  <c r="J36" i="8" s="1"/>
  <c r="I51" i="9"/>
  <c r="E36" i="8" s="1"/>
  <c r="X54" i="9"/>
  <c r="T39" i="8" s="1"/>
  <c r="AJ53" i="9"/>
  <c r="AF38" i="8" s="1"/>
  <c r="AE50" i="9"/>
  <c r="AA35" i="8" s="1"/>
  <c r="AE63" i="9"/>
  <c r="AA48" i="8" s="1"/>
  <c r="AL75" i="9"/>
  <c r="AH60" i="8" s="1"/>
  <c r="AL53" i="9"/>
  <c r="AH38" i="8" s="1"/>
  <c r="AL50" i="9"/>
  <c r="AH35" i="8" s="1"/>
  <c r="AL57" i="9"/>
  <c r="AH51" i="9"/>
  <c r="AD36" i="8" s="1"/>
  <c r="X55" i="9"/>
  <c r="T40" i="8" s="1"/>
  <c r="Y77" i="9"/>
  <c r="U62" i="8" s="1"/>
  <c r="S73" i="9"/>
  <c r="O58" i="8" s="1"/>
  <c r="L73" i="9"/>
  <c r="H58" i="8" s="1"/>
  <c r="AJ73" i="9"/>
  <c r="AF58" i="8" s="1"/>
  <c r="AL73" i="9"/>
  <c r="AH58" i="8" s="1"/>
  <c r="Y71" i="9"/>
  <c r="U56" i="8" s="1"/>
  <c r="AB71" i="9"/>
  <c r="X56" i="8" s="1"/>
  <c r="AD71" i="9"/>
  <c r="Z56" i="8" s="1"/>
  <c r="O71" i="9"/>
  <c r="K56" i="8" s="1"/>
  <c r="I69" i="9"/>
  <c r="E54" i="8" s="1"/>
  <c r="X69" i="9"/>
  <c r="T54" i="8" s="1"/>
  <c r="O69" i="9"/>
  <c r="K54" i="8" s="1"/>
  <c r="AB67" i="9"/>
  <c r="X52" i="8" s="1"/>
  <c r="AK67" i="9"/>
  <c r="AG52" i="8" s="1"/>
  <c r="S67" i="9"/>
  <c r="O52" i="8" s="1"/>
  <c r="AF65" i="9"/>
  <c r="AB50" i="8" s="1"/>
  <c r="U65" i="9"/>
  <c r="Q50" i="8" s="1"/>
  <c r="G65" i="9"/>
  <c r="C50" i="8" s="1"/>
  <c r="AB63" i="9"/>
  <c r="X48" i="8" s="1"/>
  <c r="I63" i="9"/>
  <c r="E48" i="8" s="1"/>
  <c r="K63" i="9"/>
  <c r="G48" i="8" s="1"/>
  <c r="AL63" i="9"/>
  <c r="AH48" i="8" s="1"/>
  <c r="AA61" i="9"/>
  <c r="H61" i="9"/>
  <c r="O61" i="9"/>
  <c r="I59" i="9"/>
  <c r="E44" i="8" s="1"/>
  <c r="O59" i="9"/>
  <c r="K44" i="8" s="1"/>
  <c r="F59" i="9"/>
  <c r="B44" i="8" s="1"/>
  <c r="W57" i="9"/>
  <c r="Y57" i="9"/>
  <c r="AA57" i="9"/>
  <c r="S55" i="9"/>
  <c r="O40" i="8" s="1"/>
  <c r="U55" i="9"/>
  <c r="Q40" i="8" s="1"/>
  <c r="G55" i="9"/>
  <c r="C40" i="8" s="1"/>
  <c r="AF53" i="9"/>
  <c r="AB38" i="8" s="1"/>
  <c r="AH53" i="9"/>
  <c r="AD38" i="8" s="1"/>
  <c r="AK53" i="9"/>
  <c r="AG38" i="8" s="1"/>
  <c r="AB51" i="9"/>
  <c r="X36" i="8" s="1"/>
  <c r="L52" i="9"/>
  <c r="H37" i="8" s="1"/>
  <c r="X51" i="9"/>
  <c r="T36" i="8" s="1"/>
  <c r="O72" i="9"/>
  <c r="K57" i="8" s="1"/>
  <c r="P58" i="9"/>
  <c r="L43" i="8" s="1"/>
  <c r="AF54" i="9"/>
  <c r="AB39" i="8" s="1"/>
  <c r="AI71" i="9"/>
  <c r="AE56" i="8" s="1"/>
  <c r="AK71" i="9"/>
  <c r="AG56" i="8" s="1"/>
  <c r="X71" i="9"/>
  <c r="T56" i="8" s="1"/>
  <c r="AF69" i="9"/>
  <c r="AB54" i="8" s="1"/>
  <c r="Y69" i="9"/>
  <c r="U54" i="8" s="1"/>
  <c r="AK69" i="9"/>
  <c r="AG54" i="8" s="1"/>
  <c r="W69" i="9"/>
  <c r="S54" i="8" s="1"/>
  <c r="G67" i="9"/>
  <c r="C52" i="8" s="1"/>
  <c r="Y67" i="9"/>
  <c r="U52" i="8" s="1"/>
  <c r="AA67" i="9"/>
  <c r="W52" i="8" s="1"/>
  <c r="K65" i="9"/>
  <c r="G50" i="8" s="1"/>
  <c r="O65" i="9"/>
  <c r="K50" i="8" s="1"/>
  <c r="G63" i="9"/>
  <c r="C48" i="8" s="1"/>
  <c r="S63" i="9"/>
  <c r="O48" i="8" s="1"/>
  <c r="K61" i="9"/>
  <c r="P61" i="9"/>
  <c r="U61" i="9"/>
  <c r="W61" i="9"/>
  <c r="R59" i="9"/>
  <c r="N44" i="8" s="1"/>
  <c r="X59" i="9"/>
  <c r="T44" i="8" s="1"/>
  <c r="N59" i="9"/>
  <c r="J44" i="8" s="1"/>
  <c r="AE57" i="9"/>
  <c r="AI57" i="9"/>
  <c r="AA55" i="9"/>
  <c r="W40" i="8" s="1"/>
  <c r="O55" i="9"/>
  <c r="K40" i="8" s="1"/>
  <c r="G53" i="9"/>
  <c r="C38" i="8" s="1"/>
  <c r="I53" i="9"/>
  <c r="E38" i="8" s="1"/>
  <c r="K53" i="9"/>
  <c r="G38" i="8" s="1"/>
  <c r="AJ51" i="9"/>
  <c r="AF36" i="8" s="1"/>
  <c r="AD51" i="9"/>
  <c r="Z36" i="8" s="1"/>
  <c r="Y51" i="9"/>
  <c r="U36" i="8" s="1"/>
  <c r="AF50" i="9"/>
  <c r="AB35" i="8" s="1"/>
  <c r="Y68" i="9"/>
  <c r="U53" i="8" s="1"/>
  <c r="P56" i="9"/>
  <c r="L41" i="8" s="1"/>
  <c r="S56" i="9"/>
  <c r="O41" i="8" s="1"/>
  <c r="J54" i="9"/>
  <c r="F39" i="8" s="1"/>
  <c r="AK52" i="9"/>
  <c r="AG37" i="8" s="1"/>
  <c r="S50" i="9"/>
  <c r="O35" i="8" s="1"/>
  <c r="AA58" i="9"/>
  <c r="W43" i="8" s="1"/>
  <c r="H59" i="9"/>
  <c r="D44" i="8" s="1"/>
  <c r="P50" i="9"/>
  <c r="L35" i="8" s="1"/>
  <c r="R56" i="9"/>
  <c r="N41" i="8" s="1"/>
  <c r="F68" i="9"/>
  <c r="B53" i="8" s="1"/>
  <c r="L53" i="9"/>
  <c r="H38" i="8" s="1"/>
  <c r="AI77" i="9"/>
  <c r="AE62" i="8" s="1"/>
  <c r="J73" i="9"/>
  <c r="F58" i="8" s="1"/>
  <c r="AH73" i="9"/>
  <c r="AD58" i="8" s="1"/>
  <c r="AA73" i="9"/>
  <c r="W58" i="8" s="1"/>
  <c r="O73" i="9"/>
  <c r="K58" i="8" s="1"/>
  <c r="H71" i="9"/>
  <c r="D56" i="8" s="1"/>
  <c r="K71" i="9"/>
  <c r="G56" i="8" s="1"/>
  <c r="K69" i="9"/>
  <c r="G54" i="8" s="1"/>
  <c r="L69" i="9"/>
  <c r="H54" i="8" s="1"/>
  <c r="F69" i="9"/>
  <c r="B54" i="8" s="1"/>
  <c r="AE69" i="9"/>
  <c r="AA54" i="8" s="1"/>
  <c r="U67" i="9"/>
  <c r="Q52" i="8" s="1"/>
  <c r="AI67" i="9"/>
  <c r="AE52" i="8" s="1"/>
  <c r="S65" i="9"/>
  <c r="O50" i="8" s="1"/>
  <c r="AK65" i="9"/>
  <c r="AG50" i="8" s="1"/>
  <c r="W65" i="9"/>
  <c r="S50" i="8" s="1"/>
  <c r="AJ63" i="9"/>
  <c r="AF48" i="8" s="1"/>
  <c r="Y63" i="9"/>
  <c r="U48" i="8" s="1"/>
  <c r="AA63" i="9"/>
  <c r="W48" i="8" s="1"/>
  <c r="X61" i="9"/>
  <c r="AE61" i="9"/>
  <c r="AA59" i="9"/>
  <c r="W44" i="8" s="1"/>
  <c r="L59" i="9"/>
  <c r="H44" i="8" s="1"/>
  <c r="AH59" i="9"/>
  <c r="AD44" i="8" s="1"/>
  <c r="H57" i="9"/>
  <c r="J57" i="9"/>
  <c r="AK55" i="9"/>
  <c r="AG40" i="8" s="1"/>
  <c r="W55" i="9"/>
  <c r="S40" i="8" s="1"/>
  <c r="O53" i="9"/>
  <c r="K38" i="8" s="1"/>
  <c r="S53" i="9"/>
  <c r="O38" i="8" s="1"/>
  <c r="K51" i="9"/>
  <c r="G36" i="8" s="1"/>
  <c r="AL51" i="9"/>
  <c r="AH36" i="8" s="1"/>
  <c r="AH52" i="9"/>
  <c r="AD37" i="8" s="1"/>
  <c r="AI61" i="9"/>
  <c r="P65" i="9"/>
  <c r="L50" i="8" s="1"/>
  <c r="P75" i="9"/>
  <c r="L60" i="8" s="1"/>
  <c r="AK73" i="9"/>
  <c r="AG58" i="8" s="1"/>
  <c r="W73" i="9"/>
  <c r="S58" i="8" s="1"/>
  <c r="AE71" i="9"/>
  <c r="AA56" i="8" s="1"/>
  <c r="J71" i="9"/>
  <c r="F56" i="8" s="1"/>
  <c r="N69" i="9"/>
  <c r="J54" i="8" s="1"/>
  <c r="J69" i="9"/>
  <c r="F54" i="8" s="1"/>
  <c r="L67" i="9"/>
  <c r="H52" i="8" s="1"/>
  <c r="H67" i="9"/>
  <c r="D52" i="8" s="1"/>
  <c r="J67" i="9"/>
  <c r="F52" i="8" s="1"/>
  <c r="F67" i="9"/>
  <c r="B52" i="8" s="1"/>
  <c r="X65" i="9"/>
  <c r="T50" i="8" s="1"/>
  <c r="L65" i="9"/>
  <c r="H50" i="8" s="1"/>
  <c r="F65" i="9"/>
  <c r="B50" i="8" s="1"/>
  <c r="AE65" i="9"/>
  <c r="AA50" i="8" s="1"/>
  <c r="O63" i="9"/>
  <c r="K48" i="8" s="1"/>
  <c r="H63" i="9"/>
  <c r="D48" i="8" s="1"/>
  <c r="AI63" i="9"/>
  <c r="AE48" i="8" s="1"/>
  <c r="AK61" i="9"/>
  <c r="L61" i="9"/>
  <c r="AK59" i="9"/>
  <c r="AG44" i="8" s="1"/>
  <c r="U59" i="9"/>
  <c r="Q44" i="8" s="1"/>
  <c r="G59" i="9"/>
  <c r="C44" i="8" s="1"/>
  <c r="AD59" i="9"/>
  <c r="Z44" i="8" s="1"/>
  <c r="P57" i="9"/>
  <c r="R57" i="9"/>
  <c r="U57" i="9"/>
  <c r="AE55" i="9"/>
  <c r="AA40" i="8" s="1"/>
  <c r="Y53" i="9"/>
  <c r="U38" i="8" s="1"/>
  <c r="AA53" i="9"/>
  <c r="W38" i="8" s="1"/>
  <c r="S51" i="9"/>
  <c r="O36" i="8" s="1"/>
  <c r="S66" i="9"/>
  <c r="O51" i="8" s="1"/>
  <c r="J52" i="9"/>
  <c r="F37" i="8" s="1"/>
  <c r="J55" i="9"/>
  <c r="F40" i="8" s="1"/>
  <c r="J62" i="9"/>
  <c r="F47" i="8" s="1"/>
  <c r="J56" i="9"/>
  <c r="F41" i="8" s="1"/>
  <c r="F53" i="9"/>
  <c r="B38" i="8" s="1"/>
  <c r="F50" i="9"/>
  <c r="B35" i="8" s="1"/>
  <c r="AF51" i="9"/>
  <c r="AB36" i="8" s="1"/>
  <c r="H73" i="9"/>
  <c r="D58" i="8" s="1"/>
  <c r="AF73" i="9"/>
  <c r="AB58" i="8" s="1"/>
  <c r="F73" i="9"/>
  <c r="B58" i="8" s="1"/>
  <c r="AE73" i="9"/>
  <c r="AA58" i="8" s="1"/>
  <c r="AA71" i="9"/>
  <c r="W56" i="8" s="1"/>
  <c r="N71" i="9"/>
  <c r="J56" i="8" s="1"/>
  <c r="R71" i="9"/>
  <c r="N56" i="8" s="1"/>
  <c r="P69" i="9"/>
  <c r="L54" i="8" s="1"/>
  <c r="AB69" i="9"/>
  <c r="X54" i="8" s="1"/>
  <c r="R69" i="9"/>
  <c r="N54" i="8" s="1"/>
  <c r="AE67" i="9"/>
  <c r="AA52" i="8" s="1"/>
  <c r="P67" i="9"/>
  <c r="L52" i="8" s="1"/>
  <c r="R67" i="9"/>
  <c r="N52" i="8" s="1"/>
  <c r="N67" i="9"/>
  <c r="J52" i="8" s="1"/>
  <c r="Y65" i="9"/>
  <c r="U50" i="8" s="1"/>
  <c r="N65" i="9"/>
  <c r="J50" i="8" s="1"/>
  <c r="J65" i="9"/>
  <c r="F50" i="8" s="1"/>
  <c r="AK63" i="9"/>
  <c r="AG48" i="8" s="1"/>
  <c r="P63" i="9"/>
  <c r="L48" i="8" s="1"/>
  <c r="J63" i="9"/>
  <c r="F48" i="8" s="1"/>
  <c r="F63" i="9"/>
  <c r="B48" i="8" s="1"/>
  <c r="AD61" i="9"/>
  <c r="J59" i="9"/>
  <c r="F44" i="8" s="1"/>
  <c r="AE59" i="9"/>
  <c r="AA44" i="8" s="1"/>
  <c r="P59" i="9"/>
  <c r="L44" i="8" s="1"/>
  <c r="AL59" i="9"/>
  <c r="AH44" i="8" s="1"/>
  <c r="X57" i="9"/>
  <c r="I55" i="9"/>
  <c r="E40" i="8" s="1"/>
  <c r="AE53" i="9"/>
  <c r="AA38" i="8" s="1"/>
  <c r="AI53" i="9"/>
  <c r="AE38" i="8" s="1"/>
  <c r="AA51" i="9"/>
  <c r="W36" i="8" s="1"/>
  <c r="AI60" i="9"/>
  <c r="AE45" i="8" s="1"/>
  <c r="P52" i="9"/>
  <c r="L37" i="8" s="1"/>
  <c r="S52" i="9"/>
  <c r="O37" i="8" s="1"/>
  <c r="J50" i="9"/>
  <c r="F35" i="8" s="1"/>
  <c r="W67" i="9"/>
  <c r="S52" i="8" s="1"/>
  <c r="R51" i="9"/>
  <c r="N36" i="8" s="1"/>
  <c r="R52" i="9"/>
  <c r="N37" i="8" s="1"/>
  <c r="R55" i="9"/>
  <c r="N40" i="8" s="1"/>
  <c r="N64" i="9"/>
  <c r="J49" i="8" s="1"/>
  <c r="AF55" i="9"/>
  <c r="AB40" i="8" s="1"/>
  <c r="F54" i="9"/>
  <c r="B39" i="8" s="1"/>
  <c r="AK58" i="9"/>
  <c r="AG43" i="8" s="1"/>
  <c r="H50" i="9"/>
  <c r="D35" i="8" s="1"/>
  <c r="R73" i="9"/>
  <c r="N58" i="8" s="1"/>
  <c r="AI73" i="9"/>
  <c r="AE58" i="8" s="1"/>
  <c r="N73" i="9"/>
  <c r="J58" i="8" s="1"/>
  <c r="AJ71" i="9"/>
  <c r="AF56" i="8" s="1"/>
  <c r="AL71" i="9"/>
  <c r="AH56" i="8" s="1"/>
  <c r="W71" i="9"/>
  <c r="S56" i="8" s="1"/>
  <c r="AI69" i="9"/>
  <c r="AE54" i="8" s="1"/>
  <c r="AJ69" i="9"/>
  <c r="AF54" i="8" s="1"/>
  <c r="AD69" i="9"/>
  <c r="Z54" i="8" s="1"/>
  <c r="X67" i="9"/>
  <c r="T52" i="8" s="1"/>
  <c r="H65" i="9"/>
  <c r="D50" i="8" s="1"/>
  <c r="AB65" i="9"/>
  <c r="X50" i="8" s="1"/>
  <c r="R65" i="9"/>
  <c r="N50" i="8" s="1"/>
  <c r="R63" i="9"/>
  <c r="N48" i="8" s="1"/>
  <c r="N63" i="9"/>
  <c r="J48" i="8" s="1"/>
  <c r="Y61" i="9"/>
  <c r="F61" i="9"/>
  <c r="AB61" i="9"/>
  <c r="Y59" i="9"/>
  <c r="U44" i="8" s="1"/>
  <c r="AH57" i="9"/>
  <c r="AK57" i="9"/>
  <c r="AB55" i="9"/>
  <c r="X40" i="8" s="1"/>
  <c r="J53" i="9"/>
  <c r="F38" i="8" s="1"/>
  <c r="AI51" i="9"/>
  <c r="AE36" i="8" s="1"/>
  <c r="AK51" i="9"/>
  <c r="AG36" i="8" s="1"/>
  <c r="W51" i="9"/>
  <c r="S36" i="8" s="1"/>
  <c r="R58" i="9"/>
  <c r="N43" i="8" s="1"/>
  <c r="N54" i="9"/>
  <c r="J39" i="8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AI67" i="8"/>
  <c r="AI68" i="8"/>
  <c r="AI69" i="8"/>
  <c r="AI70" i="8"/>
  <c r="AI71" i="8"/>
  <c r="AI72" i="8"/>
  <c r="AI73" i="8"/>
  <c r="AI74" i="8"/>
  <c r="AI75" i="8"/>
  <c r="AI76" i="8"/>
  <c r="AI77" i="8"/>
  <c r="AI78" i="8"/>
  <c r="AI79" i="8"/>
  <c r="AI80" i="8"/>
  <c r="AI81" i="8"/>
  <c r="AI82" i="8"/>
  <c r="AI83" i="8"/>
  <c r="AI84" i="8"/>
  <c r="AI85" i="8"/>
  <c r="AI86" i="8"/>
  <c r="AI87" i="8"/>
  <c r="AI88" i="8"/>
  <c r="AI89" i="8"/>
  <c r="AI90" i="8"/>
  <c r="AI91" i="8"/>
  <c r="AI92" i="8"/>
  <c r="AI93" i="8"/>
  <c r="AI94" i="8"/>
  <c r="AI95" i="8"/>
  <c r="B96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I66" i="8"/>
  <c r="AG42" i="8" l="1"/>
  <c r="AE42" i="8"/>
  <c r="O42" i="8"/>
  <c r="AC42" i="8"/>
  <c r="X42" i="8"/>
  <c r="Y42" i="8"/>
  <c r="AD42" i="8"/>
  <c r="F42" i="8"/>
  <c r="AA42" i="8"/>
  <c r="K42" i="8"/>
  <c r="AB42" i="8"/>
  <c r="V42" i="8"/>
  <c r="I42" i="8"/>
  <c r="W42" i="8"/>
  <c r="R42" i="8"/>
  <c r="E42" i="8"/>
  <c r="U42" i="8"/>
  <c r="AH42" i="8"/>
  <c r="G42" i="8"/>
  <c r="P42" i="8"/>
  <c r="Q42" i="8"/>
  <c r="S42" i="8"/>
  <c r="J42" i="8"/>
  <c r="T42" i="8"/>
  <c r="N42" i="8"/>
  <c r="Z42" i="8"/>
  <c r="H42" i="8"/>
  <c r="C42" i="8"/>
  <c r="D42" i="8"/>
  <c r="M42" i="8"/>
  <c r="L42" i="8"/>
  <c r="AF42" i="8"/>
  <c r="B42" i="8"/>
  <c r="M46" i="8"/>
  <c r="AE46" i="8"/>
  <c r="K46" i="8"/>
  <c r="D46" i="8"/>
  <c r="R46" i="8"/>
  <c r="AH46" i="8"/>
  <c r="X46" i="8"/>
  <c r="Z46" i="8"/>
  <c r="W46" i="8"/>
  <c r="V46" i="8"/>
  <c r="H46" i="8"/>
  <c r="C46" i="8"/>
  <c r="Y46" i="8"/>
  <c r="AF46" i="8"/>
  <c r="N46" i="8"/>
  <c r="P46" i="8"/>
  <c r="U46" i="8"/>
  <c r="AG46" i="8"/>
  <c r="S46" i="8"/>
  <c r="AB46" i="8"/>
  <c r="O46" i="8"/>
  <c r="AA46" i="8"/>
  <c r="Q46" i="8"/>
  <c r="J46" i="8"/>
  <c r="F46" i="8"/>
  <c r="AC46" i="8"/>
  <c r="G46" i="8"/>
  <c r="T46" i="8"/>
  <c r="L46" i="8"/>
  <c r="I46" i="8"/>
  <c r="E46" i="8"/>
  <c r="AD46" i="8"/>
  <c r="B46" i="8"/>
  <c r="E41" i="9"/>
  <c r="C82" i="9" s="1"/>
  <c r="AJ112" i="9" s="1"/>
  <c r="E41" i="10"/>
  <c r="C82" i="10" s="1"/>
  <c r="AE41" i="10"/>
  <c r="W41" i="10"/>
  <c r="O41" i="10"/>
  <c r="G41" i="10"/>
  <c r="AL41" i="10"/>
  <c r="AD41" i="10"/>
  <c r="V41" i="10"/>
  <c r="N41" i="10"/>
  <c r="F41" i="10"/>
  <c r="X41" i="10"/>
  <c r="AK41" i="10"/>
  <c r="AC41" i="10"/>
  <c r="U41" i="10"/>
  <c r="M41" i="10"/>
  <c r="P41" i="10"/>
  <c r="AJ41" i="10"/>
  <c r="AB41" i="10"/>
  <c r="T41" i="10"/>
  <c r="L41" i="10"/>
  <c r="AI41" i="10"/>
  <c r="AA41" i="10"/>
  <c r="S41" i="10"/>
  <c r="K41" i="10"/>
  <c r="AH41" i="10"/>
  <c r="Z41" i="10"/>
  <c r="R41" i="10"/>
  <c r="J41" i="10"/>
  <c r="AF41" i="10"/>
  <c r="AG41" i="10"/>
  <c r="Y41" i="10"/>
  <c r="Q41" i="10"/>
  <c r="I41" i="10"/>
  <c r="H41" i="10"/>
  <c r="AB112" i="9"/>
  <c r="AG112" i="9"/>
  <c r="AC112" i="9"/>
  <c r="J112" i="9"/>
  <c r="X111" i="9"/>
  <c r="H111" i="9"/>
  <c r="AD110" i="9"/>
  <c r="N110" i="9"/>
  <c r="AJ109" i="9"/>
  <c r="AK112" i="9"/>
  <c r="P112" i="9"/>
  <c r="AL111" i="9"/>
  <c r="V111" i="9"/>
  <c r="F111" i="9"/>
  <c r="AB110" i="9"/>
  <c r="L110" i="9"/>
  <c r="Z109" i="9"/>
  <c r="J109" i="9"/>
  <c r="AF108" i="9"/>
  <c r="X108" i="9"/>
  <c r="P108" i="9"/>
  <c r="H108" i="9"/>
  <c r="AL107" i="9"/>
  <c r="AD107" i="9"/>
  <c r="V107" i="9"/>
  <c r="N107" i="9"/>
  <c r="F107" i="9"/>
  <c r="AJ106" i="9"/>
  <c r="AB106" i="9"/>
  <c r="T106" i="9"/>
  <c r="L106" i="9"/>
  <c r="AH105" i="9"/>
  <c r="Z105" i="9"/>
  <c r="R105" i="9"/>
  <c r="J105" i="9"/>
  <c r="AF104" i="9"/>
  <c r="X104" i="9"/>
  <c r="P104" i="9"/>
  <c r="H104" i="9"/>
  <c r="AL103" i="9"/>
  <c r="AD103" i="9"/>
  <c r="V103" i="9"/>
  <c r="N103" i="9"/>
  <c r="F103" i="9"/>
  <c r="AJ102" i="9"/>
  <c r="AB102" i="9"/>
  <c r="T102" i="9"/>
  <c r="L102" i="9"/>
  <c r="AH101" i="9"/>
  <c r="Z101" i="9"/>
  <c r="R101" i="9"/>
  <c r="AI112" i="9"/>
  <c r="X112" i="9"/>
  <c r="O112" i="9"/>
  <c r="G112" i="9"/>
  <c r="AK111" i="9"/>
  <c r="AC111" i="9"/>
  <c r="U111" i="9"/>
  <c r="M111" i="9"/>
  <c r="AI110" i="9"/>
  <c r="AA110" i="9"/>
  <c r="S110" i="9"/>
  <c r="K110" i="9"/>
  <c r="AG109" i="9"/>
  <c r="Y109" i="9"/>
  <c r="Q109" i="9"/>
  <c r="I109" i="9"/>
  <c r="AE108" i="9"/>
  <c r="W108" i="9"/>
  <c r="O108" i="9"/>
  <c r="G108" i="9"/>
  <c r="AK107" i="9"/>
  <c r="AC107" i="9"/>
  <c r="U107" i="9"/>
  <c r="M107" i="9"/>
  <c r="AI106" i="9"/>
  <c r="AA106" i="9"/>
  <c r="S106" i="9"/>
  <c r="K106" i="9"/>
  <c r="AG105" i="9"/>
  <c r="Y105" i="9"/>
  <c r="Q105" i="9"/>
  <c r="I105" i="9"/>
  <c r="AE104" i="9"/>
  <c r="W104" i="9"/>
  <c r="O104" i="9"/>
  <c r="G104" i="9"/>
  <c r="AK103" i="9"/>
  <c r="AC103" i="9"/>
  <c r="U103" i="9"/>
  <c r="M103" i="9"/>
  <c r="AI102" i="9"/>
  <c r="AA102" i="9"/>
  <c r="S102" i="9"/>
  <c r="K102" i="9"/>
  <c r="AG101" i="9"/>
  <c r="Y101" i="9"/>
  <c r="Q101" i="9"/>
  <c r="I101" i="9"/>
  <c r="AE100" i="9"/>
  <c r="W100" i="9"/>
  <c r="O100" i="9"/>
  <c r="G100" i="9"/>
  <c r="AK99" i="9"/>
  <c r="AC99" i="9"/>
  <c r="U99" i="9"/>
  <c r="M99" i="9"/>
  <c r="AI98" i="9"/>
  <c r="AA98" i="9"/>
  <c r="S98" i="9"/>
  <c r="K98" i="9"/>
  <c r="AF112" i="9"/>
  <c r="V112" i="9"/>
  <c r="M112" i="9"/>
  <c r="AI111" i="9"/>
  <c r="AA111" i="9"/>
  <c r="S111" i="9"/>
  <c r="K111" i="9"/>
  <c r="AG110" i="9"/>
  <c r="Y110" i="9"/>
  <c r="Q110" i="9"/>
  <c r="I110" i="9"/>
  <c r="AE109" i="9"/>
  <c r="W109" i="9"/>
  <c r="O109" i="9"/>
  <c r="G109" i="9"/>
  <c r="AK108" i="9"/>
  <c r="AC108" i="9"/>
  <c r="U108" i="9"/>
  <c r="M108" i="9"/>
  <c r="AI107" i="9"/>
  <c r="AA107" i="9"/>
  <c r="S107" i="9"/>
  <c r="K107" i="9"/>
  <c r="AG106" i="9"/>
  <c r="Y106" i="9"/>
  <c r="Q106" i="9"/>
  <c r="I106" i="9"/>
  <c r="AE105" i="9"/>
  <c r="W105" i="9"/>
  <c r="O105" i="9"/>
  <c r="G105" i="9"/>
  <c r="AK104" i="9"/>
  <c r="AC104" i="9"/>
  <c r="AE112" i="9"/>
  <c r="U112" i="9"/>
  <c r="L112" i="9"/>
  <c r="AH111" i="9"/>
  <c r="Z111" i="9"/>
  <c r="R111" i="9"/>
  <c r="J111" i="9"/>
  <c r="AF110" i="9"/>
  <c r="X110" i="9"/>
  <c r="P110" i="9"/>
  <c r="H110" i="9"/>
  <c r="AL109" i="9"/>
  <c r="AD109" i="9"/>
  <c r="V109" i="9"/>
  <c r="N109" i="9"/>
  <c r="F109" i="9"/>
  <c r="AJ108" i="9"/>
  <c r="AB108" i="9"/>
  <c r="T108" i="9"/>
  <c r="L108" i="9"/>
  <c r="AH107" i="9"/>
  <c r="Z107" i="9"/>
  <c r="R107" i="9"/>
  <c r="J107" i="9"/>
  <c r="AF106" i="9"/>
  <c r="X106" i="9"/>
  <c r="P106" i="9"/>
  <c r="H106" i="9"/>
  <c r="AL105" i="9"/>
  <c r="AD105" i="9"/>
  <c r="V105" i="9"/>
  <c r="N105" i="9"/>
  <c r="F105" i="9"/>
  <c r="AJ104" i="9"/>
  <c r="AB104" i="9"/>
  <c r="T104" i="9"/>
  <c r="L104" i="9"/>
  <c r="AH103" i="9"/>
  <c r="Z103" i="9"/>
  <c r="R103" i="9"/>
  <c r="J103" i="9"/>
  <c r="AF102" i="9"/>
  <c r="X102" i="9"/>
  <c r="P102" i="9"/>
  <c r="H102" i="9"/>
  <c r="AL101" i="9"/>
  <c r="AD101" i="9"/>
  <c r="V101" i="9"/>
  <c r="N101" i="9"/>
  <c r="F101" i="9"/>
  <c r="AJ100" i="9"/>
  <c r="AB100" i="9"/>
  <c r="T100" i="9"/>
  <c r="L100" i="9"/>
  <c r="AH99" i="9"/>
  <c r="Z99" i="9"/>
  <c r="R99" i="9"/>
  <c r="J99" i="9"/>
  <c r="AF98" i="9"/>
  <c r="X98" i="9"/>
  <c r="P98" i="9"/>
  <c r="H98" i="9"/>
  <c r="AH112" i="9"/>
  <c r="I112" i="9"/>
  <c r="Y111" i="9"/>
  <c r="U110" i="9"/>
  <c r="AK109" i="9"/>
  <c r="S109" i="9"/>
  <c r="Y108" i="9"/>
  <c r="I108" i="9"/>
  <c r="AE107" i="9"/>
  <c r="O107" i="9"/>
  <c r="AK106" i="9"/>
  <c r="U106" i="9"/>
  <c r="AA105" i="9"/>
  <c r="K105" i="9"/>
  <c r="AG104" i="9"/>
  <c r="R104" i="9"/>
  <c r="AE103" i="9"/>
  <c r="Q103" i="9"/>
  <c r="AD102" i="9"/>
  <c r="Q102" i="9"/>
  <c r="AC101" i="9"/>
  <c r="P101" i="9"/>
  <c r="AG100" i="9"/>
  <c r="V100" i="9"/>
  <c r="K100" i="9"/>
  <c r="AB99" i="9"/>
  <c r="Q99" i="9"/>
  <c r="G99" i="9"/>
  <c r="AH98" i="9"/>
  <c r="W98" i="9"/>
  <c r="M98" i="9"/>
  <c r="AF97" i="9"/>
  <c r="X97" i="9"/>
  <c r="P97" i="9"/>
  <c r="H97" i="9"/>
  <c r="AL96" i="9"/>
  <c r="AD96" i="9"/>
  <c r="V96" i="9"/>
  <c r="N96" i="9"/>
  <c r="F96" i="9"/>
  <c r="AJ95" i="9"/>
  <c r="AJ118" i="9" s="1"/>
  <c r="AB95" i="9"/>
  <c r="AB118" i="9" s="1"/>
  <c r="T95" i="9"/>
  <c r="T118" i="9" s="1"/>
  <c r="L95" i="9"/>
  <c r="L118" i="9" s="1"/>
  <c r="AH94" i="9"/>
  <c r="Z94" i="9"/>
  <c r="R94" i="9"/>
  <c r="J94" i="9"/>
  <c r="AF93" i="9"/>
  <c r="X93" i="9"/>
  <c r="P93" i="9"/>
  <c r="H93" i="9"/>
  <c r="AL92" i="9"/>
  <c r="AD92" i="9"/>
  <c r="V92" i="9"/>
  <c r="N92" i="9"/>
  <c r="F92" i="9"/>
  <c r="AJ91" i="9"/>
  <c r="AJ120" i="9" s="1"/>
  <c r="AB91" i="9"/>
  <c r="AB119" i="9" s="1"/>
  <c r="T91" i="9"/>
  <c r="T120" i="9" s="1"/>
  <c r="L91" i="9"/>
  <c r="L120" i="9" s="1"/>
  <c r="AH90" i="9"/>
  <c r="Z90" i="9"/>
  <c r="R90" i="9"/>
  <c r="J90" i="9"/>
  <c r="AF89" i="9"/>
  <c r="X89" i="9"/>
  <c r="P89" i="9"/>
  <c r="H89" i="9"/>
  <c r="AD112" i="9"/>
  <c r="F112" i="9"/>
  <c r="W111" i="9"/>
  <c r="R110" i="9"/>
  <c r="AI109" i="9"/>
  <c r="P109" i="9"/>
  <c r="AL108" i="9"/>
  <c r="V108" i="9"/>
  <c r="F108" i="9"/>
  <c r="AB107" i="9"/>
  <c r="L107" i="9"/>
  <c r="AH106" i="9"/>
  <c r="R106" i="9"/>
  <c r="X105" i="9"/>
  <c r="H105" i="9"/>
  <c r="AD104" i="9"/>
  <c r="Q104" i="9"/>
  <c r="AB103" i="9"/>
  <c r="P103" i="9"/>
  <c r="AC102" i="9"/>
  <c r="O102" i="9"/>
  <c r="AB101" i="9"/>
  <c r="O101" i="9"/>
  <c r="AA112" i="9"/>
  <c r="T111" i="9"/>
  <c r="AK110" i="9"/>
  <c r="O110" i="9"/>
  <c r="AF109" i="9"/>
  <c r="M109" i="9"/>
  <c r="AI108" i="9"/>
  <c r="S108" i="9"/>
  <c r="Y107" i="9"/>
  <c r="I107" i="9"/>
  <c r="AE106" i="9"/>
  <c r="O106" i="9"/>
  <c r="AK105" i="9"/>
  <c r="U105" i="9"/>
  <c r="AA104" i="9"/>
  <c r="N104" i="9"/>
  <c r="AA103" i="9"/>
  <c r="O103" i="9"/>
  <c r="Z102" i="9"/>
  <c r="N102" i="9"/>
  <c r="AA101" i="9"/>
  <c r="M101" i="9"/>
  <c r="AD100" i="9"/>
  <c r="S100" i="9"/>
  <c r="I100" i="9"/>
  <c r="AJ99" i="9"/>
  <c r="Y99" i="9"/>
  <c r="O99" i="9"/>
  <c r="AE98" i="9"/>
  <c r="U98" i="9"/>
  <c r="J98" i="9"/>
  <c r="AL97" i="9"/>
  <c r="AD97" i="9"/>
  <c r="V97" i="9"/>
  <c r="N97" i="9"/>
  <c r="F97" i="9"/>
  <c r="AJ96" i="9"/>
  <c r="AB96" i="9"/>
  <c r="T96" i="9"/>
  <c r="L96" i="9"/>
  <c r="AH95" i="9"/>
  <c r="AH118" i="9" s="1"/>
  <c r="Z95" i="9"/>
  <c r="Z118" i="9" s="1"/>
  <c r="R95" i="9"/>
  <c r="R118" i="9" s="1"/>
  <c r="J95" i="9"/>
  <c r="J118" i="9" s="1"/>
  <c r="AF94" i="9"/>
  <c r="X94" i="9"/>
  <c r="P94" i="9"/>
  <c r="H94" i="9"/>
  <c r="AL93" i="9"/>
  <c r="AD93" i="9"/>
  <c r="V93" i="9"/>
  <c r="N93" i="9"/>
  <c r="F93" i="9"/>
  <c r="AJ92" i="9"/>
  <c r="AB92" i="9"/>
  <c r="T92" i="9"/>
  <c r="L92" i="9"/>
  <c r="AH91" i="9"/>
  <c r="AH120" i="9" s="1"/>
  <c r="Z91" i="9"/>
  <c r="Z120" i="9" s="1"/>
  <c r="R91" i="9"/>
  <c r="R120" i="9" s="1"/>
  <c r="J91" i="9"/>
  <c r="J119" i="9" s="1"/>
  <c r="AF90" i="9"/>
  <c r="X90" i="9"/>
  <c r="P90" i="9"/>
  <c r="H90" i="9"/>
  <c r="AL89" i="9"/>
  <c r="AD89" i="9"/>
  <c r="V89" i="9"/>
  <c r="N89" i="9"/>
  <c r="F89" i="9"/>
  <c r="W112" i="9"/>
  <c r="Q111" i="9"/>
  <c r="AH110" i="9"/>
  <c r="M110" i="9"/>
  <c r="AC109" i="9"/>
  <c r="L109" i="9"/>
  <c r="AH108" i="9"/>
  <c r="R108" i="9"/>
  <c r="X107" i="9"/>
  <c r="H107" i="9"/>
  <c r="AD106" i="9"/>
  <c r="N106" i="9"/>
  <c r="AJ105" i="9"/>
  <c r="T105" i="9"/>
  <c r="Z104" i="9"/>
  <c r="M104" i="9"/>
  <c r="Y103" i="9"/>
  <c r="L103" i="9"/>
  <c r="AL102" i="9"/>
  <c r="Y102" i="9"/>
  <c r="M102" i="9"/>
  <c r="AK101" i="9"/>
  <c r="X101" i="9"/>
  <c r="L101" i="9"/>
  <c r="AC100" i="9"/>
  <c r="R100" i="9"/>
  <c r="H100" i="9"/>
  <c r="AI99" i="9"/>
  <c r="X99" i="9"/>
  <c r="N99" i="9"/>
  <c r="AD98" i="9"/>
  <c r="T98" i="9"/>
  <c r="I98" i="9"/>
  <c r="AK97" i="9"/>
  <c r="AC97" i="9"/>
  <c r="U97" i="9"/>
  <c r="M97" i="9"/>
  <c r="AI96" i="9"/>
  <c r="AA96" i="9"/>
  <c r="S96" i="9"/>
  <c r="K96" i="9"/>
  <c r="AG95" i="9"/>
  <c r="AG118" i="9" s="1"/>
  <c r="Y95" i="9"/>
  <c r="Y118" i="9" s="1"/>
  <c r="Q95" i="9"/>
  <c r="Q118" i="9" s="1"/>
  <c r="I95" i="9"/>
  <c r="I118" i="9" s="1"/>
  <c r="AE94" i="9"/>
  <c r="W94" i="9"/>
  <c r="O94" i="9"/>
  <c r="G94" i="9"/>
  <c r="AK93" i="9"/>
  <c r="AC93" i="9"/>
  <c r="U93" i="9"/>
  <c r="M93" i="9"/>
  <c r="AI92" i="9"/>
  <c r="AA92" i="9"/>
  <c r="S92" i="9"/>
  <c r="K92" i="9"/>
  <c r="AG91" i="9"/>
  <c r="AG119" i="9" s="1"/>
  <c r="Y91" i="9"/>
  <c r="Y119" i="9" s="1"/>
  <c r="Q91" i="9"/>
  <c r="Q120" i="9" s="1"/>
  <c r="I91" i="9"/>
  <c r="I119" i="9" s="1"/>
  <c r="AE90" i="9"/>
  <c r="W90" i="9"/>
  <c r="O90" i="9"/>
  <c r="G90" i="9"/>
  <c r="AK89" i="9"/>
  <c r="AC89" i="9"/>
  <c r="U89" i="9"/>
  <c r="M89" i="9"/>
  <c r="AI88" i="9"/>
  <c r="S112" i="9"/>
  <c r="AJ111" i="9"/>
  <c r="O111" i="9"/>
  <c r="AE110" i="9"/>
  <c r="J110" i="9"/>
  <c r="AA109" i="9"/>
  <c r="K109" i="9"/>
  <c r="AG108" i="9"/>
  <c r="Q108" i="9"/>
  <c r="W107" i="9"/>
  <c r="G107" i="9"/>
  <c r="AC106" i="9"/>
  <c r="M106" i="9"/>
  <c r="AI105" i="9"/>
  <c r="S105" i="9"/>
  <c r="Y104" i="9"/>
  <c r="K104" i="9"/>
  <c r="AJ103" i="9"/>
  <c r="X103" i="9"/>
  <c r="K103" i="9"/>
  <c r="AK102" i="9"/>
  <c r="W102" i="9"/>
  <c r="J102" i="9"/>
  <c r="AJ101" i="9"/>
  <c r="W101" i="9"/>
  <c r="K101" i="9"/>
  <c r="AL100" i="9"/>
  <c r="AA100" i="9"/>
  <c r="Q100" i="9"/>
  <c r="F100" i="9"/>
  <c r="AG99" i="9"/>
  <c r="W99" i="9"/>
  <c r="L99" i="9"/>
  <c r="AC98" i="9"/>
  <c r="R98" i="9"/>
  <c r="G98" i="9"/>
  <c r="AJ97" i="9"/>
  <c r="AB97" i="9"/>
  <c r="T97" i="9"/>
  <c r="Q112" i="9"/>
  <c r="AG111" i="9"/>
  <c r="L111" i="9"/>
  <c r="AC110" i="9"/>
  <c r="G110" i="9"/>
  <c r="X109" i="9"/>
  <c r="H109" i="9"/>
  <c r="AD108" i="9"/>
  <c r="N108" i="9"/>
  <c r="AJ107" i="9"/>
  <c r="T107" i="9"/>
  <c r="Z106" i="9"/>
  <c r="J106" i="9"/>
  <c r="AF105" i="9"/>
  <c r="P105" i="9"/>
  <c r="AL104" i="9"/>
  <c r="V104" i="9"/>
  <c r="J104" i="9"/>
  <c r="AI103" i="9"/>
  <c r="W103" i="9"/>
  <c r="I103" i="9"/>
  <c r="AH102" i="9"/>
  <c r="V102" i="9"/>
  <c r="I102" i="9"/>
  <c r="AI101" i="9"/>
  <c r="U101" i="9"/>
  <c r="J101" i="9"/>
  <c r="AK100" i="9"/>
  <c r="Z100" i="9"/>
  <c r="P100" i="9"/>
  <c r="AF99" i="9"/>
  <c r="V99" i="9"/>
  <c r="K99" i="9"/>
  <c r="AL98" i="9"/>
  <c r="AB98" i="9"/>
  <c r="Q98" i="9"/>
  <c r="F98" i="9"/>
  <c r="AI97" i="9"/>
  <c r="AA97" i="9"/>
  <c r="S97" i="9"/>
  <c r="K97" i="9"/>
  <c r="AG96" i="9"/>
  <c r="Y96" i="9"/>
  <c r="Q96" i="9"/>
  <c r="I96" i="9"/>
  <c r="AE95" i="9"/>
  <c r="AE118" i="9" s="1"/>
  <c r="W95" i="9"/>
  <c r="W118" i="9" s="1"/>
  <c r="O95" i="9"/>
  <c r="O118" i="9" s="1"/>
  <c r="G95" i="9"/>
  <c r="G118" i="9" s="1"/>
  <c r="AK94" i="9"/>
  <c r="AC94" i="9"/>
  <c r="U94" i="9"/>
  <c r="M94" i="9"/>
  <c r="AI93" i="9"/>
  <c r="AA93" i="9"/>
  <c r="S93" i="9"/>
  <c r="K93" i="9"/>
  <c r="AG92" i="9"/>
  <c r="Y92" i="9"/>
  <c r="Q92" i="9"/>
  <c r="I92" i="9"/>
  <c r="AE91" i="9"/>
  <c r="AE119" i="9" s="1"/>
  <c r="W91" i="9"/>
  <c r="W120" i="9" s="1"/>
  <c r="O91" i="9"/>
  <c r="O119" i="9" s="1"/>
  <c r="G91" i="9"/>
  <c r="G119" i="9" s="1"/>
  <c r="AK90" i="9"/>
  <c r="AC90" i="9"/>
  <c r="U90" i="9"/>
  <c r="M90" i="9"/>
  <c r="AI89" i="9"/>
  <c r="AA89" i="9"/>
  <c r="N112" i="9"/>
  <c r="AE111" i="9"/>
  <c r="I111" i="9"/>
  <c r="Z110" i="9"/>
  <c r="U109" i="9"/>
  <c r="AA108" i="9"/>
  <c r="K108" i="9"/>
  <c r="AG107" i="9"/>
  <c r="Q107" i="9"/>
  <c r="W106" i="9"/>
  <c r="G106" i="9"/>
  <c r="AC105" i="9"/>
  <c r="M105" i="9"/>
  <c r="AI104" i="9"/>
  <c r="U104" i="9"/>
  <c r="I104" i="9"/>
  <c r="AG103" i="9"/>
  <c r="T103" i="9"/>
  <c r="H103" i="9"/>
  <c r="AG102" i="9"/>
  <c r="U102" i="9"/>
  <c r="G102" i="9"/>
  <c r="AF101" i="9"/>
  <c r="T101" i="9"/>
  <c r="H101" i="9"/>
  <c r="AI100" i="9"/>
  <c r="Y100" i="9"/>
  <c r="N100" i="9"/>
  <c r="AE99" i="9"/>
  <c r="T99" i="9"/>
  <c r="I99" i="9"/>
  <c r="AK98" i="9"/>
  <c r="Z98" i="9"/>
  <c r="O98" i="9"/>
  <c r="AH97" i="9"/>
  <c r="Z97" i="9"/>
  <c r="R97" i="9"/>
  <c r="J97" i="9"/>
  <c r="AF96" i="9"/>
  <c r="X96" i="9"/>
  <c r="P96" i="9"/>
  <c r="H96" i="9"/>
  <c r="AL95" i="9"/>
  <c r="AL118" i="9" s="1"/>
  <c r="AD95" i="9"/>
  <c r="AD118" i="9" s="1"/>
  <c r="V95" i="9"/>
  <c r="V118" i="9" s="1"/>
  <c r="N95" i="9"/>
  <c r="N118" i="9" s="1"/>
  <c r="F95" i="9"/>
  <c r="F118" i="9" s="1"/>
  <c r="AJ94" i="9"/>
  <c r="AB94" i="9"/>
  <c r="T94" i="9"/>
  <c r="L94" i="9"/>
  <c r="AH93" i="9"/>
  <c r="Z93" i="9"/>
  <c r="R93" i="9"/>
  <c r="J93" i="9"/>
  <c r="AF92" i="9"/>
  <c r="X92" i="9"/>
  <c r="P92" i="9"/>
  <c r="H92" i="9"/>
  <c r="AL91" i="9"/>
  <c r="AL119" i="9" s="1"/>
  <c r="AD91" i="9"/>
  <c r="AD120" i="9" s="1"/>
  <c r="V91" i="9"/>
  <c r="V120" i="9" s="1"/>
  <c r="N91" i="9"/>
  <c r="N120" i="9" s="1"/>
  <c r="F91" i="9"/>
  <c r="F120" i="9" s="1"/>
  <c r="AJ90" i="9"/>
  <c r="AB90" i="9"/>
  <c r="T90" i="9"/>
  <c r="L90" i="9"/>
  <c r="AH89" i="9"/>
  <c r="Z89" i="9"/>
  <c r="AB105" i="9"/>
  <c r="AE102" i="9"/>
  <c r="AF100" i="9"/>
  <c r="AA99" i="9"/>
  <c r="V98" i="9"/>
  <c r="W97" i="9"/>
  <c r="AK96" i="9"/>
  <c r="O96" i="9"/>
  <c r="AF95" i="9"/>
  <c r="AF118" i="9" s="1"/>
  <c r="K95" i="9"/>
  <c r="K118" i="9" s="1"/>
  <c r="AA94" i="9"/>
  <c r="F94" i="9"/>
  <c r="W93" i="9"/>
  <c r="R92" i="9"/>
  <c r="AI91" i="9"/>
  <c r="AI120" i="9" s="1"/>
  <c r="M91" i="9"/>
  <c r="M120" i="9" s="1"/>
  <c r="AD90" i="9"/>
  <c r="I90" i="9"/>
  <c r="Y89" i="9"/>
  <c r="K89" i="9"/>
  <c r="AL88" i="9"/>
  <c r="AC88" i="9"/>
  <c r="U88" i="9"/>
  <c r="M88" i="9"/>
  <c r="AI87" i="9"/>
  <c r="AA87" i="9"/>
  <c r="S87" i="9"/>
  <c r="K87" i="9"/>
  <c r="AG86" i="9"/>
  <c r="Y86" i="9"/>
  <c r="Q86" i="9"/>
  <c r="I86" i="9"/>
  <c r="AE85" i="9"/>
  <c r="AL112" i="9"/>
  <c r="Z108" i="9"/>
  <c r="L105" i="9"/>
  <c r="R102" i="9"/>
  <c r="X100" i="9"/>
  <c r="S99" i="9"/>
  <c r="N98" i="9"/>
  <c r="Q97" i="9"/>
  <c r="AH96" i="9"/>
  <c r="M96" i="9"/>
  <c r="AC95" i="9"/>
  <c r="AC118" i="9" s="1"/>
  <c r="H95" i="9"/>
  <c r="H118" i="9" s="1"/>
  <c r="Y94" i="9"/>
  <c r="T93" i="9"/>
  <c r="AK92" i="9"/>
  <c r="O92" i="9"/>
  <c r="AF91" i="9"/>
  <c r="AF120" i="9" s="1"/>
  <c r="K91" i="9"/>
  <c r="K120" i="9" s="1"/>
  <c r="AA90" i="9"/>
  <c r="F90" i="9"/>
  <c r="W89" i="9"/>
  <c r="J89" i="9"/>
  <c r="AK88" i="9"/>
  <c r="AB88" i="9"/>
  <c r="T88" i="9"/>
  <c r="L88" i="9"/>
  <c r="AH87" i="9"/>
  <c r="Z87" i="9"/>
  <c r="R87" i="9"/>
  <c r="J87" i="9"/>
  <c r="AF86" i="9"/>
  <c r="X86" i="9"/>
  <c r="P86" i="9"/>
  <c r="H86" i="9"/>
  <c r="AL85" i="9"/>
  <c r="AD85" i="9"/>
  <c r="V85" i="9"/>
  <c r="K112" i="9"/>
  <c r="J108" i="9"/>
  <c r="AH104" i="9"/>
  <c r="F102" i="9"/>
  <c r="U100" i="9"/>
  <c r="P99" i="9"/>
  <c r="L98" i="9"/>
  <c r="O97" i="9"/>
  <c r="AE96" i="9"/>
  <c r="J96" i="9"/>
  <c r="AA95" i="9"/>
  <c r="AA118" i="9" s="1"/>
  <c r="V94" i="9"/>
  <c r="Q93" i="9"/>
  <c r="AH92" i="9"/>
  <c r="M92" i="9"/>
  <c r="AC91" i="9"/>
  <c r="AC120" i="9" s="1"/>
  <c r="H91" i="9"/>
  <c r="H119" i="9" s="1"/>
  <c r="Y90" i="9"/>
  <c r="T89" i="9"/>
  <c r="I89" i="9"/>
  <c r="AJ88" i="9"/>
  <c r="AA88" i="9"/>
  <c r="S88" i="9"/>
  <c r="K88" i="9"/>
  <c r="AG87" i="9"/>
  <c r="Y87" i="9"/>
  <c r="Q87" i="9"/>
  <c r="I87" i="9"/>
  <c r="AE86" i="9"/>
  <c r="W86" i="9"/>
  <c r="O86" i="9"/>
  <c r="G86" i="9"/>
  <c r="AK85" i="9"/>
  <c r="AC85" i="9"/>
  <c r="U85" i="9"/>
  <c r="M85" i="9"/>
  <c r="AI84" i="9"/>
  <c r="AA84" i="9"/>
  <c r="S84" i="9"/>
  <c r="K84" i="9"/>
  <c r="AB111" i="9"/>
  <c r="AF107" i="9"/>
  <c r="S104" i="9"/>
  <c r="AE101" i="9"/>
  <c r="M100" i="9"/>
  <c r="H99" i="9"/>
  <c r="L97" i="9"/>
  <c r="AC96" i="9"/>
  <c r="G96" i="9"/>
  <c r="X95" i="9"/>
  <c r="X118" i="9" s="1"/>
  <c r="S94" i="9"/>
  <c r="AJ93" i="9"/>
  <c r="O93" i="9"/>
  <c r="AE92" i="9"/>
  <c r="J92" i="9"/>
  <c r="AA91" i="9"/>
  <c r="AA120" i="9" s="1"/>
  <c r="V90" i="9"/>
  <c r="S89" i="9"/>
  <c r="G89" i="9"/>
  <c r="AH88" i="9"/>
  <c r="Z88" i="9"/>
  <c r="R88" i="9"/>
  <c r="J88" i="9"/>
  <c r="AF87" i="9"/>
  <c r="X87" i="9"/>
  <c r="P87" i="9"/>
  <c r="H87" i="9"/>
  <c r="AL86" i="9"/>
  <c r="AD86" i="9"/>
  <c r="V86" i="9"/>
  <c r="N86" i="9"/>
  <c r="F86" i="9"/>
  <c r="AJ85" i="9"/>
  <c r="AB85" i="9"/>
  <c r="T85" i="9"/>
  <c r="L85" i="9"/>
  <c r="AH84" i="9"/>
  <c r="Z84" i="9"/>
  <c r="R84" i="9"/>
  <c r="J84" i="9"/>
  <c r="G111" i="9"/>
  <c r="P107" i="9"/>
  <c r="F104" i="9"/>
  <c r="S101" i="9"/>
  <c r="J100" i="9"/>
  <c r="F99" i="9"/>
  <c r="I97" i="9"/>
  <c r="Z96" i="9"/>
  <c r="U95" i="9"/>
  <c r="U118" i="9" s="1"/>
  <c r="AL94" i="9"/>
  <c r="Q94" i="9"/>
  <c r="AG93" i="9"/>
  <c r="L93" i="9"/>
  <c r="AC92" i="9"/>
  <c r="G92" i="9"/>
  <c r="X91" i="9"/>
  <c r="X119" i="9" s="1"/>
  <c r="S90" i="9"/>
  <c r="AJ89" i="9"/>
  <c r="R89" i="9"/>
  <c r="AG88" i="9"/>
  <c r="Y88" i="9"/>
  <c r="Q88" i="9"/>
  <c r="I88" i="9"/>
  <c r="AE87" i="9"/>
  <c r="W87" i="9"/>
  <c r="O87" i="9"/>
  <c r="G87" i="9"/>
  <c r="AK86" i="9"/>
  <c r="AC86" i="9"/>
  <c r="U86" i="9"/>
  <c r="M86" i="9"/>
  <c r="AI85" i="9"/>
  <c r="W110" i="9"/>
  <c r="AL106" i="9"/>
  <c r="AF103" i="9"/>
  <c r="G101" i="9"/>
  <c r="AJ98" i="9"/>
  <c r="AG97" i="9"/>
  <c r="G97" i="9"/>
  <c r="W96" i="9"/>
  <c r="S95" i="9"/>
  <c r="S118" i="9" s="1"/>
  <c r="AI94" i="9"/>
  <c r="N94" i="9"/>
  <c r="AE93" i="9"/>
  <c r="I93" i="9"/>
  <c r="Z92" i="9"/>
  <c r="U91" i="9"/>
  <c r="U120" i="9" s="1"/>
  <c r="AL90" i="9"/>
  <c r="Q90" i="9"/>
  <c r="AG89" i="9"/>
  <c r="Q89" i="9"/>
  <c r="AF88" i="9"/>
  <c r="X88" i="9"/>
  <c r="P88" i="9"/>
  <c r="H88" i="9"/>
  <c r="AL87" i="9"/>
  <c r="AD87" i="9"/>
  <c r="V87" i="9"/>
  <c r="N87" i="9"/>
  <c r="F87" i="9"/>
  <c r="AJ86" i="9"/>
  <c r="AB86" i="9"/>
  <c r="T86" i="9"/>
  <c r="L86" i="9"/>
  <c r="AH85" i="9"/>
  <c r="Z85" i="9"/>
  <c r="T109" i="9"/>
  <c r="AD99" i="9"/>
  <c r="R96" i="9"/>
  <c r="I94" i="9"/>
  <c r="AK91" i="9"/>
  <c r="AK120" i="9" s="1"/>
  <c r="AB89" i="9"/>
  <c r="V88" i="9"/>
  <c r="AB87" i="9"/>
  <c r="AH86" i="9"/>
  <c r="R85" i="9"/>
  <c r="H85" i="9"/>
  <c r="AJ84" i="9"/>
  <c r="X84" i="9"/>
  <c r="N84" i="9"/>
  <c r="V106" i="9"/>
  <c r="AG98" i="9"/>
  <c r="AK95" i="9"/>
  <c r="AK118" i="9" s="1"/>
  <c r="AB93" i="9"/>
  <c r="S91" i="9"/>
  <c r="S120" i="9" s="1"/>
  <c r="O89" i="9"/>
  <c r="O88" i="9"/>
  <c r="U87" i="9"/>
  <c r="AA86" i="9"/>
  <c r="AG85" i="9"/>
  <c r="Q85" i="9"/>
  <c r="G85" i="9"/>
  <c r="AG84" i="9"/>
  <c r="W84" i="9"/>
  <c r="M84" i="9"/>
  <c r="F106" i="9"/>
  <c r="Y98" i="9"/>
  <c r="AI95" i="9"/>
  <c r="AI118" i="9" s="1"/>
  <c r="Y93" i="9"/>
  <c r="P91" i="9"/>
  <c r="P120" i="9" s="1"/>
  <c r="L89" i="9"/>
  <c r="N88" i="9"/>
  <c r="T87" i="9"/>
  <c r="Z86" i="9"/>
  <c r="AF85" i="9"/>
  <c r="P85" i="9"/>
  <c r="F85" i="9"/>
  <c r="AF84" i="9"/>
  <c r="V84" i="9"/>
  <c r="L84" i="9"/>
  <c r="S103" i="9"/>
  <c r="AE97" i="9"/>
  <c r="P95" i="9"/>
  <c r="P118" i="9" s="1"/>
  <c r="G93" i="9"/>
  <c r="AI90" i="9"/>
  <c r="G88" i="9"/>
  <c r="M87" i="9"/>
  <c r="S86" i="9"/>
  <c r="AA85" i="9"/>
  <c r="O85" i="9"/>
  <c r="AE84" i="9"/>
  <c r="U84" i="9"/>
  <c r="I84" i="9"/>
  <c r="G103" i="9"/>
  <c r="Y97" i="9"/>
  <c r="M95" i="9"/>
  <c r="M118" i="9" s="1"/>
  <c r="AG90" i="9"/>
  <c r="F88" i="9"/>
  <c r="L87" i="9"/>
  <c r="R86" i="9"/>
  <c r="Y85" i="9"/>
  <c r="N85" i="9"/>
  <c r="AD84" i="9"/>
  <c r="T84" i="9"/>
  <c r="H84" i="9"/>
  <c r="AG94" i="9"/>
  <c r="W92" i="9"/>
  <c r="N90" i="9"/>
  <c r="AE88" i="9"/>
  <c r="AK87" i="9"/>
  <c r="K86" i="9"/>
  <c r="X85" i="9"/>
  <c r="K85" i="9"/>
  <c r="AC84" i="9"/>
  <c r="Q84" i="9"/>
  <c r="G84" i="9"/>
  <c r="AH100" i="9"/>
  <c r="AD94" i="9"/>
  <c r="U92" i="9"/>
  <c r="K90" i="9"/>
  <c r="AD88" i="9"/>
  <c r="AJ87" i="9"/>
  <c r="J86" i="9"/>
  <c r="W85" i="9"/>
  <c r="J85" i="9"/>
  <c r="AL84" i="9"/>
  <c r="AB84" i="9"/>
  <c r="P84" i="9"/>
  <c r="F84" i="9"/>
  <c r="AL99" i="9"/>
  <c r="U96" i="9"/>
  <c r="S85" i="9"/>
  <c r="K94" i="9"/>
  <c r="I85" i="9"/>
  <c r="AK84" i="9"/>
  <c r="AE89" i="9"/>
  <c r="Y84" i="9"/>
  <c r="W88" i="9"/>
  <c r="O84" i="9"/>
  <c r="AC87" i="9"/>
  <c r="AI86" i="9"/>
  <c r="AJ41" i="9"/>
  <c r="AB41" i="9"/>
  <c r="T41" i="9"/>
  <c r="L41" i="9"/>
  <c r="AH41" i="9"/>
  <c r="Z41" i="9"/>
  <c r="R41" i="9"/>
  <c r="J41" i="9"/>
  <c r="AG41" i="9"/>
  <c r="Y41" i="9"/>
  <c r="Q41" i="9"/>
  <c r="I41" i="9"/>
  <c r="AF41" i="9"/>
  <c r="X41" i="9"/>
  <c r="P41" i="9"/>
  <c r="H41" i="9"/>
  <c r="AE41" i="9"/>
  <c r="W41" i="9"/>
  <c r="O41" i="9"/>
  <c r="G41" i="9"/>
  <c r="AL41" i="9"/>
  <c r="AD41" i="9"/>
  <c r="V41" i="9"/>
  <c r="N41" i="9"/>
  <c r="F41" i="9"/>
  <c r="S41" i="9"/>
  <c r="U41" i="9"/>
  <c r="M41" i="9"/>
  <c r="K41" i="9"/>
  <c r="AK41" i="9"/>
  <c r="AC41" i="9"/>
  <c r="AI41" i="9"/>
  <c r="AA41" i="9"/>
  <c r="A45" i="4" a="1"/>
  <c r="A45" i="4" s="1"/>
  <c r="A2" i="4"/>
  <c r="A35" i="4" s="1"/>
  <c r="F145" i="4"/>
  <c r="F146" i="4" s="1"/>
  <c r="E145" i="4"/>
  <c r="E146" i="4" s="1"/>
  <c r="D145" i="4"/>
  <c r="D146" i="4" s="1"/>
  <c r="C145" i="4"/>
  <c r="C146" i="4" s="1"/>
  <c r="C118" i="4"/>
  <c r="AL117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O117" i="4"/>
  <c r="N117" i="4"/>
  <c r="M117" i="4"/>
  <c r="L117" i="4"/>
  <c r="K117" i="4"/>
  <c r="J117" i="4"/>
  <c r="I117" i="4"/>
  <c r="H117" i="4"/>
  <c r="G117" i="4"/>
  <c r="F117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F83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AL49" i="4"/>
  <c r="AH66" i="8" s="1"/>
  <c r="AK49" i="4"/>
  <c r="AG66" i="8" s="1"/>
  <c r="AJ49" i="4"/>
  <c r="AF66" i="8" s="1"/>
  <c r="AI49" i="4"/>
  <c r="AE66" i="8" s="1"/>
  <c r="AH49" i="4"/>
  <c r="AD66" i="8" s="1"/>
  <c r="AG49" i="4"/>
  <c r="AC66" i="8" s="1"/>
  <c r="AF49" i="4"/>
  <c r="AB66" i="8" s="1"/>
  <c r="AE49" i="4"/>
  <c r="AA66" i="8" s="1"/>
  <c r="AD49" i="4"/>
  <c r="Z66" i="8" s="1"/>
  <c r="AC49" i="4"/>
  <c r="Y66" i="8" s="1"/>
  <c r="AB49" i="4"/>
  <c r="X66" i="8" s="1"/>
  <c r="AA49" i="4"/>
  <c r="W66" i="8" s="1"/>
  <c r="Z49" i="4"/>
  <c r="V66" i="8" s="1"/>
  <c r="Y49" i="4"/>
  <c r="U66" i="8" s="1"/>
  <c r="X49" i="4"/>
  <c r="T66" i="8" s="1"/>
  <c r="W49" i="4"/>
  <c r="S66" i="8" s="1"/>
  <c r="V49" i="4"/>
  <c r="R66" i="8" s="1"/>
  <c r="U49" i="4"/>
  <c r="Q66" i="8" s="1"/>
  <c r="T49" i="4"/>
  <c r="P66" i="8" s="1"/>
  <c r="S49" i="4"/>
  <c r="O66" i="8" s="1"/>
  <c r="R49" i="4"/>
  <c r="N66" i="8" s="1"/>
  <c r="Q49" i="4"/>
  <c r="M66" i="8" s="1"/>
  <c r="P49" i="4"/>
  <c r="L66" i="8" s="1"/>
  <c r="O49" i="4"/>
  <c r="K66" i="8" s="1"/>
  <c r="N49" i="4"/>
  <c r="J66" i="8" s="1"/>
  <c r="M49" i="4"/>
  <c r="I66" i="8" s="1"/>
  <c r="L49" i="4"/>
  <c r="H66" i="8" s="1"/>
  <c r="K49" i="4"/>
  <c r="G66" i="8" s="1"/>
  <c r="J49" i="4"/>
  <c r="F66" i="8" s="1"/>
  <c r="I49" i="4"/>
  <c r="E66" i="8" s="1"/>
  <c r="H49" i="4"/>
  <c r="D66" i="8" s="1"/>
  <c r="G49" i="4"/>
  <c r="C66" i="8" s="1"/>
  <c r="F49" i="4"/>
  <c r="B66" i="8" s="1"/>
  <c r="E49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B35" i="4"/>
  <c r="B34" i="4"/>
  <c r="A34" i="4"/>
  <c r="D33" i="4"/>
  <c r="D79" i="4" s="1"/>
  <c r="D113" i="4" s="1"/>
  <c r="C33" i="4"/>
  <c r="C79" i="4" s="1"/>
  <c r="C113" i="4" s="1"/>
  <c r="B33" i="4"/>
  <c r="B79" i="4" s="1"/>
  <c r="B113" i="4" s="1"/>
  <c r="A33" i="4"/>
  <c r="A79" i="4" s="1"/>
  <c r="A113" i="4" s="1"/>
  <c r="D78" i="4"/>
  <c r="D112" i="4" s="1"/>
  <c r="C78" i="4"/>
  <c r="C112" i="4" s="1"/>
  <c r="B78" i="4"/>
  <c r="B112" i="4" s="1"/>
  <c r="A78" i="4"/>
  <c r="D77" i="4"/>
  <c r="D111" i="4" s="1"/>
  <c r="C77" i="4"/>
  <c r="C111" i="4" s="1"/>
  <c r="B77" i="4"/>
  <c r="B111" i="4" s="1"/>
  <c r="A77" i="4"/>
  <c r="D76" i="4"/>
  <c r="D110" i="4" s="1"/>
  <c r="C76" i="4"/>
  <c r="C110" i="4" s="1"/>
  <c r="B76" i="4"/>
  <c r="B110" i="4" s="1"/>
  <c r="A76" i="4"/>
  <c r="D75" i="4"/>
  <c r="D109" i="4" s="1"/>
  <c r="C75" i="4"/>
  <c r="C109" i="4" s="1"/>
  <c r="B75" i="4"/>
  <c r="B109" i="4" s="1"/>
  <c r="A75" i="4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16" i="4"/>
  <c r="D62" i="4" s="1"/>
  <c r="D96" i="4" s="1"/>
  <c r="C16" i="4"/>
  <c r="C62" i="4" s="1"/>
  <c r="C96" i="4" s="1"/>
  <c r="B16" i="4"/>
  <c r="B62" i="4" s="1"/>
  <c r="B96" i="4" s="1"/>
  <c r="A16" i="4"/>
  <c r="A62" i="4" s="1"/>
  <c r="D15" i="4"/>
  <c r="D61" i="4" s="1"/>
  <c r="D95" i="4" s="1"/>
  <c r="C15" i="4"/>
  <c r="C61" i="4" s="1"/>
  <c r="C95" i="4" s="1"/>
  <c r="B15" i="4"/>
  <c r="B61" i="4" s="1"/>
  <c r="B95" i="4" s="1"/>
  <c r="A15" i="4"/>
  <c r="A61" i="4" s="1"/>
  <c r="D14" i="4"/>
  <c r="D60" i="4" s="1"/>
  <c r="D94" i="4" s="1"/>
  <c r="C14" i="4"/>
  <c r="C60" i="4" s="1"/>
  <c r="C94" i="4" s="1"/>
  <c r="B14" i="4"/>
  <c r="B60" i="4" s="1"/>
  <c r="B94" i="4" s="1"/>
  <c r="A14" i="4"/>
  <c r="A60" i="4" s="1"/>
  <c r="D13" i="4"/>
  <c r="D59" i="4" s="1"/>
  <c r="D93" i="4" s="1"/>
  <c r="C13" i="4"/>
  <c r="C59" i="4" s="1"/>
  <c r="C93" i="4" s="1"/>
  <c r="B13" i="4"/>
  <c r="B59" i="4" s="1"/>
  <c r="B93" i="4" s="1"/>
  <c r="A13" i="4"/>
  <c r="A59" i="4" s="1"/>
  <c r="D12" i="4"/>
  <c r="D58" i="4" s="1"/>
  <c r="D92" i="4" s="1"/>
  <c r="C12" i="4"/>
  <c r="C58" i="4" s="1"/>
  <c r="C92" i="4" s="1"/>
  <c r="B12" i="4"/>
  <c r="B58" i="4" s="1"/>
  <c r="B92" i="4" s="1"/>
  <c r="A12" i="4"/>
  <c r="A58" i="4" s="1"/>
  <c r="D11" i="4"/>
  <c r="D57" i="4" s="1"/>
  <c r="D91" i="4" s="1"/>
  <c r="C11" i="4"/>
  <c r="C57" i="4" s="1"/>
  <c r="C91" i="4" s="1"/>
  <c r="B11" i="4"/>
  <c r="B57" i="4" s="1"/>
  <c r="B91" i="4" s="1"/>
  <c r="A11" i="4"/>
  <c r="A57" i="4" s="1"/>
  <c r="D10" i="4"/>
  <c r="D56" i="4" s="1"/>
  <c r="D90" i="4" s="1"/>
  <c r="C10" i="4"/>
  <c r="C56" i="4" s="1"/>
  <c r="C90" i="4" s="1"/>
  <c r="B10" i="4"/>
  <c r="B56" i="4" s="1"/>
  <c r="B90" i="4" s="1"/>
  <c r="A10" i="4"/>
  <c r="A56" i="4" s="1"/>
  <c r="D9" i="4"/>
  <c r="D55" i="4" s="1"/>
  <c r="D89" i="4" s="1"/>
  <c r="C9" i="4"/>
  <c r="C55" i="4" s="1"/>
  <c r="C89" i="4" s="1"/>
  <c r="B9" i="4"/>
  <c r="B55" i="4" s="1"/>
  <c r="B89" i="4" s="1"/>
  <c r="A9" i="4"/>
  <c r="A55" i="4" s="1"/>
  <c r="D8" i="4"/>
  <c r="D54" i="4" s="1"/>
  <c r="D88" i="4" s="1"/>
  <c r="C8" i="4"/>
  <c r="C54" i="4" s="1"/>
  <c r="C88" i="4" s="1"/>
  <c r="B8" i="4"/>
  <c r="B54" i="4" s="1"/>
  <c r="B88" i="4" s="1"/>
  <c r="A8" i="4"/>
  <c r="A54" i="4" s="1"/>
  <c r="D7" i="4"/>
  <c r="D53" i="4" s="1"/>
  <c r="D87" i="4" s="1"/>
  <c r="C7" i="4"/>
  <c r="C53" i="4" s="1"/>
  <c r="C87" i="4" s="1"/>
  <c r="B7" i="4"/>
  <c r="B53" i="4" s="1"/>
  <c r="B87" i="4" s="1"/>
  <c r="A7" i="4"/>
  <c r="A53" i="4" s="1"/>
  <c r="D6" i="4"/>
  <c r="D52" i="4" s="1"/>
  <c r="D86" i="4" s="1"/>
  <c r="C6" i="4"/>
  <c r="C52" i="4" s="1"/>
  <c r="C86" i="4" s="1"/>
  <c r="B6" i="4"/>
  <c r="B52" i="4" s="1"/>
  <c r="B86" i="4" s="1"/>
  <c r="A6" i="4"/>
  <c r="A52" i="4" s="1"/>
  <c r="D5" i="4"/>
  <c r="D51" i="4" s="1"/>
  <c r="D85" i="4" s="1"/>
  <c r="C5" i="4"/>
  <c r="C51" i="4" s="1"/>
  <c r="C85" i="4" s="1"/>
  <c r="B5" i="4"/>
  <c r="B51" i="4" s="1"/>
  <c r="B85" i="4" s="1"/>
  <c r="A5" i="4"/>
  <c r="A51" i="4" s="1"/>
  <c r="D4" i="4"/>
  <c r="D50" i="4" s="1"/>
  <c r="D84" i="4" s="1"/>
  <c r="C4" i="4"/>
  <c r="C50" i="4" s="1"/>
  <c r="C84" i="4" s="1"/>
  <c r="B4" i="4"/>
  <c r="B50" i="4" s="1"/>
  <c r="B84" i="4" s="1"/>
  <c r="A4" i="4"/>
  <c r="A50" i="4" s="1"/>
  <c r="P119" i="9" l="1"/>
  <c r="P121" i="9" s="1"/>
  <c r="L119" i="9"/>
  <c r="L121" i="9" s="1"/>
  <c r="N119" i="9"/>
  <c r="N121" i="9" s="1"/>
  <c r="K119" i="9"/>
  <c r="V119" i="9"/>
  <c r="V121" i="9" s="1"/>
  <c r="AF119" i="9"/>
  <c r="AF121" i="9" s="1"/>
  <c r="AH119" i="9"/>
  <c r="AH121" i="9" s="1"/>
  <c r="S119" i="9"/>
  <c r="S121" i="9" s="1"/>
  <c r="H120" i="9"/>
  <c r="T110" i="9"/>
  <c r="H112" i="9"/>
  <c r="V110" i="9"/>
  <c r="R112" i="9"/>
  <c r="G120" i="9"/>
  <c r="AL120" i="9"/>
  <c r="O120" i="9"/>
  <c r="Q119" i="9"/>
  <c r="Q121" i="9" s="1"/>
  <c r="AD119" i="9"/>
  <c r="AD121" i="9" s="1"/>
  <c r="W119" i="9"/>
  <c r="W121" i="9" s="1"/>
  <c r="AA119" i="9"/>
  <c r="AA121" i="9" s="1"/>
  <c r="AC119" i="9"/>
  <c r="AC121" i="9" s="1"/>
  <c r="AI119" i="9"/>
  <c r="AI121" i="9" s="1"/>
  <c r="Y120" i="9"/>
  <c r="AE120" i="9"/>
  <c r="AB120" i="9"/>
  <c r="AJ110" i="9"/>
  <c r="Z112" i="9"/>
  <c r="AL110" i="9"/>
  <c r="Y112" i="9"/>
  <c r="I120" i="9"/>
  <c r="J120" i="9"/>
  <c r="AG120" i="9"/>
  <c r="F119" i="9"/>
  <c r="F121" i="9" s="1"/>
  <c r="R119" i="9"/>
  <c r="R121" i="9" s="1"/>
  <c r="U119" i="9"/>
  <c r="U121" i="9" s="1"/>
  <c r="M119" i="9"/>
  <c r="M121" i="9" s="1"/>
  <c r="AK119" i="9"/>
  <c r="AK121" i="9" s="1"/>
  <c r="R109" i="9"/>
  <c r="N111" i="9"/>
  <c r="AB109" i="9"/>
  <c r="P111" i="9"/>
  <c r="T112" i="9"/>
  <c r="X120" i="9"/>
  <c r="AJ119" i="9"/>
  <c r="AJ121" i="9" s="1"/>
  <c r="T119" i="9"/>
  <c r="T121" i="9" s="1"/>
  <c r="Z119" i="9"/>
  <c r="Z121" i="9" s="1"/>
  <c r="AH109" i="9"/>
  <c r="AD111" i="9"/>
  <c r="F110" i="9"/>
  <c r="AF111" i="9"/>
  <c r="H121" i="9"/>
  <c r="Y121" i="9"/>
  <c r="AE121" i="9"/>
  <c r="AB121" i="9"/>
  <c r="G121" i="9"/>
  <c r="X121" i="9"/>
  <c r="I121" i="9"/>
  <c r="J121" i="9"/>
  <c r="AG121" i="9"/>
  <c r="K121" i="9"/>
  <c r="AL121" i="9"/>
  <c r="O121" i="9"/>
  <c r="AJ112" i="10"/>
  <c r="AB112" i="10"/>
  <c r="T112" i="10"/>
  <c r="AG112" i="10"/>
  <c r="Y112" i="10"/>
  <c r="AI112" i="10"/>
  <c r="X112" i="10"/>
  <c r="O112" i="10"/>
  <c r="G112" i="10"/>
  <c r="AK111" i="10"/>
  <c r="AC111" i="10"/>
  <c r="U111" i="10"/>
  <c r="M111" i="10"/>
  <c r="AI110" i="10"/>
  <c r="AA110" i="10"/>
  <c r="S110" i="10"/>
  <c r="K110" i="10"/>
  <c r="AG109" i="10"/>
  <c r="Y109" i="10"/>
  <c r="Q109" i="10"/>
  <c r="I109" i="10"/>
  <c r="AE108" i="10"/>
  <c r="W108" i="10"/>
  <c r="O108" i="10"/>
  <c r="G108" i="10"/>
  <c r="AK107" i="10"/>
  <c r="AC107" i="10"/>
  <c r="U107" i="10"/>
  <c r="M107" i="10"/>
  <c r="AI106" i="10"/>
  <c r="AA106" i="10"/>
  <c r="S106" i="10"/>
  <c r="K106" i="10"/>
  <c r="AG105" i="10"/>
  <c r="Y105" i="10"/>
  <c r="Q105" i="10"/>
  <c r="I105" i="10"/>
  <c r="AH112" i="10"/>
  <c r="W112" i="10"/>
  <c r="N112" i="10"/>
  <c r="F112" i="10"/>
  <c r="AJ111" i="10"/>
  <c r="AB111" i="10"/>
  <c r="T111" i="10"/>
  <c r="L111" i="10"/>
  <c r="AH110" i="10"/>
  <c r="Z110" i="10"/>
  <c r="R110" i="10"/>
  <c r="J110" i="10"/>
  <c r="AF109" i="10"/>
  <c r="X109" i="10"/>
  <c r="P109" i="10"/>
  <c r="H109" i="10"/>
  <c r="AL108" i="10"/>
  <c r="AD108" i="10"/>
  <c r="V108" i="10"/>
  <c r="N108" i="10"/>
  <c r="F108" i="10"/>
  <c r="AJ107" i="10"/>
  <c r="AB107" i="10"/>
  <c r="T107" i="10"/>
  <c r="L107" i="10"/>
  <c r="AH106" i="10"/>
  <c r="Z106" i="10"/>
  <c r="R106" i="10"/>
  <c r="AF112" i="10"/>
  <c r="V112" i="10"/>
  <c r="M112" i="10"/>
  <c r="AI111" i="10"/>
  <c r="AA111" i="10"/>
  <c r="S111" i="10"/>
  <c r="K111" i="10"/>
  <c r="AG110" i="10"/>
  <c r="Y110" i="10"/>
  <c r="Q110" i="10"/>
  <c r="I110" i="10"/>
  <c r="AE109" i="10"/>
  <c r="W109" i="10"/>
  <c r="O109" i="10"/>
  <c r="G109" i="10"/>
  <c r="AK108" i="10"/>
  <c r="AC108" i="10"/>
  <c r="U108" i="10"/>
  <c r="M108" i="10"/>
  <c r="AI107" i="10"/>
  <c r="AA107" i="10"/>
  <c r="S107" i="10"/>
  <c r="K107" i="10"/>
  <c r="AG106" i="10"/>
  <c r="Y106" i="10"/>
  <c r="Q106" i="10"/>
  <c r="I106" i="10"/>
  <c r="AE105" i="10"/>
  <c r="W105" i="10"/>
  <c r="O105" i="10"/>
  <c r="G105" i="10"/>
  <c r="AK104" i="10"/>
  <c r="AC104" i="10"/>
  <c r="U104" i="10"/>
  <c r="M104" i="10"/>
  <c r="AI103" i="10"/>
  <c r="AA103" i="10"/>
  <c r="S103" i="10"/>
  <c r="K103" i="10"/>
  <c r="AE112" i="10"/>
  <c r="U112" i="10"/>
  <c r="L112" i="10"/>
  <c r="AH111" i="10"/>
  <c r="Z111" i="10"/>
  <c r="R111" i="10"/>
  <c r="J111" i="10"/>
  <c r="AF110" i="10"/>
  <c r="X110" i="10"/>
  <c r="P110" i="10"/>
  <c r="H110" i="10"/>
  <c r="AL109" i="10"/>
  <c r="AD109" i="10"/>
  <c r="V109" i="10"/>
  <c r="N109" i="10"/>
  <c r="F109" i="10"/>
  <c r="AJ108" i="10"/>
  <c r="AB108" i="10"/>
  <c r="T108" i="10"/>
  <c r="L108" i="10"/>
  <c r="AH107" i="10"/>
  <c r="Z107" i="10"/>
  <c r="R107" i="10"/>
  <c r="J107" i="10"/>
  <c r="AF106" i="10"/>
  <c r="X106" i="10"/>
  <c r="P106" i="10"/>
  <c r="H106" i="10"/>
  <c r="AD112" i="10"/>
  <c r="S112" i="10"/>
  <c r="K112" i="10"/>
  <c r="AG111" i="10"/>
  <c r="Y111" i="10"/>
  <c r="Q111" i="10"/>
  <c r="I111" i="10"/>
  <c r="AE110" i="10"/>
  <c r="W110" i="10"/>
  <c r="O110" i="10"/>
  <c r="G110" i="10"/>
  <c r="AK109" i="10"/>
  <c r="AC109" i="10"/>
  <c r="U109" i="10"/>
  <c r="M109" i="10"/>
  <c r="AI108" i="10"/>
  <c r="AA108" i="10"/>
  <c r="S108" i="10"/>
  <c r="K108" i="10"/>
  <c r="AG107" i="10"/>
  <c r="Y107" i="10"/>
  <c r="Q107" i="10"/>
  <c r="I107" i="10"/>
  <c r="AE106" i="10"/>
  <c r="W106" i="10"/>
  <c r="O106" i="10"/>
  <c r="G106" i="10"/>
  <c r="AK105" i="10"/>
  <c r="AC105" i="10"/>
  <c r="U105" i="10"/>
  <c r="M105" i="10"/>
  <c r="AI104" i="10"/>
  <c r="AA104" i="10"/>
  <c r="S104" i="10"/>
  <c r="K104" i="10"/>
  <c r="AG103" i="10"/>
  <c r="Y103" i="10"/>
  <c r="Q103" i="10"/>
  <c r="I103" i="10"/>
  <c r="AE102" i="10"/>
  <c r="W102" i="10"/>
  <c r="O102" i="10"/>
  <c r="G102" i="10"/>
  <c r="AK101" i="10"/>
  <c r="AC101" i="10"/>
  <c r="U101" i="10"/>
  <c r="M101" i="10"/>
  <c r="AI100" i="10"/>
  <c r="AA100" i="10"/>
  <c r="AC112" i="10"/>
  <c r="R112" i="10"/>
  <c r="J112" i="10"/>
  <c r="AF111" i="10"/>
  <c r="X111" i="10"/>
  <c r="P111" i="10"/>
  <c r="H111" i="10"/>
  <c r="AL110" i="10"/>
  <c r="AD110" i="10"/>
  <c r="V110" i="10"/>
  <c r="N110" i="10"/>
  <c r="F110" i="10"/>
  <c r="AJ109" i="10"/>
  <c r="AB109" i="10"/>
  <c r="T109" i="10"/>
  <c r="L109" i="10"/>
  <c r="AH108" i="10"/>
  <c r="Z108" i="10"/>
  <c r="R108" i="10"/>
  <c r="J108" i="10"/>
  <c r="AF107" i="10"/>
  <c r="X107" i="10"/>
  <c r="P107" i="10"/>
  <c r="H107" i="10"/>
  <c r="AL106" i="10"/>
  <c r="AD106" i="10"/>
  <c r="V106" i="10"/>
  <c r="N106" i="10"/>
  <c r="F106" i="10"/>
  <c r="AJ105" i="10"/>
  <c r="AB105" i="10"/>
  <c r="T105" i="10"/>
  <c r="L105" i="10"/>
  <c r="AH104" i="10"/>
  <c r="Z104" i="10"/>
  <c r="R104" i="10"/>
  <c r="J104" i="10"/>
  <c r="AF103" i="10"/>
  <c r="X103" i="10"/>
  <c r="P103" i="10"/>
  <c r="H103" i="10"/>
  <c r="AL102" i="10"/>
  <c r="AD102" i="10"/>
  <c r="V102" i="10"/>
  <c r="N102" i="10"/>
  <c r="F102" i="10"/>
  <c r="AJ101" i="10"/>
  <c r="AB101" i="10"/>
  <c r="AL112" i="10"/>
  <c r="AA112" i="10"/>
  <c r="Q112" i="10"/>
  <c r="I112" i="10"/>
  <c r="AE111" i="10"/>
  <c r="W111" i="10"/>
  <c r="O111" i="10"/>
  <c r="G111" i="10"/>
  <c r="AK110" i="10"/>
  <c r="AC110" i="10"/>
  <c r="U110" i="10"/>
  <c r="M110" i="10"/>
  <c r="AI109" i="10"/>
  <c r="AA109" i="10"/>
  <c r="S109" i="10"/>
  <c r="K109" i="10"/>
  <c r="AG108" i="10"/>
  <c r="Y108" i="10"/>
  <c r="Q108" i="10"/>
  <c r="I108" i="10"/>
  <c r="AE107" i="10"/>
  <c r="W107" i="10"/>
  <c r="O107" i="10"/>
  <c r="G107" i="10"/>
  <c r="AK106" i="10"/>
  <c r="AC106" i="10"/>
  <c r="U106" i="10"/>
  <c r="M106" i="10"/>
  <c r="AI105" i="10"/>
  <c r="AA105" i="10"/>
  <c r="S105" i="10"/>
  <c r="K105" i="10"/>
  <c r="AG104" i="10"/>
  <c r="Y104" i="10"/>
  <c r="Q104" i="10"/>
  <c r="I104" i="10"/>
  <c r="AE103" i="10"/>
  <c r="W103" i="10"/>
  <c r="O103" i="10"/>
  <c r="G103" i="10"/>
  <c r="AK102" i="10"/>
  <c r="AC102" i="10"/>
  <c r="U102" i="10"/>
  <c r="M102" i="10"/>
  <c r="AI101" i="10"/>
  <c r="AA101" i="10"/>
  <c r="S101" i="10"/>
  <c r="K101" i="10"/>
  <c r="AG100" i="10"/>
  <c r="Y100" i="10"/>
  <c r="AL111" i="10"/>
  <c r="L110" i="10"/>
  <c r="X108" i="10"/>
  <c r="AJ106" i="10"/>
  <c r="AH105" i="10"/>
  <c r="N105" i="10"/>
  <c r="AE104" i="10"/>
  <c r="O104" i="10"/>
  <c r="AK103" i="10"/>
  <c r="U103" i="10"/>
  <c r="AF102" i="10"/>
  <c r="R102" i="10"/>
  <c r="AE101" i="10"/>
  <c r="R101" i="10"/>
  <c r="H101" i="10"/>
  <c r="AJ100" i="10"/>
  <c r="X100" i="10"/>
  <c r="P100" i="10"/>
  <c r="H100" i="10"/>
  <c r="AL99" i="10"/>
  <c r="AD99" i="10"/>
  <c r="V99" i="10"/>
  <c r="N99" i="10"/>
  <c r="F99" i="10"/>
  <c r="AJ98" i="10"/>
  <c r="AB98" i="10"/>
  <c r="T98" i="10"/>
  <c r="L98" i="10"/>
  <c r="AH97" i="10"/>
  <c r="Z97" i="10"/>
  <c r="R97" i="10"/>
  <c r="J97" i="10"/>
  <c r="AF96" i="10"/>
  <c r="X96" i="10"/>
  <c r="P96" i="10"/>
  <c r="H96" i="10"/>
  <c r="AL95" i="10"/>
  <c r="AD95" i="10"/>
  <c r="V95" i="10"/>
  <c r="N95" i="10"/>
  <c r="F95" i="10"/>
  <c r="AJ94" i="10"/>
  <c r="AB94" i="10"/>
  <c r="T94" i="10"/>
  <c r="L94" i="10"/>
  <c r="AH93" i="10"/>
  <c r="Z93" i="10"/>
  <c r="R93" i="10"/>
  <c r="J93" i="10"/>
  <c r="AF92" i="10"/>
  <c r="X92" i="10"/>
  <c r="P92" i="10"/>
  <c r="H92" i="10"/>
  <c r="AL91" i="10"/>
  <c r="AD91" i="10"/>
  <c r="V91" i="10"/>
  <c r="N91" i="10"/>
  <c r="F91" i="10"/>
  <c r="AJ90" i="10"/>
  <c r="AB90" i="10"/>
  <c r="T90" i="10"/>
  <c r="L90" i="10"/>
  <c r="AH89" i="10"/>
  <c r="Z89" i="10"/>
  <c r="R89" i="10"/>
  <c r="J89" i="10"/>
  <c r="AF88" i="10"/>
  <c r="X88" i="10"/>
  <c r="P88" i="10"/>
  <c r="H88" i="10"/>
  <c r="AL87" i="10"/>
  <c r="AD87" i="10"/>
  <c r="V87" i="10"/>
  <c r="N87" i="10"/>
  <c r="AD111" i="10"/>
  <c r="P108" i="10"/>
  <c r="AB106" i="10"/>
  <c r="AF105" i="10"/>
  <c r="J105" i="10"/>
  <c r="AD104" i="10"/>
  <c r="N104" i="10"/>
  <c r="AJ103" i="10"/>
  <c r="T103" i="10"/>
  <c r="AB102" i="10"/>
  <c r="Q102" i="10"/>
  <c r="AD101" i="10"/>
  <c r="Q101" i="10"/>
  <c r="G101" i="10"/>
  <c r="AH100" i="10"/>
  <c r="W100" i="10"/>
  <c r="O100" i="10"/>
  <c r="G100" i="10"/>
  <c r="AK99" i="10"/>
  <c r="AC99" i="10"/>
  <c r="U99" i="10"/>
  <c r="M99" i="10"/>
  <c r="AI98" i="10"/>
  <c r="AA98" i="10"/>
  <c r="S98" i="10"/>
  <c r="K98" i="10"/>
  <c r="AG97" i="10"/>
  <c r="Y97" i="10"/>
  <c r="Q97" i="10"/>
  <c r="I97" i="10"/>
  <c r="AE96" i="10"/>
  <c r="W96" i="10"/>
  <c r="O96" i="10"/>
  <c r="G96" i="10"/>
  <c r="AK95" i="10"/>
  <c r="AC95" i="10"/>
  <c r="U95" i="10"/>
  <c r="M95" i="10"/>
  <c r="AI94" i="10"/>
  <c r="AA94" i="10"/>
  <c r="S94" i="10"/>
  <c r="K94" i="10"/>
  <c r="AG93" i="10"/>
  <c r="Y93" i="10"/>
  <c r="Q93" i="10"/>
  <c r="I93" i="10"/>
  <c r="V111" i="10"/>
  <c r="AH109" i="10"/>
  <c r="H108" i="10"/>
  <c r="T106" i="10"/>
  <c r="AD105" i="10"/>
  <c r="H105" i="10"/>
  <c r="AB104" i="10"/>
  <c r="L104" i="10"/>
  <c r="AH103" i="10"/>
  <c r="R103" i="10"/>
  <c r="AA102" i="10"/>
  <c r="P102" i="10"/>
  <c r="Z101" i="10"/>
  <c r="P101" i="10"/>
  <c r="F101" i="10"/>
  <c r="AF100" i="10"/>
  <c r="V100" i="10"/>
  <c r="N100" i="10"/>
  <c r="F100" i="10"/>
  <c r="AJ99" i="10"/>
  <c r="AB99" i="10"/>
  <c r="T99" i="10"/>
  <c r="L99" i="10"/>
  <c r="AH98" i="10"/>
  <c r="Z98" i="10"/>
  <c r="R98" i="10"/>
  <c r="J98" i="10"/>
  <c r="AF97" i="10"/>
  <c r="X97" i="10"/>
  <c r="P97" i="10"/>
  <c r="H97" i="10"/>
  <c r="AL96" i="10"/>
  <c r="AD96" i="10"/>
  <c r="V96" i="10"/>
  <c r="N96" i="10"/>
  <c r="F96" i="10"/>
  <c r="AJ95" i="10"/>
  <c r="AB95" i="10"/>
  <c r="T95" i="10"/>
  <c r="L95" i="10"/>
  <c r="AH94" i="10"/>
  <c r="Z94" i="10"/>
  <c r="R94" i="10"/>
  <c r="J94" i="10"/>
  <c r="AF93" i="10"/>
  <c r="X93" i="10"/>
  <c r="P93" i="10"/>
  <c r="H93" i="10"/>
  <c r="AL92" i="10"/>
  <c r="AD92" i="10"/>
  <c r="V92" i="10"/>
  <c r="N92" i="10"/>
  <c r="F92" i="10"/>
  <c r="AJ91" i="10"/>
  <c r="AB91" i="10"/>
  <c r="T91" i="10"/>
  <c r="L91" i="10"/>
  <c r="AH90" i="10"/>
  <c r="Z90" i="10"/>
  <c r="N111" i="10"/>
  <c r="Z109" i="10"/>
  <c r="AL107" i="10"/>
  <c r="L106" i="10"/>
  <c r="Z105" i="10"/>
  <c r="F105" i="10"/>
  <c r="X104" i="10"/>
  <c r="H104" i="10"/>
  <c r="AD103" i="10"/>
  <c r="N103" i="10"/>
  <c r="Z102" i="10"/>
  <c r="L102" i="10"/>
  <c r="Y101" i="10"/>
  <c r="O101" i="10"/>
  <c r="AE100" i="10"/>
  <c r="U100" i="10"/>
  <c r="M100" i="10"/>
  <c r="AI99" i="10"/>
  <c r="AA99" i="10"/>
  <c r="S99" i="10"/>
  <c r="K99" i="10"/>
  <c r="AG98" i="10"/>
  <c r="Y98" i="10"/>
  <c r="Q98" i="10"/>
  <c r="I98" i="10"/>
  <c r="AE97" i="10"/>
  <c r="W97" i="10"/>
  <c r="O97" i="10"/>
  <c r="G97" i="10"/>
  <c r="AK96" i="10"/>
  <c r="AC96" i="10"/>
  <c r="U96" i="10"/>
  <c r="M96" i="10"/>
  <c r="AI95" i="10"/>
  <c r="AA95" i="10"/>
  <c r="S95" i="10"/>
  <c r="K95" i="10"/>
  <c r="AG94" i="10"/>
  <c r="Y94" i="10"/>
  <c r="Q94" i="10"/>
  <c r="I94" i="10"/>
  <c r="AE93" i="10"/>
  <c r="W93" i="10"/>
  <c r="O93" i="10"/>
  <c r="G93" i="10"/>
  <c r="AK92" i="10"/>
  <c r="AK112" i="10"/>
  <c r="F111" i="10"/>
  <c r="R109" i="10"/>
  <c r="AD107" i="10"/>
  <c r="J106" i="10"/>
  <c r="X105" i="10"/>
  <c r="W104" i="10"/>
  <c r="G104" i="10"/>
  <c r="AC103" i="10"/>
  <c r="M103" i="10"/>
  <c r="AJ102" i="10"/>
  <c r="Y102" i="10"/>
  <c r="K102" i="10"/>
  <c r="AL101" i="10"/>
  <c r="X101" i="10"/>
  <c r="N101" i="10"/>
  <c r="AD100" i="10"/>
  <c r="T100" i="10"/>
  <c r="L100" i="10"/>
  <c r="AH99" i="10"/>
  <c r="Z99" i="10"/>
  <c r="R99" i="10"/>
  <c r="J99" i="10"/>
  <c r="AF98" i="10"/>
  <c r="X98" i="10"/>
  <c r="P98" i="10"/>
  <c r="H98" i="10"/>
  <c r="AL97" i="10"/>
  <c r="AD97" i="10"/>
  <c r="V97" i="10"/>
  <c r="N97" i="10"/>
  <c r="F97" i="10"/>
  <c r="AJ96" i="10"/>
  <c r="AB96" i="10"/>
  <c r="T96" i="10"/>
  <c r="L96" i="10"/>
  <c r="AH95" i="10"/>
  <c r="Z95" i="10"/>
  <c r="R95" i="10"/>
  <c r="J95" i="10"/>
  <c r="AF94" i="10"/>
  <c r="X94" i="10"/>
  <c r="P94" i="10"/>
  <c r="H94" i="10"/>
  <c r="AL93" i="10"/>
  <c r="AD93" i="10"/>
  <c r="V93" i="10"/>
  <c r="N93" i="10"/>
  <c r="F93" i="10"/>
  <c r="AJ92" i="10"/>
  <c r="AB92" i="10"/>
  <c r="T92" i="10"/>
  <c r="L92" i="10"/>
  <c r="AH91" i="10"/>
  <c r="Z91" i="10"/>
  <c r="R91" i="10"/>
  <c r="J91" i="10"/>
  <c r="AF90" i="10"/>
  <c r="X90" i="10"/>
  <c r="P90" i="10"/>
  <c r="H90" i="10"/>
  <c r="AL89" i="10"/>
  <c r="AD89" i="10"/>
  <c r="V89" i="10"/>
  <c r="N89" i="10"/>
  <c r="F89" i="10"/>
  <c r="AJ88" i="10"/>
  <c r="AB88" i="10"/>
  <c r="T88" i="10"/>
  <c r="L88" i="10"/>
  <c r="AH87" i="10"/>
  <c r="Z87" i="10"/>
  <c r="R87" i="10"/>
  <c r="Z112" i="10"/>
  <c r="AJ110" i="10"/>
  <c r="J109" i="10"/>
  <c r="V107" i="10"/>
  <c r="V105" i="10"/>
  <c r="AL104" i="10"/>
  <c r="V104" i="10"/>
  <c r="F104" i="10"/>
  <c r="AB103" i="10"/>
  <c r="L103" i="10"/>
  <c r="AI102" i="10"/>
  <c r="X102" i="10"/>
  <c r="J102" i="10"/>
  <c r="AH101" i="10"/>
  <c r="W101" i="10"/>
  <c r="L101" i="10"/>
  <c r="AC100" i="10"/>
  <c r="S100" i="10"/>
  <c r="K100" i="10"/>
  <c r="AG99" i="10"/>
  <c r="Y99" i="10"/>
  <c r="Q99" i="10"/>
  <c r="I99" i="10"/>
  <c r="AE98" i="10"/>
  <c r="W98" i="10"/>
  <c r="O98" i="10"/>
  <c r="G98" i="10"/>
  <c r="AK97" i="10"/>
  <c r="AC97" i="10"/>
  <c r="U97" i="10"/>
  <c r="M97" i="10"/>
  <c r="AI96" i="10"/>
  <c r="AA96" i="10"/>
  <c r="S96" i="10"/>
  <c r="K96" i="10"/>
  <c r="AG95" i="10"/>
  <c r="Y95" i="10"/>
  <c r="Q95" i="10"/>
  <c r="I95" i="10"/>
  <c r="AE94" i="10"/>
  <c r="W94" i="10"/>
  <c r="O94" i="10"/>
  <c r="G94" i="10"/>
  <c r="AK93" i="10"/>
  <c r="AC93" i="10"/>
  <c r="U93" i="10"/>
  <c r="M93" i="10"/>
  <c r="AI92" i="10"/>
  <c r="AA92" i="10"/>
  <c r="S92" i="10"/>
  <c r="K92" i="10"/>
  <c r="AG91" i="10"/>
  <c r="Y91" i="10"/>
  <c r="Q91" i="10"/>
  <c r="I91" i="10"/>
  <c r="AE90" i="10"/>
  <c r="W90" i="10"/>
  <c r="P112" i="10"/>
  <c r="AB110" i="10"/>
  <c r="N107" i="10"/>
  <c r="R105" i="10"/>
  <c r="AJ104" i="10"/>
  <c r="T104" i="10"/>
  <c r="Z103" i="10"/>
  <c r="J103" i="10"/>
  <c r="AH102" i="10"/>
  <c r="T102" i="10"/>
  <c r="I102" i="10"/>
  <c r="AG101" i="10"/>
  <c r="V101" i="10"/>
  <c r="J101" i="10"/>
  <c r="AL100" i="10"/>
  <c r="AB100" i="10"/>
  <c r="R100" i="10"/>
  <c r="J100" i="10"/>
  <c r="AF99" i="10"/>
  <c r="X99" i="10"/>
  <c r="P99" i="10"/>
  <c r="H99" i="10"/>
  <c r="AL98" i="10"/>
  <c r="AD98" i="10"/>
  <c r="V98" i="10"/>
  <c r="N98" i="10"/>
  <c r="F98" i="10"/>
  <c r="AJ97" i="10"/>
  <c r="AB97" i="10"/>
  <c r="T97" i="10"/>
  <c r="L97" i="10"/>
  <c r="AH96" i="10"/>
  <c r="Z96" i="10"/>
  <c r="R96" i="10"/>
  <c r="J96" i="10"/>
  <c r="AF95" i="10"/>
  <c r="X95" i="10"/>
  <c r="P95" i="10"/>
  <c r="H95" i="10"/>
  <c r="AL94" i="10"/>
  <c r="AD94" i="10"/>
  <c r="V94" i="10"/>
  <c r="N94" i="10"/>
  <c r="F94" i="10"/>
  <c r="AJ93" i="10"/>
  <c r="AB93" i="10"/>
  <c r="T93" i="10"/>
  <c r="L93" i="10"/>
  <c r="AH92" i="10"/>
  <c r="Z92" i="10"/>
  <c r="R92" i="10"/>
  <c r="J92" i="10"/>
  <c r="AF91" i="10"/>
  <c r="X91" i="10"/>
  <c r="P91" i="10"/>
  <c r="H91" i="10"/>
  <c r="AL90" i="10"/>
  <c r="AD90" i="10"/>
  <c r="V90" i="10"/>
  <c r="N90" i="10"/>
  <c r="F90" i="10"/>
  <c r="H112" i="10"/>
  <c r="AL103" i="10"/>
  <c r="I101" i="10"/>
  <c r="O99" i="10"/>
  <c r="AA97" i="10"/>
  <c r="M94" i="10"/>
  <c r="AE92" i="10"/>
  <c r="I92" i="10"/>
  <c r="AA91" i="10"/>
  <c r="U90" i="10"/>
  <c r="I90" i="10"/>
  <c r="AI89" i="10"/>
  <c r="X89" i="10"/>
  <c r="M89" i="10"/>
  <c r="AD88" i="10"/>
  <c r="S88" i="10"/>
  <c r="I88" i="10"/>
  <c r="AJ87" i="10"/>
  <c r="Y87" i="10"/>
  <c r="O87" i="10"/>
  <c r="F87" i="10"/>
  <c r="AJ86" i="10"/>
  <c r="AB86" i="10"/>
  <c r="T86" i="10"/>
  <c r="L86" i="10"/>
  <c r="AH85" i="10"/>
  <c r="Z85" i="10"/>
  <c r="R85" i="10"/>
  <c r="J85" i="10"/>
  <c r="AF84" i="10"/>
  <c r="X84" i="10"/>
  <c r="P84" i="10"/>
  <c r="H84" i="10"/>
  <c r="T110" i="10"/>
  <c r="V103" i="10"/>
  <c r="AK100" i="10"/>
  <c r="G99" i="10"/>
  <c r="S97" i="10"/>
  <c r="AE95" i="10"/>
  <c r="AC92" i="10"/>
  <c r="G92" i="10"/>
  <c r="W91" i="10"/>
  <c r="S90" i="10"/>
  <c r="G90" i="10"/>
  <c r="AG89" i="10"/>
  <c r="W89" i="10"/>
  <c r="L89" i="10"/>
  <c r="AC88" i="10"/>
  <c r="R88" i="10"/>
  <c r="G88" i="10"/>
  <c r="AI87" i="10"/>
  <c r="X87" i="10"/>
  <c r="M87" i="10"/>
  <c r="AI86" i="10"/>
  <c r="AA86" i="10"/>
  <c r="S86" i="10"/>
  <c r="K86" i="10"/>
  <c r="AG85" i="10"/>
  <c r="Y85" i="10"/>
  <c r="Q85" i="10"/>
  <c r="I85" i="10"/>
  <c r="AE84" i="10"/>
  <c r="W84" i="10"/>
  <c r="O84" i="10"/>
  <c r="G84" i="10"/>
  <c r="AF108" i="10"/>
  <c r="F103" i="10"/>
  <c r="Z100" i="10"/>
  <c r="AK98" i="10"/>
  <c r="K97" i="10"/>
  <c r="W95" i="10"/>
  <c r="AI93" i="10"/>
  <c r="Y92" i="10"/>
  <c r="U91" i="10"/>
  <c r="AK90" i="10"/>
  <c r="R90" i="10"/>
  <c r="AF89" i="10"/>
  <c r="U89" i="10"/>
  <c r="K89" i="10"/>
  <c r="AL88" i="10"/>
  <c r="AA88" i="10"/>
  <c r="Q88" i="10"/>
  <c r="F88" i="10"/>
  <c r="AG87" i="10"/>
  <c r="W87" i="10"/>
  <c r="L87" i="10"/>
  <c r="AH86" i="10"/>
  <c r="Z86" i="10"/>
  <c r="R86" i="10"/>
  <c r="J86" i="10"/>
  <c r="AF85" i="10"/>
  <c r="X85" i="10"/>
  <c r="P85" i="10"/>
  <c r="H85" i="10"/>
  <c r="AL84" i="10"/>
  <c r="AD84" i="10"/>
  <c r="V84" i="10"/>
  <c r="N84" i="10"/>
  <c r="F84" i="10"/>
  <c r="F107" i="10"/>
  <c r="AG102" i="10"/>
  <c r="Q100" i="10"/>
  <c r="AC98" i="10"/>
  <c r="O95" i="10"/>
  <c r="AA93" i="10"/>
  <c r="W92" i="10"/>
  <c r="S91" i="10"/>
  <c r="AI90" i="10"/>
  <c r="Q90" i="10"/>
  <c r="AE89" i="10"/>
  <c r="T89" i="10"/>
  <c r="I89" i="10"/>
  <c r="AK88" i="10"/>
  <c r="Z88" i="10"/>
  <c r="O88" i="10"/>
  <c r="AF87" i="10"/>
  <c r="U87" i="10"/>
  <c r="K87" i="10"/>
  <c r="AG86" i="10"/>
  <c r="Y86" i="10"/>
  <c r="Q86" i="10"/>
  <c r="I86" i="10"/>
  <c r="AE85" i="10"/>
  <c r="W85" i="10"/>
  <c r="O85" i="10"/>
  <c r="G85" i="10"/>
  <c r="AK84" i="10"/>
  <c r="AC84" i="10"/>
  <c r="U84" i="10"/>
  <c r="M84" i="10"/>
  <c r="AL105" i="10"/>
  <c r="S102" i="10"/>
  <c r="I100" i="10"/>
  <c r="U98" i="10"/>
  <c r="AG96" i="10"/>
  <c r="G95" i="10"/>
  <c r="S93" i="10"/>
  <c r="U92" i="10"/>
  <c r="AK91" i="10"/>
  <c r="O91" i="10"/>
  <c r="AG90" i="10"/>
  <c r="O90" i="10"/>
  <c r="AC89" i="10"/>
  <c r="S89" i="10"/>
  <c r="H89" i="10"/>
  <c r="AI88" i="10"/>
  <c r="Y88" i="10"/>
  <c r="N88" i="10"/>
  <c r="AE87" i="10"/>
  <c r="T87" i="10"/>
  <c r="J87" i="10"/>
  <c r="AF86" i="10"/>
  <c r="X86" i="10"/>
  <c r="P86" i="10"/>
  <c r="H86" i="10"/>
  <c r="AL85" i="10"/>
  <c r="AD85" i="10"/>
  <c r="V85" i="10"/>
  <c r="N85" i="10"/>
  <c r="F85" i="10"/>
  <c r="AJ84" i="10"/>
  <c r="AB84" i="10"/>
  <c r="T84" i="10"/>
  <c r="L84" i="10"/>
  <c r="P105" i="10"/>
  <c r="H102" i="10"/>
  <c r="M98" i="10"/>
  <c r="Y96" i="10"/>
  <c r="AK94" i="10"/>
  <c r="AK118" i="10" s="1"/>
  <c r="K93" i="10"/>
  <c r="Q92" i="10"/>
  <c r="AI91" i="10"/>
  <c r="M91" i="10"/>
  <c r="AC90" i="10"/>
  <c r="M90" i="10"/>
  <c r="AB89" i="10"/>
  <c r="Q89" i="10"/>
  <c r="G89" i="10"/>
  <c r="AH88" i="10"/>
  <c r="W88" i="10"/>
  <c r="M88" i="10"/>
  <c r="AC87" i="10"/>
  <c r="S87" i="10"/>
  <c r="I87" i="10"/>
  <c r="AE86" i="10"/>
  <c r="W86" i="10"/>
  <c r="O86" i="10"/>
  <c r="G86" i="10"/>
  <c r="AK85" i="10"/>
  <c r="AC85" i="10"/>
  <c r="U85" i="10"/>
  <c r="M85" i="10"/>
  <c r="AI84" i="10"/>
  <c r="AA84" i="10"/>
  <c r="S84" i="10"/>
  <c r="K84" i="10"/>
  <c r="AF101" i="10"/>
  <c r="AC94" i="10"/>
  <c r="AC118" i="10" s="1"/>
  <c r="K91" i="10"/>
  <c r="AA89" i="10"/>
  <c r="V88" i="10"/>
  <c r="Q87" i="10"/>
  <c r="V86" i="10"/>
  <c r="AB85" i="10"/>
  <c r="AH84" i="10"/>
  <c r="T101" i="10"/>
  <c r="U94" i="10"/>
  <c r="U118" i="10" s="1"/>
  <c r="G91" i="10"/>
  <c r="Y89" i="10"/>
  <c r="U88" i="10"/>
  <c r="P87" i="10"/>
  <c r="U86" i="10"/>
  <c r="AA85" i="10"/>
  <c r="AG84" i="10"/>
  <c r="AE99" i="10"/>
  <c r="AA90" i="10"/>
  <c r="P89" i="10"/>
  <c r="K88" i="10"/>
  <c r="H87" i="10"/>
  <c r="N86" i="10"/>
  <c r="T85" i="10"/>
  <c r="Z84" i="10"/>
  <c r="W99" i="10"/>
  <c r="AG92" i="10"/>
  <c r="Y90" i="10"/>
  <c r="O89" i="10"/>
  <c r="J88" i="10"/>
  <c r="G87" i="10"/>
  <c r="M86" i="10"/>
  <c r="S85" i="10"/>
  <c r="Y84" i="10"/>
  <c r="O92" i="10"/>
  <c r="K90" i="10"/>
  <c r="AL86" i="10"/>
  <c r="F86" i="10"/>
  <c r="L85" i="10"/>
  <c r="R84" i="10"/>
  <c r="AI97" i="10"/>
  <c r="M92" i="10"/>
  <c r="J90" i="10"/>
  <c r="AK87" i="10"/>
  <c r="AK86" i="10"/>
  <c r="K85" i="10"/>
  <c r="Q84" i="10"/>
  <c r="AF104" i="10"/>
  <c r="Q96" i="10"/>
  <c r="AE91" i="10"/>
  <c r="AK89" i="10"/>
  <c r="AG88" i="10"/>
  <c r="AB87" i="10"/>
  <c r="AD86" i="10"/>
  <c r="AJ85" i="10"/>
  <c r="J84" i="10"/>
  <c r="AC91" i="10"/>
  <c r="AJ89" i="10"/>
  <c r="AE88" i="10"/>
  <c r="AA87" i="10"/>
  <c r="AC86" i="10"/>
  <c r="AI85" i="10"/>
  <c r="P104" i="10"/>
  <c r="I96" i="10"/>
  <c r="I84" i="10"/>
  <c r="AJ59" i="4"/>
  <c r="AF76" i="8" s="1"/>
  <c r="E112" i="4"/>
  <c r="A95" i="8"/>
  <c r="E89" i="4"/>
  <c r="A72" i="8"/>
  <c r="E97" i="4"/>
  <c r="A80" i="8"/>
  <c r="E105" i="4"/>
  <c r="A88" i="8"/>
  <c r="E113" i="4"/>
  <c r="A96" i="8"/>
  <c r="E96" i="4"/>
  <c r="A79" i="8"/>
  <c r="E83" i="4"/>
  <c r="E90" i="4"/>
  <c r="A73" i="8"/>
  <c r="E98" i="4"/>
  <c r="A81" i="8"/>
  <c r="E106" i="4"/>
  <c r="A89" i="8"/>
  <c r="E91" i="4"/>
  <c r="A74" i="8"/>
  <c r="E99" i="4"/>
  <c r="A82" i="8"/>
  <c r="E107" i="4"/>
  <c r="A90" i="8"/>
  <c r="E84" i="4"/>
  <c r="A67" i="8"/>
  <c r="E92" i="4"/>
  <c r="A75" i="8"/>
  <c r="E100" i="4"/>
  <c r="A83" i="8"/>
  <c r="E108" i="4"/>
  <c r="A91" i="8"/>
  <c r="E88" i="4"/>
  <c r="A71" i="8"/>
  <c r="E85" i="4"/>
  <c r="A68" i="8"/>
  <c r="E93" i="4"/>
  <c r="A76" i="8"/>
  <c r="E101" i="4"/>
  <c r="A84" i="8"/>
  <c r="E109" i="4"/>
  <c r="A92" i="8"/>
  <c r="E104" i="4"/>
  <c r="A87" i="8"/>
  <c r="E86" i="4"/>
  <c r="A69" i="8"/>
  <c r="E94" i="4"/>
  <c r="A77" i="8"/>
  <c r="E102" i="4"/>
  <c r="A85" i="8"/>
  <c r="E110" i="4"/>
  <c r="A93" i="8"/>
  <c r="E87" i="4"/>
  <c r="A70" i="8"/>
  <c r="E95" i="4"/>
  <c r="A78" i="8"/>
  <c r="E103" i="4"/>
  <c r="A86" i="8"/>
  <c r="E111" i="4"/>
  <c r="A94" i="8"/>
  <c r="AH51" i="4"/>
  <c r="AD68" i="8" s="1"/>
  <c r="AA63" i="4"/>
  <c r="W80" i="8" s="1"/>
  <c r="S65" i="4"/>
  <c r="O82" i="8" s="1"/>
  <c r="AC55" i="4"/>
  <c r="D45" i="4"/>
  <c r="C45" i="4"/>
  <c r="B45" i="4"/>
  <c r="B41" i="4" s="1"/>
  <c r="A118" i="4"/>
  <c r="A119" i="4" s="1"/>
  <c r="A87" i="4"/>
  <c r="AK53" i="4"/>
  <c r="AG70" i="8" s="1"/>
  <c r="AC53" i="4"/>
  <c r="Y70" i="8" s="1"/>
  <c r="U53" i="4"/>
  <c r="Q70" i="8" s="1"/>
  <c r="M53" i="4"/>
  <c r="I70" i="8" s="1"/>
  <c r="AJ53" i="4"/>
  <c r="AF70" i="8" s="1"/>
  <c r="AB53" i="4"/>
  <c r="X70" i="8" s="1"/>
  <c r="T53" i="4"/>
  <c r="P70" i="8" s="1"/>
  <c r="L53" i="4"/>
  <c r="H70" i="8" s="1"/>
  <c r="AG53" i="4"/>
  <c r="AC70" i="8" s="1"/>
  <c r="W53" i="4"/>
  <c r="S70" i="8" s="1"/>
  <c r="K53" i="4"/>
  <c r="G70" i="8" s="1"/>
  <c r="AF53" i="4"/>
  <c r="AB70" i="8" s="1"/>
  <c r="V53" i="4"/>
  <c r="R70" i="8" s="1"/>
  <c r="J53" i="4"/>
  <c r="F70" i="8" s="1"/>
  <c r="AE53" i="4"/>
  <c r="AA70" i="8" s="1"/>
  <c r="S53" i="4"/>
  <c r="O70" i="8" s="1"/>
  <c r="I53" i="4"/>
  <c r="E70" i="8" s="1"/>
  <c r="AD53" i="4"/>
  <c r="Z70" i="8" s="1"/>
  <c r="R53" i="4"/>
  <c r="N70" i="8" s="1"/>
  <c r="H53" i="4"/>
  <c r="D70" i="8" s="1"/>
  <c r="AA53" i="4"/>
  <c r="W70" i="8" s="1"/>
  <c r="Q53" i="4"/>
  <c r="M70" i="8" s="1"/>
  <c r="G53" i="4"/>
  <c r="C70" i="8" s="1"/>
  <c r="AL53" i="4"/>
  <c r="AH70" i="8" s="1"/>
  <c r="Z53" i="4"/>
  <c r="V70" i="8" s="1"/>
  <c r="P53" i="4"/>
  <c r="L70" i="8" s="1"/>
  <c r="F53" i="4"/>
  <c r="B70" i="8" s="1"/>
  <c r="AI53" i="4"/>
  <c r="AE70" i="8" s="1"/>
  <c r="Y53" i="4"/>
  <c r="U70" i="8" s="1"/>
  <c r="O53" i="4"/>
  <c r="K70" i="8" s="1"/>
  <c r="AH53" i="4"/>
  <c r="AD70" i="8" s="1"/>
  <c r="X53" i="4"/>
  <c r="T70" i="8" s="1"/>
  <c r="N53" i="4"/>
  <c r="J70" i="8" s="1"/>
  <c r="A91" i="4"/>
  <c r="AK57" i="4"/>
  <c r="AG74" i="8" s="1"/>
  <c r="AC57" i="4"/>
  <c r="Y74" i="8" s="1"/>
  <c r="U57" i="4"/>
  <c r="Q74" i="8" s="1"/>
  <c r="M57" i="4"/>
  <c r="I74" i="8" s="1"/>
  <c r="AJ57" i="4"/>
  <c r="AF74" i="8" s="1"/>
  <c r="AB57" i="4"/>
  <c r="X74" i="8" s="1"/>
  <c r="T57" i="4"/>
  <c r="P74" i="8" s="1"/>
  <c r="L57" i="4"/>
  <c r="H74" i="8" s="1"/>
  <c r="AD57" i="4"/>
  <c r="Z74" i="8" s="1"/>
  <c r="R57" i="4"/>
  <c r="N74" i="8" s="1"/>
  <c r="H57" i="4"/>
  <c r="D74" i="8" s="1"/>
  <c r="AA57" i="4"/>
  <c r="W74" i="8" s="1"/>
  <c r="Q57" i="4"/>
  <c r="M74" i="8" s="1"/>
  <c r="G57" i="4"/>
  <c r="C74" i="8" s="1"/>
  <c r="AL57" i="4"/>
  <c r="AH74" i="8" s="1"/>
  <c r="Z57" i="4"/>
  <c r="V74" i="8" s="1"/>
  <c r="P57" i="4"/>
  <c r="L74" i="8" s="1"/>
  <c r="F57" i="4"/>
  <c r="B74" i="8" s="1"/>
  <c r="AI57" i="4"/>
  <c r="AE74" i="8" s="1"/>
  <c r="Y57" i="4"/>
  <c r="U74" i="8" s="1"/>
  <c r="O57" i="4"/>
  <c r="K74" i="8" s="1"/>
  <c r="AH57" i="4"/>
  <c r="AD74" i="8" s="1"/>
  <c r="X57" i="4"/>
  <c r="T74" i="8" s="1"/>
  <c r="N57" i="4"/>
  <c r="J74" i="8" s="1"/>
  <c r="AG57" i="4"/>
  <c r="AC74" i="8" s="1"/>
  <c r="W57" i="4"/>
  <c r="S74" i="8" s="1"/>
  <c r="K57" i="4"/>
  <c r="G74" i="8" s="1"/>
  <c r="AF57" i="4"/>
  <c r="AB74" i="8" s="1"/>
  <c r="V57" i="4"/>
  <c r="R74" i="8" s="1"/>
  <c r="J57" i="4"/>
  <c r="F74" i="8" s="1"/>
  <c r="AE57" i="4"/>
  <c r="AA74" i="8" s="1"/>
  <c r="S57" i="4"/>
  <c r="O74" i="8" s="1"/>
  <c r="I57" i="4"/>
  <c r="E74" i="8" s="1"/>
  <c r="A84" i="4"/>
  <c r="AE50" i="4"/>
  <c r="W50" i="4"/>
  <c r="O50" i="4"/>
  <c r="G50" i="4"/>
  <c r="AL50" i="4"/>
  <c r="AD50" i="4"/>
  <c r="V50" i="4"/>
  <c r="N50" i="4"/>
  <c r="F50" i="4"/>
  <c r="AF50" i="4"/>
  <c r="T50" i="4"/>
  <c r="J50" i="4"/>
  <c r="AC50" i="4"/>
  <c r="S50" i="4"/>
  <c r="I50" i="4"/>
  <c r="AB50" i="4"/>
  <c r="R50" i="4"/>
  <c r="H50" i="4"/>
  <c r="AK50" i="4"/>
  <c r="AA50" i="4"/>
  <c r="Q50" i="4"/>
  <c r="AJ50" i="4"/>
  <c r="Z50" i="4"/>
  <c r="P50" i="4"/>
  <c r="AI50" i="4"/>
  <c r="Y50" i="4"/>
  <c r="M50" i="4"/>
  <c r="AH50" i="4"/>
  <c r="X50" i="4"/>
  <c r="L50" i="4"/>
  <c r="AG50" i="4"/>
  <c r="U50" i="4"/>
  <c r="K50" i="4"/>
  <c r="A88" i="4"/>
  <c r="AE54" i="4"/>
  <c r="AA71" i="8" s="1"/>
  <c r="W54" i="4"/>
  <c r="S71" i="8" s="1"/>
  <c r="O54" i="4"/>
  <c r="K71" i="8" s="1"/>
  <c r="G54" i="4"/>
  <c r="C71" i="8" s="1"/>
  <c r="AL54" i="4"/>
  <c r="AH71" i="8" s="1"/>
  <c r="AD54" i="4"/>
  <c r="Z71" i="8" s="1"/>
  <c r="V54" i="4"/>
  <c r="R71" i="8" s="1"/>
  <c r="N54" i="4"/>
  <c r="J71" i="8" s="1"/>
  <c r="F54" i="4"/>
  <c r="B71" i="8" s="1"/>
  <c r="AK54" i="4"/>
  <c r="AG71" i="8" s="1"/>
  <c r="AA54" i="4"/>
  <c r="W71" i="8" s="1"/>
  <c r="Q54" i="4"/>
  <c r="M71" i="8" s="1"/>
  <c r="AJ54" i="4"/>
  <c r="AF71" i="8" s="1"/>
  <c r="Z54" i="4"/>
  <c r="V71" i="8" s="1"/>
  <c r="P54" i="4"/>
  <c r="L71" i="8" s="1"/>
  <c r="AI54" i="4"/>
  <c r="AE71" i="8" s="1"/>
  <c r="Y54" i="4"/>
  <c r="U71" i="8" s="1"/>
  <c r="M54" i="4"/>
  <c r="I71" i="8" s="1"/>
  <c r="AH54" i="4"/>
  <c r="AD71" i="8" s="1"/>
  <c r="X54" i="4"/>
  <c r="T71" i="8" s="1"/>
  <c r="L54" i="4"/>
  <c r="H71" i="8" s="1"/>
  <c r="AG54" i="4"/>
  <c r="AC71" i="8" s="1"/>
  <c r="U54" i="4"/>
  <c r="Q71" i="8" s="1"/>
  <c r="K54" i="4"/>
  <c r="G71" i="8" s="1"/>
  <c r="AF54" i="4"/>
  <c r="AB71" i="8" s="1"/>
  <c r="T54" i="4"/>
  <c r="P71" i="8" s="1"/>
  <c r="J54" i="4"/>
  <c r="F71" i="8" s="1"/>
  <c r="AC54" i="4"/>
  <c r="Y71" i="8" s="1"/>
  <c r="S54" i="4"/>
  <c r="O71" i="8" s="1"/>
  <c r="I54" i="4"/>
  <c r="E71" i="8" s="1"/>
  <c r="AB54" i="4"/>
  <c r="X71" i="8" s="1"/>
  <c r="R54" i="4"/>
  <c r="N71" i="8" s="1"/>
  <c r="H54" i="4"/>
  <c r="D71" i="8" s="1"/>
  <c r="A92" i="4"/>
  <c r="AE58" i="4"/>
  <c r="AA75" i="8" s="1"/>
  <c r="W58" i="4"/>
  <c r="S75" i="8" s="1"/>
  <c r="O58" i="4"/>
  <c r="K75" i="8" s="1"/>
  <c r="G58" i="4"/>
  <c r="C75" i="8" s="1"/>
  <c r="AL58" i="4"/>
  <c r="AH75" i="8" s="1"/>
  <c r="AD58" i="4"/>
  <c r="Z75" i="8" s="1"/>
  <c r="V58" i="4"/>
  <c r="R75" i="8" s="1"/>
  <c r="N58" i="4"/>
  <c r="J75" i="8" s="1"/>
  <c r="F58" i="4"/>
  <c r="B75" i="8" s="1"/>
  <c r="AH58" i="4"/>
  <c r="AD75" i="8" s="1"/>
  <c r="X58" i="4"/>
  <c r="T75" i="8" s="1"/>
  <c r="L58" i="4"/>
  <c r="H75" i="8" s="1"/>
  <c r="AG58" i="4"/>
  <c r="AC75" i="8" s="1"/>
  <c r="U58" i="4"/>
  <c r="Q75" i="8" s="1"/>
  <c r="K58" i="4"/>
  <c r="G75" i="8" s="1"/>
  <c r="AF58" i="4"/>
  <c r="AB75" i="8" s="1"/>
  <c r="T58" i="4"/>
  <c r="P75" i="8" s="1"/>
  <c r="J58" i="4"/>
  <c r="F75" i="8" s="1"/>
  <c r="AC58" i="4"/>
  <c r="Y75" i="8" s="1"/>
  <c r="S58" i="4"/>
  <c r="O75" i="8" s="1"/>
  <c r="I58" i="4"/>
  <c r="E75" i="8" s="1"/>
  <c r="AB58" i="4"/>
  <c r="X75" i="8" s="1"/>
  <c r="R58" i="4"/>
  <c r="N75" i="8" s="1"/>
  <c r="H58" i="4"/>
  <c r="D75" i="8" s="1"/>
  <c r="AK58" i="4"/>
  <c r="AG75" i="8" s="1"/>
  <c r="AA58" i="4"/>
  <c r="W75" i="8" s="1"/>
  <c r="Q58" i="4"/>
  <c r="M75" i="8" s="1"/>
  <c r="AJ58" i="4"/>
  <c r="AF75" i="8" s="1"/>
  <c r="Z58" i="4"/>
  <c r="V75" i="8" s="1"/>
  <c r="P58" i="4"/>
  <c r="L75" i="8" s="1"/>
  <c r="AI58" i="4"/>
  <c r="AE75" i="8" s="1"/>
  <c r="Y58" i="4"/>
  <c r="U75" i="8" s="1"/>
  <c r="M58" i="4"/>
  <c r="I75" i="8" s="1"/>
  <c r="A94" i="4"/>
  <c r="AI60" i="4"/>
  <c r="AE77" i="8" s="1"/>
  <c r="AA60" i="4"/>
  <c r="W77" i="8" s="1"/>
  <c r="S60" i="4"/>
  <c r="O77" i="8" s="1"/>
  <c r="K60" i="4"/>
  <c r="G77" i="8" s="1"/>
  <c r="AH60" i="4"/>
  <c r="AD77" i="8" s="1"/>
  <c r="Z60" i="4"/>
  <c r="V77" i="8" s="1"/>
  <c r="R60" i="4"/>
  <c r="N77" i="8" s="1"/>
  <c r="J60" i="4"/>
  <c r="F77" i="8" s="1"/>
  <c r="AF60" i="4"/>
  <c r="AB77" i="8" s="1"/>
  <c r="V60" i="4"/>
  <c r="R77" i="8" s="1"/>
  <c r="L60" i="4"/>
  <c r="H77" i="8" s="1"/>
  <c r="AE60" i="4"/>
  <c r="AA77" i="8" s="1"/>
  <c r="U60" i="4"/>
  <c r="Q77" i="8" s="1"/>
  <c r="I60" i="4"/>
  <c r="E77" i="8" s="1"/>
  <c r="AD60" i="4"/>
  <c r="Z77" i="8" s="1"/>
  <c r="T60" i="4"/>
  <c r="P77" i="8" s="1"/>
  <c r="H60" i="4"/>
  <c r="D77" i="8" s="1"/>
  <c r="AC60" i="4"/>
  <c r="Y77" i="8" s="1"/>
  <c r="Q60" i="4"/>
  <c r="M77" i="8" s="1"/>
  <c r="G60" i="4"/>
  <c r="C77" i="8" s="1"/>
  <c r="AL60" i="4"/>
  <c r="AH77" i="8" s="1"/>
  <c r="AB60" i="4"/>
  <c r="X77" i="8" s="1"/>
  <c r="P60" i="4"/>
  <c r="L77" i="8" s="1"/>
  <c r="F60" i="4"/>
  <c r="AK60" i="4"/>
  <c r="AG77" i="8" s="1"/>
  <c r="Y60" i="4"/>
  <c r="U77" i="8" s="1"/>
  <c r="O60" i="4"/>
  <c r="K77" i="8" s="1"/>
  <c r="AJ60" i="4"/>
  <c r="AF77" i="8" s="1"/>
  <c r="X60" i="4"/>
  <c r="T77" i="8" s="1"/>
  <c r="N60" i="4"/>
  <c r="J77" i="8" s="1"/>
  <c r="AG60" i="4"/>
  <c r="AC77" i="8" s="1"/>
  <c r="W60" i="4"/>
  <c r="S77" i="8" s="1"/>
  <c r="M60" i="4"/>
  <c r="I77" i="8" s="1"/>
  <c r="A98" i="4"/>
  <c r="AF64" i="4"/>
  <c r="AB81" i="8" s="1"/>
  <c r="X64" i="4"/>
  <c r="T81" i="8" s="1"/>
  <c r="P64" i="4"/>
  <c r="L81" i="8" s="1"/>
  <c r="H64" i="4"/>
  <c r="D81" i="8" s="1"/>
  <c r="AE64" i="4"/>
  <c r="AA81" i="8" s="1"/>
  <c r="W64" i="4"/>
  <c r="S81" i="8" s="1"/>
  <c r="O64" i="4"/>
  <c r="K81" i="8" s="1"/>
  <c r="G64" i="4"/>
  <c r="C81" i="8" s="1"/>
  <c r="AL64" i="4"/>
  <c r="AH81" i="8" s="1"/>
  <c r="AD64" i="4"/>
  <c r="Z81" i="8" s="1"/>
  <c r="V64" i="4"/>
  <c r="R81" i="8" s="1"/>
  <c r="N64" i="4"/>
  <c r="J81" i="8" s="1"/>
  <c r="F64" i="4"/>
  <c r="B81" i="8" s="1"/>
  <c r="AK64" i="4"/>
  <c r="AG81" i="8" s="1"/>
  <c r="AC64" i="4"/>
  <c r="Y81" i="8" s="1"/>
  <c r="U64" i="4"/>
  <c r="Q81" i="8" s="1"/>
  <c r="AJ64" i="4"/>
  <c r="AF81" i="8" s="1"/>
  <c r="AB64" i="4"/>
  <c r="X81" i="8" s="1"/>
  <c r="T64" i="4"/>
  <c r="P81" i="8" s="1"/>
  <c r="L64" i="4"/>
  <c r="H81" i="8" s="1"/>
  <c r="AI64" i="4"/>
  <c r="AE81" i="8" s="1"/>
  <c r="AA64" i="4"/>
  <c r="W81" i="8" s="1"/>
  <c r="S64" i="4"/>
  <c r="O81" i="8" s="1"/>
  <c r="K64" i="4"/>
  <c r="G81" i="8" s="1"/>
  <c r="AH64" i="4"/>
  <c r="AD81" i="8" s="1"/>
  <c r="Z64" i="4"/>
  <c r="V81" i="8" s="1"/>
  <c r="R64" i="4"/>
  <c r="N81" i="8" s="1"/>
  <c r="J64" i="4"/>
  <c r="F81" i="8" s="1"/>
  <c r="Q64" i="4"/>
  <c r="M81" i="8" s="1"/>
  <c r="M64" i="4"/>
  <c r="I81" i="8" s="1"/>
  <c r="I64" i="4"/>
  <c r="E81" i="8" s="1"/>
  <c r="AG64" i="4"/>
  <c r="AC81" i="8" s="1"/>
  <c r="Y64" i="4"/>
  <c r="U81" i="8" s="1"/>
  <c r="A86" i="4"/>
  <c r="AI52" i="4"/>
  <c r="AA52" i="4"/>
  <c r="S52" i="4"/>
  <c r="K52" i="4"/>
  <c r="AH52" i="4"/>
  <c r="Z52" i="4"/>
  <c r="R52" i="4"/>
  <c r="J52" i="4"/>
  <c r="AD52" i="4"/>
  <c r="T52" i="4"/>
  <c r="H52" i="4"/>
  <c r="AC52" i="4"/>
  <c r="Q52" i="4"/>
  <c r="G52" i="4"/>
  <c r="AL52" i="4"/>
  <c r="AB52" i="4"/>
  <c r="P52" i="4"/>
  <c r="F52" i="4"/>
  <c r="AK52" i="4"/>
  <c r="Y52" i="4"/>
  <c r="O52" i="4"/>
  <c r="AJ52" i="4"/>
  <c r="X52" i="4"/>
  <c r="N52" i="4"/>
  <c r="AG52" i="4"/>
  <c r="W52" i="4"/>
  <c r="M52" i="4"/>
  <c r="AF52" i="4"/>
  <c r="V52" i="4"/>
  <c r="L52" i="4"/>
  <c r="AE52" i="4"/>
  <c r="U52" i="4"/>
  <c r="I52" i="4"/>
  <c r="A90" i="4"/>
  <c r="AI56" i="4"/>
  <c r="AE73" i="8" s="1"/>
  <c r="AA56" i="4"/>
  <c r="W73" i="8" s="1"/>
  <c r="S56" i="4"/>
  <c r="O73" i="8" s="1"/>
  <c r="K56" i="4"/>
  <c r="G73" i="8" s="1"/>
  <c r="AH56" i="4"/>
  <c r="AD73" i="8" s="1"/>
  <c r="Z56" i="4"/>
  <c r="V73" i="8" s="1"/>
  <c r="R56" i="4"/>
  <c r="N73" i="8" s="1"/>
  <c r="J56" i="4"/>
  <c r="F73" i="8" s="1"/>
  <c r="AK56" i="4"/>
  <c r="AG73" i="8" s="1"/>
  <c r="Y56" i="4"/>
  <c r="U73" i="8" s="1"/>
  <c r="O56" i="4"/>
  <c r="K73" i="8" s="1"/>
  <c r="AJ56" i="4"/>
  <c r="AF73" i="8" s="1"/>
  <c r="X56" i="4"/>
  <c r="T73" i="8" s="1"/>
  <c r="N56" i="4"/>
  <c r="J73" i="8" s="1"/>
  <c r="AG56" i="4"/>
  <c r="AC73" i="8" s="1"/>
  <c r="W56" i="4"/>
  <c r="S73" i="8" s="1"/>
  <c r="M56" i="4"/>
  <c r="I73" i="8" s="1"/>
  <c r="AF56" i="4"/>
  <c r="AB73" i="8" s="1"/>
  <c r="V56" i="4"/>
  <c r="R73" i="8" s="1"/>
  <c r="L56" i="4"/>
  <c r="H73" i="8" s="1"/>
  <c r="AE56" i="4"/>
  <c r="AA73" i="8" s="1"/>
  <c r="U56" i="4"/>
  <c r="Q73" i="8" s="1"/>
  <c r="I56" i="4"/>
  <c r="E73" i="8" s="1"/>
  <c r="AD56" i="4"/>
  <c r="Z73" i="8" s="1"/>
  <c r="T56" i="4"/>
  <c r="P73" i="8" s="1"/>
  <c r="H56" i="4"/>
  <c r="D73" i="8" s="1"/>
  <c r="AC56" i="4"/>
  <c r="Y73" i="8" s="1"/>
  <c r="Q56" i="4"/>
  <c r="M73" i="8" s="1"/>
  <c r="G56" i="4"/>
  <c r="C73" i="8" s="1"/>
  <c r="AL56" i="4"/>
  <c r="AH73" i="8" s="1"/>
  <c r="AB56" i="4"/>
  <c r="X73" i="8" s="1"/>
  <c r="P56" i="4"/>
  <c r="L73" i="8" s="1"/>
  <c r="F56" i="4"/>
  <c r="B73" i="8" s="1"/>
  <c r="A96" i="4"/>
  <c r="AE62" i="4"/>
  <c r="AA79" i="8" s="1"/>
  <c r="W62" i="4"/>
  <c r="S79" i="8" s="1"/>
  <c r="O62" i="4"/>
  <c r="K79" i="8" s="1"/>
  <c r="G62" i="4"/>
  <c r="C79" i="8" s="1"/>
  <c r="AL62" i="4"/>
  <c r="AH79" i="8" s="1"/>
  <c r="AD62" i="4"/>
  <c r="Z79" i="8" s="1"/>
  <c r="V62" i="4"/>
  <c r="R79" i="8" s="1"/>
  <c r="N62" i="4"/>
  <c r="J79" i="8" s="1"/>
  <c r="F62" i="4"/>
  <c r="B79" i="8" s="1"/>
  <c r="AC62" i="4"/>
  <c r="Y79" i="8" s="1"/>
  <c r="S62" i="4"/>
  <c r="O79" i="8" s="1"/>
  <c r="I62" i="4"/>
  <c r="E79" i="8" s="1"/>
  <c r="AB62" i="4"/>
  <c r="X79" i="8" s="1"/>
  <c r="R62" i="4"/>
  <c r="N79" i="8" s="1"/>
  <c r="H62" i="4"/>
  <c r="D79" i="8" s="1"/>
  <c r="AK62" i="4"/>
  <c r="AG79" i="8" s="1"/>
  <c r="AA62" i="4"/>
  <c r="W79" i="8" s="1"/>
  <c r="Q62" i="4"/>
  <c r="M79" i="8" s="1"/>
  <c r="AJ62" i="4"/>
  <c r="AF79" i="8" s="1"/>
  <c r="Z62" i="4"/>
  <c r="V79" i="8" s="1"/>
  <c r="P62" i="4"/>
  <c r="L79" i="8" s="1"/>
  <c r="AI62" i="4"/>
  <c r="AE79" i="8" s="1"/>
  <c r="Y62" i="4"/>
  <c r="U79" i="8" s="1"/>
  <c r="M62" i="4"/>
  <c r="I79" i="8" s="1"/>
  <c r="AH62" i="4"/>
  <c r="AD79" i="8" s="1"/>
  <c r="X62" i="4"/>
  <c r="T79" i="8" s="1"/>
  <c r="L62" i="4"/>
  <c r="H79" i="8" s="1"/>
  <c r="AG62" i="4"/>
  <c r="AC79" i="8" s="1"/>
  <c r="U62" i="4"/>
  <c r="Q79" i="8" s="1"/>
  <c r="K62" i="4"/>
  <c r="G79" i="8" s="1"/>
  <c r="AF62" i="4"/>
  <c r="AB79" i="8" s="1"/>
  <c r="T62" i="4"/>
  <c r="P79" i="8" s="1"/>
  <c r="J62" i="4"/>
  <c r="F79" i="8" s="1"/>
  <c r="A95" i="4"/>
  <c r="AK61" i="4"/>
  <c r="AG78" i="8" s="1"/>
  <c r="AC61" i="4"/>
  <c r="Y78" i="8" s="1"/>
  <c r="U61" i="4"/>
  <c r="Q78" i="8" s="1"/>
  <c r="M61" i="4"/>
  <c r="I78" i="8" s="1"/>
  <c r="AJ61" i="4"/>
  <c r="AF78" i="8" s="1"/>
  <c r="AB61" i="4"/>
  <c r="X78" i="8" s="1"/>
  <c r="T61" i="4"/>
  <c r="P78" i="8" s="1"/>
  <c r="L61" i="4"/>
  <c r="H78" i="8" s="1"/>
  <c r="AI61" i="4"/>
  <c r="AE78" i="8" s="1"/>
  <c r="Y61" i="4"/>
  <c r="U78" i="8" s="1"/>
  <c r="O61" i="4"/>
  <c r="K78" i="8" s="1"/>
  <c r="AH61" i="4"/>
  <c r="AD78" i="8" s="1"/>
  <c r="X61" i="4"/>
  <c r="T78" i="8" s="1"/>
  <c r="N61" i="4"/>
  <c r="J78" i="8" s="1"/>
  <c r="AG61" i="4"/>
  <c r="AC78" i="8" s="1"/>
  <c r="W61" i="4"/>
  <c r="S78" i="8" s="1"/>
  <c r="K61" i="4"/>
  <c r="G78" i="8" s="1"/>
  <c r="AF61" i="4"/>
  <c r="AB78" i="8" s="1"/>
  <c r="V61" i="4"/>
  <c r="R78" i="8" s="1"/>
  <c r="J61" i="4"/>
  <c r="F78" i="8" s="1"/>
  <c r="AE61" i="4"/>
  <c r="AA78" i="8" s="1"/>
  <c r="S61" i="4"/>
  <c r="O78" i="8" s="1"/>
  <c r="I61" i="4"/>
  <c r="E78" i="8" s="1"/>
  <c r="AD61" i="4"/>
  <c r="Z78" i="8" s="1"/>
  <c r="R61" i="4"/>
  <c r="N78" i="8" s="1"/>
  <c r="H61" i="4"/>
  <c r="D78" i="8" s="1"/>
  <c r="AA61" i="4"/>
  <c r="W78" i="8" s="1"/>
  <c r="Q61" i="4"/>
  <c r="M78" i="8" s="1"/>
  <c r="G61" i="4"/>
  <c r="C78" i="8" s="1"/>
  <c r="AL61" i="4"/>
  <c r="AH78" i="8" s="1"/>
  <c r="Z61" i="4"/>
  <c r="V78" i="8" s="1"/>
  <c r="P61" i="4"/>
  <c r="L78" i="8" s="1"/>
  <c r="F61" i="4"/>
  <c r="B78" i="8" s="1"/>
  <c r="O51" i="4"/>
  <c r="K68" i="8" s="1"/>
  <c r="AA51" i="4"/>
  <c r="W68" i="8" s="1"/>
  <c r="AK51" i="4"/>
  <c r="AG68" i="8" s="1"/>
  <c r="L55" i="4"/>
  <c r="V55" i="4"/>
  <c r="AH55" i="4"/>
  <c r="G59" i="4"/>
  <c r="C76" i="8" s="1"/>
  <c r="S59" i="4"/>
  <c r="O76" i="8" s="1"/>
  <c r="AC59" i="4"/>
  <c r="Y76" i="8" s="1"/>
  <c r="R63" i="4"/>
  <c r="N80" i="8" s="1"/>
  <c r="AH63" i="4"/>
  <c r="AD80" i="8" s="1"/>
  <c r="A41" i="4"/>
  <c r="F51" i="4"/>
  <c r="B68" i="8" s="1"/>
  <c r="R51" i="4"/>
  <c r="N68" i="8" s="1"/>
  <c r="AB51" i="4"/>
  <c r="X68" i="8" s="1"/>
  <c r="AL51" i="4"/>
  <c r="AH68" i="8" s="1"/>
  <c r="M55" i="4"/>
  <c r="W55" i="4"/>
  <c r="AI55" i="4"/>
  <c r="J59" i="4"/>
  <c r="F76" i="8" s="1"/>
  <c r="T59" i="4"/>
  <c r="P76" i="8" s="1"/>
  <c r="AD59" i="4"/>
  <c r="Z76" i="8" s="1"/>
  <c r="S63" i="4"/>
  <c r="O80" i="8" s="1"/>
  <c r="AI63" i="4"/>
  <c r="AE80" i="8" s="1"/>
  <c r="A100" i="4"/>
  <c r="AK66" i="4"/>
  <c r="AG83" i="8" s="1"/>
  <c r="AC66" i="4"/>
  <c r="Y83" i="8" s="1"/>
  <c r="U66" i="4"/>
  <c r="Q83" i="8" s="1"/>
  <c r="M66" i="4"/>
  <c r="I83" i="8" s="1"/>
  <c r="AJ66" i="4"/>
  <c r="AF83" i="8" s="1"/>
  <c r="AB66" i="4"/>
  <c r="X83" i="8" s="1"/>
  <c r="T66" i="4"/>
  <c r="P83" i="8" s="1"/>
  <c r="L66" i="4"/>
  <c r="H83" i="8" s="1"/>
  <c r="AI66" i="4"/>
  <c r="AE83" i="8" s="1"/>
  <c r="AA66" i="4"/>
  <c r="W83" i="8" s="1"/>
  <c r="S66" i="4"/>
  <c r="O83" i="8" s="1"/>
  <c r="K66" i="4"/>
  <c r="G83" i="8" s="1"/>
  <c r="AH66" i="4"/>
  <c r="AD83" i="8" s="1"/>
  <c r="Z66" i="4"/>
  <c r="V83" i="8" s="1"/>
  <c r="R66" i="4"/>
  <c r="N83" i="8" s="1"/>
  <c r="J66" i="4"/>
  <c r="F83" i="8" s="1"/>
  <c r="AG66" i="4"/>
  <c r="AC83" i="8" s="1"/>
  <c r="Y66" i="4"/>
  <c r="U83" i="8" s="1"/>
  <c r="Q66" i="4"/>
  <c r="M83" i="8" s="1"/>
  <c r="I66" i="4"/>
  <c r="E83" i="8" s="1"/>
  <c r="AF66" i="4"/>
  <c r="AB83" i="8" s="1"/>
  <c r="X66" i="4"/>
  <c r="T83" i="8" s="1"/>
  <c r="P66" i="4"/>
  <c r="L83" i="8" s="1"/>
  <c r="H66" i="4"/>
  <c r="D83" i="8" s="1"/>
  <c r="AE66" i="4"/>
  <c r="AA83" i="8" s="1"/>
  <c r="W66" i="4"/>
  <c r="S83" i="8" s="1"/>
  <c r="O66" i="4"/>
  <c r="K83" i="8" s="1"/>
  <c r="G66" i="4"/>
  <c r="C83" i="8" s="1"/>
  <c r="AL66" i="4"/>
  <c r="AH83" i="8" s="1"/>
  <c r="AD66" i="4"/>
  <c r="Z83" i="8" s="1"/>
  <c r="V66" i="4"/>
  <c r="R83" i="8" s="1"/>
  <c r="N66" i="4"/>
  <c r="J83" i="8" s="1"/>
  <c r="F66" i="4"/>
  <c r="B83" i="8" s="1"/>
  <c r="A102" i="4"/>
  <c r="AG68" i="4"/>
  <c r="AC85" i="8" s="1"/>
  <c r="Y68" i="4"/>
  <c r="U85" i="8" s="1"/>
  <c r="AF68" i="4"/>
  <c r="AB85" i="8" s="1"/>
  <c r="AJ68" i="4"/>
  <c r="AF85" i="8" s="1"/>
  <c r="Z68" i="4"/>
  <c r="V85" i="8" s="1"/>
  <c r="Q68" i="4"/>
  <c r="M85" i="8" s="1"/>
  <c r="I68" i="4"/>
  <c r="E85" i="8" s="1"/>
  <c r="AI68" i="4"/>
  <c r="AE85" i="8" s="1"/>
  <c r="X68" i="4"/>
  <c r="T85" i="8" s="1"/>
  <c r="P68" i="4"/>
  <c r="L85" i="8" s="1"/>
  <c r="H68" i="4"/>
  <c r="D85" i="8" s="1"/>
  <c r="AH68" i="4"/>
  <c r="AD85" i="8" s="1"/>
  <c r="W68" i="4"/>
  <c r="S85" i="8" s="1"/>
  <c r="O68" i="4"/>
  <c r="K85" i="8" s="1"/>
  <c r="G68" i="4"/>
  <c r="C85" i="8" s="1"/>
  <c r="AE68" i="4"/>
  <c r="AA85" i="8" s="1"/>
  <c r="V68" i="4"/>
  <c r="R85" i="8" s="1"/>
  <c r="N68" i="4"/>
  <c r="J85" i="8" s="1"/>
  <c r="F68" i="4"/>
  <c r="B85" i="8" s="1"/>
  <c r="AD68" i="4"/>
  <c r="Z85" i="8" s="1"/>
  <c r="U68" i="4"/>
  <c r="Q85" i="8" s="1"/>
  <c r="M68" i="4"/>
  <c r="I85" i="8" s="1"/>
  <c r="AC68" i="4"/>
  <c r="Y85" i="8" s="1"/>
  <c r="T68" i="4"/>
  <c r="P85" i="8" s="1"/>
  <c r="L68" i="4"/>
  <c r="H85" i="8" s="1"/>
  <c r="AL68" i="4"/>
  <c r="AH85" i="8" s="1"/>
  <c r="AB68" i="4"/>
  <c r="X85" i="8" s="1"/>
  <c r="S68" i="4"/>
  <c r="O85" i="8" s="1"/>
  <c r="K68" i="4"/>
  <c r="G85" i="8" s="1"/>
  <c r="AK68" i="4"/>
  <c r="AG85" i="8" s="1"/>
  <c r="AA68" i="4"/>
  <c r="W85" i="8" s="1"/>
  <c r="R68" i="4"/>
  <c r="N85" i="8" s="1"/>
  <c r="J68" i="4"/>
  <c r="F85" i="8" s="1"/>
  <c r="A104" i="4"/>
  <c r="AK70" i="4"/>
  <c r="AG87" i="8" s="1"/>
  <c r="AC70" i="4"/>
  <c r="Y87" i="8" s="1"/>
  <c r="U70" i="4"/>
  <c r="Q87" i="8" s="1"/>
  <c r="M70" i="4"/>
  <c r="I87" i="8" s="1"/>
  <c r="AJ70" i="4"/>
  <c r="AF87" i="8" s="1"/>
  <c r="AB70" i="4"/>
  <c r="X87" i="8" s="1"/>
  <c r="T70" i="4"/>
  <c r="P87" i="8" s="1"/>
  <c r="L70" i="4"/>
  <c r="H87" i="8" s="1"/>
  <c r="AG70" i="4"/>
  <c r="AC87" i="8" s="1"/>
  <c r="W70" i="4"/>
  <c r="S87" i="8" s="1"/>
  <c r="K70" i="4"/>
  <c r="G87" i="8" s="1"/>
  <c r="AF70" i="4"/>
  <c r="AB87" i="8" s="1"/>
  <c r="V70" i="4"/>
  <c r="R87" i="8" s="1"/>
  <c r="J70" i="4"/>
  <c r="F87" i="8" s="1"/>
  <c r="AE70" i="4"/>
  <c r="AA87" i="8" s="1"/>
  <c r="S70" i="4"/>
  <c r="O87" i="8" s="1"/>
  <c r="I70" i="4"/>
  <c r="E87" i="8" s="1"/>
  <c r="AD70" i="4"/>
  <c r="Z87" i="8" s="1"/>
  <c r="R70" i="4"/>
  <c r="N87" i="8" s="1"/>
  <c r="H70" i="4"/>
  <c r="D87" i="8" s="1"/>
  <c r="AA70" i="4"/>
  <c r="W87" i="8" s="1"/>
  <c r="Q70" i="4"/>
  <c r="M87" i="8" s="1"/>
  <c r="G70" i="4"/>
  <c r="C87" i="8" s="1"/>
  <c r="AL70" i="4"/>
  <c r="AH87" i="8" s="1"/>
  <c r="Z70" i="4"/>
  <c r="V87" i="8" s="1"/>
  <c r="P70" i="4"/>
  <c r="L87" i="8" s="1"/>
  <c r="F70" i="4"/>
  <c r="B87" i="8" s="1"/>
  <c r="AI70" i="4"/>
  <c r="AE87" i="8" s="1"/>
  <c r="Y70" i="4"/>
  <c r="U87" i="8" s="1"/>
  <c r="O70" i="4"/>
  <c r="K87" i="8" s="1"/>
  <c r="AH70" i="4"/>
  <c r="AD87" i="8" s="1"/>
  <c r="X70" i="4"/>
  <c r="T87" i="8" s="1"/>
  <c r="N70" i="4"/>
  <c r="J87" i="8" s="1"/>
  <c r="A106" i="4"/>
  <c r="AG72" i="4"/>
  <c r="AC89" i="8" s="1"/>
  <c r="Y72" i="4"/>
  <c r="U89" i="8" s="1"/>
  <c r="Q72" i="4"/>
  <c r="M89" i="8" s="1"/>
  <c r="I72" i="4"/>
  <c r="E89" i="8" s="1"/>
  <c r="AF72" i="4"/>
  <c r="AB89" i="8" s="1"/>
  <c r="X72" i="4"/>
  <c r="T89" i="8" s="1"/>
  <c r="P72" i="4"/>
  <c r="L89" i="8" s="1"/>
  <c r="H72" i="4"/>
  <c r="D89" i="8" s="1"/>
  <c r="AE72" i="4"/>
  <c r="AA89" i="8" s="1"/>
  <c r="U72" i="4"/>
  <c r="Q89" i="8" s="1"/>
  <c r="K72" i="4"/>
  <c r="G89" i="8" s="1"/>
  <c r="AD72" i="4"/>
  <c r="Z89" i="8" s="1"/>
  <c r="T72" i="4"/>
  <c r="P89" i="8" s="1"/>
  <c r="J72" i="4"/>
  <c r="F89" i="8" s="1"/>
  <c r="AC72" i="4"/>
  <c r="Y89" i="8" s="1"/>
  <c r="S72" i="4"/>
  <c r="O89" i="8" s="1"/>
  <c r="G72" i="4"/>
  <c r="C89" i="8" s="1"/>
  <c r="AL72" i="4"/>
  <c r="AH89" i="8" s="1"/>
  <c r="AB72" i="4"/>
  <c r="X89" i="8" s="1"/>
  <c r="R72" i="4"/>
  <c r="N89" i="8" s="1"/>
  <c r="F72" i="4"/>
  <c r="B89" i="8" s="1"/>
  <c r="AK72" i="4"/>
  <c r="AG89" i="8" s="1"/>
  <c r="AA72" i="4"/>
  <c r="W89" i="8" s="1"/>
  <c r="O72" i="4"/>
  <c r="K89" i="8" s="1"/>
  <c r="AJ72" i="4"/>
  <c r="AF89" i="8" s="1"/>
  <c r="Z72" i="4"/>
  <c r="V89" i="8" s="1"/>
  <c r="N72" i="4"/>
  <c r="J89" i="8" s="1"/>
  <c r="AI72" i="4"/>
  <c r="AE89" i="8" s="1"/>
  <c r="W72" i="4"/>
  <c r="S89" i="8" s="1"/>
  <c r="M72" i="4"/>
  <c r="I89" i="8" s="1"/>
  <c r="AH72" i="4"/>
  <c r="AD89" i="8" s="1"/>
  <c r="V72" i="4"/>
  <c r="R89" i="8" s="1"/>
  <c r="L72" i="4"/>
  <c r="H89" i="8" s="1"/>
  <c r="A108" i="4"/>
  <c r="AK74" i="4"/>
  <c r="AG91" i="8" s="1"/>
  <c r="AC74" i="4"/>
  <c r="Y91" i="8" s="1"/>
  <c r="U74" i="4"/>
  <c r="Q91" i="8" s="1"/>
  <c r="M74" i="4"/>
  <c r="I91" i="8" s="1"/>
  <c r="AJ74" i="4"/>
  <c r="AF91" i="8" s="1"/>
  <c r="AB74" i="4"/>
  <c r="X91" i="8" s="1"/>
  <c r="T74" i="4"/>
  <c r="P91" i="8" s="1"/>
  <c r="L74" i="4"/>
  <c r="H91" i="8" s="1"/>
  <c r="AD74" i="4"/>
  <c r="Z91" i="8" s="1"/>
  <c r="R74" i="4"/>
  <c r="N91" i="8" s="1"/>
  <c r="H74" i="4"/>
  <c r="D91" i="8" s="1"/>
  <c r="AA74" i="4"/>
  <c r="W91" i="8" s="1"/>
  <c r="Q74" i="4"/>
  <c r="M91" i="8" s="1"/>
  <c r="G74" i="4"/>
  <c r="C91" i="8" s="1"/>
  <c r="AL74" i="4"/>
  <c r="AH91" i="8" s="1"/>
  <c r="Z74" i="4"/>
  <c r="V91" i="8" s="1"/>
  <c r="P74" i="4"/>
  <c r="L91" i="8" s="1"/>
  <c r="F74" i="4"/>
  <c r="B91" i="8" s="1"/>
  <c r="AI74" i="4"/>
  <c r="AE91" i="8" s="1"/>
  <c r="Y74" i="4"/>
  <c r="U91" i="8" s="1"/>
  <c r="O74" i="4"/>
  <c r="K91" i="8" s="1"/>
  <c r="AH74" i="4"/>
  <c r="AD91" i="8" s="1"/>
  <c r="X74" i="4"/>
  <c r="T91" i="8" s="1"/>
  <c r="N74" i="4"/>
  <c r="J91" i="8" s="1"/>
  <c r="AG74" i="4"/>
  <c r="AC91" i="8" s="1"/>
  <c r="W74" i="4"/>
  <c r="S91" i="8" s="1"/>
  <c r="K74" i="4"/>
  <c r="G91" i="8" s="1"/>
  <c r="AF74" i="4"/>
  <c r="AB91" i="8" s="1"/>
  <c r="V74" i="4"/>
  <c r="R91" i="8" s="1"/>
  <c r="J74" i="4"/>
  <c r="F91" i="8" s="1"/>
  <c r="AE74" i="4"/>
  <c r="AA91" i="8" s="1"/>
  <c r="S74" i="4"/>
  <c r="O91" i="8" s="1"/>
  <c r="I74" i="4"/>
  <c r="E91" i="8" s="1"/>
  <c r="A110" i="4"/>
  <c r="AG76" i="4"/>
  <c r="AC93" i="8" s="1"/>
  <c r="Y76" i="4"/>
  <c r="U93" i="8" s="1"/>
  <c r="Q76" i="4"/>
  <c r="M93" i="8" s="1"/>
  <c r="I76" i="4"/>
  <c r="E93" i="8" s="1"/>
  <c r="AF76" i="4"/>
  <c r="AB93" i="8" s="1"/>
  <c r="X76" i="4"/>
  <c r="T93" i="8" s="1"/>
  <c r="P76" i="4"/>
  <c r="L93" i="8" s="1"/>
  <c r="H76" i="4"/>
  <c r="D93" i="8" s="1"/>
  <c r="AL76" i="4"/>
  <c r="AH93" i="8" s="1"/>
  <c r="AB76" i="4"/>
  <c r="X93" i="8" s="1"/>
  <c r="R76" i="4"/>
  <c r="N93" i="8" s="1"/>
  <c r="F76" i="4"/>
  <c r="B93" i="8" s="1"/>
  <c r="AK76" i="4"/>
  <c r="AG93" i="8" s="1"/>
  <c r="AA76" i="4"/>
  <c r="W93" i="8" s="1"/>
  <c r="O76" i="4"/>
  <c r="K93" i="8" s="1"/>
  <c r="AJ76" i="4"/>
  <c r="AF93" i="8" s="1"/>
  <c r="Z76" i="4"/>
  <c r="V93" i="8" s="1"/>
  <c r="N76" i="4"/>
  <c r="J93" i="8" s="1"/>
  <c r="AI76" i="4"/>
  <c r="AE93" i="8" s="1"/>
  <c r="W76" i="4"/>
  <c r="S93" i="8" s="1"/>
  <c r="M76" i="4"/>
  <c r="I93" i="8" s="1"/>
  <c r="AH76" i="4"/>
  <c r="AD93" i="8" s="1"/>
  <c r="V76" i="4"/>
  <c r="R93" i="8" s="1"/>
  <c r="L76" i="4"/>
  <c r="H93" i="8" s="1"/>
  <c r="AE76" i="4"/>
  <c r="AA93" i="8" s="1"/>
  <c r="U76" i="4"/>
  <c r="Q93" i="8" s="1"/>
  <c r="K76" i="4"/>
  <c r="G93" i="8" s="1"/>
  <c r="AD76" i="4"/>
  <c r="Z93" i="8" s="1"/>
  <c r="T76" i="4"/>
  <c r="P93" i="8" s="1"/>
  <c r="J76" i="4"/>
  <c r="F93" i="8" s="1"/>
  <c r="AC76" i="4"/>
  <c r="Y93" i="8" s="1"/>
  <c r="S76" i="4"/>
  <c r="O93" i="8" s="1"/>
  <c r="G76" i="4"/>
  <c r="C93" i="8" s="1"/>
  <c r="A112" i="4"/>
  <c r="AK78" i="4"/>
  <c r="AG95" i="8" s="1"/>
  <c r="AC78" i="4"/>
  <c r="Y95" i="8" s="1"/>
  <c r="U78" i="4"/>
  <c r="Q95" i="8" s="1"/>
  <c r="M78" i="4"/>
  <c r="I95" i="8" s="1"/>
  <c r="AJ78" i="4"/>
  <c r="AF95" i="8" s="1"/>
  <c r="AB78" i="4"/>
  <c r="X95" i="8" s="1"/>
  <c r="T78" i="4"/>
  <c r="P95" i="8" s="1"/>
  <c r="L78" i="4"/>
  <c r="H95" i="8" s="1"/>
  <c r="AI78" i="4"/>
  <c r="AE95" i="8" s="1"/>
  <c r="Y78" i="4"/>
  <c r="U95" i="8" s="1"/>
  <c r="O78" i="4"/>
  <c r="K95" i="8" s="1"/>
  <c r="AH78" i="4"/>
  <c r="AD95" i="8" s="1"/>
  <c r="X78" i="4"/>
  <c r="T95" i="8" s="1"/>
  <c r="N78" i="4"/>
  <c r="J95" i="8" s="1"/>
  <c r="AG78" i="4"/>
  <c r="AC95" i="8" s="1"/>
  <c r="W78" i="4"/>
  <c r="S95" i="8" s="1"/>
  <c r="K78" i="4"/>
  <c r="G95" i="8" s="1"/>
  <c r="AF78" i="4"/>
  <c r="AB95" i="8" s="1"/>
  <c r="V78" i="4"/>
  <c r="R95" i="8" s="1"/>
  <c r="J78" i="4"/>
  <c r="F95" i="8" s="1"/>
  <c r="AE78" i="4"/>
  <c r="AA95" i="8" s="1"/>
  <c r="S78" i="4"/>
  <c r="O95" i="8" s="1"/>
  <c r="I78" i="4"/>
  <c r="E95" i="8" s="1"/>
  <c r="AD78" i="4"/>
  <c r="Z95" i="8" s="1"/>
  <c r="R78" i="4"/>
  <c r="N95" i="8" s="1"/>
  <c r="H78" i="4"/>
  <c r="D95" i="8" s="1"/>
  <c r="AA78" i="4"/>
  <c r="W95" i="8" s="1"/>
  <c r="Q78" i="4"/>
  <c r="M95" i="8" s="1"/>
  <c r="G78" i="4"/>
  <c r="C95" i="8" s="1"/>
  <c r="AL78" i="4"/>
  <c r="AH95" i="8" s="1"/>
  <c r="Z78" i="4"/>
  <c r="V95" i="8" s="1"/>
  <c r="P78" i="4"/>
  <c r="L95" i="8" s="1"/>
  <c r="F78" i="4"/>
  <c r="B95" i="8" s="1"/>
  <c r="G51" i="4"/>
  <c r="C68" i="8" s="1"/>
  <c r="S51" i="4"/>
  <c r="O68" i="8" s="1"/>
  <c r="AC51" i="4"/>
  <c r="Y68" i="8" s="1"/>
  <c r="N55" i="4"/>
  <c r="Z55" i="4"/>
  <c r="AJ55" i="4"/>
  <c r="K59" i="4"/>
  <c r="G76" i="8" s="1"/>
  <c r="U59" i="4"/>
  <c r="Q76" i="8" s="1"/>
  <c r="AE59" i="4"/>
  <c r="AA76" i="8" s="1"/>
  <c r="F63" i="4"/>
  <c r="B80" i="8" s="1"/>
  <c r="V63" i="4"/>
  <c r="R80" i="8" s="1"/>
  <c r="AL63" i="4"/>
  <c r="AH80" i="8" s="1"/>
  <c r="J51" i="4"/>
  <c r="F68" i="8" s="1"/>
  <c r="T51" i="4"/>
  <c r="P68" i="8" s="1"/>
  <c r="AD51" i="4"/>
  <c r="Z68" i="8" s="1"/>
  <c r="O55" i="4"/>
  <c r="AA55" i="4"/>
  <c r="AK55" i="4"/>
  <c r="L59" i="4"/>
  <c r="H76" i="8" s="1"/>
  <c r="V59" i="4"/>
  <c r="R76" i="8" s="1"/>
  <c r="AH59" i="4"/>
  <c r="AD76" i="8" s="1"/>
  <c r="G63" i="4"/>
  <c r="C80" i="8" s="1"/>
  <c r="W63" i="4"/>
  <c r="S80" i="8" s="1"/>
  <c r="K51" i="4"/>
  <c r="G68" i="8" s="1"/>
  <c r="U51" i="4"/>
  <c r="Q68" i="8" s="1"/>
  <c r="AE51" i="4"/>
  <c r="AA68" i="8" s="1"/>
  <c r="F55" i="4"/>
  <c r="R55" i="4"/>
  <c r="AB55" i="4"/>
  <c r="AL55" i="4"/>
  <c r="M59" i="4"/>
  <c r="I76" i="8" s="1"/>
  <c r="W59" i="4"/>
  <c r="S76" i="8" s="1"/>
  <c r="AI59" i="4"/>
  <c r="AE76" i="8" s="1"/>
  <c r="J63" i="4"/>
  <c r="F80" i="8" s="1"/>
  <c r="Z63" i="4"/>
  <c r="V80" i="8" s="1"/>
  <c r="K65" i="4"/>
  <c r="G82" i="8" s="1"/>
  <c r="L51" i="4"/>
  <c r="H68" i="8" s="1"/>
  <c r="V51" i="4"/>
  <c r="R68" i="8" s="1"/>
  <c r="G55" i="4"/>
  <c r="S55" i="4"/>
  <c r="N59" i="4"/>
  <c r="J76" i="8" s="1"/>
  <c r="Z59" i="4"/>
  <c r="V76" i="8" s="1"/>
  <c r="K63" i="4"/>
  <c r="G80" i="8" s="1"/>
  <c r="A85" i="4"/>
  <c r="AG51" i="4"/>
  <c r="AC68" i="8" s="1"/>
  <c r="Y51" i="4"/>
  <c r="U68" i="8" s="1"/>
  <c r="Q51" i="4"/>
  <c r="M68" i="8" s="1"/>
  <c r="I51" i="4"/>
  <c r="E68" i="8" s="1"/>
  <c r="AF51" i="4"/>
  <c r="AB68" i="8" s="1"/>
  <c r="X51" i="4"/>
  <c r="T68" i="8" s="1"/>
  <c r="P51" i="4"/>
  <c r="L68" i="8" s="1"/>
  <c r="H51" i="4"/>
  <c r="D68" i="8" s="1"/>
  <c r="AG55" i="4"/>
  <c r="Y55" i="4"/>
  <c r="Q55" i="4"/>
  <c r="I55" i="4"/>
  <c r="A89" i="4"/>
  <c r="AF55" i="4"/>
  <c r="X55" i="4"/>
  <c r="P55" i="4"/>
  <c r="H55" i="4"/>
  <c r="A93" i="4"/>
  <c r="AG59" i="4"/>
  <c r="AC76" i="8" s="1"/>
  <c r="Y59" i="4"/>
  <c r="U76" i="8" s="1"/>
  <c r="Q59" i="4"/>
  <c r="M76" i="8" s="1"/>
  <c r="I59" i="4"/>
  <c r="E76" i="8" s="1"/>
  <c r="AF59" i="4"/>
  <c r="AB76" i="8" s="1"/>
  <c r="X59" i="4"/>
  <c r="T76" i="8" s="1"/>
  <c r="P59" i="4"/>
  <c r="L76" i="8" s="1"/>
  <c r="H59" i="4"/>
  <c r="D76" i="8" s="1"/>
  <c r="A97" i="4"/>
  <c r="AK63" i="4"/>
  <c r="AG80" i="8" s="1"/>
  <c r="AC63" i="4"/>
  <c r="Y80" i="8" s="1"/>
  <c r="U63" i="4"/>
  <c r="Q80" i="8" s="1"/>
  <c r="M63" i="4"/>
  <c r="I80" i="8" s="1"/>
  <c r="AJ63" i="4"/>
  <c r="AF80" i="8" s="1"/>
  <c r="AB63" i="4"/>
  <c r="X80" i="8" s="1"/>
  <c r="T63" i="4"/>
  <c r="P80" i="8" s="1"/>
  <c r="L63" i="4"/>
  <c r="H80" i="8" s="1"/>
  <c r="AG63" i="4"/>
  <c r="AC80" i="8" s="1"/>
  <c r="Y63" i="4"/>
  <c r="U80" i="8" s="1"/>
  <c r="Q63" i="4"/>
  <c r="M80" i="8" s="1"/>
  <c r="I63" i="4"/>
  <c r="E80" i="8" s="1"/>
  <c r="AF63" i="4"/>
  <c r="AB80" i="8" s="1"/>
  <c r="X63" i="4"/>
  <c r="T80" i="8" s="1"/>
  <c r="P63" i="4"/>
  <c r="L80" i="8" s="1"/>
  <c r="H63" i="4"/>
  <c r="D80" i="8" s="1"/>
  <c r="A99" i="4"/>
  <c r="AH65" i="4"/>
  <c r="AD82" i="8" s="1"/>
  <c r="Z65" i="4"/>
  <c r="V82" i="8" s="1"/>
  <c r="R65" i="4"/>
  <c r="N82" i="8" s="1"/>
  <c r="J65" i="4"/>
  <c r="F82" i="8" s="1"/>
  <c r="AG65" i="4"/>
  <c r="AC82" i="8" s="1"/>
  <c r="Y65" i="4"/>
  <c r="U82" i="8" s="1"/>
  <c r="Q65" i="4"/>
  <c r="M82" i="8" s="1"/>
  <c r="I65" i="4"/>
  <c r="E82" i="8" s="1"/>
  <c r="AF65" i="4"/>
  <c r="AB82" i="8" s="1"/>
  <c r="X65" i="4"/>
  <c r="T82" i="8" s="1"/>
  <c r="P65" i="4"/>
  <c r="L82" i="8" s="1"/>
  <c r="H65" i="4"/>
  <c r="D82" i="8" s="1"/>
  <c r="AE65" i="4"/>
  <c r="AA82" i="8" s="1"/>
  <c r="W65" i="4"/>
  <c r="S82" i="8" s="1"/>
  <c r="O65" i="4"/>
  <c r="K82" i="8" s="1"/>
  <c r="G65" i="4"/>
  <c r="C82" i="8" s="1"/>
  <c r="AL65" i="4"/>
  <c r="AH82" i="8" s="1"/>
  <c r="AD65" i="4"/>
  <c r="Z82" i="8" s="1"/>
  <c r="V65" i="4"/>
  <c r="R82" i="8" s="1"/>
  <c r="N65" i="4"/>
  <c r="J82" i="8" s="1"/>
  <c r="F65" i="4"/>
  <c r="B82" i="8" s="1"/>
  <c r="AK65" i="4"/>
  <c r="AG82" i="8" s="1"/>
  <c r="AC65" i="4"/>
  <c r="Y82" i="8" s="1"/>
  <c r="U65" i="4"/>
  <c r="Q82" i="8" s="1"/>
  <c r="M65" i="4"/>
  <c r="I82" i="8" s="1"/>
  <c r="AJ65" i="4"/>
  <c r="AF82" i="8" s="1"/>
  <c r="AB65" i="4"/>
  <c r="X82" i="8" s="1"/>
  <c r="T65" i="4"/>
  <c r="P82" i="8" s="1"/>
  <c r="L65" i="4"/>
  <c r="H82" i="8" s="1"/>
  <c r="A101" i="4"/>
  <c r="AE67" i="4"/>
  <c r="AA84" i="8" s="1"/>
  <c r="W67" i="4"/>
  <c r="S84" i="8" s="1"/>
  <c r="O67" i="4"/>
  <c r="K84" i="8" s="1"/>
  <c r="G67" i="4"/>
  <c r="C84" i="8" s="1"/>
  <c r="AL67" i="4"/>
  <c r="AH84" i="8" s="1"/>
  <c r="AD67" i="4"/>
  <c r="Z84" i="8" s="1"/>
  <c r="V67" i="4"/>
  <c r="R84" i="8" s="1"/>
  <c r="N67" i="4"/>
  <c r="J84" i="8" s="1"/>
  <c r="F67" i="4"/>
  <c r="B84" i="8" s="1"/>
  <c r="AK67" i="4"/>
  <c r="AG84" i="8" s="1"/>
  <c r="AC67" i="4"/>
  <c r="Y84" i="8" s="1"/>
  <c r="U67" i="4"/>
  <c r="Q84" i="8" s="1"/>
  <c r="M67" i="4"/>
  <c r="I84" i="8" s="1"/>
  <c r="AJ67" i="4"/>
  <c r="AF84" i="8" s="1"/>
  <c r="AB67" i="4"/>
  <c r="X84" i="8" s="1"/>
  <c r="T67" i="4"/>
  <c r="P84" i="8" s="1"/>
  <c r="L67" i="4"/>
  <c r="H84" i="8" s="1"/>
  <c r="AI67" i="4"/>
  <c r="AE84" i="8" s="1"/>
  <c r="AA67" i="4"/>
  <c r="W84" i="8" s="1"/>
  <c r="S67" i="4"/>
  <c r="O84" i="8" s="1"/>
  <c r="K67" i="4"/>
  <c r="G84" i="8" s="1"/>
  <c r="AH67" i="4"/>
  <c r="AD84" i="8" s="1"/>
  <c r="Z67" i="4"/>
  <c r="V84" i="8" s="1"/>
  <c r="R67" i="4"/>
  <c r="N84" i="8" s="1"/>
  <c r="J67" i="4"/>
  <c r="F84" i="8" s="1"/>
  <c r="AG67" i="4"/>
  <c r="AC84" i="8" s="1"/>
  <c r="Y67" i="4"/>
  <c r="U84" i="8" s="1"/>
  <c r="Q67" i="4"/>
  <c r="M84" i="8" s="1"/>
  <c r="I67" i="4"/>
  <c r="E84" i="8" s="1"/>
  <c r="AF67" i="4"/>
  <c r="AB84" i="8" s="1"/>
  <c r="X67" i="4"/>
  <c r="T84" i="8" s="1"/>
  <c r="P67" i="4"/>
  <c r="L84" i="8" s="1"/>
  <c r="H67" i="4"/>
  <c r="D84" i="8" s="1"/>
  <c r="A103" i="4"/>
  <c r="AI69" i="4"/>
  <c r="AE86" i="8" s="1"/>
  <c r="AA69" i="4"/>
  <c r="W86" i="8" s="1"/>
  <c r="S69" i="4"/>
  <c r="O86" i="8" s="1"/>
  <c r="K69" i="4"/>
  <c r="G86" i="8" s="1"/>
  <c r="AH69" i="4"/>
  <c r="AD86" i="8" s="1"/>
  <c r="Z69" i="4"/>
  <c r="V86" i="8" s="1"/>
  <c r="R69" i="4"/>
  <c r="N86" i="8" s="1"/>
  <c r="J69" i="4"/>
  <c r="F86" i="8" s="1"/>
  <c r="AD69" i="4"/>
  <c r="Z86" i="8" s="1"/>
  <c r="T69" i="4"/>
  <c r="P86" i="8" s="1"/>
  <c r="H69" i="4"/>
  <c r="D86" i="8" s="1"/>
  <c r="AC69" i="4"/>
  <c r="Y86" i="8" s="1"/>
  <c r="Q69" i="4"/>
  <c r="M86" i="8" s="1"/>
  <c r="G69" i="4"/>
  <c r="C86" i="8" s="1"/>
  <c r="AL69" i="4"/>
  <c r="AH86" i="8" s="1"/>
  <c r="AB69" i="4"/>
  <c r="X86" i="8" s="1"/>
  <c r="P69" i="4"/>
  <c r="L86" i="8" s="1"/>
  <c r="F69" i="4"/>
  <c r="B86" i="8" s="1"/>
  <c r="AK69" i="4"/>
  <c r="AG86" i="8" s="1"/>
  <c r="Y69" i="4"/>
  <c r="U86" i="8" s="1"/>
  <c r="O69" i="4"/>
  <c r="K86" i="8" s="1"/>
  <c r="AJ69" i="4"/>
  <c r="AF86" i="8" s="1"/>
  <c r="X69" i="4"/>
  <c r="T86" i="8" s="1"/>
  <c r="N69" i="4"/>
  <c r="J86" i="8" s="1"/>
  <c r="AG69" i="4"/>
  <c r="AC86" i="8" s="1"/>
  <c r="W69" i="4"/>
  <c r="S86" i="8" s="1"/>
  <c r="M69" i="4"/>
  <c r="I86" i="8" s="1"/>
  <c r="AF69" i="4"/>
  <c r="AB86" i="8" s="1"/>
  <c r="V69" i="4"/>
  <c r="R86" i="8" s="1"/>
  <c r="L69" i="4"/>
  <c r="H86" i="8" s="1"/>
  <c r="AE69" i="4"/>
  <c r="AA86" i="8" s="1"/>
  <c r="U69" i="4"/>
  <c r="Q86" i="8" s="1"/>
  <c r="I69" i="4"/>
  <c r="E86" i="8" s="1"/>
  <c r="A105" i="4"/>
  <c r="AE71" i="4"/>
  <c r="AA88" i="8" s="1"/>
  <c r="W71" i="4"/>
  <c r="S88" i="8" s="1"/>
  <c r="O71" i="4"/>
  <c r="K88" i="8" s="1"/>
  <c r="G71" i="4"/>
  <c r="C88" i="8" s="1"/>
  <c r="AL71" i="4"/>
  <c r="AH88" i="8" s="1"/>
  <c r="AD71" i="4"/>
  <c r="Z88" i="8" s="1"/>
  <c r="V71" i="4"/>
  <c r="R88" i="8" s="1"/>
  <c r="N71" i="4"/>
  <c r="J88" i="8" s="1"/>
  <c r="F71" i="4"/>
  <c r="B88" i="8" s="1"/>
  <c r="AK71" i="4"/>
  <c r="AG88" i="8" s="1"/>
  <c r="AA71" i="4"/>
  <c r="W88" i="8" s="1"/>
  <c r="Q71" i="4"/>
  <c r="M88" i="8" s="1"/>
  <c r="AJ71" i="4"/>
  <c r="AF88" i="8" s="1"/>
  <c r="Z71" i="4"/>
  <c r="V88" i="8" s="1"/>
  <c r="P71" i="4"/>
  <c r="L88" i="8" s="1"/>
  <c r="AI71" i="4"/>
  <c r="AE88" i="8" s="1"/>
  <c r="Y71" i="4"/>
  <c r="U88" i="8" s="1"/>
  <c r="M71" i="4"/>
  <c r="I88" i="8" s="1"/>
  <c r="AH71" i="4"/>
  <c r="AD88" i="8" s="1"/>
  <c r="X71" i="4"/>
  <c r="T88" i="8" s="1"/>
  <c r="L71" i="4"/>
  <c r="H88" i="8" s="1"/>
  <c r="AG71" i="4"/>
  <c r="AC88" i="8" s="1"/>
  <c r="U71" i="4"/>
  <c r="Q88" i="8" s="1"/>
  <c r="K71" i="4"/>
  <c r="G88" i="8" s="1"/>
  <c r="AF71" i="4"/>
  <c r="AB88" i="8" s="1"/>
  <c r="T71" i="4"/>
  <c r="P88" i="8" s="1"/>
  <c r="J71" i="4"/>
  <c r="F88" i="8" s="1"/>
  <c r="AC71" i="4"/>
  <c r="Y88" i="8" s="1"/>
  <c r="S71" i="4"/>
  <c r="O88" i="8" s="1"/>
  <c r="I71" i="4"/>
  <c r="E88" i="8" s="1"/>
  <c r="AB71" i="4"/>
  <c r="X88" i="8" s="1"/>
  <c r="R71" i="4"/>
  <c r="N88" i="8" s="1"/>
  <c r="H71" i="4"/>
  <c r="D88" i="8" s="1"/>
  <c r="A107" i="4"/>
  <c r="AI73" i="4"/>
  <c r="AE90" i="8" s="1"/>
  <c r="AA73" i="4"/>
  <c r="W90" i="8" s="1"/>
  <c r="S73" i="4"/>
  <c r="O90" i="8" s="1"/>
  <c r="K73" i="4"/>
  <c r="G90" i="8" s="1"/>
  <c r="AH73" i="4"/>
  <c r="AD90" i="8" s="1"/>
  <c r="Z73" i="4"/>
  <c r="V90" i="8" s="1"/>
  <c r="R73" i="4"/>
  <c r="N90" i="8" s="1"/>
  <c r="J73" i="4"/>
  <c r="F90" i="8" s="1"/>
  <c r="AK73" i="4"/>
  <c r="AG90" i="8" s="1"/>
  <c r="Y73" i="4"/>
  <c r="U90" i="8" s="1"/>
  <c r="O73" i="4"/>
  <c r="K90" i="8" s="1"/>
  <c r="AJ73" i="4"/>
  <c r="AF90" i="8" s="1"/>
  <c r="X73" i="4"/>
  <c r="T90" i="8" s="1"/>
  <c r="N73" i="4"/>
  <c r="J90" i="8" s="1"/>
  <c r="AG73" i="4"/>
  <c r="AC90" i="8" s="1"/>
  <c r="W73" i="4"/>
  <c r="S90" i="8" s="1"/>
  <c r="M73" i="4"/>
  <c r="I90" i="8" s="1"/>
  <c r="AF73" i="4"/>
  <c r="AB90" i="8" s="1"/>
  <c r="V73" i="4"/>
  <c r="R90" i="8" s="1"/>
  <c r="L73" i="4"/>
  <c r="H90" i="8" s="1"/>
  <c r="AE73" i="4"/>
  <c r="AA90" i="8" s="1"/>
  <c r="U73" i="4"/>
  <c r="Q90" i="8" s="1"/>
  <c r="I73" i="4"/>
  <c r="E90" i="8" s="1"/>
  <c r="AD73" i="4"/>
  <c r="Z90" i="8" s="1"/>
  <c r="T73" i="4"/>
  <c r="P90" i="8" s="1"/>
  <c r="H73" i="4"/>
  <c r="D90" i="8" s="1"/>
  <c r="AC73" i="4"/>
  <c r="Y90" i="8" s="1"/>
  <c r="Q73" i="4"/>
  <c r="M90" i="8" s="1"/>
  <c r="G73" i="4"/>
  <c r="C90" i="8" s="1"/>
  <c r="AL73" i="4"/>
  <c r="AH90" i="8" s="1"/>
  <c r="AB73" i="4"/>
  <c r="X90" i="8" s="1"/>
  <c r="P73" i="4"/>
  <c r="L90" i="8" s="1"/>
  <c r="F73" i="4"/>
  <c r="B90" i="8" s="1"/>
  <c r="A109" i="4"/>
  <c r="AE75" i="4"/>
  <c r="AA92" i="8" s="1"/>
  <c r="W75" i="4"/>
  <c r="S92" i="8" s="1"/>
  <c r="O75" i="4"/>
  <c r="K92" i="8" s="1"/>
  <c r="G75" i="4"/>
  <c r="C92" i="8" s="1"/>
  <c r="AL75" i="4"/>
  <c r="AH92" i="8" s="1"/>
  <c r="AD75" i="4"/>
  <c r="Z92" i="8" s="1"/>
  <c r="V75" i="4"/>
  <c r="R92" i="8" s="1"/>
  <c r="N75" i="4"/>
  <c r="J92" i="8" s="1"/>
  <c r="F75" i="4"/>
  <c r="B92" i="8" s="1"/>
  <c r="AH75" i="4"/>
  <c r="AD92" i="8" s="1"/>
  <c r="X75" i="4"/>
  <c r="T92" i="8" s="1"/>
  <c r="L75" i="4"/>
  <c r="H92" i="8" s="1"/>
  <c r="AG75" i="4"/>
  <c r="AC92" i="8" s="1"/>
  <c r="U75" i="4"/>
  <c r="Q92" i="8" s="1"/>
  <c r="K75" i="4"/>
  <c r="G92" i="8" s="1"/>
  <c r="AF75" i="4"/>
  <c r="AB92" i="8" s="1"/>
  <c r="T75" i="4"/>
  <c r="P92" i="8" s="1"/>
  <c r="J75" i="4"/>
  <c r="F92" i="8" s="1"/>
  <c r="AC75" i="4"/>
  <c r="Y92" i="8" s="1"/>
  <c r="S75" i="4"/>
  <c r="O92" i="8" s="1"/>
  <c r="I75" i="4"/>
  <c r="E92" i="8" s="1"/>
  <c r="AB75" i="4"/>
  <c r="X92" i="8" s="1"/>
  <c r="R75" i="4"/>
  <c r="N92" i="8" s="1"/>
  <c r="H75" i="4"/>
  <c r="D92" i="8" s="1"/>
  <c r="AK75" i="4"/>
  <c r="AG92" i="8" s="1"/>
  <c r="AA75" i="4"/>
  <c r="W92" i="8" s="1"/>
  <c r="Q75" i="4"/>
  <c r="M92" i="8" s="1"/>
  <c r="AJ75" i="4"/>
  <c r="AF92" i="8" s="1"/>
  <c r="Z75" i="4"/>
  <c r="V92" i="8" s="1"/>
  <c r="P75" i="4"/>
  <c r="L92" i="8" s="1"/>
  <c r="AI75" i="4"/>
  <c r="AE92" i="8" s="1"/>
  <c r="Y75" i="4"/>
  <c r="U92" i="8" s="1"/>
  <c r="M75" i="4"/>
  <c r="I92" i="8" s="1"/>
  <c r="A111" i="4"/>
  <c r="AI77" i="4"/>
  <c r="AE94" i="8" s="1"/>
  <c r="AA77" i="4"/>
  <c r="W94" i="8" s="1"/>
  <c r="S77" i="4"/>
  <c r="O94" i="8" s="1"/>
  <c r="K77" i="4"/>
  <c r="G94" i="8" s="1"/>
  <c r="AH77" i="4"/>
  <c r="AD94" i="8" s="1"/>
  <c r="Z77" i="4"/>
  <c r="V94" i="8" s="1"/>
  <c r="R77" i="4"/>
  <c r="N94" i="8" s="1"/>
  <c r="J77" i="4"/>
  <c r="F94" i="8" s="1"/>
  <c r="AF77" i="4"/>
  <c r="AB94" i="8" s="1"/>
  <c r="V77" i="4"/>
  <c r="R94" i="8" s="1"/>
  <c r="L77" i="4"/>
  <c r="H94" i="8" s="1"/>
  <c r="AE77" i="4"/>
  <c r="AA94" i="8" s="1"/>
  <c r="U77" i="4"/>
  <c r="Q94" i="8" s="1"/>
  <c r="I77" i="4"/>
  <c r="E94" i="8" s="1"/>
  <c r="AD77" i="4"/>
  <c r="Z94" i="8" s="1"/>
  <c r="T77" i="4"/>
  <c r="P94" i="8" s="1"/>
  <c r="H77" i="4"/>
  <c r="D94" i="8" s="1"/>
  <c r="AC77" i="4"/>
  <c r="Y94" i="8" s="1"/>
  <c r="Q77" i="4"/>
  <c r="M94" i="8" s="1"/>
  <c r="G77" i="4"/>
  <c r="C94" i="8" s="1"/>
  <c r="AL77" i="4"/>
  <c r="AH94" i="8" s="1"/>
  <c r="AB77" i="4"/>
  <c r="X94" i="8" s="1"/>
  <c r="P77" i="4"/>
  <c r="L94" i="8" s="1"/>
  <c r="F77" i="4"/>
  <c r="B94" i="8" s="1"/>
  <c r="AK77" i="4"/>
  <c r="AG94" i="8" s="1"/>
  <c r="Y77" i="4"/>
  <c r="U94" i="8" s="1"/>
  <c r="O77" i="4"/>
  <c r="K94" i="8" s="1"/>
  <c r="AJ77" i="4"/>
  <c r="AF94" i="8" s="1"/>
  <c r="X77" i="4"/>
  <c r="T94" i="8" s="1"/>
  <c r="N77" i="4"/>
  <c r="J94" i="8" s="1"/>
  <c r="AG77" i="4"/>
  <c r="AC94" i="8" s="1"/>
  <c r="W77" i="4"/>
  <c r="S94" i="8" s="1"/>
  <c r="M77" i="4"/>
  <c r="I94" i="8" s="1"/>
  <c r="M51" i="4"/>
  <c r="I68" i="8" s="1"/>
  <c r="W51" i="4"/>
  <c r="S68" i="8" s="1"/>
  <c r="AI51" i="4"/>
  <c r="AE68" i="8" s="1"/>
  <c r="J55" i="4"/>
  <c r="T55" i="4"/>
  <c r="AD55" i="4"/>
  <c r="O59" i="4"/>
  <c r="K76" i="8" s="1"/>
  <c r="AA59" i="4"/>
  <c r="W76" i="8" s="1"/>
  <c r="AK59" i="4"/>
  <c r="AG76" i="8" s="1"/>
  <c r="N63" i="4"/>
  <c r="J80" i="8" s="1"/>
  <c r="AD63" i="4"/>
  <c r="Z80" i="8" s="1"/>
  <c r="AA65" i="4"/>
  <c r="W82" i="8" s="1"/>
  <c r="N51" i="4"/>
  <c r="J68" i="8" s="1"/>
  <c r="Z51" i="4"/>
  <c r="V68" i="8" s="1"/>
  <c r="AJ51" i="4"/>
  <c r="AF68" i="8" s="1"/>
  <c r="K55" i="4"/>
  <c r="U55" i="4"/>
  <c r="AE55" i="4"/>
  <c r="F59" i="4"/>
  <c r="B76" i="8" s="1"/>
  <c r="R59" i="4"/>
  <c r="N76" i="8" s="1"/>
  <c r="AB59" i="4"/>
  <c r="X76" i="8" s="1"/>
  <c r="AL59" i="4"/>
  <c r="AH76" i="8" s="1"/>
  <c r="O63" i="4"/>
  <c r="K80" i="8" s="1"/>
  <c r="AE63" i="4"/>
  <c r="AA80" i="8" s="1"/>
  <c r="AI65" i="4"/>
  <c r="AE82" i="8" s="1"/>
  <c r="C119" i="4"/>
  <c r="T118" i="4" l="1"/>
  <c r="S118" i="4"/>
  <c r="J118" i="4"/>
  <c r="F121" i="4"/>
  <c r="U118" i="4"/>
  <c r="I118" i="4"/>
  <c r="K118" i="4"/>
  <c r="AE118" i="4"/>
  <c r="X118" i="4"/>
  <c r="M118" i="4"/>
  <c r="Q69" i="8"/>
  <c r="U120" i="4"/>
  <c r="U121" i="4"/>
  <c r="U123" i="4" s="1"/>
  <c r="J69" i="8"/>
  <c r="N120" i="4"/>
  <c r="N121" i="4"/>
  <c r="X69" i="8"/>
  <c r="AB120" i="4"/>
  <c r="AB121" i="4"/>
  <c r="F69" i="8"/>
  <c r="J120" i="4"/>
  <c r="J121" i="4"/>
  <c r="U67" i="8"/>
  <c r="Y119" i="4"/>
  <c r="D67" i="8"/>
  <c r="H119" i="4"/>
  <c r="AB67" i="8"/>
  <c r="AF119" i="4"/>
  <c r="S67" i="8"/>
  <c r="W119" i="4"/>
  <c r="AF118" i="4"/>
  <c r="AK118" i="4"/>
  <c r="AA69" i="8"/>
  <c r="AE120" i="4"/>
  <c r="AE121" i="4"/>
  <c r="T69" i="8"/>
  <c r="X120" i="4"/>
  <c r="X121" i="4"/>
  <c r="AH69" i="8"/>
  <c r="AL120" i="4"/>
  <c r="AL121" i="4"/>
  <c r="N69" i="8"/>
  <c r="R120" i="4"/>
  <c r="R121" i="4"/>
  <c r="G67" i="8"/>
  <c r="K119" i="4"/>
  <c r="AE67" i="8"/>
  <c r="AI119" i="4"/>
  <c r="N67" i="8"/>
  <c r="R119" i="4"/>
  <c r="AA67" i="8"/>
  <c r="AE119" i="4"/>
  <c r="AA118" i="4"/>
  <c r="H69" i="8"/>
  <c r="L120" i="4"/>
  <c r="L121" i="4"/>
  <c r="AF69" i="8"/>
  <c r="AJ120" i="4"/>
  <c r="AJ121" i="4"/>
  <c r="C69" i="8"/>
  <c r="G120" i="4"/>
  <c r="G121" i="4"/>
  <c r="V69" i="8"/>
  <c r="Z120" i="4"/>
  <c r="Z121" i="4"/>
  <c r="Q67" i="8"/>
  <c r="U119" i="4"/>
  <c r="L67" i="8"/>
  <c r="P119" i="4"/>
  <c r="X67" i="8"/>
  <c r="AB119" i="4"/>
  <c r="J67" i="8"/>
  <c r="N119" i="4"/>
  <c r="O118" i="4"/>
  <c r="AH118" i="4"/>
  <c r="R69" i="8"/>
  <c r="V121" i="4"/>
  <c r="V120" i="4"/>
  <c r="K69" i="8"/>
  <c r="O120" i="4"/>
  <c r="O121" i="4"/>
  <c r="M69" i="8"/>
  <c r="Q120" i="4"/>
  <c r="Q121" i="4"/>
  <c r="AD69" i="8"/>
  <c r="AH120" i="4"/>
  <c r="AH121" i="4"/>
  <c r="AC67" i="8"/>
  <c r="AG119" i="4"/>
  <c r="V67" i="8"/>
  <c r="Z119" i="4"/>
  <c r="E67" i="8"/>
  <c r="I119" i="4"/>
  <c r="R67" i="8"/>
  <c r="V119" i="4"/>
  <c r="AC118" i="4"/>
  <c r="AD118" i="4"/>
  <c r="Q118" i="4"/>
  <c r="G118" i="4"/>
  <c r="V118" i="4"/>
  <c r="AB69" i="8"/>
  <c r="AF120" i="4"/>
  <c r="AF121" i="4"/>
  <c r="U69" i="8"/>
  <c r="Y120" i="4"/>
  <c r="Y121" i="4"/>
  <c r="Y69" i="8"/>
  <c r="AC120" i="4"/>
  <c r="AC121" i="4"/>
  <c r="G69" i="8"/>
  <c r="K120" i="4"/>
  <c r="K122" i="4" s="1"/>
  <c r="K121" i="4"/>
  <c r="H67" i="8"/>
  <c r="L119" i="4"/>
  <c r="AF67" i="8"/>
  <c r="AJ119" i="4"/>
  <c r="O67" i="8"/>
  <c r="S119" i="4"/>
  <c r="Z67" i="8"/>
  <c r="AD119" i="4"/>
  <c r="Y118" i="4"/>
  <c r="AL118" i="4"/>
  <c r="AJ118" i="4"/>
  <c r="L118" i="4"/>
  <c r="I69" i="8"/>
  <c r="M120" i="4"/>
  <c r="M121" i="4"/>
  <c r="AG69" i="8"/>
  <c r="AK120" i="4"/>
  <c r="AK121" i="4"/>
  <c r="D69" i="8"/>
  <c r="H120" i="4"/>
  <c r="H121" i="4"/>
  <c r="O69" i="8"/>
  <c r="S120" i="4"/>
  <c r="S121" i="4"/>
  <c r="T67" i="8"/>
  <c r="X119" i="4"/>
  <c r="M67" i="8"/>
  <c r="Q119" i="4"/>
  <c r="Y67" i="8"/>
  <c r="AC119" i="4"/>
  <c r="AH67" i="8"/>
  <c r="AL119" i="4"/>
  <c r="H118" i="4"/>
  <c r="AG118" i="4"/>
  <c r="AB118" i="4"/>
  <c r="Z118" i="4"/>
  <c r="AI118" i="4"/>
  <c r="S69" i="8"/>
  <c r="W120" i="4"/>
  <c r="W121" i="4"/>
  <c r="P69" i="8"/>
  <c r="T120" i="4"/>
  <c r="T122" i="4" s="1"/>
  <c r="T121" i="4"/>
  <c r="T123" i="4" s="1"/>
  <c r="W69" i="8"/>
  <c r="AA120" i="4"/>
  <c r="AA122" i="4" s="1"/>
  <c r="AA121" i="4"/>
  <c r="AD67" i="8"/>
  <c r="AH119" i="4"/>
  <c r="W67" i="8"/>
  <c r="AA119" i="4"/>
  <c r="F67" i="8"/>
  <c r="J119" i="4"/>
  <c r="C67" i="8"/>
  <c r="G119" i="4"/>
  <c r="P118" i="4"/>
  <c r="R118" i="4"/>
  <c r="N118" i="4"/>
  <c r="W118" i="4"/>
  <c r="E69" i="8"/>
  <c r="I120" i="4"/>
  <c r="I121" i="4"/>
  <c r="AC69" i="8"/>
  <c r="AG120" i="4"/>
  <c r="AG121" i="4"/>
  <c r="L69" i="8"/>
  <c r="P120" i="4"/>
  <c r="P121" i="4"/>
  <c r="Z69" i="8"/>
  <c r="AD121" i="4"/>
  <c r="AD120" i="4"/>
  <c r="AE69" i="8"/>
  <c r="AI120" i="4"/>
  <c r="AI121" i="4"/>
  <c r="I67" i="8"/>
  <c r="M119" i="4"/>
  <c r="AG67" i="8"/>
  <c r="AK119" i="4"/>
  <c r="P67" i="8"/>
  <c r="T119" i="4"/>
  <c r="K67" i="8"/>
  <c r="O119" i="4"/>
  <c r="B69" i="8"/>
  <c r="F120" i="4"/>
  <c r="AA72" i="8"/>
  <c r="T72" i="8"/>
  <c r="I72" i="8"/>
  <c r="Q72" i="8"/>
  <c r="AB72" i="8"/>
  <c r="AG72" i="8"/>
  <c r="G72" i="8"/>
  <c r="W72" i="8"/>
  <c r="E72" i="8"/>
  <c r="O72" i="8"/>
  <c r="K72" i="8"/>
  <c r="AD72" i="8"/>
  <c r="Y72" i="8"/>
  <c r="Z72" i="8"/>
  <c r="M72" i="8"/>
  <c r="C72" i="8"/>
  <c r="R72" i="8"/>
  <c r="P72" i="8"/>
  <c r="U72" i="8"/>
  <c r="AH72" i="8"/>
  <c r="AF72" i="8"/>
  <c r="H72" i="8"/>
  <c r="F72" i="8"/>
  <c r="D72" i="8"/>
  <c r="AC72" i="8"/>
  <c r="X72" i="8"/>
  <c r="V72" i="8"/>
  <c r="AE72" i="8"/>
  <c r="L72" i="8"/>
  <c r="N72" i="8"/>
  <c r="J72" i="8"/>
  <c r="S72" i="8"/>
  <c r="B72" i="8"/>
  <c r="F118" i="4"/>
  <c r="F123" i="4" s="1"/>
  <c r="B67" i="8"/>
  <c r="F119" i="4"/>
  <c r="B77" i="8"/>
  <c r="B119" i="9"/>
  <c r="B118" i="9"/>
  <c r="M118" i="10"/>
  <c r="N118" i="10"/>
  <c r="F118" i="10"/>
  <c r="G118" i="10"/>
  <c r="AD118" i="10"/>
  <c r="O118" i="10"/>
  <c r="AL118" i="10"/>
  <c r="X118" i="10"/>
  <c r="AI119" i="10"/>
  <c r="AI120" i="10"/>
  <c r="AJ120" i="10"/>
  <c r="AJ119" i="10"/>
  <c r="U119" i="10"/>
  <c r="U121" i="10" s="1"/>
  <c r="U120" i="10"/>
  <c r="U122" i="10" s="1"/>
  <c r="V120" i="10"/>
  <c r="V119" i="10"/>
  <c r="G120" i="10"/>
  <c r="G119" i="10"/>
  <c r="H120" i="10"/>
  <c r="H119" i="10"/>
  <c r="AG118" i="10"/>
  <c r="AH118" i="10"/>
  <c r="AI118" i="10"/>
  <c r="AC120" i="10"/>
  <c r="AC122" i="10" s="1"/>
  <c r="AC119" i="10"/>
  <c r="AC121" i="10" s="1"/>
  <c r="AD120" i="10"/>
  <c r="AD119" i="10"/>
  <c r="O119" i="10"/>
  <c r="O120" i="10"/>
  <c r="P120" i="10"/>
  <c r="P119" i="10"/>
  <c r="Y120" i="10"/>
  <c r="Y119" i="10"/>
  <c r="AK119" i="10"/>
  <c r="AK121" i="10" s="1"/>
  <c r="AK120" i="10"/>
  <c r="AK122" i="10" s="1"/>
  <c r="AL120" i="10"/>
  <c r="AL119" i="10"/>
  <c r="W119" i="10"/>
  <c r="W120" i="10"/>
  <c r="X120" i="10"/>
  <c r="X119" i="10"/>
  <c r="I120" i="10"/>
  <c r="I119" i="10"/>
  <c r="Z120" i="10"/>
  <c r="Z119" i="10"/>
  <c r="AG119" i="10"/>
  <c r="AG120" i="10"/>
  <c r="AE119" i="10"/>
  <c r="AE120" i="10"/>
  <c r="AF120" i="10"/>
  <c r="AF119" i="10"/>
  <c r="J120" i="10"/>
  <c r="J119" i="10"/>
  <c r="R120" i="10"/>
  <c r="R119" i="10"/>
  <c r="AH120" i="10"/>
  <c r="AH119" i="10"/>
  <c r="V118" i="10"/>
  <c r="H118" i="10"/>
  <c r="L118" i="10"/>
  <c r="Q120" i="10"/>
  <c r="Q119" i="10"/>
  <c r="K120" i="10"/>
  <c r="K119" i="10"/>
  <c r="L120" i="10"/>
  <c r="L119" i="10"/>
  <c r="P118" i="10"/>
  <c r="I118" i="10"/>
  <c r="J118" i="10"/>
  <c r="K118" i="10"/>
  <c r="T118" i="10"/>
  <c r="S119" i="10"/>
  <c r="S120" i="10"/>
  <c r="T119" i="10"/>
  <c r="T120" i="10"/>
  <c r="F120" i="10"/>
  <c r="F119" i="10"/>
  <c r="W118" i="10"/>
  <c r="Q118" i="10"/>
  <c r="R118" i="10"/>
  <c r="S118" i="10"/>
  <c r="AB118" i="10"/>
  <c r="AA120" i="10"/>
  <c r="AA119" i="10"/>
  <c r="AB119" i="10"/>
  <c r="AB120" i="10"/>
  <c r="M120" i="10"/>
  <c r="M119" i="10"/>
  <c r="N120" i="10"/>
  <c r="N119" i="10"/>
  <c r="AE118" i="10"/>
  <c r="AF118" i="10"/>
  <c r="Y118" i="10"/>
  <c r="Z118" i="10"/>
  <c r="AA118" i="10"/>
  <c r="AJ118" i="10"/>
  <c r="C41" i="4"/>
  <c r="D41" i="4"/>
  <c r="M122" i="4" l="1"/>
  <c r="AF123" i="4"/>
  <c r="S123" i="4"/>
  <c r="S122" i="4"/>
  <c r="AI122" i="4"/>
  <c r="M123" i="4"/>
  <c r="I123" i="4"/>
  <c r="I122" i="4"/>
  <c r="AG123" i="4"/>
  <c r="J123" i="4"/>
  <c r="AD122" i="4"/>
  <c r="AD123" i="4"/>
  <c r="AI123" i="4"/>
  <c r="AA123" i="4"/>
  <c r="X123" i="4"/>
  <c r="X122" i="4"/>
  <c r="P123" i="4"/>
  <c r="O122" i="4"/>
  <c r="J122" i="4"/>
  <c r="P122" i="4"/>
  <c r="K123" i="4"/>
  <c r="AF122" i="4"/>
  <c r="U122" i="4"/>
  <c r="AG122" i="4"/>
  <c r="AH122" i="4"/>
  <c r="H122" i="4"/>
  <c r="Q123" i="4"/>
  <c r="W123" i="4"/>
  <c r="AL122" i="4"/>
  <c r="W122" i="4"/>
  <c r="AH123" i="4"/>
  <c r="L122" i="4"/>
  <c r="N122" i="4"/>
  <c r="V122" i="4"/>
  <c r="G123" i="4"/>
  <c r="H123" i="4"/>
  <c r="AC123" i="4"/>
  <c r="V123" i="4"/>
  <c r="G122" i="4"/>
  <c r="AC122" i="4"/>
  <c r="R123" i="4"/>
  <c r="Q122" i="4"/>
  <c r="AJ123" i="4"/>
  <c r="R122" i="4"/>
  <c r="AE123" i="4"/>
  <c r="AB123" i="4"/>
  <c r="AK123" i="4"/>
  <c r="Y123" i="4"/>
  <c r="AJ122" i="4"/>
  <c r="AE122" i="4"/>
  <c r="AB122" i="4"/>
  <c r="AK122" i="4"/>
  <c r="Y122" i="4"/>
  <c r="O123" i="4"/>
  <c r="Z123" i="4"/>
  <c r="AL123" i="4"/>
  <c r="Z122" i="4"/>
  <c r="L123" i="4"/>
  <c r="N123" i="4"/>
  <c r="F122" i="4"/>
  <c r="F121" i="10"/>
  <c r="G122" i="10"/>
  <c r="N122" i="10"/>
  <c r="O122" i="10"/>
  <c r="O121" i="10"/>
  <c r="O41" i="4"/>
  <c r="F122" i="10"/>
  <c r="X121" i="10"/>
  <c r="X122" i="10"/>
  <c r="N121" i="10"/>
  <c r="M121" i="10"/>
  <c r="M122" i="10"/>
  <c r="AD122" i="10"/>
  <c r="AD121" i="10"/>
  <c r="G121" i="10"/>
  <c r="AL122" i="10"/>
  <c r="AL121" i="10"/>
  <c r="AH122" i="10"/>
  <c r="AG122" i="10"/>
  <c r="AB122" i="10"/>
  <c r="AG121" i="10"/>
  <c r="AH121" i="10"/>
  <c r="K122" i="10"/>
  <c r="AB121" i="10"/>
  <c r="K121" i="10"/>
  <c r="Q122" i="10"/>
  <c r="Z121" i="10"/>
  <c r="Z122" i="10"/>
  <c r="W121" i="10"/>
  <c r="P122" i="10"/>
  <c r="V122" i="10"/>
  <c r="L122" i="10"/>
  <c r="AE122" i="10"/>
  <c r="H122" i="10"/>
  <c r="R121" i="10"/>
  <c r="AA121" i="10"/>
  <c r="T121" i="10"/>
  <c r="L121" i="10"/>
  <c r="AF122" i="10"/>
  <c r="I122" i="10"/>
  <c r="W122" i="10"/>
  <c r="P121" i="10"/>
  <c r="V121" i="10"/>
  <c r="S122" i="10"/>
  <c r="S121" i="10"/>
  <c r="AE121" i="10"/>
  <c r="E126" i="9" a="1"/>
  <c r="AD139" i="9" s="1"/>
  <c r="Q121" i="10"/>
  <c r="R122" i="10"/>
  <c r="H121" i="10"/>
  <c r="AJ121" i="10"/>
  <c r="J121" i="10"/>
  <c r="AJ122" i="10"/>
  <c r="J122" i="10"/>
  <c r="Y121" i="10"/>
  <c r="AI122" i="10"/>
  <c r="AA122" i="10"/>
  <c r="T122" i="10"/>
  <c r="AF121" i="10"/>
  <c r="I121" i="10"/>
  <c r="Y122" i="10"/>
  <c r="AI121" i="10"/>
  <c r="J41" i="4"/>
  <c r="S41" i="4"/>
  <c r="AK41" i="4"/>
  <c r="L41" i="4"/>
  <c r="AD41" i="4"/>
  <c r="R41" i="4"/>
  <c r="N41" i="4"/>
  <c r="U41" i="4"/>
  <c r="AG41" i="4"/>
  <c r="T41" i="4"/>
  <c r="G41" i="4"/>
  <c r="AI41" i="4"/>
  <c r="K41" i="4"/>
  <c r="AL41" i="4"/>
  <c r="AJ41" i="4"/>
  <c r="X41" i="4"/>
  <c r="W41" i="4"/>
  <c r="AH41" i="4"/>
  <c r="AB41" i="4"/>
  <c r="Q41" i="4"/>
  <c r="AF41" i="4"/>
  <c r="Z41" i="4"/>
  <c r="AC41" i="4"/>
  <c r="H41" i="4"/>
  <c r="AE41" i="4"/>
  <c r="AA41" i="4"/>
  <c r="F41" i="4"/>
  <c r="E41" i="4"/>
  <c r="C82" i="4" s="1"/>
  <c r="M41" i="4"/>
  <c r="V41" i="4"/>
  <c r="Y41" i="4"/>
  <c r="I41" i="4"/>
  <c r="P41" i="4"/>
  <c r="B119" i="10" l="1"/>
  <c r="B118" i="10"/>
  <c r="E126" i="10" a="1"/>
  <c r="F139" i="10" s="1"/>
  <c r="O137" i="9"/>
  <c r="AI133" i="9"/>
  <c r="J130" i="9"/>
  <c r="Q131" i="9"/>
  <c r="X132" i="9"/>
  <c r="W133" i="9"/>
  <c r="V134" i="9"/>
  <c r="U135" i="9"/>
  <c r="T136" i="9"/>
  <c r="Q134" i="9"/>
  <c r="AJ133" i="9"/>
  <c r="I135" i="9"/>
  <c r="I134" i="9"/>
  <c r="F132" i="9"/>
  <c r="M133" i="9"/>
  <c r="T134" i="9"/>
  <c r="S135" i="9"/>
  <c r="R136" i="9"/>
  <c r="Q137" i="9"/>
  <c r="P138" i="9"/>
  <c r="M139" i="9"/>
  <c r="U136" i="9"/>
  <c r="AF135" i="9"/>
  <c r="E137" i="9"/>
  <c r="L138" i="9"/>
  <c r="K139" i="9"/>
  <c r="G126" i="9"/>
  <c r="F127" i="9"/>
  <c r="N138" i="9"/>
  <c r="Y138" i="9"/>
  <c r="AB137" i="9"/>
  <c r="AI138" i="9"/>
  <c r="E126" i="9"/>
  <c r="AL126" i="9"/>
  <c r="AK127" i="9"/>
  <c r="AJ128" i="9"/>
  <c r="AE127" i="9"/>
  <c r="X139" i="9"/>
  <c r="AJ126" i="9"/>
  <c r="AI127" i="9"/>
  <c r="AH128" i="9"/>
  <c r="AG129" i="9"/>
  <c r="AF130" i="9"/>
  <c r="R126" i="9"/>
  <c r="Y127" i="9"/>
  <c r="AF128" i="9"/>
  <c r="AE129" i="9"/>
  <c r="AD130" i="9"/>
  <c r="AC131" i="9"/>
  <c r="AB132" i="9"/>
  <c r="P136" i="9"/>
  <c r="E128" i="9"/>
  <c r="N128" i="9"/>
  <c r="U129" i="9"/>
  <c r="AB130" i="9"/>
  <c r="AA131" i="9"/>
  <c r="Z132" i="9"/>
  <c r="Y133" i="9"/>
  <c r="X134" i="9"/>
  <c r="I126" i="9"/>
  <c r="E132" i="9"/>
  <c r="M132" i="9"/>
  <c r="U132" i="9"/>
  <c r="Y134" i="9"/>
  <c r="AC136" i="9"/>
  <c r="AG138" i="9"/>
  <c r="J126" i="9"/>
  <c r="F128" i="9"/>
  <c r="AJ129" i="9"/>
  <c r="AF131" i="9"/>
  <c r="AB133" i="9"/>
  <c r="X135" i="9"/>
  <c r="T137" i="9"/>
  <c r="P139" i="9"/>
  <c r="Q127" i="9"/>
  <c r="M129" i="9"/>
  <c r="I131" i="9"/>
  <c r="E133" i="9"/>
  <c r="AI134" i="9"/>
  <c r="AE136" i="9"/>
  <c r="AA138" i="9"/>
  <c r="AB126" i="9"/>
  <c r="X128" i="9"/>
  <c r="T130" i="9"/>
  <c r="P132" i="9"/>
  <c r="L134" i="9"/>
  <c r="H136" i="9"/>
  <c r="AL137" i="9"/>
  <c r="AH139" i="9"/>
  <c r="AA127" i="9"/>
  <c r="W129" i="9"/>
  <c r="S131" i="9"/>
  <c r="O133" i="9"/>
  <c r="K135" i="9"/>
  <c r="G137" i="9"/>
  <c r="AK138" i="9"/>
  <c r="AD126" i="9"/>
  <c r="Z128" i="9"/>
  <c r="V130" i="9"/>
  <c r="R132" i="9"/>
  <c r="N134" i="9"/>
  <c r="J136" i="9"/>
  <c r="F138" i="9"/>
  <c r="AJ139" i="9"/>
  <c r="AC127" i="9"/>
  <c r="Y129" i="9"/>
  <c r="U131" i="9"/>
  <c r="Q133" i="9"/>
  <c r="M135" i="9"/>
  <c r="I137" i="9"/>
  <c r="E139" i="9"/>
  <c r="AF126" i="9"/>
  <c r="AB128" i="9"/>
  <c r="X130" i="9"/>
  <c r="T132" i="9"/>
  <c r="P134" i="9"/>
  <c r="L136" i="9"/>
  <c r="H138" i="9"/>
  <c r="AL139" i="9"/>
  <c r="AI129" i="9"/>
  <c r="AE135" i="9"/>
  <c r="E136" i="9"/>
  <c r="M136" i="9"/>
  <c r="Q138" i="9"/>
  <c r="W127" i="9"/>
  <c r="AA129" i="9"/>
  <c r="Z126" i="9"/>
  <c r="V128" i="9"/>
  <c r="R130" i="9"/>
  <c r="N132" i="9"/>
  <c r="J134" i="9"/>
  <c r="F136" i="9"/>
  <c r="AJ137" i="9"/>
  <c r="AF139" i="9"/>
  <c r="AG127" i="9"/>
  <c r="AC129" i="9"/>
  <c r="Y131" i="9"/>
  <c r="U133" i="9"/>
  <c r="Q135" i="9"/>
  <c r="M137" i="9"/>
  <c r="I139" i="9"/>
  <c r="J127" i="9"/>
  <c r="F129" i="9"/>
  <c r="AJ130" i="9"/>
  <c r="AF132" i="9"/>
  <c r="AB134" i="9"/>
  <c r="X136" i="9"/>
  <c r="T138" i="9"/>
  <c r="M126" i="9"/>
  <c r="I128" i="9"/>
  <c r="E130" i="9"/>
  <c r="AI131" i="9"/>
  <c r="AE133" i="9"/>
  <c r="AA135" i="9"/>
  <c r="W137" i="9"/>
  <c r="S139" i="9"/>
  <c r="L127" i="9"/>
  <c r="H129" i="9"/>
  <c r="AL130" i="9"/>
  <c r="AH132" i="9"/>
  <c r="AD134" i="9"/>
  <c r="Z136" i="9"/>
  <c r="V138" i="9"/>
  <c r="O126" i="9"/>
  <c r="K128" i="9"/>
  <c r="G130" i="9"/>
  <c r="AK131" i="9"/>
  <c r="AG133" i="9"/>
  <c r="AC135" i="9"/>
  <c r="Y137" i="9"/>
  <c r="U139" i="9"/>
  <c r="N127" i="9"/>
  <c r="J129" i="9"/>
  <c r="F131" i="9"/>
  <c r="AJ132" i="9"/>
  <c r="AF134" i="9"/>
  <c r="AB136" i="9"/>
  <c r="X138" i="9"/>
  <c r="AE131" i="9"/>
  <c r="AA137" i="9"/>
  <c r="AI137" i="9"/>
  <c r="I138" i="9"/>
  <c r="O127" i="9"/>
  <c r="S129" i="9"/>
  <c r="W131" i="9"/>
  <c r="AH126" i="9"/>
  <c r="AD128" i="9"/>
  <c r="Z130" i="9"/>
  <c r="V132" i="9"/>
  <c r="R134" i="9"/>
  <c r="N136" i="9"/>
  <c r="J138" i="9"/>
  <c r="K126" i="9"/>
  <c r="G128" i="9"/>
  <c r="AK129" i="9"/>
  <c r="AG131" i="9"/>
  <c r="AC133" i="9"/>
  <c r="Y135" i="9"/>
  <c r="U137" i="9"/>
  <c r="Q139" i="9"/>
  <c r="R127" i="9"/>
  <c r="N129" i="9"/>
  <c r="J131" i="9"/>
  <c r="F133" i="9"/>
  <c r="AJ134" i="9"/>
  <c r="AF136" i="9"/>
  <c r="AB138" i="9"/>
  <c r="U126" i="9"/>
  <c r="Q128" i="9"/>
  <c r="M130" i="9"/>
  <c r="I132" i="9"/>
  <c r="E134" i="9"/>
  <c r="AI135" i="9"/>
  <c r="AE137" i="9"/>
  <c r="AA139" i="9"/>
  <c r="T127" i="9"/>
  <c r="P129" i="9"/>
  <c r="L131" i="9"/>
  <c r="H133" i="9"/>
  <c r="AL134" i="9"/>
  <c r="AH136" i="9"/>
  <c r="AD138" i="9"/>
  <c r="W126" i="9"/>
  <c r="S128" i="9"/>
  <c r="O130" i="9"/>
  <c r="K132" i="9"/>
  <c r="G134" i="9"/>
  <c r="AK135" i="9"/>
  <c r="AG137" i="9"/>
  <c r="AC139" i="9"/>
  <c r="V127" i="9"/>
  <c r="R129" i="9"/>
  <c r="N131" i="9"/>
  <c r="J133" i="9"/>
  <c r="F135" i="9"/>
  <c r="AJ136" i="9"/>
  <c r="AF138" i="9"/>
  <c r="AA133" i="9"/>
  <c r="W139" i="9"/>
  <c r="AE139" i="9"/>
  <c r="G127" i="9"/>
  <c r="K129" i="9"/>
  <c r="O131" i="9"/>
  <c r="S133" i="9"/>
  <c r="H127" i="9"/>
  <c r="AL128" i="9"/>
  <c r="AH130" i="9"/>
  <c r="AD132" i="9"/>
  <c r="Z134" i="9"/>
  <c r="V136" i="9"/>
  <c r="R138" i="9"/>
  <c r="S126" i="9"/>
  <c r="O128" i="9"/>
  <c r="K130" i="9"/>
  <c r="G132" i="9"/>
  <c r="AK133" i="9"/>
  <c r="AG135" i="9"/>
  <c r="AC137" i="9"/>
  <c r="Y139" i="9"/>
  <c r="Z127" i="9"/>
  <c r="V129" i="9"/>
  <c r="R131" i="9"/>
  <c r="N133" i="9"/>
  <c r="J135" i="9"/>
  <c r="F137" i="9"/>
  <c r="AJ138" i="9"/>
  <c r="AC126" i="9"/>
  <c r="Y128" i="9"/>
  <c r="U130" i="9"/>
  <c r="Q132" i="9"/>
  <c r="M134" i="9"/>
  <c r="I136" i="9"/>
  <c r="E138" i="9"/>
  <c r="AI139" i="9"/>
  <c r="AB127" i="9"/>
  <c r="X129" i="9"/>
  <c r="T131" i="9"/>
  <c r="P133" i="9"/>
  <c r="L135" i="9"/>
  <c r="H137" i="9"/>
  <c r="AL138" i="9"/>
  <c r="AE126" i="9"/>
  <c r="AA128" i="9"/>
  <c r="W130" i="9"/>
  <c r="S132" i="9"/>
  <c r="O134" i="9"/>
  <c r="K136" i="9"/>
  <c r="G138" i="9"/>
  <c r="AK139" i="9"/>
  <c r="AD127" i="9"/>
  <c r="Z129" i="9"/>
  <c r="V131" i="9"/>
  <c r="R133" i="9"/>
  <c r="N135" i="9"/>
  <c r="J137" i="9"/>
  <c r="F139" i="9"/>
  <c r="W135" i="9"/>
  <c r="Q126" i="9"/>
  <c r="Y126" i="9"/>
  <c r="AG126" i="9"/>
  <c r="AK128" i="9"/>
  <c r="G131" i="9"/>
  <c r="K133" i="9"/>
  <c r="O135" i="9"/>
  <c r="P127" i="9"/>
  <c r="L129" i="9"/>
  <c r="H131" i="9"/>
  <c r="AL132" i="9"/>
  <c r="AH134" i="9"/>
  <c r="AD136" i="9"/>
  <c r="Z138" i="9"/>
  <c r="AA126" i="9"/>
  <c r="W128" i="9"/>
  <c r="S130" i="9"/>
  <c r="O132" i="9"/>
  <c r="K134" i="9"/>
  <c r="G136" i="9"/>
  <c r="AK137" i="9"/>
  <c r="AG139" i="9"/>
  <c r="AH127" i="9"/>
  <c r="AD129" i="9"/>
  <c r="Z131" i="9"/>
  <c r="V133" i="9"/>
  <c r="R135" i="9"/>
  <c r="N137" i="9"/>
  <c r="J139" i="9"/>
  <c r="AK126" i="9"/>
  <c r="AG128" i="9"/>
  <c r="AC130" i="9"/>
  <c r="Y132" i="9"/>
  <c r="U134" i="9"/>
  <c r="Q136" i="9"/>
  <c r="M138" i="9"/>
  <c r="F126" i="9"/>
  <c r="AJ127" i="9"/>
  <c r="AF129" i="9"/>
  <c r="AB131" i="9"/>
  <c r="X133" i="9"/>
  <c r="T135" i="9"/>
  <c r="P137" i="9"/>
  <c r="L139" i="9"/>
  <c r="E127" i="9"/>
  <c r="AI128" i="9"/>
  <c r="AE130" i="9"/>
  <c r="AA132" i="9"/>
  <c r="W134" i="9"/>
  <c r="S136" i="9"/>
  <c r="O138" i="9"/>
  <c r="H126" i="9"/>
  <c r="AL127" i="9"/>
  <c r="AH129" i="9"/>
  <c r="AD131" i="9"/>
  <c r="Z133" i="9"/>
  <c r="V135" i="9"/>
  <c r="R137" i="9"/>
  <c r="N139" i="9"/>
  <c r="S137" i="9"/>
  <c r="M128" i="9"/>
  <c r="U128" i="9"/>
  <c r="AC128" i="9"/>
  <c r="AG130" i="9"/>
  <c r="AK132" i="9"/>
  <c r="G135" i="9"/>
  <c r="K137" i="9"/>
  <c r="X127" i="9"/>
  <c r="T129" i="9"/>
  <c r="P131" i="9"/>
  <c r="L133" i="9"/>
  <c r="H135" i="9"/>
  <c r="AL136" i="9"/>
  <c r="AH138" i="9"/>
  <c r="AI126" i="9"/>
  <c r="AE128" i="9"/>
  <c r="AA130" i="9"/>
  <c r="W132" i="9"/>
  <c r="S134" i="9"/>
  <c r="O136" i="9"/>
  <c r="K138" i="9"/>
  <c r="L126" i="9"/>
  <c r="H128" i="9"/>
  <c r="AL129" i="9"/>
  <c r="AH131" i="9"/>
  <c r="AD133" i="9"/>
  <c r="Z135" i="9"/>
  <c r="V137" i="9"/>
  <c r="R139" i="9"/>
  <c r="K127" i="9"/>
  <c r="G129" i="9"/>
  <c r="AK130" i="9"/>
  <c r="AG132" i="9"/>
  <c r="AC134" i="9"/>
  <c r="Y136" i="9"/>
  <c r="U138" i="9"/>
  <c r="N126" i="9"/>
  <c r="J128" i="9"/>
  <c r="F130" i="9"/>
  <c r="AJ131" i="9"/>
  <c r="AF133" i="9"/>
  <c r="AB135" i="9"/>
  <c r="X137" i="9"/>
  <c r="T139" i="9"/>
  <c r="M127" i="9"/>
  <c r="I129" i="9"/>
  <c r="E131" i="9"/>
  <c r="AI132" i="9"/>
  <c r="AE134" i="9"/>
  <c r="AA136" i="9"/>
  <c r="W138" i="9"/>
  <c r="P126" i="9"/>
  <c r="L128" i="9"/>
  <c r="H130" i="9"/>
  <c r="AL131" i="9"/>
  <c r="AH133" i="9"/>
  <c r="AD135" i="9"/>
  <c r="Z137" i="9"/>
  <c r="V139" i="9"/>
  <c r="O139" i="9"/>
  <c r="I130" i="9"/>
  <c r="Q130" i="9"/>
  <c r="Y130" i="9"/>
  <c r="AC132" i="9"/>
  <c r="AG134" i="9"/>
  <c r="AK136" i="9"/>
  <c r="G139" i="9"/>
  <c r="AF127" i="9"/>
  <c r="AB129" i="9"/>
  <c r="X131" i="9"/>
  <c r="T133" i="9"/>
  <c r="P135" i="9"/>
  <c r="L137" i="9"/>
  <c r="H139" i="9"/>
  <c r="I127" i="9"/>
  <c r="E129" i="9"/>
  <c r="AI130" i="9"/>
  <c r="AE132" i="9"/>
  <c r="AA134" i="9"/>
  <c r="W136" i="9"/>
  <c r="S138" i="9"/>
  <c r="T126" i="9"/>
  <c r="P128" i="9"/>
  <c r="L130" i="9"/>
  <c r="H132" i="9"/>
  <c r="AL133" i="9"/>
  <c r="AH135" i="9"/>
  <c r="AD137" i="9"/>
  <c r="Z139" i="9"/>
  <c r="S127" i="9"/>
  <c r="O129" i="9"/>
  <c r="K131" i="9"/>
  <c r="G133" i="9"/>
  <c r="AK134" i="9"/>
  <c r="AG136" i="9"/>
  <c r="AC138" i="9"/>
  <c r="V126" i="9"/>
  <c r="R128" i="9"/>
  <c r="N130" i="9"/>
  <c r="J132" i="9"/>
  <c r="F134" i="9"/>
  <c r="AJ135" i="9"/>
  <c r="AF137" i="9"/>
  <c r="AB139" i="9"/>
  <c r="U127" i="9"/>
  <c r="Q129" i="9"/>
  <c r="M131" i="9"/>
  <c r="I133" i="9"/>
  <c r="E135" i="9"/>
  <c r="AI136" i="9"/>
  <c r="AE138" i="9"/>
  <c r="X126" i="9"/>
  <c r="T128" i="9"/>
  <c r="P130" i="9"/>
  <c r="L132" i="9"/>
  <c r="H134" i="9"/>
  <c r="AL135" i="9"/>
  <c r="AH137" i="9"/>
  <c r="AG112" i="4"/>
  <c r="AG111" i="4"/>
  <c r="AK109" i="4"/>
  <c r="AG107" i="4"/>
  <c r="AK105" i="4"/>
  <c r="AG103" i="4"/>
  <c r="AK101" i="4"/>
  <c r="AG99" i="4"/>
  <c r="J112" i="4"/>
  <c r="N110" i="4"/>
  <c r="R108" i="4"/>
  <c r="V106" i="4"/>
  <c r="Z104" i="4"/>
  <c r="AD102" i="4"/>
  <c r="AH100" i="4"/>
  <c r="AL98" i="4"/>
  <c r="O111" i="4"/>
  <c r="S109" i="4"/>
  <c r="O107" i="4"/>
  <c r="S105" i="4"/>
  <c r="O103" i="4"/>
  <c r="S101" i="4"/>
  <c r="O99" i="4"/>
  <c r="AL111" i="4"/>
  <c r="L110" i="4"/>
  <c r="H108" i="4"/>
  <c r="T106" i="4"/>
  <c r="P104" i="4"/>
  <c r="AB102" i="4"/>
  <c r="O112" i="4"/>
  <c r="S110" i="4"/>
  <c r="O108" i="4"/>
  <c r="S106" i="4"/>
  <c r="O104" i="4"/>
  <c r="S102" i="4"/>
  <c r="W112" i="4"/>
  <c r="Z110" i="4"/>
  <c r="AD108" i="4"/>
  <c r="AH106" i="4"/>
  <c r="AL104" i="4"/>
  <c r="L103" i="4"/>
  <c r="H101" i="4"/>
  <c r="T99" i="4"/>
  <c r="AA111" i="4"/>
  <c r="W109" i="4"/>
  <c r="AA107" i="4"/>
  <c r="W105" i="4"/>
  <c r="AA103" i="4"/>
  <c r="W101" i="4"/>
  <c r="H102" i="4"/>
  <c r="Z97" i="4"/>
  <c r="AD95" i="4"/>
  <c r="AH93" i="4"/>
  <c r="AL101" i="4"/>
  <c r="AD101" i="4"/>
  <c r="J98" i="4"/>
  <c r="N96" i="4"/>
  <c r="R94" i="4"/>
  <c r="V92" i="4"/>
  <c r="Z90" i="4"/>
  <c r="AD88" i="4"/>
  <c r="AH86" i="4"/>
  <c r="AL84" i="4"/>
  <c r="X106" i="4"/>
  <c r="AA98" i="4"/>
  <c r="AC100" i="4"/>
  <c r="AD97" i="4"/>
  <c r="AH95" i="4"/>
  <c r="AL93" i="4"/>
  <c r="L92" i="4"/>
  <c r="Y112" i="4"/>
  <c r="Y111" i="4"/>
  <c r="AC109" i="4"/>
  <c r="Y107" i="4"/>
  <c r="AC105" i="4"/>
  <c r="Y103" i="4"/>
  <c r="AC101" i="4"/>
  <c r="Y99" i="4"/>
  <c r="AF111" i="4"/>
  <c r="F110" i="4"/>
  <c r="J108" i="4"/>
  <c r="N106" i="4"/>
  <c r="R104" i="4"/>
  <c r="V102" i="4"/>
  <c r="Z100" i="4"/>
  <c r="AD98" i="4"/>
  <c r="G111" i="4"/>
  <c r="K109" i="4"/>
  <c r="G107" i="4"/>
  <c r="K105" i="4"/>
  <c r="G103" i="4"/>
  <c r="K101" i="4"/>
  <c r="G99" i="4"/>
  <c r="AD111" i="4"/>
  <c r="AH109" i="4"/>
  <c r="AL107" i="4"/>
  <c r="L106" i="4"/>
  <c r="H104" i="4"/>
  <c r="T102" i="4"/>
  <c r="G112" i="4"/>
  <c r="K110" i="4"/>
  <c r="G108" i="4"/>
  <c r="K106" i="4"/>
  <c r="G104" i="4"/>
  <c r="K102" i="4"/>
  <c r="N112" i="4"/>
  <c r="R110" i="4"/>
  <c r="V108" i="4"/>
  <c r="Z106" i="4"/>
  <c r="AD104" i="4"/>
  <c r="AH102" i="4"/>
  <c r="AL100" i="4"/>
  <c r="L99" i="4"/>
  <c r="S111" i="4"/>
  <c r="O109" i="4"/>
  <c r="S107" i="4"/>
  <c r="O105" i="4"/>
  <c r="S103" i="4"/>
  <c r="O101" i="4"/>
  <c r="U100" i="4"/>
  <c r="R97" i="4"/>
  <c r="V95" i="4"/>
  <c r="Z93" i="4"/>
  <c r="AK100" i="4"/>
  <c r="AJ100" i="4"/>
  <c r="AF97" i="4"/>
  <c r="F96" i="4"/>
  <c r="J94" i="4"/>
  <c r="N92" i="4"/>
  <c r="R90" i="4"/>
  <c r="V88" i="4"/>
  <c r="Z86" i="4"/>
  <c r="AD84" i="4"/>
  <c r="AJ104" i="4"/>
  <c r="Q98" i="4"/>
  <c r="M100" i="4"/>
  <c r="V97" i="4"/>
  <c r="Z95" i="4"/>
  <c r="AD93" i="4"/>
  <c r="AH91" i="4"/>
  <c r="AL112" i="4"/>
  <c r="Q111" i="4"/>
  <c r="U109" i="4"/>
  <c r="Q107" i="4"/>
  <c r="U105" i="4"/>
  <c r="Q103" i="4"/>
  <c r="U101" i="4"/>
  <c r="Q99" i="4"/>
  <c r="X111" i="4"/>
  <c r="AJ109" i="4"/>
  <c r="AF107" i="4"/>
  <c r="F106" i="4"/>
  <c r="J104" i="4"/>
  <c r="N102" i="4"/>
  <c r="R100" i="4"/>
  <c r="AK112" i="4"/>
  <c r="AK110" i="4"/>
  <c r="AG108" i="4"/>
  <c r="AK106" i="4"/>
  <c r="AG104" i="4"/>
  <c r="AK102" i="4"/>
  <c r="AG100" i="4"/>
  <c r="AK98" i="4"/>
  <c r="V111" i="4"/>
  <c r="Z109" i="4"/>
  <c r="AD107" i="4"/>
  <c r="AH105" i="4"/>
  <c r="AL103" i="4"/>
  <c r="L102" i="4"/>
  <c r="AK111" i="4"/>
  <c r="AG109" i="4"/>
  <c r="AK107" i="4"/>
  <c r="AG105" i="4"/>
  <c r="AK103" i="4"/>
  <c r="AG101" i="4"/>
  <c r="F112" i="4"/>
  <c r="J110" i="4"/>
  <c r="N108" i="4"/>
  <c r="R106" i="4"/>
  <c r="V104" i="4"/>
  <c r="Z102" i="4"/>
  <c r="AD100" i="4"/>
  <c r="AH98" i="4"/>
  <c r="K111" i="4"/>
  <c r="G109" i="4"/>
  <c r="K107" i="4"/>
  <c r="G105" i="4"/>
  <c r="K103" i="4"/>
  <c r="L112" i="4"/>
  <c r="AA99" i="4"/>
  <c r="J97" i="4"/>
  <c r="N95" i="4"/>
  <c r="R93" i="4"/>
  <c r="AH111" i="4"/>
  <c r="P100" i="4"/>
  <c r="X97" i="4"/>
  <c r="AJ95" i="4"/>
  <c r="AF93" i="4"/>
  <c r="F92" i="4"/>
  <c r="J90" i="4"/>
  <c r="N88" i="4"/>
  <c r="R86" i="4"/>
  <c r="V84" i="4"/>
  <c r="J103" i="4"/>
  <c r="I98" i="4"/>
  <c r="AI99" i="4"/>
  <c r="N97" i="4"/>
  <c r="R95" i="4"/>
  <c r="V93" i="4"/>
  <c r="Z91" i="4"/>
  <c r="AD112" i="4"/>
  <c r="I111" i="4"/>
  <c r="M109" i="4"/>
  <c r="I107" i="4"/>
  <c r="M105" i="4"/>
  <c r="I103" i="4"/>
  <c r="M101" i="4"/>
  <c r="I99" i="4"/>
  <c r="P111" i="4"/>
  <c r="AB109" i="4"/>
  <c r="X107" i="4"/>
  <c r="AJ105" i="4"/>
  <c r="AF103" i="4"/>
  <c r="F102" i="4"/>
  <c r="J100" i="4"/>
  <c r="AA112" i="4"/>
  <c r="AC110" i="4"/>
  <c r="Y108" i="4"/>
  <c r="AC106" i="4"/>
  <c r="Y104" i="4"/>
  <c r="AC102" i="4"/>
  <c r="Y100" i="4"/>
  <c r="AC98" i="4"/>
  <c r="N111" i="4"/>
  <c r="R109" i="4"/>
  <c r="V107" i="4"/>
  <c r="Z105" i="4"/>
  <c r="AD103" i="4"/>
  <c r="AH101" i="4"/>
  <c r="AC111" i="4"/>
  <c r="Y109" i="4"/>
  <c r="AC107" i="4"/>
  <c r="Y105" i="4"/>
  <c r="AC103" i="4"/>
  <c r="Y101" i="4"/>
  <c r="AJ111" i="4"/>
  <c r="AF109" i="4"/>
  <c r="F108" i="4"/>
  <c r="J106" i="4"/>
  <c r="N104" i="4"/>
  <c r="R102" i="4"/>
  <c r="V100" i="4"/>
  <c r="Z98" i="4"/>
  <c r="AG110" i="4"/>
  <c r="AK108" i="4"/>
  <c r="AG106" i="4"/>
  <c r="AK104" i="4"/>
  <c r="AG102" i="4"/>
  <c r="X110" i="4"/>
  <c r="K99" i="4"/>
  <c r="AF96" i="4"/>
  <c r="F95" i="4"/>
  <c r="J93" i="4"/>
  <c r="H110" i="4"/>
  <c r="AL99" i="4"/>
  <c r="P97" i="4"/>
  <c r="AB95" i="4"/>
  <c r="X93" i="4"/>
  <c r="AJ91" i="4"/>
  <c r="AF89" i="4"/>
  <c r="F88" i="4"/>
  <c r="J86" i="4"/>
  <c r="N84" i="4"/>
  <c r="V101" i="4"/>
  <c r="R111" i="4"/>
  <c r="S99" i="4"/>
  <c r="F97" i="4"/>
  <c r="J95" i="4"/>
  <c r="N93" i="4"/>
  <c r="R91" i="4"/>
  <c r="V112" i="4"/>
  <c r="AE110" i="4"/>
  <c r="AI108" i="4"/>
  <c r="AE106" i="4"/>
  <c r="AI104" i="4"/>
  <c r="AE102" i="4"/>
  <c r="AI100" i="4"/>
  <c r="AE98" i="4"/>
  <c r="H111" i="4"/>
  <c r="T109" i="4"/>
  <c r="P107" i="4"/>
  <c r="AB105" i="4"/>
  <c r="X103" i="4"/>
  <c r="AJ101" i="4"/>
  <c r="AF99" i="4"/>
  <c r="Q112" i="4"/>
  <c r="U110" i="4"/>
  <c r="Q108" i="4"/>
  <c r="U106" i="4"/>
  <c r="Q104" i="4"/>
  <c r="U102" i="4"/>
  <c r="Q100" i="4"/>
  <c r="AJ112" i="4"/>
  <c r="F111" i="4"/>
  <c r="J109" i="4"/>
  <c r="N107" i="4"/>
  <c r="R105" i="4"/>
  <c r="V103" i="4"/>
  <c r="Z101" i="4"/>
  <c r="U111" i="4"/>
  <c r="Q109" i="4"/>
  <c r="U107" i="4"/>
  <c r="Q105" i="4"/>
  <c r="U103" i="4"/>
  <c r="Q101" i="4"/>
  <c r="AB111" i="4"/>
  <c r="X109" i="4"/>
  <c r="AJ107" i="4"/>
  <c r="AF105" i="4"/>
  <c r="F104" i="4"/>
  <c r="J102" i="4"/>
  <c r="N100" i="4"/>
  <c r="AF112" i="4"/>
  <c r="Y110" i="4"/>
  <c r="AC108" i="4"/>
  <c r="Y106" i="4"/>
  <c r="AC104" i="4"/>
  <c r="Y102" i="4"/>
  <c r="AJ108" i="4"/>
  <c r="AG98" i="4"/>
  <c r="X96" i="4"/>
  <c r="AJ94" i="4"/>
  <c r="P110" i="4"/>
  <c r="T108" i="4"/>
  <c r="V99" i="4"/>
  <c r="H97" i="4"/>
  <c r="T95" i="4"/>
  <c r="P93" i="4"/>
  <c r="AB91" i="4"/>
  <c r="X89" i="4"/>
  <c r="AJ87" i="4"/>
  <c r="AF85" i="4"/>
  <c r="F84" i="4"/>
  <c r="AF100" i="4"/>
  <c r="AD109" i="4"/>
  <c r="Y98" i="4"/>
  <c r="AJ96" i="4"/>
  <c r="AF94" i="4"/>
  <c r="F93" i="4"/>
  <c r="J91" i="4"/>
  <c r="AC112" i="4"/>
  <c r="W110" i="4"/>
  <c r="AA108" i="4"/>
  <c r="W106" i="4"/>
  <c r="AA104" i="4"/>
  <c r="W102" i="4"/>
  <c r="AA100" i="4"/>
  <c r="W98" i="4"/>
  <c r="AL110" i="4"/>
  <c r="L109" i="4"/>
  <c r="H107" i="4"/>
  <c r="T105" i="4"/>
  <c r="P103" i="4"/>
  <c r="AB101" i="4"/>
  <c r="X99" i="4"/>
  <c r="I112" i="4"/>
  <c r="M110" i="4"/>
  <c r="I108" i="4"/>
  <c r="M106" i="4"/>
  <c r="I104" i="4"/>
  <c r="M102" i="4"/>
  <c r="I100" i="4"/>
  <c r="Z112" i="4"/>
  <c r="AJ110" i="4"/>
  <c r="AF108" i="4"/>
  <c r="F107" i="4"/>
  <c r="J105" i="4"/>
  <c r="N103" i="4"/>
  <c r="R101" i="4"/>
  <c r="M111" i="4"/>
  <c r="I109" i="4"/>
  <c r="M107" i="4"/>
  <c r="I105" i="4"/>
  <c r="M103" i="4"/>
  <c r="I101" i="4"/>
  <c r="T111" i="4"/>
  <c r="P109" i="4"/>
  <c r="AB107" i="4"/>
  <c r="X105" i="4"/>
  <c r="AJ103" i="4"/>
  <c r="AF101" i="4"/>
  <c r="F100" i="4"/>
  <c r="U112" i="4"/>
  <c r="Q110" i="4"/>
  <c r="U108" i="4"/>
  <c r="Q106" i="4"/>
  <c r="U104" i="4"/>
  <c r="Q102" i="4"/>
  <c r="J107" i="4"/>
  <c r="T98" i="4"/>
  <c r="P96" i="4"/>
  <c r="AB94" i="4"/>
  <c r="AB108" i="4"/>
  <c r="AF106" i="4"/>
  <c r="F99" i="4"/>
  <c r="AL96" i="4"/>
  <c r="L95" i="4"/>
  <c r="H93" i="4"/>
  <c r="T91" i="4"/>
  <c r="P89" i="4"/>
  <c r="AB87" i="4"/>
  <c r="X85" i="4"/>
  <c r="Z111" i="4"/>
  <c r="O100" i="4"/>
  <c r="P106" i="4"/>
  <c r="P98" i="4"/>
  <c r="AB96" i="4"/>
  <c r="X94" i="4"/>
  <c r="AJ92" i="4"/>
  <c r="AF90" i="4"/>
  <c r="S112" i="4"/>
  <c r="O110" i="4"/>
  <c r="S108" i="4"/>
  <c r="O106" i="4"/>
  <c r="S104" i="4"/>
  <c r="O102" i="4"/>
  <c r="S100" i="4"/>
  <c r="AB112" i="4"/>
  <c r="AD110" i="4"/>
  <c r="AH108" i="4"/>
  <c r="AL106" i="4"/>
  <c r="L105" i="4"/>
  <c r="H103" i="4"/>
  <c r="T101" i="4"/>
  <c r="P99" i="4"/>
  <c r="AE111" i="4"/>
  <c r="AI109" i="4"/>
  <c r="AE107" i="4"/>
  <c r="AI105" i="4"/>
  <c r="AE103" i="4"/>
  <c r="AI101" i="4"/>
  <c r="AE99" i="4"/>
  <c r="P112" i="4"/>
  <c r="AB110" i="4"/>
  <c r="X108" i="4"/>
  <c r="AJ106" i="4"/>
  <c r="AF104" i="4"/>
  <c r="F103" i="4"/>
  <c r="AI112" i="4"/>
  <c r="AI110" i="4"/>
  <c r="AE108" i="4"/>
  <c r="AI106" i="4"/>
  <c r="AE104" i="4"/>
  <c r="AI102" i="4"/>
  <c r="AE100" i="4"/>
  <c r="L111" i="4"/>
  <c r="H109" i="4"/>
  <c r="T107" i="4"/>
  <c r="P105" i="4"/>
  <c r="AB103" i="4"/>
  <c r="X101" i="4"/>
  <c r="AJ99" i="4"/>
  <c r="M112" i="4"/>
  <c r="I110" i="4"/>
  <c r="M108" i="4"/>
  <c r="I106" i="4"/>
  <c r="M104" i="4"/>
  <c r="I102" i="4"/>
  <c r="V105" i="4"/>
  <c r="L98" i="4"/>
  <c r="H96" i="4"/>
  <c r="T94" i="4"/>
  <c r="N105" i="4"/>
  <c r="F105" i="4"/>
  <c r="AB98" i="4"/>
  <c r="AD96" i="4"/>
  <c r="AH94" i="4"/>
  <c r="AL92" i="4"/>
  <c r="L91" i="4"/>
  <c r="H89" i="4"/>
  <c r="T87" i="4"/>
  <c r="P85" i="4"/>
  <c r="AL109" i="4"/>
  <c r="AK99" i="4"/>
  <c r="AB104" i="4"/>
  <c r="H98" i="4"/>
  <c r="T96" i="4"/>
  <c r="P94" i="4"/>
  <c r="AB92" i="4"/>
  <c r="X90" i="4"/>
  <c r="G110" i="4"/>
  <c r="Z108" i="4"/>
  <c r="W107" i="4"/>
  <c r="AB106" i="4"/>
  <c r="AA102" i="4"/>
  <c r="AB99" i="4"/>
  <c r="AH97" i="4"/>
  <c r="AD92" i="4"/>
  <c r="AL97" i="4"/>
  <c r="V89" i="4"/>
  <c r="Z87" i="4"/>
  <c r="AD85" i="4"/>
  <c r="J101" i="4"/>
  <c r="AK97" i="4"/>
  <c r="AG95" i="4"/>
  <c r="L104" i="4"/>
  <c r="V98" i="4"/>
  <c r="Z96" i="4"/>
  <c r="AD94" i="4"/>
  <c r="AH92" i="4"/>
  <c r="AL90" i="4"/>
  <c r="L89" i="4"/>
  <c r="H87" i="4"/>
  <c r="T85" i="4"/>
  <c r="R107" i="4"/>
  <c r="AI98" i="4"/>
  <c r="Y96" i="4"/>
  <c r="AC94" i="4"/>
  <c r="Y92" i="4"/>
  <c r="AK96" i="4"/>
  <c r="AC96" i="4"/>
  <c r="S98" i="4"/>
  <c r="AE94" i="4"/>
  <c r="AJ90" i="4"/>
  <c r="I88" i="4"/>
  <c r="U85" i="4"/>
  <c r="S95" i="4"/>
  <c r="I91" i="4"/>
  <c r="U88" i="4"/>
  <c r="AG85" i="4"/>
  <c r="G93" i="4"/>
  <c r="AK88" i="4"/>
  <c r="J84" i="4"/>
  <c r="M89" i="4"/>
  <c r="AI84" i="4"/>
  <c r="S91" i="4"/>
  <c r="W86" i="4"/>
  <c r="AI92" i="4"/>
  <c r="M88" i="4"/>
  <c r="S84" i="4"/>
  <c r="S90" i="4"/>
  <c r="W85" i="4"/>
  <c r="N91" i="4"/>
  <c r="AE86" i="4"/>
  <c r="G92" i="4"/>
  <c r="AA87" i="4"/>
  <c r="AK93" i="4"/>
  <c r="Q89" i="4"/>
  <c r="X84" i="4"/>
  <c r="K108" i="4"/>
  <c r="AD106" i="4"/>
  <c r="AA105" i="4"/>
  <c r="X104" i="4"/>
  <c r="AH112" i="4"/>
  <c r="AI111" i="4"/>
  <c r="AL95" i="4"/>
  <c r="AH90" i="4"/>
  <c r="L96" i="4"/>
  <c r="N89" i="4"/>
  <c r="R87" i="4"/>
  <c r="V85" i="4"/>
  <c r="AB100" i="4"/>
  <c r="AC97" i="4"/>
  <c r="Y95" i="4"/>
  <c r="X102" i="4"/>
  <c r="N98" i="4"/>
  <c r="R96" i="4"/>
  <c r="V94" i="4"/>
  <c r="Z92" i="4"/>
  <c r="AD90" i="4"/>
  <c r="AH88" i="4"/>
  <c r="AL86" i="4"/>
  <c r="L85" i="4"/>
  <c r="AD105" i="4"/>
  <c r="U98" i="4"/>
  <c r="Q96" i="4"/>
  <c r="U94" i="4"/>
  <c r="Q92" i="4"/>
  <c r="K95" i="4"/>
  <c r="AI95" i="4"/>
  <c r="O97" i="4"/>
  <c r="I94" i="4"/>
  <c r="W90" i="4"/>
  <c r="G106" i="4"/>
  <c r="AH104" i="4"/>
  <c r="W103" i="4"/>
  <c r="AJ102" i="4"/>
  <c r="AH110" i="4"/>
  <c r="AE109" i="4"/>
  <c r="L94" i="4"/>
  <c r="AL88" i="4"/>
  <c r="H94" i="4"/>
  <c r="F89" i="4"/>
  <c r="J87" i="4"/>
  <c r="J111" i="4"/>
  <c r="L100" i="4"/>
  <c r="U97" i="4"/>
  <c r="Q95" i="4"/>
  <c r="G101" i="4"/>
  <c r="F98" i="4"/>
  <c r="J96" i="4"/>
  <c r="N94" i="4"/>
  <c r="R92" i="4"/>
  <c r="V90" i="4"/>
  <c r="Z88" i="4"/>
  <c r="AD86" i="4"/>
  <c r="AH84" i="4"/>
  <c r="P102" i="4"/>
  <c r="M98" i="4"/>
  <c r="I96" i="4"/>
  <c r="M94" i="4"/>
  <c r="T100" i="4"/>
  <c r="Z99" i="4"/>
  <c r="AF98" i="4"/>
  <c r="U96" i="4"/>
  <c r="Y93" i="4"/>
  <c r="K90" i="4"/>
  <c r="V87" i="4"/>
  <c r="AK84" i="4"/>
  <c r="G94" i="4"/>
  <c r="U90" i="4"/>
  <c r="AG87" i="4"/>
  <c r="I85" i="4"/>
  <c r="Y91" i="4"/>
  <c r="W87" i="4"/>
  <c r="AE93" i="4"/>
  <c r="P88" i="4"/>
  <c r="I84" i="4"/>
  <c r="AA89" i="4"/>
  <c r="K85" i="4"/>
  <c r="AG91" i="4"/>
  <c r="O87" i="4"/>
  <c r="Q93" i="4"/>
  <c r="AA88" i="4"/>
  <c r="AE84" i="4"/>
  <c r="Q90" i="4"/>
  <c r="AK85" i="4"/>
  <c r="M91" i="4"/>
  <c r="AC86" i="4"/>
  <c r="W92" i="4"/>
  <c r="Y87" i="4"/>
  <c r="P84" i="4"/>
  <c r="U91" i="4"/>
  <c r="AE88" i="4"/>
  <c r="S86" i="4"/>
  <c r="AD87" i="4"/>
  <c r="Y88" i="4"/>
  <c r="AI85" i="4"/>
  <c r="K104" i="4"/>
  <c r="AL102" i="4"/>
  <c r="AA101" i="4"/>
  <c r="X112" i="4"/>
  <c r="AL108" i="4"/>
  <c r="AI107" i="4"/>
  <c r="Z103" i="4"/>
  <c r="L87" i="4"/>
  <c r="T92" i="4"/>
  <c r="AJ88" i="4"/>
  <c r="AF86" i="4"/>
  <c r="V109" i="4"/>
  <c r="AH99" i="4"/>
  <c r="M97" i="4"/>
  <c r="I95" i="4"/>
  <c r="X100" i="4"/>
  <c r="AJ97" i="4"/>
  <c r="AF95" i="4"/>
  <c r="F94" i="4"/>
  <c r="J92" i="4"/>
  <c r="N90" i="4"/>
  <c r="R88" i="4"/>
  <c r="V86" i="4"/>
  <c r="Z84" i="4"/>
  <c r="F101" i="4"/>
  <c r="AI97" i="4"/>
  <c r="AE95" i="4"/>
  <c r="AI93" i="4"/>
  <c r="AG97" i="4"/>
  <c r="Y97" i="4"/>
  <c r="Q97" i="4"/>
  <c r="AA95" i="4"/>
  <c r="AA92" i="4"/>
  <c r="AI89" i="4"/>
  <c r="I87" i="4"/>
  <c r="AA84" i="4"/>
  <c r="W93" i="4"/>
  <c r="I90" i="4"/>
  <c r="U87" i="4"/>
  <c r="AJ84" i="4"/>
  <c r="F91" i="4"/>
  <c r="AA86" i="4"/>
  <c r="S92" i="4"/>
  <c r="AL87" i="4"/>
  <c r="S94" i="4"/>
  <c r="K89" i="4"/>
  <c r="AG84" i="4"/>
  <c r="Q91" i="4"/>
  <c r="AK86" i="4"/>
  <c r="AF92" i="4"/>
  <c r="K88" i="4"/>
  <c r="Q84" i="4"/>
  <c r="S89" i="4"/>
  <c r="R85" i="4"/>
  <c r="AE90" i="4"/>
  <c r="M86" i="4"/>
  <c r="AA91" i="4"/>
  <c r="F87" i="4"/>
  <c r="Y84" i="4"/>
  <c r="T90" i="4"/>
  <c r="O93" i="4"/>
  <c r="O90" i="4"/>
  <c r="AB86" i="4"/>
  <c r="G102" i="4"/>
  <c r="L101" i="4"/>
  <c r="W99" i="4"/>
  <c r="AA110" i="4"/>
  <c r="L107" i="4"/>
  <c r="AE105" i="4"/>
  <c r="R103" i="4"/>
  <c r="H85" i="4"/>
  <c r="P90" i="4"/>
  <c r="AB88" i="4"/>
  <c r="X86" i="4"/>
  <c r="AH107" i="4"/>
  <c r="R99" i="4"/>
  <c r="AI96" i="4"/>
  <c r="AE112" i="4"/>
  <c r="H100" i="4"/>
  <c r="AB97" i="4"/>
  <c r="X95" i="4"/>
  <c r="AJ93" i="4"/>
  <c r="AF91" i="4"/>
  <c r="F90" i="4"/>
  <c r="J88" i="4"/>
  <c r="N86" i="4"/>
  <c r="R84" i="4"/>
  <c r="W100" i="4"/>
  <c r="AA97" i="4"/>
  <c r="W95" i="4"/>
  <c r="AA93" i="4"/>
  <c r="G96" i="4"/>
  <c r="AE96" i="4"/>
  <c r="W96" i="4"/>
  <c r="K98" i="4"/>
  <c r="K92" i="4"/>
  <c r="W89" i="4"/>
  <c r="AI86" i="4"/>
  <c r="X92" i="4"/>
  <c r="AH89" i="4"/>
  <c r="G87" i="4"/>
  <c r="AB90" i="4"/>
  <c r="K86" i="4"/>
  <c r="S87" i="4"/>
  <c r="AC93" i="4"/>
  <c r="T84" i="4"/>
  <c r="M92" i="4"/>
  <c r="AC84" i="4"/>
  <c r="G91" i="4"/>
  <c r="K100" i="4"/>
  <c r="H99" i="4"/>
  <c r="H112" i="4"/>
  <c r="W108" i="4"/>
  <c r="H105" i="4"/>
  <c r="AI103" i="4"/>
  <c r="R98" i="4"/>
  <c r="R112" i="4"/>
  <c r="W111" i="4"/>
  <c r="T110" i="4"/>
  <c r="AA106" i="4"/>
  <c r="T103" i="4"/>
  <c r="AE101" i="4"/>
  <c r="V96" i="4"/>
  <c r="U99" i="4"/>
  <c r="AL89" i="4"/>
  <c r="L88" i="4"/>
  <c r="H86" i="4"/>
  <c r="T104" i="4"/>
  <c r="O98" i="4"/>
  <c r="S96" i="4"/>
  <c r="Z107" i="4"/>
  <c r="N99" i="4"/>
  <c r="L97" i="4"/>
  <c r="H95" i="4"/>
  <c r="T93" i="4"/>
  <c r="P91" i="4"/>
  <c r="AB89" i="4"/>
  <c r="X87" i="4"/>
  <c r="AJ85" i="4"/>
  <c r="AF110" i="4"/>
  <c r="AC99" i="4"/>
  <c r="K97" i="4"/>
  <c r="G95" i="4"/>
  <c r="K93" i="4"/>
  <c r="Y94" i="4"/>
  <c r="J99" i="4"/>
  <c r="AI94" i="4"/>
  <c r="O96" i="4"/>
  <c r="W91" i="4"/>
  <c r="AI88" i="4"/>
  <c r="I86" i="4"/>
  <c r="G97" i="4"/>
  <c r="AI91" i="4"/>
  <c r="I89" i="4"/>
  <c r="T86" i="4"/>
  <c r="AG94" i="4"/>
  <c r="AE89" i="4"/>
  <c r="N85" i="4"/>
  <c r="G90" i="4"/>
  <c r="AA85" i="4"/>
  <c r="P92" i="4"/>
  <c r="AK87" i="4"/>
  <c r="Q94" i="4"/>
  <c r="G89" i="4"/>
  <c r="G85" i="4"/>
  <c r="O91" i="4"/>
  <c r="AJ86" i="4"/>
  <c r="H92" i="4"/>
  <c r="AC87" i="4"/>
  <c r="M93" i="4"/>
  <c r="R89" i="4"/>
  <c r="AB84" i="4"/>
  <c r="M90" i="4"/>
  <c r="AE85" i="4"/>
  <c r="K112" i="4"/>
  <c r="V110" i="4"/>
  <c r="AA109" i="4"/>
  <c r="P108" i="4"/>
  <c r="W104" i="4"/>
  <c r="P101" i="4"/>
  <c r="AH103" i="4"/>
  <c r="Z94" i="4"/>
  <c r="N101" i="4"/>
  <c r="AD89" i="4"/>
  <c r="AH87" i="4"/>
  <c r="AL85" i="4"/>
  <c r="AF102" i="4"/>
  <c r="G98" i="4"/>
  <c r="K96" i="4"/>
  <c r="AL105" i="4"/>
  <c r="AJ98" i="4"/>
  <c r="AH96" i="4"/>
  <c r="AL94" i="4"/>
  <c r="L93" i="4"/>
  <c r="H91" i="4"/>
  <c r="T89" i="4"/>
  <c r="P87" i="4"/>
  <c r="AB85" i="4"/>
  <c r="AA96" i="4"/>
  <c r="AF87" i="4"/>
  <c r="O95" i="4"/>
  <c r="AC95" i="4"/>
  <c r="AI87" i="4"/>
  <c r="V91" i="4"/>
  <c r="O84" i="4"/>
  <c r="W94" i="4"/>
  <c r="AL91" i="4"/>
  <c r="Z89" i="4"/>
  <c r="Y89" i="4"/>
  <c r="M87" i="4"/>
  <c r="Q85" i="4"/>
  <c r="K84" i="4"/>
  <c r="N109" i="4"/>
  <c r="F86" i="4"/>
  <c r="AK94" i="4"/>
  <c r="O94" i="4"/>
  <c r="U86" i="4"/>
  <c r="AI90" i="4"/>
  <c r="AG93" i="4"/>
  <c r="AA90" i="4"/>
  <c r="Y90" i="4"/>
  <c r="AC88" i="4"/>
  <c r="N87" i="4"/>
  <c r="O86" i="4"/>
  <c r="L84" i="4"/>
  <c r="G88" i="4"/>
  <c r="L108" i="4"/>
  <c r="AD99" i="4"/>
  <c r="T112" i="4"/>
  <c r="S93" i="4"/>
  <c r="I97" i="4"/>
  <c r="AH85" i="4"/>
  <c r="U89" i="4"/>
  <c r="U92" i="4"/>
  <c r="AC89" i="4"/>
  <c r="O88" i="4"/>
  <c r="AE87" i="4"/>
  <c r="Q86" i="4"/>
  <c r="M84" i="4"/>
  <c r="I93" i="4"/>
  <c r="Y85" i="4"/>
  <c r="AC92" i="4"/>
  <c r="AF84" i="4"/>
  <c r="AC91" i="4"/>
  <c r="AB93" i="4"/>
  <c r="K91" i="4"/>
  <c r="Q88" i="4"/>
  <c r="H84" i="4"/>
  <c r="AD91" i="4"/>
  <c r="S88" i="4"/>
  <c r="AK95" i="4"/>
  <c r="U93" i="4"/>
  <c r="L86" i="4"/>
  <c r="X98" i="4"/>
  <c r="I92" i="4"/>
  <c r="AK90" i="4"/>
  <c r="H90" i="4"/>
  <c r="T97" i="4"/>
  <c r="F109" i="4"/>
  <c r="AG92" i="4"/>
  <c r="U95" i="4"/>
  <c r="J85" i="4"/>
  <c r="AG88" i="4"/>
  <c r="L90" i="4"/>
  <c r="AF88" i="4"/>
  <c r="Q87" i="4"/>
  <c r="F85" i="4"/>
  <c r="AC90" i="4"/>
  <c r="P86" i="4"/>
  <c r="M99" i="4"/>
  <c r="AE97" i="4"/>
  <c r="AG86" i="4"/>
  <c r="M85" i="4"/>
  <c r="K94" i="4"/>
  <c r="AK89" i="4"/>
  <c r="AA94" i="4"/>
  <c r="AC85" i="4"/>
  <c r="AG90" i="4"/>
  <c r="W88" i="4"/>
  <c r="O92" i="4"/>
  <c r="T88" i="4"/>
  <c r="P95" i="4"/>
  <c r="G100" i="4"/>
  <c r="M95" i="4"/>
  <c r="AK91" i="4"/>
  <c r="G84" i="4"/>
  <c r="H88" i="4"/>
  <c r="O89" i="4"/>
  <c r="Y86" i="4"/>
  <c r="Z85" i="4"/>
  <c r="AE92" i="4"/>
  <c r="AG89" i="4"/>
  <c r="J89" i="4"/>
  <c r="AE91" i="4"/>
  <c r="AG96" i="4"/>
  <c r="W97" i="4"/>
  <c r="AK92" i="4"/>
  <c r="O85" i="4"/>
  <c r="M96" i="4"/>
  <c r="AJ89" i="4"/>
  <c r="S85" i="4"/>
  <c r="K87" i="4"/>
  <c r="H106" i="4"/>
  <c r="X91" i="4"/>
  <c r="S97" i="4"/>
  <c r="G86" i="4"/>
  <c r="U84" i="4"/>
  <c r="X88" i="4"/>
  <c r="W84" i="4"/>
  <c r="AC136" i="10" l="1"/>
  <c r="AH134" i="10"/>
  <c r="AG138" i="10"/>
  <c r="W131" i="10"/>
  <c r="I126" i="10"/>
  <c r="AJ129" i="10"/>
  <c r="AE128" i="10"/>
  <c r="K134" i="10"/>
  <c r="AA138" i="10"/>
  <c r="AL129" i="10"/>
  <c r="R135" i="10"/>
  <c r="AH139" i="10"/>
  <c r="AK130" i="10"/>
  <c r="Q136" i="10"/>
  <c r="AD126" i="10"/>
  <c r="AJ131" i="10"/>
  <c r="P137" i="10"/>
  <c r="AC127" i="10"/>
  <c r="AI132" i="10"/>
  <c r="O138" i="10"/>
  <c r="AB128" i="10"/>
  <c r="AH133" i="10"/>
  <c r="N139" i="10"/>
  <c r="AA137" i="10"/>
  <c r="AF135" i="10"/>
  <c r="T129" i="10"/>
  <c r="S133" i="10"/>
  <c r="G127" i="10"/>
  <c r="Z134" i="10"/>
  <c r="M129" i="10"/>
  <c r="S134" i="10"/>
  <c r="AG139" i="10"/>
  <c r="T130" i="10"/>
  <c r="Z135" i="10"/>
  <c r="AK126" i="10"/>
  <c r="S131" i="10"/>
  <c r="Y136" i="10"/>
  <c r="AJ127" i="10"/>
  <c r="R132" i="10"/>
  <c r="X137" i="10"/>
  <c r="AI128" i="10"/>
  <c r="Q133" i="10"/>
  <c r="W138" i="10"/>
  <c r="AH129" i="10"/>
  <c r="P134" i="10"/>
  <c r="V139" i="10"/>
  <c r="AK132" i="10"/>
  <c r="AB137" i="10"/>
  <c r="R130" i="10"/>
  <c r="I138" i="10"/>
  <c r="AK128" i="10"/>
  <c r="X135" i="10"/>
  <c r="S130" i="10"/>
  <c r="AI134" i="10"/>
  <c r="L126" i="10"/>
  <c r="Z131" i="10"/>
  <c r="H136" i="10"/>
  <c r="K127" i="10"/>
  <c r="Y132" i="10"/>
  <c r="G137" i="10"/>
  <c r="J128" i="10"/>
  <c r="X133" i="10"/>
  <c r="F138" i="10"/>
  <c r="I129" i="10"/>
  <c r="W134" i="10"/>
  <c r="E139" i="10"/>
  <c r="H130" i="10"/>
  <c r="V135" i="10"/>
  <c r="AL139" i="10"/>
  <c r="K129" i="10"/>
  <c r="J130" i="10"/>
  <c r="AK136" i="10"/>
  <c r="Y130" i="10"/>
  <c r="P135" i="10"/>
  <c r="F128" i="10"/>
  <c r="W128" i="10"/>
  <c r="E133" i="10"/>
  <c r="K138" i="10"/>
  <c r="AD129" i="10"/>
  <c r="L134" i="10"/>
  <c r="R139" i="10"/>
  <c r="AC130" i="10"/>
  <c r="K135" i="10"/>
  <c r="N126" i="10"/>
  <c r="AB131" i="10"/>
  <c r="J136" i="10"/>
  <c r="M127" i="10"/>
  <c r="AA132" i="10"/>
  <c r="I137" i="10"/>
  <c r="L128" i="10"/>
  <c r="Z133" i="10"/>
  <c r="H138" i="10"/>
  <c r="Q126" i="10"/>
  <c r="U128" i="10"/>
  <c r="N132" i="10"/>
  <c r="G139" i="10"/>
  <c r="AA133" i="10"/>
  <c r="T137" i="10"/>
  <c r="AA130" i="10"/>
  <c r="G136" i="10"/>
  <c r="AB126" i="10"/>
  <c r="AH131" i="10"/>
  <c r="N137" i="10"/>
  <c r="AA127" i="10"/>
  <c r="AG132" i="10"/>
  <c r="M138" i="10"/>
  <c r="Z128" i="10"/>
  <c r="AF133" i="10"/>
  <c r="L139" i="10"/>
  <c r="Y129" i="10"/>
  <c r="AE134" i="10"/>
  <c r="H126" i="10"/>
  <c r="X130" i="10"/>
  <c r="AD135" i="10"/>
  <c r="O127" i="10"/>
  <c r="S129" i="10"/>
  <c r="AL136" i="10"/>
  <c r="AF127" i="10"/>
  <c r="Y134" i="10"/>
  <c r="AA126" i="10"/>
  <c r="I131" i="10"/>
  <c r="O136" i="10"/>
  <c r="AH127" i="10"/>
  <c r="P132" i="10"/>
  <c r="V137" i="10"/>
  <c r="AG128" i="10"/>
  <c r="O133" i="10"/>
  <c r="U138" i="10"/>
  <c r="AF129" i="10"/>
  <c r="N134" i="10"/>
  <c r="T139" i="10"/>
  <c r="AE130" i="10"/>
  <c r="M135" i="10"/>
  <c r="P126" i="10"/>
  <c r="AD131" i="10"/>
  <c r="L136" i="10"/>
  <c r="P127" i="10"/>
  <c r="O131" i="10"/>
  <c r="AJ137" i="10"/>
  <c r="V132" i="10"/>
  <c r="U136" i="10"/>
  <c r="AI126" i="10"/>
  <c r="O132" i="10"/>
  <c r="AE136" i="10"/>
  <c r="H128" i="10"/>
  <c r="V133" i="10"/>
  <c r="AL137" i="10"/>
  <c r="G129" i="10"/>
  <c r="U134" i="10"/>
  <c r="AK138" i="10"/>
  <c r="F130" i="10"/>
  <c r="T135" i="10"/>
  <c r="AJ139" i="10"/>
  <c r="E131" i="10"/>
  <c r="S136" i="10"/>
  <c r="AF126" i="10"/>
  <c r="AL131" i="10"/>
  <c r="R137" i="10"/>
  <c r="N128" i="10"/>
  <c r="E136" i="10"/>
  <c r="AF139" i="10"/>
  <c r="T133" i="10"/>
  <c r="H127" i="10"/>
  <c r="Q127" i="10"/>
  <c r="W132" i="10"/>
  <c r="AK137" i="10"/>
  <c r="X128" i="10"/>
  <c r="AD133" i="10"/>
  <c r="J139" i="10"/>
  <c r="W129" i="10"/>
  <c r="AC134" i="10"/>
  <c r="F126" i="10"/>
  <c r="V130" i="10"/>
  <c r="AB135" i="10"/>
  <c r="E127" i="10"/>
  <c r="U131" i="10"/>
  <c r="AA136" i="10"/>
  <c r="AL127" i="10"/>
  <c r="T132" i="10"/>
  <c r="Z137" i="10"/>
  <c r="I130" i="10"/>
  <c r="AI133" i="10"/>
  <c r="L129" i="10"/>
  <c r="AD136" i="10"/>
  <c r="Q130" i="10"/>
  <c r="AI137" i="10"/>
  <c r="P131" i="10"/>
  <c r="AH138" i="10"/>
  <c r="U132" i="10"/>
  <c r="AH126" i="10"/>
  <c r="R134" i="10"/>
  <c r="E128" i="10"/>
  <c r="W135" i="10"/>
  <c r="AL128" i="10"/>
  <c r="V136" i="10"/>
  <c r="I127" i="10"/>
  <c r="E129" i="10"/>
  <c r="AI130" i="10"/>
  <c r="AE132" i="10"/>
  <c r="AA134" i="10"/>
  <c r="W136" i="10"/>
  <c r="S138" i="10"/>
  <c r="T126" i="10"/>
  <c r="P128" i="10"/>
  <c r="L130" i="10"/>
  <c r="H132" i="10"/>
  <c r="AL133" i="10"/>
  <c r="AH135" i="10"/>
  <c r="AD137" i="10"/>
  <c r="Z139" i="10"/>
  <c r="S127" i="10"/>
  <c r="O129" i="10"/>
  <c r="K131" i="10"/>
  <c r="G133" i="10"/>
  <c r="AK134" i="10"/>
  <c r="AG136" i="10"/>
  <c r="AC138" i="10"/>
  <c r="V126" i="10"/>
  <c r="R128" i="10"/>
  <c r="N130" i="10"/>
  <c r="J132" i="10"/>
  <c r="F134" i="10"/>
  <c r="AJ135" i="10"/>
  <c r="AF137" i="10"/>
  <c r="AB139" i="10"/>
  <c r="U127" i="10"/>
  <c r="Q129" i="10"/>
  <c r="M131" i="10"/>
  <c r="I133" i="10"/>
  <c r="E135" i="10"/>
  <c r="AI136" i="10"/>
  <c r="AE138" i="10"/>
  <c r="X126" i="10"/>
  <c r="T128" i="10"/>
  <c r="P130" i="10"/>
  <c r="L132" i="10"/>
  <c r="H134" i="10"/>
  <c r="AL135" i="10"/>
  <c r="AH137" i="10"/>
  <c r="AD139" i="10"/>
  <c r="G131" i="10"/>
  <c r="AG134" i="10"/>
  <c r="H131" i="10"/>
  <c r="Z138" i="10"/>
  <c r="M132" i="10"/>
  <c r="AE139" i="10"/>
  <c r="L133" i="10"/>
  <c r="AG126" i="10"/>
  <c r="Q134" i="10"/>
  <c r="AD128" i="10"/>
  <c r="N136" i="10"/>
  <c r="AI129" i="10"/>
  <c r="S137" i="10"/>
  <c r="AH130" i="10"/>
  <c r="R138" i="10"/>
  <c r="Y127" i="10"/>
  <c r="U129" i="10"/>
  <c r="Q131" i="10"/>
  <c r="M133" i="10"/>
  <c r="I135" i="10"/>
  <c r="E137" i="10"/>
  <c r="AI138" i="10"/>
  <c r="AJ126" i="10"/>
  <c r="AF128" i="10"/>
  <c r="AB130" i="10"/>
  <c r="X132" i="10"/>
  <c r="T134" i="10"/>
  <c r="P136" i="10"/>
  <c r="L138" i="10"/>
  <c r="E126" i="10"/>
  <c r="AI127" i="10"/>
  <c r="AE129" i="10"/>
  <c r="AA131" i="10"/>
  <c r="W133" i="10"/>
  <c r="S135" i="10"/>
  <c r="O137" i="10"/>
  <c r="K139" i="10"/>
  <c r="AL126" i="10"/>
  <c r="AH128" i="10"/>
  <c r="AD130" i="10"/>
  <c r="Z132" i="10"/>
  <c r="V134" i="10"/>
  <c r="R136" i="10"/>
  <c r="N138" i="10"/>
  <c r="G126" i="10"/>
  <c r="AK127" i="10"/>
  <c r="AG129" i="10"/>
  <c r="AC131" i="10"/>
  <c r="Y133" i="10"/>
  <c r="U135" i="10"/>
  <c r="Q137" i="10"/>
  <c r="M139" i="10"/>
  <c r="F127" i="10"/>
  <c r="AJ128" i="10"/>
  <c r="AF130" i="10"/>
  <c r="AB132" i="10"/>
  <c r="X134" i="10"/>
  <c r="T136" i="10"/>
  <c r="P138" i="10"/>
  <c r="Y138" i="10"/>
  <c r="M128" i="10"/>
  <c r="F132" i="10"/>
  <c r="X139" i="10"/>
  <c r="K133" i="10"/>
  <c r="Z126" i="10"/>
  <c r="J134" i="10"/>
  <c r="AE127" i="10"/>
  <c r="O135" i="10"/>
  <c r="AB129" i="10"/>
  <c r="L137" i="10"/>
  <c r="AG130" i="10"/>
  <c r="Q138" i="10"/>
  <c r="AF131" i="10"/>
  <c r="P139" i="10"/>
  <c r="AG127" i="10"/>
  <c r="AC129" i="10"/>
  <c r="Y131" i="10"/>
  <c r="U133" i="10"/>
  <c r="Q135" i="10"/>
  <c r="M137" i="10"/>
  <c r="I139" i="10"/>
  <c r="J127" i="10"/>
  <c r="F129" i="10"/>
  <c r="AJ130" i="10"/>
  <c r="AF132" i="10"/>
  <c r="AB134" i="10"/>
  <c r="X136" i="10"/>
  <c r="T138" i="10"/>
  <c r="M126" i="10"/>
  <c r="I128" i="10"/>
  <c r="E130" i="10"/>
  <c r="AI131" i="10"/>
  <c r="AE133" i="10"/>
  <c r="AA135" i="10"/>
  <c r="W137" i="10"/>
  <c r="S139" i="10"/>
  <c r="L127" i="10"/>
  <c r="H129" i="10"/>
  <c r="AL130" i="10"/>
  <c r="AH132" i="10"/>
  <c r="AD134" i="10"/>
  <c r="Z136" i="10"/>
  <c r="V138" i="10"/>
  <c r="O126" i="10"/>
  <c r="K128" i="10"/>
  <c r="G130" i="10"/>
  <c r="AK131" i="10"/>
  <c r="AG133" i="10"/>
  <c r="AC135" i="10"/>
  <c r="Y137" i="10"/>
  <c r="U139" i="10"/>
  <c r="N127" i="10"/>
  <c r="J129" i="10"/>
  <c r="F131" i="10"/>
  <c r="AJ132" i="10"/>
  <c r="AF134" i="10"/>
  <c r="AB136" i="10"/>
  <c r="X138" i="10"/>
  <c r="E132" i="10"/>
  <c r="AE135" i="10"/>
  <c r="AL132" i="10"/>
  <c r="Y126" i="10"/>
  <c r="I134" i="10"/>
  <c r="X127" i="10"/>
  <c r="H135" i="10"/>
  <c r="AC128" i="10"/>
  <c r="M136" i="10"/>
  <c r="Z130" i="10"/>
  <c r="J138" i="10"/>
  <c r="AE131" i="10"/>
  <c r="O139" i="10"/>
  <c r="AD132" i="10"/>
  <c r="K126" i="10"/>
  <c r="G128" i="10"/>
  <c r="AK129" i="10"/>
  <c r="AG131" i="10"/>
  <c r="AC133" i="10"/>
  <c r="Y135" i="10"/>
  <c r="U137" i="10"/>
  <c r="Q139" i="10"/>
  <c r="R127" i="10"/>
  <c r="N129" i="10"/>
  <c r="J131" i="10"/>
  <c r="F133" i="10"/>
  <c r="AJ134" i="10"/>
  <c r="AF136" i="10"/>
  <c r="AB138" i="10"/>
  <c r="U126" i="10"/>
  <c r="Q128" i="10"/>
  <c r="M130" i="10"/>
  <c r="I132" i="10"/>
  <c r="E134" i="10"/>
  <c r="AI135" i="10"/>
  <c r="AE137" i="10"/>
  <c r="AA139" i="10"/>
  <c r="T127" i="10"/>
  <c r="P129" i="10"/>
  <c r="L131" i="10"/>
  <c r="H133" i="10"/>
  <c r="AL134" i="10"/>
  <c r="AH136" i="10"/>
  <c r="AD138" i="10"/>
  <c r="W126" i="10"/>
  <c r="S128" i="10"/>
  <c r="O130" i="10"/>
  <c r="K132" i="10"/>
  <c r="G134" i="10"/>
  <c r="AK135" i="10"/>
  <c r="AG137" i="10"/>
  <c r="AC139" i="10"/>
  <c r="V127" i="10"/>
  <c r="R129" i="10"/>
  <c r="N131" i="10"/>
  <c r="J133" i="10"/>
  <c r="F135" i="10"/>
  <c r="AJ136" i="10"/>
  <c r="AF138" i="10"/>
  <c r="W139" i="10"/>
  <c r="R126" i="10"/>
  <c r="AJ133" i="10"/>
  <c r="W127" i="10"/>
  <c r="G135" i="10"/>
  <c r="V128" i="10"/>
  <c r="F136" i="10"/>
  <c r="AA129" i="10"/>
  <c r="K137" i="10"/>
  <c r="X131" i="10"/>
  <c r="H139" i="10"/>
  <c r="AC132" i="10"/>
  <c r="J126" i="10"/>
  <c r="AB133" i="10"/>
  <c r="S126" i="10"/>
  <c r="O128" i="10"/>
  <c r="K130" i="10"/>
  <c r="G132" i="10"/>
  <c r="AK133" i="10"/>
  <c r="AG135" i="10"/>
  <c r="AC137" i="10"/>
  <c r="Y139" i="10"/>
  <c r="Z127" i="10"/>
  <c r="V129" i="10"/>
  <c r="R131" i="10"/>
  <c r="N133" i="10"/>
  <c r="J135" i="10"/>
  <c r="F137" i="10"/>
  <c r="AJ138" i="10"/>
  <c r="AC126" i="10"/>
  <c r="Y128" i="10"/>
  <c r="U130" i="10"/>
  <c r="Q132" i="10"/>
  <c r="M134" i="10"/>
  <c r="I136" i="10"/>
  <c r="E138" i="10"/>
  <c r="AI139" i="10"/>
  <c r="AB127" i="10"/>
  <c r="X129" i="10"/>
  <c r="T131" i="10"/>
  <c r="P133" i="10"/>
  <c r="L135" i="10"/>
  <c r="H137" i="10"/>
  <c r="AL138" i="10"/>
  <c r="AE126" i="10"/>
  <c r="AA128" i="10"/>
  <c r="W130" i="10"/>
  <c r="S132" i="10"/>
  <c r="O134" i="10"/>
  <c r="K136" i="10"/>
  <c r="G138" i="10"/>
  <c r="AK139" i="10"/>
  <c r="AD127" i="10"/>
  <c r="Z129" i="10"/>
  <c r="V131" i="10"/>
  <c r="R133" i="10"/>
  <c r="N135" i="10"/>
  <c r="J137" i="10"/>
  <c r="B119" i="4" l="1"/>
  <c r="B118" i="4"/>
  <c r="E126" i="4" a="1"/>
  <c r="V139" i="4" l="1"/>
  <c r="Z137" i="4"/>
  <c r="AD135" i="4"/>
  <c r="AH133" i="4"/>
  <c r="AL131" i="4"/>
  <c r="H130" i="4"/>
  <c r="L128" i="4"/>
  <c r="P126" i="4"/>
  <c r="W138" i="4"/>
  <c r="AA136" i="4"/>
  <c r="AE134" i="4"/>
  <c r="AI132" i="4"/>
  <c r="E131" i="4"/>
  <c r="I129" i="4"/>
  <c r="M127" i="4"/>
  <c r="T139" i="4"/>
  <c r="X137" i="4"/>
  <c r="AB135" i="4"/>
  <c r="AF133" i="4"/>
  <c r="AJ131" i="4"/>
  <c r="F130" i="4"/>
  <c r="J128" i="4"/>
  <c r="N126" i="4"/>
  <c r="U138" i="4"/>
  <c r="Y136" i="4"/>
  <c r="AC134" i="4"/>
  <c r="AG132" i="4"/>
  <c r="AK130" i="4"/>
  <c r="G129" i="4"/>
  <c r="K127" i="4"/>
  <c r="R139" i="4"/>
  <c r="V137" i="4"/>
  <c r="Z135" i="4"/>
  <c r="AD133" i="4"/>
  <c r="AH131" i="4"/>
  <c r="AL129" i="4"/>
  <c r="H128" i="4"/>
  <c r="L126" i="4"/>
  <c r="K138" i="4"/>
  <c r="O136" i="4"/>
  <c r="S134" i="4"/>
  <c r="W132" i="4"/>
  <c r="AA130" i="4"/>
  <c r="AE128" i="4"/>
  <c r="AI126" i="4"/>
  <c r="AH138" i="4"/>
  <c r="AL136" i="4"/>
  <c r="H135" i="4"/>
  <c r="L133" i="4"/>
  <c r="P131" i="4"/>
  <c r="T129" i="4"/>
  <c r="X127" i="4"/>
  <c r="AK136" i="4"/>
  <c r="AG134" i="4"/>
  <c r="AC132" i="4"/>
  <c r="Y130" i="4"/>
  <c r="Q130" i="4"/>
  <c r="I130" i="4"/>
  <c r="AI129" i="4"/>
  <c r="O135" i="4"/>
  <c r="H127" i="4"/>
  <c r="AK128" i="4"/>
  <c r="Y126" i="4"/>
  <c r="I126" i="4"/>
  <c r="AG133" i="4"/>
  <c r="E130" i="4"/>
  <c r="F129" i="4"/>
  <c r="U133" i="4"/>
  <c r="F136" i="4"/>
  <c r="V128" i="4"/>
  <c r="O127" i="4"/>
  <c r="S137" i="4"/>
  <c r="X134" i="4"/>
  <c r="Q137" i="4"/>
  <c r="AC131" i="4"/>
  <c r="R136" i="4"/>
  <c r="AD130" i="4"/>
  <c r="O137" i="4"/>
  <c r="E126" i="4"/>
  <c r="N139" i="4"/>
  <c r="R137" i="4"/>
  <c r="V135" i="4"/>
  <c r="Z133" i="4"/>
  <c r="AD131" i="4"/>
  <c r="AH129" i="4"/>
  <c r="AL127" i="4"/>
  <c r="H126" i="4"/>
  <c r="O138" i="4"/>
  <c r="S136" i="4"/>
  <c r="W134" i="4"/>
  <c r="AA132" i="4"/>
  <c r="AE130" i="4"/>
  <c r="AI128" i="4"/>
  <c r="E127" i="4"/>
  <c r="L139" i="4"/>
  <c r="P137" i="4"/>
  <c r="T135" i="4"/>
  <c r="X133" i="4"/>
  <c r="AB131" i="4"/>
  <c r="AF129" i="4"/>
  <c r="AJ127" i="4"/>
  <c r="F126" i="4"/>
  <c r="M138" i="4"/>
  <c r="Q136" i="4"/>
  <c r="U134" i="4"/>
  <c r="Y132" i="4"/>
  <c r="AC130" i="4"/>
  <c r="AG128" i="4"/>
  <c r="AK126" i="4"/>
  <c r="J139" i="4"/>
  <c r="N137" i="4"/>
  <c r="R135" i="4"/>
  <c r="V133" i="4"/>
  <c r="Z131" i="4"/>
  <c r="AD129" i="4"/>
  <c r="AH127" i="4"/>
  <c r="AG139" i="4"/>
  <c r="AK137" i="4"/>
  <c r="G136" i="4"/>
  <c r="K134" i="4"/>
  <c r="O132" i="4"/>
  <c r="S130" i="4"/>
  <c r="W128" i="4"/>
  <c r="AA126" i="4"/>
  <c r="Z138" i="4"/>
  <c r="AD136" i="4"/>
  <c r="AH134" i="4"/>
  <c r="AL132" i="4"/>
  <c r="H131" i="4"/>
  <c r="L129" i="4"/>
  <c r="P127" i="4"/>
  <c r="G135" i="4"/>
  <c r="AK132" i="4"/>
  <c r="AG130" i="4"/>
  <c r="AC128" i="4"/>
  <c r="U128" i="4"/>
  <c r="M128" i="4"/>
  <c r="E128" i="4"/>
  <c r="S133" i="4"/>
  <c r="K133" i="4"/>
  <c r="AG126" i="4"/>
  <c r="Q126" i="4"/>
  <c r="Y137" i="4"/>
  <c r="I128" i="4"/>
  <c r="I139" i="4"/>
  <c r="AF139" i="4"/>
  <c r="R130" i="4"/>
  <c r="I138" i="4"/>
  <c r="AB132" i="4"/>
  <c r="N138" i="4"/>
  <c r="K139" i="4"/>
  <c r="AA131" i="4"/>
  <c r="F139" i="4"/>
  <c r="J137" i="4"/>
  <c r="N135" i="4"/>
  <c r="R133" i="4"/>
  <c r="V131" i="4"/>
  <c r="Z129" i="4"/>
  <c r="AD127" i="4"/>
  <c r="AK139" i="4"/>
  <c r="G138" i="4"/>
  <c r="K136" i="4"/>
  <c r="O134" i="4"/>
  <c r="S132" i="4"/>
  <c r="W130" i="4"/>
  <c r="AA128" i="4"/>
  <c r="AE126" i="4"/>
  <c r="AL138" i="4"/>
  <c r="H137" i="4"/>
  <c r="L135" i="4"/>
  <c r="P133" i="4"/>
  <c r="T131" i="4"/>
  <c r="X129" i="4"/>
  <c r="AB127" i="4"/>
  <c r="AI139" i="4"/>
  <c r="E138" i="4"/>
  <c r="I136" i="4"/>
  <c r="M134" i="4"/>
  <c r="Q132" i="4"/>
  <c r="U130" i="4"/>
  <c r="Y128" i="4"/>
  <c r="AC126" i="4"/>
  <c r="AJ138" i="4"/>
  <c r="F137" i="4"/>
  <c r="J135" i="4"/>
  <c r="N133" i="4"/>
  <c r="R131" i="4"/>
  <c r="V129" i="4"/>
  <c r="Z127" i="4"/>
  <c r="Y139" i="4"/>
  <c r="AC137" i="4"/>
  <c r="AG135" i="4"/>
  <c r="AK133" i="4"/>
  <c r="G132" i="4"/>
  <c r="K130" i="4"/>
  <c r="O128" i="4"/>
  <c r="S126" i="4"/>
  <c r="R138" i="4"/>
  <c r="V136" i="4"/>
  <c r="Z134" i="4"/>
  <c r="AD132" i="4"/>
  <c r="AH130" i="4"/>
  <c r="AL128" i="4"/>
  <c r="G131" i="4"/>
  <c r="K128" i="4"/>
  <c r="AC129" i="4"/>
  <c r="AF138" i="4"/>
  <c r="AJ136" i="4"/>
  <c r="F135" i="4"/>
  <c r="J133" i="4"/>
  <c r="N131" i="4"/>
  <c r="R129" i="4"/>
  <c r="V127" i="4"/>
  <c r="AC139" i="4"/>
  <c r="AG137" i="4"/>
  <c r="AK135" i="4"/>
  <c r="G134" i="4"/>
  <c r="K132" i="4"/>
  <c r="O130" i="4"/>
  <c r="S128" i="4"/>
  <c r="W126" i="4"/>
  <c r="AD138" i="4"/>
  <c r="AH136" i="4"/>
  <c r="AL134" i="4"/>
  <c r="H133" i="4"/>
  <c r="L131" i="4"/>
  <c r="P129" i="4"/>
  <c r="T127" i="4"/>
  <c r="AA139" i="4"/>
  <c r="AE137" i="4"/>
  <c r="AI135" i="4"/>
  <c r="E134" i="4"/>
  <c r="I132" i="4"/>
  <c r="M130" i="4"/>
  <c r="Q128" i="4"/>
  <c r="U126" i="4"/>
  <c r="AB138" i="4"/>
  <c r="AF136" i="4"/>
  <c r="AJ134" i="4"/>
  <c r="F133" i="4"/>
  <c r="J131" i="4"/>
  <c r="N129" i="4"/>
  <c r="R127" i="4"/>
  <c r="Q139" i="4"/>
  <c r="U137" i="4"/>
  <c r="Y135" i="4"/>
  <c r="AC133" i="4"/>
  <c r="AG131" i="4"/>
  <c r="AK129" i="4"/>
  <c r="G128" i="4"/>
  <c r="K126" i="4"/>
  <c r="J138" i="4"/>
  <c r="N136" i="4"/>
  <c r="R134" i="4"/>
  <c r="V132" i="4"/>
  <c r="Z130" i="4"/>
  <c r="AD128" i="4"/>
  <c r="AH126" i="4"/>
  <c r="O131" i="4"/>
  <c r="K129" i="4"/>
  <c r="G127" i="4"/>
  <c r="AE139" i="4"/>
  <c r="W139" i="4"/>
  <c r="O139" i="4"/>
  <c r="W131" i="4"/>
  <c r="AF134" i="4"/>
  <c r="V138" i="4"/>
  <c r="AL130" i="4"/>
  <c r="L127" i="4"/>
  <c r="W137" i="4"/>
  <c r="AE133" i="4"/>
  <c r="M126" i="4"/>
  <c r="X136" i="4"/>
  <c r="AF132" i="4"/>
  <c r="J127" i="4"/>
  <c r="Q135" i="4"/>
  <c r="Y131" i="4"/>
  <c r="AJ137" i="4"/>
  <c r="J134" i="4"/>
  <c r="Z126" i="4"/>
  <c r="AI137" i="4"/>
  <c r="AA129" i="4"/>
  <c r="T136" i="4"/>
  <c r="AJ128" i="4"/>
  <c r="F127" i="4"/>
  <c r="Y133" i="4"/>
  <c r="G126" i="4"/>
  <c r="V134" i="4"/>
  <c r="AL126" i="4"/>
  <c r="W133" i="4"/>
  <c r="AE129" i="4"/>
  <c r="X138" i="4"/>
  <c r="AB136" i="4"/>
  <c r="AJ132" i="4"/>
  <c r="F131" i="4"/>
  <c r="J129" i="4"/>
  <c r="N127" i="4"/>
  <c r="U139" i="4"/>
  <c r="AC135" i="4"/>
  <c r="AK131" i="4"/>
  <c r="G130" i="4"/>
  <c r="O126" i="4"/>
  <c r="Z136" i="4"/>
  <c r="AD134" i="4"/>
  <c r="AH132" i="4"/>
  <c r="H129" i="4"/>
  <c r="S139" i="4"/>
  <c r="AA135" i="4"/>
  <c r="AI131" i="4"/>
  <c r="T138" i="4"/>
  <c r="AB134" i="4"/>
  <c r="AJ130" i="4"/>
  <c r="M137" i="4"/>
  <c r="AG127" i="4"/>
  <c r="N132" i="4"/>
  <c r="S129" i="4"/>
  <c r="AA137" i="4"/>
  <c r="P138" i="4"/>
  <c r="AF130" i="4"/>
  <c r="M139" i="4"/>
  <c r="U135" i="4"/>
  <c r="AK127" i="4"/>
  <c r="Z132" i="4"/>
  <c r="AH128" i="4"/>
  <c r="S135" i="4"/>
  <c r="AI127" i="4"/>
  <c r="AH137" i="4"/>
  <c r="P130" i="4"/>
  <c r="AI136" i="4"/>
  <c r="Y129" i="4"/>
  <c r="J136" i="4"/>
  <c r="Z128" i="4"/>
  <c r="K135" i="4"/>
  <c r="AA127" i="4"/>
  <c r="H136" i="4"/>
  <c r="AB130" i="4"/>
  <c r="T126" i="4"/>
  <c r="AI134" i="4"/>
  <c r="U129" i="4"/>
  <c r="H139" i="4"/>
  <c r="AB133" i="4"/>
  <c r="N128" i="4"/>
  <c r="AC136" i="4"/>
  <c r="I134" i="4"/>
  <c r="AE127" i="4"/>
  <c r="AK134" i="4"/>
  <c r="AH135" i="4"/>
  <c r="T130" i="4"/>
  <c r="AA134" i="4"/>
  <c r="M129" i="4"/>
  <c r="AB137" i="4"/>
  <c r="T133" i="4"/>
  <c r="F128" i="4"/>
  <c r="Q138" i="4"/>
  <c r="G139" i="4"/>
  <c r="AL135" i="4"/>
  <c r="T128" i="4"/>
  <c r="E135" i="4"/>
  <c r="AC127" i="4"/>
  <c r="N134" i="4"/>
  <c r="AD126" i="4"/>
  <c r="O133" i="4"/>
  <c r="AH139" i="4"/>
  <c r="T134" i="4"/>
  <c r="AA138" i="4"/>
  <c r="M133" i="4"/>
  <c r="T137" i="4"/>
  <c r="AF127" i="4"/>
  <c r="AE135" i="4"/>
  <c r="U131" i="4"/>
  <c r="AL137" i="4"/>
  <c r="Q131" i="4"/>
  <c r="AG138" i="4"/>
  <c r="W135" i="4"/>
  <c r="AJ126" i="4"/>
  <c r="W127" i="4"/>
  <c r="H138" i="4"/>
  <c r="I137" i="4"/>
  <c r="N130" i="4"/>
  <c r="P136" i="4"/>
  <c r="AB126" i="4"/>
  <c r="AJ133" i="4"/>
  <c r="E136" i="4"/>
  <c r="L136" i="4"/>
  <c r="AB128" i="4"/>
  <c r="M135" i="4"/>
  <c r="Q129" i="4"/>
  <c r="AJ135" i="4"/>
  <c r="R128" i="4"/>
  <c r="S127" i="4"/>
  <c r="AI138" i="4"/>
  <c r="M132" i="4"/>
  <c r="L130" i="4"/>
  <c r="E129" i="4"/>
  <c r="F132" i="4"/>
  <c r="U136" i="4"/>
  <c r="K137" i="4"/>
  <c r="J132" i="4"/>
  <c r="P128" i="4"/>
  <c r="X135" i="4"/>
  <c r="Q134" i="4"/>
  <c r="AD139" i="4"/>
  <c r="AE138" i="4"/>
  <c r="V130" i="4"/>
  <c r="W129" i="4"/>
  <c r="W136" i="4"/>
  <c r="P135" i="4"/>
  <c r="U132" i="4"/>
  <c r="AG129" i="4"/>
  <c r="O129" i="4"/>
  <c r="I135" i="4"/>
  <c r="AB129" i="4"/>
  <c r="P134" i="4"/>
  <c r="AF126" i="4"/>
  <c r="Q133" i="4"/>
  <c r="U127" i="4"/>
  <c r="F134" i="4"/>
  <c r="V126" i="4"/>
  <c r="G133" i="4"/>
  <c r="Z139" i="4"/>
  <c r="L134" i="4"/>
  <c r="AF128" i="4"/>
  <c r="S138" i="4"/>
  <c r="E133" i="4"/>
  <c r="Y127" i="4"/>
  <c r="L137" i="4"/>
  <c r="AF131" i="4"/>
  <c r="R126" i="4"/>
  <c r="Y134" i="4"/>
  <c r="AI133" i="4"/>
  <c r="K131" i="4"/>
  <c r="I127" i="4"/>
  <c r="L132" i="4"/>
  <c r="M131" i="4"/>
  <c r="G137" i="4"/>
  <c r="P132" i="4"/>
  <c r="I131" i="4"/>
  <c r="AJ129" i="4"/>
  <c r="AG136" i="4"/>
  <c r="AI130" i="4"/>
  <c r="AE131" i="4"/>
  <c r="H134" i="4"/>
  <c r="X126" i="4"/>
  <c r="I133" i="4"/>
  <c r="AJ139" i="4"/>
  <c r="R132" i="4"/>
  <c r="AK138" i="4"/>
  <c r="S131" i="4"/>
  <c r="L138" i="4"/>
  <c r="AL133" i="4"/>
  <c r="X128" i="4"/>
  <c r="E137" i="4"/>
  <c r="AE132" i="4"/>
  <c r="Q127" i="4"/>
  <c r="AF135" i="4"/>
  <c r="X131" i="4"/>
  <c r="J126" i="4"/>
  <c r="M136" i="4"/>
  <c r="E132" i="4"/>
  <c r="AL139" i="4"/>
  <c r="T132" i="4"/>
  <c r="E139" i="4"/>
  <c r="AB139" i="4"/>
  <c r="AC138" i="4"/>
  <c r="X132" i="4"/>
  <c r="AE136" i="4"/>
  <c r="J130" i="4"/>
  <c r="F138" i="4"/>
  <c r="AD137" i="4"/>
  <c r="X139" i="4"/>
  <c r="AA133" i="4"/>
  <c r="X130" i="4"/>
  <c r="AF137" i="4"/>
  <c r="H132" i="4"/>
  <c r="P139" i="4"/>
  <c r="Y13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<sst xmlns="http://schemas.openxmlformats.org/spreadsheetml/2006/main" count="242" uniqueCount="78">
  <si>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</si>
  <si>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</si>
  <si>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</si>
  <si>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</si>
  <si>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</si>
  <si>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</si>
  <si>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</si>
  <si>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</si>
  <si>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</si>
  <si>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</si>
  <si>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Состав смеси в атомных долях</t>
  </si>
  <si>
    <t>Температура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</si>
  <si>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</si>
  <si>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</si>
  <si>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</si>
  <si>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</si>
  <si>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</si>
  <si>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</si>
  <si>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 xml:space="preserve">Раствор + газовая: </t>
  </si>
  <si>
    <t>Реальный расчет</t>
  </si>
  <si>
    <t>H(289)</t>
  </si>
  <si>
    <t>T (K)</t>
  </si>
  <si>
    <t>G(T)-H(0) (J)</t>
  </si>
  <si>
    <t>G(T)-H(298) (J)</t>
  </si>
  <si>
    <t>G(T) (J)</t>
  </si>
  <si>
    <t>Состав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</si>
  <si>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</si>
  <si>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</si>
  <si>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</si>
  <si>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</si>
  <si>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</si>
  <si>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</si>
  <si>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</si>
  <si>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</si>
  <si>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</si>
  <si>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</si>
  <si>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</si>
  <si>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</si>
  <si>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</si>
  <si>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</si>
  <si>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</si>
  <si>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>*GeSe</t>
  </si>
  <si>
    <t>*Se[m]</t>
  </si>
  <si>
    <t>(l)GeSe2</t>
  </si>
  <si>
    <t>(l)GeSe</t>
  </si>
  <si>
    <t>(l)Ga2Se3</t>
  </si>
  <si>
    <t>(l)Ge</t>
  </si>
  <si>
    <t>(l)Ga</t>
  </si>
  <si>
    <t>(l)Se</t>
  </si>
  <si>
    <t>(l)Se[a]</t>
  </si>
  <si>
    <t>(l)Se[m]</t>
  </si>
  <si>
    <t>(l)Se[r]</t>
  </si>
  <si>
    <t>(l)Ge[c]</t>
  </si>
  <si>
    <t>Se3</t>
  </si>
  <si>
    <t>Se4</t>
  </si>
  <si>
    <t>Se5</t>
  </si>
  <si>
    <t>Se6</t>
  </si>
  <si>
    <t>Se7</t>
  </si>
  <si>
    <t>Se8</t>
  </si>
  <si>
    <t>Se2</t>
  </si>
  <si>
    <t>Ga2Se</t>
  </si>
  <si>
    <t>(l)Ga[l]</t>
  </si>
  <si>
    <t>(l)Ge[l]</t>
  </si>
  <si>
    <t>(l)Se[l]</t>
  </si>
  <si>
    <t>*Ge[l]</t>
  </si>
  <si>
    <t>*Ge</t>
  </si>
  <si>
    <t>*Ga</t>
  </si>
  <si>
    <t>*Ge[c]</t>
  </si>
  <si>
    <t>*GeSe2</t>
  </si>
  <si>
    <t>Ge2</t>
  </si>
  <si>
    <t>H (Аг)</t>
  </si>
  <si>
    <t xml:space="preserve">Расвор: </t>
  </si>
  <si>
    <t>Раствор + газовая без Ar</t>
  </si>
  <si>
    <t xml:space="preserve">Раствор 1(тв): </t>
  </si>
  <si>
    <t xml:space="preserve">Раствор 2 (жид): </t>
  </si>
  <si>
    <t xml:space="preserve">Раствор 1 + газовая без Ar: </t>
  </si>
  <si>
    <t xml:space="preserve">Раствор 1 + газовая: </t>
  </si>
  <si>
    <t>*Ga2Se3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</si>
</sst>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E+00"/>
    <numFmt numFmtId="166" formatCode="0.000"/>
  </numFmts>
  <fonts count="26" x14ac:knownFonts="1">
    <font>
      <sz val="16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4"/>
      <color theme="0" tint="-4.9989318521683403E-2"/>
      <name val="Calibri"/>
      <family val="2"/>
      <charset val="204"/>
      <scheme val="minor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9">
    <xf numFmtId="0" fontId="0" fillId="0" borderId="0"/>
    <xf numFmtId="0" fontId="4" fillId="6" borderId="0"/>
    <xf numFmtId="1" fontId="7" fillId="9" borderId="2">
      <alignment horizontal="left" vertical="center"/>
    </xf>
    <xf numFmtId="0" fontId="8" fillId="8" borderId="3" applyNumberFormat="0">
      <alignment horizontal="left" vertical="center"/>
    </xf>
    <xf numFmtId="165" fontId="9" fillId="0" borderId="0"/>
    <xf numFmtId="11" fontId="12" fillId="13" borderId="0">
      <alignment vertical="top"/>
    </xf>
    <xf numFmtId="0" fontId="1" fillId="4" borderId="0">
      <alignment horizontal="center" vertical="center"/>
    </xf>
    <xf numFmtId="0" fontId="22" fillId="3" borderId="1">
      <alignment horizontal="center" vertical="center"/>
    </xf>
    <xf numFmtId="165" fontId="9" fillId="0" borderId="0"/>
  </cellStyleXfs>
  <cellXfs count="95">
    <xf numFmtId="0" fontId="0" fillId="0" borderId="0" xfId="0"/>
    <xf numFmtId="0" fontId="0" fillId="5" borderId="0" xfId="0" applyFill="1"/>
    <xf numFmtId="0" fontId="4" fillId="7" borderId="0" xfId="1" applyFill="1"/>
    <xf numFmtId="0" fontId="0" fillId="7" borderId="0" xfId="0" applyFill="1"/>
    <xf numFmtId="0" fontId="5" fillId="7" borderId="0" xfId="0" applyFont="1" applyFill="1"/>
    <xf numFmtId="0" fontId="6" fillId="8" borderId="1" xfId="0" applyFont="1" applyFill="1" applyBorder="1" applyAlignment="1">
      <alignment horizontal="center" vertical="center"/>
    </xf>
    <xf numFmtId="0" fontId="7" fillId="9" borderId="2" xfId="2" applyNumberFormat="1">
      <alignment horizontal="left" vertical="center"/>
    </xf>
    <xf numFmtId="1" fontId="7" fillId="9" borderId="2" xfId="2">
      <alignment horizontal="left" vertical="center"/>
    </xf>
    <xf numFmtId="0" fontId="2" fillId="10" borderId="0" xfId="0" applyFont="1" applyFill="1"/>
    <xf numFmtId="0" fontId="8" fillId="8" borderId="3" xfId="3" applyNumberFormat="1">
      <alignment horizontal="left" vertical="center"/>
    </xf>
    <xf numFmtId="165" fontId="9" fillId="0" borderId="0" xfId="4"/>
    <xf numFmtId="0" fontId="10" fillId="11" borderId="4" xfId="0" applyFont="1" applyFill="1" applyBorder="1"/>
    <xf numFmtId="0" fontId="10" fillId="11" borderId="5" xfId="0" applyFont="1" applyFill="1" applyBorder="1"/>
    <xf numFmtId="0" fontId="10" fillId="11" borderId="6" xfId="0" applyFont="1" applyFill="1" applyBorder="1"/>
    <xf numFmtId="0" fontId="11" fillId="7" borderId="5" xfId="0" applyFont="1" applyFill="1" applyBorder="1"/>
    <xf numFmtId="0" fontId="0" fillId="2" borderId="0" xfId="0" applyFill="1"/>
    <xf numFmtId="0" fontId="5" fillId="9" borderId="7" xfId="0" applyFont="1" applyFill="1" applyBorder="1" applyAlignment="1">
      <alignment horizontal="center" vertical="center"/>
    </xf>
    <xf numFmtId="0" fontId="7" fillId="9" borderId="2" xfId="0" applyFont="1" applyFill="1" applyBorder="1"/>
    <xf numFmtId="0" fontId="0" fillId="10" borderId="8" xfId="0" applyFill="1" applyBorder="1"/>
    <xf numFmtId="165" fontId="0" fillId="10" borderId="0" xfId="0" applyNumberFormat="1" applyFill="1"/>
    <xf numFmtId="0" fontId="5" fillId="9" borderId="2" xfId="0" applyFont="1" applyFill="1" applyBorder="1" applyAlignment="1">
      <alignment horizontal="center" vertical="center"/>
    </xf>
    <xf numFmtId="0" fontId="13" fillId="0" borderId="0" xfId="0" applyFont="1" applyAlignment="1">
      <alignment vertical="top"/>
    </xf>
    <xf numFmtId="0" fontId="1" fillId="4" borderId="0" xfId="6">
      <alignment horizontal="center" vertical="center"/>
    </xf>
    <xf numFmtId="0" fontId="5" fillId="7" borderId="9" xfId="0" applyFont="1" applyFill="1" applyBorder="1"/>
    <xf numFmtId="0" fontId="6" fillId="8" borderId="10" xfId="0" applyFont="1" applyFill="1" applyBorder="1" applyAlignment="1">
      <alignment horizontal="center" vertical="center"/>
    </xf>
    <xf numFmtId="0" fontId="6" fillId="8" borderId="11" xfId="0" applyFont="1" applyFill="1" applyBorder="1" applyAlignment="1">
      <alignment horizontal="center" vertical="center"/>
    </xf>
    <xf numFmtId="11" fontId="12" fillId="13" borderId="0" xfId="5">
      <alignment vertical="top"/>
    </xf>
    <xf numFmtId="0" fontId="7" fillId="12" borderId="0" xfId="0" applyFont="1" applyFill="1"/>
    <xf numFmtId="1" fontId="12" fillId="13" borderId="0" xfId="5" applyNumberFormat="1">
      <alignment vertical="top"/>
    </xf>
    <xf numFmtId="0" fontId="8" fillId="8" borderId="3" xfId="3" applyAlignment="1">
      <alignment horizontal="right" vertical="center"/>
    </xf>
    <xf numFmtId="0" fontId="8" fillId="8" borderId="3" xfId="3">
      <alignment horizontal="left" vertical="center"/>
    </xf>
    <xf numFmtId="0" fontId="0" fillId="7" borderId="9" xfId="0" applyFill="1" applyBorder="1"/>
    <xf numFmtId="0" fontId="0" fillId="7" borderId="12" xfId="0" applyFill="1" applyBorder="1"/>
    <xf numFmtId="0" fontId="7" fillId="9" borderId="13" xfId="0" applyFont="1" applyFill="1" applyBorder="1"/>
    <xf numFmtId="0" fontId="7" fillId="9" borderId="14" xfId="0" applyFont="1" applyFill="1" applyBorder="1"/>
    <xf numFmtId="0" fontId="7" fillId="9" borderId="15" xfId="0" applyFont="1" applyFill="1" applyBorder="1"/>
    <xf numFmtId="0" fontId="14" fillId="9" borderId="15" xfId="0" applyFont="1" applyFill="1" applyBorder="1"/>
    <xf numFmtId="0" fontId="0" fillId="10" borderId="0" xfId="0" applyFill="1"/>
    <xf numFmtId="2" fontId="12" fillId="13" borderId="0" xfId="5" applyNumberFormat="1">
      <alignment vertical="top"/>
    </xf>
    <xf numFmtId="1" fontId="15" fillId="9" borderId="4" xfId="2" applyFont="1" applyBorder="1">
      <alignment horizontal="left" vertical="center"/>
    </xf>
    <xf numFmtId="1" fontId="7" fillId="9" borderId="4" xfId="2" applyBorder="1">
      <alignment horizontal="left" vertical="center"/>
    </xf>
    <xf numFmtId="166" fontId="12" fillId="5" borderId="0" xfId="5" applyNumberFormat="1" applyFill="1">
      <alignment vertical="top"/>
    </xf>
    <xf numFmtId="0" fontId="1" fillId="4" borderId="19" xfId="6" applyBorder="1">
      <alignment horizontal="center" vertical="center"/>
    </xf>
    <xf numFmtId="0" fontId="1" fillId="4" borderId="21" xfId="6" applyBorder="1">
      <alignment horizontal="center" vertical="center"/>
    </xf>
    <xf numFmtId="0" fontId="1" fillId="4" borderId="8" xfId="6" applyBorder="1">
      <alignment horizontal="center" vertical="center"/>
    </xf>
    <xf numFmtId="0" fontId="1" fillId="4" borderId="23" xfId="6" applyBorder="1">
      <alignment horizontal="center" vertical="center"/>
    </xf>
    <xf numFmtId="0" fontId="1" fillId="4" borderId="24" xfId="6" applyBorder="1">
      <alignment horizontal="center" vertical="center"/>
    </xf>
    <xf numFmtId="0" fontId="0" fillId="0" borderId="17" xfId="0" applyBorder="1"/>
    <xf numFmtId="0" fontId="0" fillId="0" borderId="25" xfId="0" applyBorder="1"/>
    <xf numFmtId="0" fontId="0" fillId="0" borderId="18" xfId="0" applyBorder="1"/>
    <xf numFmtId="0" fontId="0" fillId="0" borderId="26" xfId="0" applyBorder="1"/>
    <xf numFmtId="0" fontId="0" fillId="0" borderId="0" xfId="0" applyBorder="1"/>
    <xf numFmtId="0" fontId="0" fillId="0" borderId="27" xfId="0" applyBorder="1"/>
    <xf numFmtId="0" fontId="0" fillId="0" borderId="13" xfId="0" applyBorder="1"/>
    <xf numFmtId="0" fontId="0" fillId="0" borderId="28" xfId="0" applyBorder="1"/>
    <xf numFmtId="0" fontId="0" fillId="0" borderId="29" xfId="0" applyBorder="1"/>
    <xf numFmtId="0" fontId="3" fillId="14" borderId="3" xfId="0" applyFont="1" applyFill="1" applyBorder="1" applyAlignment="1">
      <alignment horizontal="right" vertical="center"/>
    </xf>
    <xf numFmtId="0" fontId="3" fillId="15" borderId="3" xfId="0" applyFont="1" applyFill="1" applyBorder="1" applyAlignment="1">
      <alignment horizontal="right" vertical="center"/>
    </xf>
    <xf numFmtId="0" fontId="16" fillId="15" borderId="12" xfId="0" applyFont="1" applyFill="1" applyBorder="1" applyAlignment="1">
      <alignment horizontal="center" vertical="center"/>
    </xf>
    <xf numFmtId="1" fontId="8" fillId="8" borderId="3" xfId="3" applyNumberFormat="1">
      <alignment horizontal="left" vertical="center"/>
    </xf>
    <xf numFmtId="164" fontId="8" fillId="8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6" fillId="14" borderId="9" xfId="0" applyNumberFormat="1" applyFont="1" applyFill="1" applyBorder="1" applyAlignment="1">
      <alignment horizontal="center" vertical="center"/>
    </xf>
    <xf numFmtId="1" fontId="16" fillId="14" borderId="12" xfId="0" applyNumberFormat="1" applyFont="1" applyFill="1" applyBorder="1" applyAlignment="1">
      <alignment horizontal="center" vertical="center"/>
    </xf>
    <xf numFmtId="0" fontId="22" fillId="3" borderId="1" xfId="7">
      <alignment horizontal="center" vertical="center"/>
    </xf>
    <xf numFmtId="0" fontId="8" fillId="8" borderId="12" xfId="3" applyNumberFormat="1" applyBorder="1">
      <alignment horizontal="left" vertical="center"/>
    </xf>
    <xf numFmtId="0" fontId="6" fillId="8" borderId="30" xfId="0" applyFont="1" applyFill="1" applyBorder="1" applyAlignment="1">
      <alignment horizontal="center" vertical="center"/>
    </xf>
    <xf numFmtId="0" fontId="6" fillId="8" borderId="31" xfId="0" applyFont="1" applyFill="1" applyBorder="1" applyAlignment="1">
      <alignment horizontal="center" vertical="center"/>
    </xf>
    <xf numFmtId="0" fontId="2" fillId="10" borderId="9" xfId="0" applyFont="1" applyFill="1" applyBorder="1"/>
    <xf numFmtId="0" fontId="23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10" fillId="17" borderId="6" xfId="0" applyFont="1" applyFill="1" applyBorder="1"/>
    <xf numFmtId="0" fontId="0" fillId="17" borderId="0" xfId="0" applyFill="1"/>
    <xf numFmtId="165" fontId="0" fillId="0" borderId="29" xfId="0" applyNumberFormat="1" applyBorder="1"/>
    <xf numFmtId="0" fontId="2" fillId="10" borderId="0" xfId="0" applyFont="1" applyFill="1" applyBorder="1"/>
    <xf numFmtId="11" fontId="8" fillId="8" borderId="3" xfId="3" applyNumberFormat="1">
      <alignment horizontal="left" vertical="center"/>
    </xf>
    <xf numFmtId="0" fontId="24" fillId="0" borderId="0" xfId="0" applyFont="1"/>
    <xf numFmtId="2" fontId="9" fillId="0" borderId="0" xfId="8" applyNumberFormat="1"/>
    <xf numFmtId="165" fontId="9" fillId="0" borderId="0" xfId="8"/>
    <xf numFmtId="11" fontId="9" fillId="0" borderId="0" xfId="8" applyNumberFormat="1"/>
    <xf numFmtId="164" fontId="0" fillId="0" borderId="18" xfId="0" applyNumberFormat="1" applyBorder="1"/>
    <xf numFmtId="164" fontId="0" fillId="0" borderId="29" xfId="0" applyNumberFormat="1" applyBorder="1"/>
    <xf numFmtId="1" fontId="1" fillId="4" borderId="20" xfId="6" applyNumberFormat="1" applyBorder="1">
      <alignment horizontal="center" vertical="center"/>
    </xf>
    <xf numFmtId="1" fontId="1" fillId="4" borderId="22" xfId="6" applyNumberFormat="1" applyBorder="1">
      <alignment horizontal="center" vertical="center"/>
    </xf>
    <xf numFmtId="11" fontId="12" fillId="13" borderId="0" xfId="5" applyNumberFormat="1">
      <alignment vertical="top"/>
    </xf>
    <xf numFmtId="1" fontId="25" fillId="4" borderId="20" xfId="6" applyNumberFormat="1" applyFont="1" applyBorder="1">
      <alignment horizontal="center" vertical="center"/>
    </xf>
    <xf numFmtId="1" fontId="25" fillId="4" borderId="22" xfId="6" applyNumberFormat="1" applyFont="1" applyBorder="1">
      <alignment horizontal="center" vertical="center"/>
    </xf>
    <xf numFmtId="1" fontId="17" fillId="9" borderId="16" xfId="2" applyFont="1" applyBorder="1" applyAlignment="1">
      <alignment horizontal="center" vertical="center"/>
    </xf>
    <xf numFmtId="1" fontId="17" fillId="9" borderId="6" xfId="2" applyFont="1" applyBorder="1" applyAlignment="1">
      <alignment horizontal="center" vertical="center"/>
    </xf>
    <xf numFmtId="0" fontId="1" fillId="4" borderId="17" xfId="6" applyBorder="1">
      <alignment horizontal="center" vertical="center"/>
    </xf>
    <xf numFmtId="0" fontId="1" fillId="4" borderId="18" xfId="6" applyBorder="1">
      <alignment horizontal="center" vertical="center"/>
    </xf>
    <xf numFmtId="0" fontId="18" fillId="16" borderId="0" xfId="0" applyFont="1" applyFill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0" fontId="18" fillId="8" borderId="0" xfId="0" applyFont="1" applyFill="1" applyAlignment="1">
      <alignment horizontal="center" vertical="center" wrapText="1"/>
    </xf>
  </cellXfs>
  <cellStyles count="9">
    <cellStyle name="Ввод" xfId="7" xr:uid="{A9A7DDE3-643E-4013-945F-2DCD94967680}"/>
    <cellStyle name="Ввод_Данные" xfId="4" xr:uid="{80D10C37-799D-4711-BC15-76F3B638C834}"/>
    <cellStyle name="Выделение" xfId="6" xr:uid="{37775524-F980-4450-AF6C-9C309192D59A}"/>
    <cellStyle name="Данные" xfId="8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Форм" xfId="5" xr:uid="{810E17FE-2F7B-4E62-B173-29B9F2A26C86}"/>
  </cellStyles>
  <dxfs count="10">
    <dxf>
      <font>
        <color auto="1"/>
      </font>
      <fill>
        <patternFill>
          <bgColor theme="7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-510.44729271900002</c:v>
                </c:pt>
                <c:pt idx="1">
                  <c:v>-520.43639953499996</c:v>
                </c:pt>
                <c:pt idx="2">
                  <c:v>-532.30846622249999</c:v>
                </c:pt>
                <c:pt idx="3">
                  <c:v>-545.47323090610018</c:v>
                </c:pt>
                <c:pt idx="4">
                  <c:v>-559.54204891230006</c:v>
                </c:pt>
                <c:pt idx="5">
                  <c:v>-575.38064399585016</c:v>
                </c:pt>
                <c:pt idx="6">
                  <c:v>-594.51041306700006</c:v>
                </c:pt>
                <c:pt idx="7">
                  <c:v>-635.13922895730002</c:v>
                </c:pt>
                <c:pt idx="8">
                  <c:v>-694.62581974020009</c:v>
                </c:pt>
                <c:pt idx="9">
                  <c:v>-756.71547482780011</c:v>
                </c:pt>
                <c:pt idx="10">
                  <c:v>-820.64174864400013</c:v>
                </c:pt>
                <c:pt idx="11">
                  <c:v>-886.60755157260007</c:v>
                </c:pt>
                <c:pt idx="12">
                  <c:v>-954.55131972980007</c:v>
                </c:pt>
                <c:pt idx="13">
                  <c:v>-1241.2434293255499</c:v>
                </c:pt>
                <c:pt idx="14">
                  <c:v>-1548.3322346415</c:v>
                </c:pt>
                <c:pt idx="15">
                  <c:v>-1868.2017614890001</c:v>
                </c:pt>
                <c:pt idx="16">
                  <c:v>-1950.6611422760002</c:v>
                </c:pt>
                <c:pt idx="17">
                  <c:v>-2031.6421883340004</c:v>
                </c:pt>
                <c:pt idx="18">
                  <c:v>-2114.4239112000005</c:v>
                </c:pt>
                <c:pt idx="19">
                  <c:v>-2195.8933648455004</c:v>
                </c:pt>
                <c:pt idx="20">
                  <c:v>-2521.3622529170002</c:v>
                </c:pt>
                <c:pt idx="21">
                  <c:v>-2840.5449937500002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smoothMarker"/>
        <c:varyColors val="0"/>
        <c:ser>
          <c:idx val="3"/>
          <c:order val="3"/>
          <c:tx>
            <c:strRef>
              <c:f>ALL!$E$7</c:f>
              <c:strCache>
                <c:ptCount val="1"/>
                <c:pt idx="0">
                  <c:v>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ALL!$F$7:$AL$7</c:f>
              <c:numCache>
                <c:formatCode>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4.7876999999999999E-34</c:v>
                </c:pt>
                <c:pt idx="7">
                  <c:v>6.4196999999999995E-32</c:v>
                </c:pt>
                <c:pt idx="8">
                  <c:v>1.0090000000000001E-29</c:v>
                </c:pt>
                <c:pt idx="9">
                  <c:v>8.6744000000000001E-28</c:v>
                </c:pt>
                <c:pt idx="10">
                  <c:v>4.6054000000000001E-26</c:v>
                </c:pt>
                <c:pt idx="11">
                  <c:v>1.6372E-24</c:v>
                </c:pt>
                <c:pt idx="12">
                  <c:v>4.1365000000000001E-23</c:v>
                </c:pt>
                <c:pt idx="13">
                  <c:v>1.2665E-18</c:v>
                </c:pt>
                <c:pt idx="14">
                  <c:v>2.2310000000000002E-15</c:v>
                </c:pt>
                <c:pt idx="15">
                  <c:v>6.3804999999999999E-13</c:v>
                </c:pt>
                <c:pt idx="16">
                  <c:v>2.1290999999999999E-12</c:v>
                </c:pt>
                <c:pt idx="17">
                  <c:v>6.6288000000000002E-12</c:v>
                </c:pt>
                <c:pt idx="18">
                  <c:v>1.9369000000000001E-11</c:v>
                </c:pt>
                <c:pt idx="19">
                  <c:v>5.3384000000000003E-11</c:v>
                </c:pt>
                <c:pt idx="20">
                  <c:v>1.8718000000000001E-9</c:v>
                </c:pt>
                <c:pt idx="21">
                  <c:v>3.4675999999999999E-8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ALL!$F$8:$AL$8</c:f>
              <c:numCache>
                <c:formatCode>0.00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7E-4CC2-8909-AC16E9113193}"/>
              </c:ext>
            </c:extLst>
          </c:dPt>
          <c:xVal>
            <c:numRef>
              <c:f>ALL!$A$34:$A$35</c:f>
              <c:numCache>
                <c:formatCode>General</c:formatCode>
                <c:ptCount val="2"/>
                <c:pt idx="0">
                  <c:v>731</c:v>
                </c:pt>
                <c:pt idx="1">
                  <c:v>731</c:v>
                </c:pt>
              </c:numCache>
            </c:numRef>
          </c:xVal>
          <c:yVal>
            <c:numRef>
              <c:f>ALL!$B$34:$B$35</c:f>
              <c:numCache>
                <c:formatCode>General</c:formatCode>
                <c:ptCount val="2"/>
                <c:pt idx="0">
                  <c:v>-60.79</c:v>
                </c:pt>
                <c:pt idx="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37E-4CC2-8909-AC16E9113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ALL!$F$4:$AL$4</c15:sqref>
                        </c15:formulaRef>
                      </c:ext>
                    </c:extLst>
                    <c:numCache>
                      <c:formatCode>0.00</c:formatCode>
                      <c:ptCount val="33"/>
                      <c:pt idx="0">
                        <c:v>3.4126E-9</c:v>
                      </c:pt>
                      <c:pt idx="1">
                        <c:v>6.8971000000000001E-9</c:v>
                      </c:pt>
                      <c:pt idx="2">
                        <c:v>1.2251999999999999E-8</c:v>
                      </c:pt>
                      <c:pt idx="3">
                        <c:v>9.8437000000000007E-9</c:v>
                      </c:pt>
                      <c:pt idx="4">
                        <c:v>7.0928999999999998E-9</c:v>
                      </c:pt>
                      <c:pt idx="5">
                        <c:v>1.4511000000000001E-11</c:v>
                      </c:pt>
                      <c:pt idx="6">
                        <c:v>7.7667000000000001E-23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ALL!$F$5:$AL$5</c15:sqref>
                        </c15:formulaRef>
                      </c:ext>
                    </c:extLst>
                    <c:numCache>
                      <c:formatCode>0.00</c:formatCode>
                      <c:ptCount val="33"/>
                      <c:pt idx="0">
                        <c:v>7.6016999999999998E-31</c:v>
                      </c:pt>
                      <c:pt idx="1">
                        <c:v>2.9062E-21</c:v>
                      </c:pt>
                      <c:pt idx="2">
                        <c:v>1.2167E-17</c:v>
                      </c:pt>
                      <c:pt idx="3">
                        <c:v>3.46E-16</c:v>
                      </c:pt>
                      <c:pt idx="4">
                        <c:v>7.1997000000000001E-13</c:v>
                      </c:pt>
                      <c:pt idx="5">
                        <c:v>1.5125000000000001E-9</c:v>
                      </c:pt>
                      <c:pt idx="6">
                        <c:v>7.1831999999999998E-9</c:v>
                      </c:pt>
                      <c:pt idx="7">
                        <c:v>2.7564000000000001E-8</c:v>
                      </c:pt>
                      <c:pt idx="8">
                        <c:v>2.1766000000000001E-8</c:v>
                      </c:pt>
                      <c:pt idx="9">
                        <c:v>2.3666000000000002E-8</c:v>
                      </c:pt>
                      <c:pt idx="10">
                        <c:v>2.4103000000000001E-8</c:v>
                      </c:pt>
                      <c:pt idx="11">
                        <c:v>2.3997E-8</c:v>
                      </c:pt>
                      <c:pt idx="12">
                        <c:v>2.3738999999999998E-8</c:v>
                      </c:pt>
                      <c:pt idx="13">
                        <c:v>2.1979000000000001E-8</c:v>
                      </c:pt>
                      <c:pt idx="14">
                        <c:v>2.1196E-8</c:v>
                      </c:pt>
                      <c:pt idx="15">
                        <c:v>2.1174999999999999E-8</c:v>
                      </c:pt>
                      <c:pt idx="16">
                        <c:v>2.1165999999999999E-8</c:v>
                      </c:pt>
                      <c:pt idx="17">
                        <c:v>2.1155E-8</c:v>
                      </c:pt>
                      <c:pt idx="18">
                        <c:v>2.1212999999999999E-8</c:v>
                      </c:pt>
                      <c:pt idx="19">
                        <c:v>2.1276999999999999E-8</c:v>
                      </c:pt>
                      <c:pt idx="20">
                        <c:v>2.1562000000000001E-8</c:v>
                      </c:pt>
                      <c:pt idx="21">
                        <c:v>2.1891000000000001E-8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ALL!$F$6:$AL$6</c15:sqref>
                        </c15:formulaRef>
                      </c:ext>
                    </c:extLst>
                    <c:numCache>
                      <c:formatCode>0.00</c:formatCode>
                      <c:ptCount val="33"/>
                      <c:pt idx="0">
                        <c:v>6.1059000000000002E-2</c:v>
                      </c:pt>
                      <c:pt idx="1">
                        <c:v>5.6835999999999998E-2</c:v>
                      </c:pt>
                      <c:pt idx="2">
                        <c:v>5.3668E-2</c:v>
                      </c:pt>
                      <c:pt idx="3">
                        <c:v>5.2597999999999999E-2</c:v>
                      </c:pt>
                      <c:pt idx="4">
                        <c:v>5.1083000000000003E-2</c:v>
                      </c:pt>
                      <c:pt idx="5">
                        <c:v>4.7363000000000002E-2</c:v>
                      </c:pt>
                      <c:pt idx="6">
                        <c:v>3.9135999999999997E-2</c:v>
                      </c:pt>
                      <c:pt idx="7">
                        <c:v>2.6801E-4</c:v>
                      </c:pt>
                      <c:pt idx="8">
                        <c:v>2.7487E-8</c:v>
                      </c:pt>
                      <c:pt idx="9">
                        <c:v>5.4257999999999998E-12</c:v>
                      </c:pt>
                      <c:pt idx="10">
                        <c:v>1.9164999999999999E-15</c:v>
                      </c:pt>
                      <c:pt idx="11">
                        <c:v>1.1293999999999999E-18</c:v>
                      </c:pt>
                      <c:pt idx="12">
                        <c:v>1.0498000000000001E-21</c:v>
                      </c:pt>
                      <c:pt idx="13">
                        <c:v>3.3894E-32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ALL!$F$9:$AL$9</c15:sqref>
                        </c15:formulaRef>
                      </c:ext>
                    </c:extLst>
                    <c:numCache>
                      <c:formatCode>0.00</c:formatCode>
                      <c:ptCount val="33"/>
                      <c:pt idx="0">
                        <c:v>5.2450999999999998E-2</c:v>
                      </c:pt>
                      <c:pt idx="1">
                        <c:v>2.8126000000000002E-2</c:v>
                      </c:pt>
                      <c:pt idx="2">
                        <c:v>7.5303999999999996E-3</c:v>
                      </c:pt>
                      <c:pt idx="3">
                        <c:v>1.6239E-3</c:v>
                      </c:pt>
                      <c:pt idx="4">
                        <c:v>3.8434999999999999E-4</c:v>
                      </c:pt>
                      <c:pt idx="5">
                        <c:v>9.1833E-5</c:v>
                      </c:pt>
                      <c:pt idx="6">
                        <c:v>1.6246999999999999E-5</c:v>
                      </c:pt>
                      <c:pt idx="7">
                        <c:v>2.6618999999999999E-6</c:v>
                      </c:pt>
                      <c:pt idx="8">
                        <c:v>2.8435999999999999E-7</c:v>
                      </c:pt>
                      <c:pt idx="9">
                        <c:v>3.3676999999999998E-8</c:v>
                      </c:pt>
                      <c:pt idx="10">
                        <c:v>4.5736E-9</c:v>
                      </c:pt>
                      <c:pt idx="11">
                        <c:v>7.0760000000000002E-10</c:v>
                      </c:pt>
                      <c:pt idx="12">
                        <c:v>1.2301E-10</c:v>
                      </c:pt>
                      <c:pt idx="13">
                        <c:v>2.8091000000000001E-13</c:v>
                      </c:pt>
                      <c:pt idx="14">
                        <c:v>1.8204000000000002E-15</c:v>
                      </c:pt>
                      <c:pt idx="15">
                        <c:v>2.3338E-17</c:v>
                      </c:pt>
                      <c:pt idx="16">
                        <c:v>8.4999999999999995E-18</c:v>
                      </c:pt>
                      <c:pt idx="17">
                        <c:v>3.1781000000000001E-18</c:v>
                      </c:pt>
                      <c:pt idx="18">
                        <c:v>1.2172E-18</c:v>
                      </c:pt>
                      <c:pt idx="19">
                        <c:v>4.7653000000000002E-19</c:v>
                      </c:pt>
                      <c:pt idx="20">
                        <c:v>1.3479000000000001E-20</c:v>
                      </c:pt>
                      <c:pt idx="21">
                        <c:v>4.8049000000000002E-22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ALL!$F$10:$AL$10</c15:sqref>
                        </c15:formulaRef>
                      </c:ext>
                    </c:extLst>
                    <c:numCache>
                      <c:formatCode>0.00</c:formatCode>
                      <c:ptCount val="33"/>
                      <c:pt idx="0">
                        <c:v>6.7547999999999997E-2</c:v>
                      </c:pt>
                      <c:pt idx="1">
                        <c:v>9.1858999999999996E-2</c:v>
                      </c:pt>
                      <c:pt idx="2">
                        <c:v>0.11228</c:v>
                      </c:pt>
                      <c:pt idx="3">
                        <c:v>0.11651</c:v>
                      </c:pt>
                      <c:pt idx="4">
                        <c:v>0.10771</c:v>
                      </c:pt>
                      <c:pt idx="5">
                        <c:v>7.7765000000000001E-2</c:v>
                      </c:pt>
                      <c:pt idx="6">
                        <c:v>3.7217E-2</c:v>
                      </c:pt>
                      <c:pt idx="7">
                        <c:v>1.4212000000000001E-2</c:v>
                      </c:pt>
                      <c:pt idx="8">
                        <c:v>4.1484E-3</c:v>
                      </c:pt>
                      <c:pt idx="9">
                        <c:v>1.2566999999999999E-3</c:v>
                      </c:pt>
                      <c:pt idx="10">
                        <c:v>4.1047000000000002E-4</c:v>
                      </c:pt>
                      <c:pt idx="11">
                        <c:v>1.4464999999999999E-4</c:v>
                      </c:pt>
                      <c:pt idx="12">
                        <c:v>5.4611999999999998E-5</c:v>
                      </c:pt>
                      <c:pt idx="13">
                        <c:v>1.9085999999999998E-6</c:v>
                      </c:pt>
                      <c:pt idx="14">
                        <c:v>1.2335E-7</c:v>
                      </c:pt>
                      <c:pt idx="15">
                        <c:v>1.1891E-8</c:v>
                      </c:pt>
                      <c:pt idx="16">
                        <c:v>6.9399E-9</c:v>
                      </c:pt>
                      <c:pt idx="17">
                        <c:v>4.1128000000000001E-9</c:v>
                      </c:pt>
                      <c:pt idx="18">
                        <c:v>2.4718000000000001E-9</c:v>
                      </c:pt>
                      <c:pt idx="19">
                        <c:v>1.5047E-9</c:v>
                      </c:pt>
                      <c:pt idx="20">
                        <c:v>2.3035999999999999E-10</c:v>
                      </c:pt>
                      <c:pt idx="21">
                        <c:v>4.0387000000000002E-11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ALL!$F$11:$AL$11</c15:sqref>
                        </c15:formulaRef>
                      </c:ext>
                    </c:extLst>
                    <c:numCache>
                      <c:formatCode>0.00</c:formatCode>
                      <c:ptCount val="33"/>
                      <c:pt idx="0">
                        <c:v>3.8941000000000003E-2</c:v>
                      </c:pt>
                      <c:pt idx="1">
                        <c:v>4.3164000000000001E-2</c:v>
                      </c:pt>
                      <c:pt idx="2">
                        <c:v>4.6331999999999998E-2</c:v>
                      </c:pt>
                      <c:pt idx="3">
                        <c:v>4.7402E-2</c:v>
                      </c:pt>
                      <c:pt idx="4">
                        <c:v>4.8917000000000002E-2</c:v>
                      </c:pt>
                      <c:pt idx="5">
                        <c:v>5.2613E-2</c:v>
                      </c:pt>
                      <c:pt idx="6">
                        <c:v>5.6087999999999999E-2</c:v>
                      </c:pt>
                      <c:pt idx="7">
                        <c:v>1.0441999999999999E-3</c:v>
                      </c:pt>
                      <c:pt idx="8">
                        <c:v>1.0938E-7</c:v>
                      </c:pt>
                      <c:pt idx="9">
                        <c:v>2.1668999999999999E-11</c:v>
                      </c:pt>
                      <c:pt idx="10">
                        <c:v>7.6620999999999996E-15</c:v>
                      </c:pt>
                      <c:pt idx="11">
                        <c:v>4.5167E-18</c:v>
                      </c:pt>
                      <c:pt idx="12">
                        <c:v>4.1988000000000002E-21</c:v>
                      </c:pt>
                      <c:pt idx="13">
                        <c:v>1.3557999999999999E-31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ALL!$F$12:$AL$12</c15:sqref>
                        </c15:formulaRef>
                      </c:ext>
                    </c:extLst>
                    <c:numCache>
                      <c:formatCode>0.00</c:formatCode>
                      <c:ptCount val="33"/>
                      <c:pt idx="0">
                        <c:v>7.8764000000000003E-7</c:v>
                      </c:pt>
                      <c:pt idx="1">
                        <c:v>7.4715999999999998E-6</c:v>
                      </c:pt>
                      <c:pt idx="2">
                        <c:v>9.4738E-5</c:v>
                      </c:pt>
                      <c:pt idx="3">
                        <c:v>9.3227000000000002E-4</c:v>
                      </c:pt>
                      <c:pt idx="4">
                        <c:v>5.9503999999999998E-3</c:v>
                      </c:pt>
                      <c:pt idx="5">
                        <c:v>2.1070999999999999E-2</c:v>
                      </c:pt>
                      <c:pt idx="6">
                        <c:v>4.1383000000000003E-2</c:v>
                      </c:pt>
                      <c:pt idx="7">
                        <c:v>5.2893000000000003E-2</c:v>
                      </c:pt>
                      <c:pt idx="8">
                        <c:v>5.7925999999999998E-2</c:v>
                      </c:pt>
                      <c:pt idx="9">
                        <c:v>5.9372000000000001E-2</c:v>
                      </c:pt>
                      <c:pt idx="10">
                        <c:v>5.9795000000000001E-2</c:v>
                      </c:pt>
                      <c:pt idx="11">
                        <c:v>5.9928000000000002E-2</c:v>
                      </c:pt>
                      <c:pt idx="12">
                        <c:v>5.9972999999999999E-2</c:v>
                      </c:pt>
                      <c:pt idx="13">
                        <c:v>5.9998999999999997E-2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0.06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ALL!$F$13:$AL$13</c15:sqref>
                        </c15:formulaRef>
                      </c:ext>
                    </c:extLst>
                    <c:numCache>
                      <c:formatCode>0.00</c:formatCode>
                      <c:ptCount val="33"/>
                      <c:pt idx="0">
                        <c:v>6.9119E-21</c:v>
                      </c:pt>
                      <c:pt idx="1">
                        <c:v>3.1046E-17</c:v>
                      </c:pt>
                      <c:pt idx="2">
                        <c:v>1.1613000000000001E-13</c:v>
                      </c:pt>
                      <c:pt idx="3">
                        <c:v>2.0468999999999999E-10</c:v>
                      </c:pt>
                      <c:pt idx="4">
                        <c:v>1.4782000000000001E-7</c:v>
                      </c:pt>
                      <c:pt idx="5">
                        <c:v>4.8347000000000003E-5</c:v>
                      </c:pt>
                      <c:pt idx="6">
                        <c:v>9.5520999999999991E-3</c:v>
                      </c:pt>
                      <c:pt idx="7">
                        <c:v>0.19738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ALL!$F$14:$AL$14</c15:sqref>
                        </c15:formulaRef>
                      </c:ext>
                    </c:extLst>
                    <c:numCache>
                      <c:formatCode>0.00</c:formatCode>
                      <c:ptCount val="33"/>
                      <c:pt idx="0">
                        <c:v>6.5137E-9</c:v>
                      </c:pt>
                      <c:pt idx="1">
                        <c:v>1.8022999999999999E-8</c:v>
                      </c:pt>
                      <c:pt idx="2">
                        <c:v>1.9216000000000001E-8</c:v>
                      </c:pt>
                      <c:pt idx="3">
                        <c:v>1.4127999999999999E-8</c:v>
                      </c:pt>
                      <c:pt idx="4">
                        <c:v>1.0792E-8</c:v>
                      </c:pt>
                      <c:pt idx="5">
                        <c:v>9.9617999999999992E-9</c:v>
                      </c:pt>
                      <c:pt idx="6">
                        <c:v>1.0096E-8</c:v>
                      </c:pt>
                      <c:pt idx="7">
                        <c:v>2.1419000000000001E-8</c:v>
                      </c:pt>
                      <c:pt idx="8">
                        <c:v>1.5926E-8</c:v>
                      </c:pt>
                      <c:pt idx="9">
                        <c:v>1.1574E-8</c:v>
                      </c:pt>
                      <c:pt idx="10">
                        <c:v>8.3898000000000001E-9</c:v>
                      </c:pt>
                      <c:pt idx="11">
                        <c:v>6.0866000000000001E-9</c:v>
                      </c:pt>
                      <c:pt idx="12">
                        <c:v>4.4243000000000001E-9</c:v>
                      </c:pt>
                      <c:pt idx="13">
                        <c:v>1.2651999999999999E-9</c:v>
                      </c:pt>
                      <c:pt idx="14">
                        <c:v>3.7555000000000001E-10</c:v>
                      </c:pt>
                      <c:pt idx="15">
                        <c:v>1.1495E-10</c:v>
                      </c:pt>
                      <c:pt idx="16">
                        <c:v>8.5818999999999999E-11</c:v>
                      </c:pt>
                      <c:pt idx="17">
                        <c:v>6.4141000000000006E-11</c:v>
                      </c:pt>
                      <c:pt idx="18">
                        <c:v>4.7985000000000003E-11</c:v>
                      </c:pt>
                      <c:pt idx="19">
                        <c:v>3.5928000000000001E-11</c:v>
                      </c:pt>
                      <c:pt idx="20">
                        <c:v>1.135E-11</c:v>
                      </c:pt>
                      <c:pt idx="21">
                        <c:v>3.5938999999999999E-12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ALL!$F$15:$AL$15</c15:sqref>
                        </c15:formulaRef>
                      </c:ext>
                    </c:extLst>
                    <c:numCache>
                      <c:formatCode>0.00</c:formatCode>
                      <c:ptCount val="33"/>
                      <c:pt idx="0">
                        <c:v>1.8050999999999999E-9</c:v>
                      </c:pt>
                      <c:pt idx="1">
                        <c:v>6.1321000000000004E-9</c:v>
                      </c:pt>
                      <c:pt idx="2">
                        <c:v>7.7454999999999998E-9</c:v>
                      </c:pt>
                      <c:pt idx="3">
                        <c:v>6.5640999999999997E-9</c:v>
                      </c:pt>
                      <c:pt idx="4">
                        <c:v>5.6573000000000003E-9</c:v>
                      </c:pt>
                      <c:pt idx="5">
                        <c:v>5.7921000000000003E-9</c:v>
                      </c:pt>
                      <c:pt idx="6">
                        <c:v>6.3408999999999999E-9</c:v>
                      </c:pt>
                      <c:pt idx="7">
                        <c:v>1.3219000000000001E-8</c:v>
                      </c:pt>
                      <c:pt idx="8">
                        <c:v>9.6430000000000007E-9</c:v>
                      </c:pt>
                      <c:pt idx="9">
                        <c:v>6.8697E-9</c:v>
                      </c:pt>
                      <c:pt idx="10">
                        <c:v>4.8790000000000002E-9</c:v>
                      </c:pt>
                      <c:pt idx="11">
                        <c:v>3.4675999999999999E-9</c:v>
                      </c:pt>
                      <c:pt idx="12">
                        <c:v>2.4694000000000002E-9</c:v>
                      </c:pt>
                      <c:pt idx="13">
                        <c:v>6.5206000000000002E-10</c:v>
                      </c:pt>
                      <c:pt idx="14">
                        <c:v>1.7954999999999999E-10</c:v>
                      </c:pt>
                      <c:pt idx="15">
                        <c:v>5.1136000000000002E-11</c:v>
                      </c:pt>
                      <c:pt idx="16">
                        <c:v>3.7508999999999999E-11</c:v>
                      </c:pt>
                      <c:pt idx="17">
                        <c:v>2.7548999999999999E-11</c:v>
                      </c:pt>
                      <c:pt idx="18">
                        <c:v>2.0257999999999999E-11</c:v>
                      </c:pt>
                      <c:pt idx="19">
                        <c:v>1.4910999999999999E-11</c:v>
                      </c:pt>
                      <c:pt idx="20">
                        <c:v>4.4090000000000003E-12</c:v>
                      </c:pt>
                      <c:pt idx="21">
                        <c:v>1.311E-12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ALL!$F$16:$AL$16</c15:sqref>
                        </c15:formulaRef>
                      </c:ext>
                    </c:extLst>
                    <c:numCache>
                      <c:formatCode>0.00</c:formatCode>
                      <c:ptCount val="33"/>
                      <c:pt idx="0">
                        <c:v>7.5507999999999999E-3</c:v>
                      </c:pt>
                      <c:pt idx="1">
                        <c:v>3.1889000000000001E-2</c:v>
                      </c:pt>
                      <c:pt idx="2">
                        <c:v>5.2658999999999997E-2</c:v>
                      </c:pt>
                      <c:pt idx="3">
                        <c:v>6.0241000000000003E-2</c:v>
                      </c:pt>
                      <c:pt idx="4">
                        <c:v>7.1516999999999997E-2</c:v>
                      </c:pt>
                      <c:pt idx="5">
                        <c:v>0.10212</c:v>
                      </c:pt>
                      <c:pt idx="6">
                        <c:v>0.15708</c:v>
                      </c:pt>
                      <c:pt idx="7">
                        <c:v>0.46184999999999998</c:v>
                      </c:pt>
                      <c:pt idx="8">
                        <c:v>0.47585</c:v>
                      </c:pt>
                      <c:pt idx="9">
                        <c:v>0.47874</c:v>
                      </c:pt>
                      <c:pt idx="10">
                        <c:v>0.47959000000000002</c:v>
                      </c:pt>
                      <c:pt idx="11">
                        <c:v>0.47986000000000001</c:v>
                      </c:pt>
                      <c:pt idx="12">
                        <c:v>0.47994999999999999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ALL!$F$17:$AL$17</c15:sqref>
                        </c15:formulaRef>
                      </c:ext>
                    </c:extLst>
                    <c:numCache>
                      <c:formatCode>0.00</c:formatCode>
                      <c:ptCount val="33"/>
                      <c:pt idx="0">
                        <c:v>3.0203999999999999E-11</c:v>
                      </c:pt>
                      <c:pt idx="1">
                        <c:v>1.6382999999999999E-10</c:v>
                      </c:pt>
                      <c:pt idx="2">
                        <c:v>3.0786000000000001E-10</c:v>
                      </c:pt>
                      <c:pt idx="3">
                        <c:v>3.6768000000000002E-10</c:v>
                      </c:pt>
                      <c:pt idx="4">
                        <c:v>4.2795999999999999E-10</c:v>
                      </c:pt>
                      <c:pt idx="5">
                        <c:v>5.7186000000000003E-10</c:v>
                      </c:pt>
                      <c:pt idx="6">
                        <c:v>7.9461000000000001E-10</c:v>
                      </c:pt>
                      <c:pt idx="7">
                        <c:v>2.0544999999999999E-9</c:v>
                      </c:pt>
                      <c:pt idx="8">
                        <c:v>1.8229E-9</c:v>
                      </c:pt>
                      <c:pt idx="9">
                        <c:v>1.5537999999999999E-9</c:v>
                      </c:pt>
                      <c:pt idx="10">
                        <c:v>1.3017E-9</c:v>
                      </c:pt>
                      <c:pt idx="11">
                        <c:v>1.0779E-9</c:v>
                      </c:pt>
                      <c:pt idx="12">
                        <c:v>8.8486999999999996E-10</c:v>
                      </c:pt>
                      <c:pt idx="13">
                        <c:v>3.7916999999999999E-10</c:v>
                      </c:pt>
                      <c:pt idx="14">
                        <c:v>1.5362999999999999E-10</c:v>
                      </c:pt>
                      <c:pt idx="15">
                        <c:v>6.0235999999999995E-11</c:v>
                      </c:pt>
                      <c:pt idx="16">
                        <c:v>4.7475999999999998E-11</c:v>
                      </c:pt>
                      <c:pt idx="17">
                        <c:v>3.7364999999999998E-11</c:v>
                      </c:pt>
                      <c:pt idx="18">
                        <c:v>2.9366999999999998E-11</c:v>
                      </c:pt>
                      <c:pt idx="19">
                        <c:v>2.3048E-11</c:v>
                      </c:pt>
                      <c:pt idx="20">
                        <c:v>8.6270000000000003E-12</c:v>
                      </c:pt>
                      <c:pt idx="21">
                        <c:v>3.1578000000000001E-12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ALL!$F$18:$AL$18</c15:sqref>
                        </c15:formulaRef>
                      </c:ext>
                    </c:extLst>
                    <c:numCache>
                      <c:formatCode>0.00</c:formatCode>
                      <c:ptCount val="33"/>
                      <c:pt idx="0">
                        <c:v>7.8764000000000003E-7</c:v>
                      </c:pt>
                      <c:pt idx="1">
                        <c:v>7.4715999999999998E-6</c:v>
                      </c:pt>
                      <c:pt idx="2">
                        <c:v>9.4738E-5</c:v>
                      </c:pt>
                      <c:pt idx="3">
                        <c:v>9.3227000000000002E-4</c:v>
                      </c:pt>
                      <c:pt idx="4">
                        <c:v>5.9503999999999998E-3</c:v>
                      </c:pt>
                      <c:pt idx="5">
                        <c:v>2.1070999999999999E-2</c:v>
                      </c:pt>
                      <c:pt idx="6">
                        <c:v>4.1383000000000003E-2</c:v>
                      </c:pt>
                      <c:pt idx="7">
                        <c:v>5.2893000000000003E-2</c:v>
                      </c:pt>
                      <c:pt idx="8">
                        <c:v>5.7925999999999998E-2</c:v>
                      </c:pt>
                      <c:pt idx="9">
                        <c:v>5.9372000000000001E-2</c:v>
                      </c:pt>
                      <c:pt idx="10">
                        <c:v>5.9795000000000001E-2</c:v>
                      </c:pt>
                      <c:pt idx="11">
                        <c:v>5.9928000000000002E-2</c:v>
                      </c:pt>
                      <c:pt idx="12">
                        <c:v>5.9972999999999999E-2</c:v>
                      </c:pt>
                      <c:pt idx="13">
                        <c:v>5.9998999999999997E-2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0.06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ALL!$F$19:$AL$19</c15:sqref>
                        </c15:formulaRef>
                      </c:ext>
                    </c:extLst>
                    <c:numCache>
                      <c:formatCode>0.00</c:formatCode>
                      <c:ptCount val="33"/>
                      <c:pt idx="0">
                        <c:v>-18.88</c:v>
                      </c:pt>
                      <c:pt idx="1">
                        <c:v>-18.87</c:v>
                      </c:pt>
                      <c:pt idx="2">
                        <c:v>-18.899999999999999</c:v>
                      </c:pt>
                      <c:pt idx="3">
                        <c:v>-18.940000000000001</c:v>
                      </c:pt>
                      <c:pt idx="4">
                        <c:v>-18.989999999999998</c:v>
                      </c:pt>
                      <c:pt idx="5">
                        <c:v>-19.04</c:v>
                      </c:pt>
                      <c:pt idx="6">
                        <c:v>-19.07</c:v>
                      </c:pt>
                      <c:pt idx="7">
                        <c:v>-18.96</c:v>
                      </c:pt>
                      <c:pt idx="8">
                        <c:v>-19.03</c:v>
                      </c:pt>
                      <c:pt idx="9">
                        <c:v>-19.100000000000001</c:v>
                      </c:pt>
                      <c:pt idx="10">
                        <c:v>-19.170000000000002</c:v>
                      </c:pt>
                      <c:pt idx="11">
                        <c:v>-19.239999999999998</c:v>
                      </c:pt>
                      <c:pt idx="12">
                        <c:v>-19.309999999999999</c:v>
                      </c:pt>
                      <c:pt idx="13">
                        <c:v>-19.57</c:v>
                      </c:pt>
                      <c:pt idx="14">
                        <c:v>-19.82</c:v>
                      </c:pt>
                      <c:pt idx="15">
                        <c:v>-20.05</c:v>
                      </c:pt>
                      <c:pt idx="16">
                        <c:v>-20.11</c:v>
                      </c:pt>
                      <c:pt idx="17">
                        <c:v>-20.16</c:v>
                      </c:pt>
                      <c:pt idx="18">
                        <c:v>-20.21</c:v>
                      </c:pt>
                      <c:pt idx="19">
                        <c:v>-20.260000000000002</c:v>
                      </c:pt>
                      <c:pt idx="20">
                        <c:v>-20.46</c:v>
                      </c:pt>
                      <c:pt idx="21">
                        <c:v>-20.65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ALL!$F$20:$AL$20</c15:sqref>
                        </c15:formulaRef>
                      </c:ext>
                    </c:extLst>
                    <c:numCache>
                      <c:formatCode>0.00</c:formatCode>
                      <c:ptCount val="33"/>
                      <c:pt idx="0">
                        <c:v>-60.79</c:v>
                      </c:pt>
                      <c:pt idx="1">
                        <c:v>-53.82</c:v>
                      </c:pt>
                      <c:pt idx="2">
                        <c:v>-47.01</c:v>
                      </c:pt>
                      <c:pt idx="3">
                        <c:v>-40.9</c:v>
                      </c:pt>
                      <c:pt idx="4">
                        <c:v>-35.71</c:v>
                      </c:pt>
                      <c:pt idx="5">
                        <c:v>-31.39</c:v>
                      </c:pt>
                      <c:pt idx="6">
                        <c:v>-27.66</c:v>
                      </c:pt>
                      <c:pt idx="7">
                        <c:v>-26.79</c:v>
                      </c:pt>
                      <c:pt idx="8">
                        <c:v>-28.11</c:v>
                      </c:pt>
                      <c:pt idx="9">
                        <c:v>-29.41</c:v>
                      </c:pt>
                      <c:pt idx="10">
                        <c:v>-30.69</c:v>
                      </c:pt>
                      <c:pt idx="11">
                        <c:v>-31.94</c:v>
                      </c:pt>
                      <c:pt idx="12">
                        <c:v>-33.159999999999997</c:v>
                      </c:pt>
                      <c:pt idx="13">
                        <c:v>-37.67</c:v>
                      </c:pt>
                      <c:pt idx="14">
                        <c:v>-41.43</c:v>
                      </c:pt>
                      <c:pt idx="15">
                        <c:v>-44.33</c:v>
                      </c:pt>
                      <c:pt idx="16">
                        <c:v>-44.9</c:v>
                      </c:pt>
                      <c:pt idx="17">
                        <c:v>-45.42</c:v>
                      </c:pt>
                      <c:pt idx="18">
                        <c:v>-45.86</c:v>
                      </c:pt>
                      <c:pt idx="19">
                        <c:v>-46.25</c:v>
                      </c:pt>
                      <c:pt idx="20">
                        <c:v>-47.11</c:v>
                      </c:pt>
                      <c:pt idx="21">
                        <c:v>-46.85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ALL!$F$21:$AL$21</c15:sqref>
                        </c15:formulaRef>
                      </c:ext>
                    </c:extLst>
                    <c:numCache>
                      <c:formatCode>0.00</c:formatCode>
                      <c:ptCount val="33"/>
                      <c:pt idx="0">
                        <c:v>-16</c:v>
                      </c:pt>
                      <c:pt idx="1">
                        <c:v>-13.92</c:v>
                      </c:pt>
                      <c:pt idx="2">
                        <c:v>-11.54</c:v>
                      </c:pt>
                      <c:pt idx="3">
                        <c:v>-9.3460000000000001</c:v>
                      </c:pt>
                      <c:pt idx="4">
                        <c:v>-7.6120000000000001</c:v>
                      </c:pt>
                      <c:pt idx="5">
                        <c:v>-6.5529999999999999</c:v>
                      </c:pt>
                      <c:pt idx="6">
                        <c:v>-6.1760000000000002</c:v>
                      </c:pt>
                      <c:pt idx="7">
                        <c:v>-6.8330000000000002</c:v>
                      </c:pt>
                      <c:pt idx="8">
                        <c:v>-6.843</c:v>
                      </c:pt>
                      <c:pt idx="9">
                        <c:v>-6.9039999999999999</c:v>
                      </c:pt>
                      <c:pt idx="10">
                        <c:v>-6.9809999999999999</c:v>
                      </c:pt>
                      <c:pt idx="11">
                        <c:v>-7.0620000000000003</c:v>
                      </c:pt>
                      <c:pt idx="12">
                        <c:v>-7.1429999999999998</c:v>
                      </c:pt>
                      <c:pt idx="13">
                        <c:v>-7.4630000000000001</c:v>
                      </c:pt>
                      <c:pt idx="14">
                        <c:v>-7.7649999999999997</c:v>
                      </c:pt>
                      <c:pt idx="15">
                        <c:v>-8.048</c:v>
                      </c:pt>
                      <c:pt idx="16">
                        <c:v>-8.1159999999999997</c:v>
                      </c:pt>
                      <c:pt idx="17">
                        <c:v>-8.1820000000000004</c:v>
                      </c:pt>
                      <c:pt idx="18">
                        <c:v>-8.2479999999999993</c:v>
                      </c:pt>
                      <c:pt idx="19">
                        <c:v>-8.3130000000000006</c:v>
                      </c:pt>
                      <c:pt idx="20">
                        <c:v>-8.5609999999999999</c:v>
                      </c:pt>
                      <c:pt idx="21">
                        <c:v>-8.7949999999999999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ALL!$F$22:$AL$22</c15:sqref>
                        </c15:formulaRef>
                      </c:ext>
                    </c:extLst>
                    <c:numCache>
                      <c:formatCode>0.00</c:formatCode>
                      <c:ptCount val="33"/>
                      <c:pt idx="0">
                        <c:v>-22.14</c:v>
                      </c:pt>
                      <c:pt idx="1">
                        <c:v>-21.3</c:v>
                      </c:pt>
                      <c:pt idx="2">
                        <c:v>-21.39</c:v>
                      </c:pt>
                      <c:pt idx="3">
                        <c:v>-21.8</c:v>
                      </c:pt>
                      <c:pt idx="4">
                        <c:v>-22.19</c:v>
                      </c:pt>
                      <c:pt idx="5">
                        <c:v>-22.48</c:v>
                      </c:pt>
                      <c:pt idx="6">
                        <c:v>-22.79</c:v>
                      </c:pt>
                      <c:pt idx="7">
                        <c:v>-23.04</c:v>
                      </c:pt>
                      <c:pt idx="8">
                        <c:v>-23.53</c:v>
                      </c:pt>
                      <c:pt idx="9">
                        <c:v>-24.03</c:v>
                      </c:pt>
                      <c:pt idx="10">
                        <c:v>-24.51</c:v>
                      </c:pt>
                      <c:pt idx="11">
                        <c:v>-24.99</c:v>
                      </c:pt>
                      <c:pt idx="12">
                        <c:v>-25.47</c:v>
                      </c:pt>
                      <c:pt idx="13">
                        <c:v>-27.28</c:v>
                      </c:pt>
                      <c:pt idx="14">
                        <c:v>-29</c:v>
                      </c:pt>
                      <c:pt idx="15">
                        <c:v>-30.63</c:v>
                      </c:pt>
                      <c:pt idx="16">
                        <c:v>-31.03</c:v>
                      </c:pt>
                      <c:pt idx="17">
                        <c:v>-31.42</c:v>
                      </c:pt>
                      <c:pt idx="18">
                        <c:v>-31.81</c:v>
                      </c:pt>
                      <c:pt idx="19">
                        <c:v>-32.200000000000003</c:v>
                      </c:pt>
                      <c:pt idx="20">
                        <c:v>-33.729999999999997</c:v>
                      </c:pt>
                      <c:pt idx="21">
                        <c:v>-35.22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ALL!$F$126:$AL$126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ALL!$F$127:$AL$127</c:f>
              <c:numCache>
                <c:formatCode>General</c:formatCode>
                <c:ptCount val="33"/>
                <c:pt idx="0">
                  <c:v>-273.27222024545767</c:v>
                </c:pt>
                <c:pt idx="1">
                  <c:v>-296.49863021709274</c:v>
                </c:pt>
                <c:pt idx="2">
                  <c:v>-317.66214266472616</c:v>
                </c:pt>
                <c:pt idx="3">
                  <c:v>-331.802764632736</c:v>
                </c:pt>
                <c:pt idx="4">
                  <c:v>-348.69440401523849</c:v>
                </c:pt>
                <c:pt idx="5">
                  <c:v>-376.62331661032351</c:v>
                </c:pt>
                <c:pt idx="6">
                  <c:v>-427.3135371895176</c:v>
                </c:pt>
                <c:pt idx="7">
                  <c:v>-633.93543623277378</c:v>
                </c:pt>
                <c:pt idx="8">
                  <c:v>-694.62562127335298</c:v>
                </c:pt>
                <c:pt idx="9">
                  <c:v>-756.71248312547812</c:v>
                </c:pt>
                <c:pt idx="10">
                  <c:v>-820.64242361931872</c:v>
                </c:pt>
                <c:pt idx="11">
                  <c:v>-886.61313474869678</c:v>
                </c:pt>
                <c:pt idx="12">
                  <c:v>-954.55722888938931</c:v>
                </c:pt>
                <c:pt idx="13">
                  <c:v>-1241.2463961793101</c:v>
                </c:pt>
                <c:pt idx="14">
                  <c:v>-1548.3325394869191</c:v>
                </c:pt>
                <c:pt idx="15">
                  <c:v>-1868.2017970383879</c:v>
                </c:pt>
                <c:pt idx="16">
                  <c:v>-1950.6611640188546</c:v>
                </c:pt>
                <c:pt idx="17">
                  <c:v>-2031.642201820147</c:v>
                </c:pt>
                <c:pt idx="18">
                  <c:v>-2114.4239196907956</c:v>
                </c:pt>
                <c:pt idx="19">
                  <c:v>-2195.893370256651</c:v>
                </c:pt>
                <c:pt idx="20">
                  <c:v>-2521.3622539169141</c:v>
                </c:pt>
                <c:pt idx="21">
                  <c:v>-2840.5449939642649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ALL!$F$126:$AL$126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ALL!$F$131:$AL$131</c:f>
              <c:numCache>
                <c:formatCode>General</c:formatCode>
                <c:ptCount val="33"/>
                <c:pt idx="0">
                  <c:v>-510.44785267394775</c:v>
                </c:pt>
                <c:pt idx="1">
                  <c:v>-520.43639327226128</c:v>
                </c:pt>
                <c:pt idx="2">
                  <c:v>-532.30833663031922</c:v>
                </c:pt>
                <c:pt idx="3">
                  <c:v>-545.47211950334406</c:v>
                </c:pt>
                <c:pt idx="4">
                  <c:v>-559.53825967334512</c:v>
                </c:pt>
                <c:pt idx="5">
                  <c:v>-575.37834513839982</c:v>
                </c:pt>
                <c:pt idx="6">
                  <c:v>-594.51153756047165</c:v>
                </c:pt>
                <c:pt idx="7">
                  <c:v>-635.14714649508926</c:v>
                </c:pt>
                <c:pt idx="8">
                  <c:v>-694.62575777499944</c:v>
                </c:pt>
                <c:pt idx="9">
                  <c:v>-756.71248315493779</c:v>
                </c:pt>
                <c:pt idx="10">
                  <c:v>-820.64242361933009</c:v>
                </c:pt>
                <c:pt idx="11">
                  <c:v>-886.61313474869678</c:v>
                </c:pt>
                <c:pt idx="12">
                  <c:v>-954.55722888938931</c:v>
                </c:pt>
                <c:pt idx="13">
                  <c:v>-1241.2463961793101</c:v>
                </c:pt>
                <c:pt idx="14">
                  <c:v>-1548.3325394869203</c:v>
                </c:pt>
                <c:pt idx="15">
                  <c:v>-1868.201797038779</c:v>
                </c:pt>
                <c:pt idx="16">
                  <c:v>-1950.6611640202111</c:v>
                </c:pt>
                <c:pt idx="17">
                  <c:v>-2031.6422018245287</c:v>
                </c:pt>
                <c:pt idx="18">
                  <c:v>-2114.4239197040783</c:v>
                </c:pt>
                <c:pt idx="19">
                  <c:v>-2195.8933702945637</c:v>
                </c:pt>
                <c:pt idx="20">
                  <c:v>-2521.3622554335789</c:v>
                </c:pt>
                <c:pt idx="21">
                  <c:v>-2840.5450256607414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ALL!$A$118:$A$119</c:f>
              <c:numCache>
                <c:formatCode>General</c:formatCode>
                <c:ptCount val="2"/>
                <c:pt idx="0">
                  <c:v>731</c:v>
                </c:pt>
                <c:pt idx="1">
                  <c:v>731</c:v>
                </c:pt>
              </c:numCache>
            </c:numRef>
          </c:xVal>
          <c:yVal>
            <c:numRef>
              <c:f>ALL!$B$118:$B$119</c:f>
              <c:numCache>
                <c:formatCode>0</c:formatCode>
                <c:ptCount val="2"/>
                <c:pt idx="0">
                  <c:v>-2840.5449939642649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EE-41A8-BB70-4DE407D00146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-510.44729271900002</c:v>
                </c:pt>
                <c:pt idx="1">
                  <c:v>-520.43639953499996</c:v>
                </c:pt>
                <c:pt idx="2">
                  <c:v>-532.30846622249999</c:v>
                </c:pt>
                <c:pt idx="3">
                  <c:v>-545.47323090610018</c:v>
                </c:pt>
                <c:pt idx="4">
                  <c:v>-559.54204891230006</c:v>
                </c:pt>
                <c:pt idx="5">
                  <c:v>-575.38064399585016</c:v>
                </c:pt>
                <c:pt idx="6">
                  <c:v>-594.51041306700006</c:v>
                </c:pt>
                <c:pt idx="7">
                  <c:v>-635.13922895730002</c:v>
                </c:pt>
                <c:pt idx="8">
                  <c:v>-694.62581974020009</c:v>
                </c:pt>
                <c:pt idx="9">
                  <c:v>-756.71547482780011</c:v>
                </c:pt>
                <c:pt idx="10">
                  <c:v>-820.64174864400013</c:v>
                </c:pt>
                <c:pt idx="11">
                  <c:v>-886.60755157260007</c:v>
                </c:pt>
                <c:pt idx="12">
                  <c:v>-954.55131972980007</c:v>
                </c:pt>
                <c:pt idx="13">
                  <c:v>-1241.2434293255499</c:v>
                </c:pt>
                <c:pt idx="14">
                  <c:v>-1548.3322346415</c:v>
                </c:pt>
                <c:pt idx="15">
                  <c:v>-1868.2017614890001</c:v>
                </c:pt>
                <c:pt idx="16">
                  <c:v>-1950.6611422760002</c:v>
                </c:pt>
                <c:pt idx="17">
                  <c:v>-2031.6421883340004</c:v>
                </c:pt>
                <c:pt idx="18">
                  <c:v>-2114.4239112000005</c:v>
                </c:pt>
                <c:pt idx="19">
                  <c:v>-2195.8933648455004</c:v>
                </c:pt>
                <c:pt idx="20">
                  <c:v>-2521.3622529170002</c:v>
                </c:pt>
                <c:pt idx="21">
                  <c:v>-2840.5449937500002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EE-41A8-BB70-4DE407D00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ALL!$F$128:$AL$128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-585.01145213720304</c:v>
                      </c:pt>
                      <c:pt idx="1">
                        <c:v>-591.51703968701963</c:v>
                      </c:pt>
                      <c:pt idx="2">
                        <c:v>-599.37228932201424</c:v>
                      </c:pt>
                      <c:pt idx="3">
                        <c:v>-613.52775435972694</c:v>
                      </c:pt>
                      <c:pt idx="4">
                        <c:v>-624.31854157896771</c:v>
                      </c:pt>
                      <c:pt idx="5">
                        <c:v>-619.61593713331558</c:v>
                      </c:pt>
                      <c:pt idx="6">
                        <c:v>-584.6453791533412</c:v>
                      </c:pt>
                      <c:pt idx="7">
                        <c:v>-174.62288867062585</c:v>
                      </c:pt>
                      <c:pt idx="8">
                        <c:v>-169.50653905618503</c:v>
                      </c:pt>
                      <c:pt idx="9">
                        <c:v>-177.04983514819327</c:v>
                      </c:pt>
                      <c:pt idx="10">
                        <c:v>-186.73486348131306</c:v>
                      </c:pt>
                      <c:pt idx="11">
                        <c:v>-197.13330224955337</c:v>
                      </c:pt>
                      <c:pt idx="12">
                        <c:v>-207.81868021390306</c:v>
                      </c:pt>
                      <c:pt idx="13">
                        <c:v>-251.53849725974428</c:v>
                      </c:pt>
                      <c:pt idx="14">
                        <c:v>-296.43980584163808</c:v>
                      </c:pt>
                      <c:pt idx="15">
                        <c:v>-342.11924928708709</c:v>
                      </c:pt>
                      <c:pt idx="16">
                        <c:v>-353.96577616524723</c:v>
                      </c:pt>
                      <c:pt idx="17">
                        <c:v>-365.40326839973346</c:v>
                      </c:pt>
                      <c:pt idx="18">
                        <c:v>-377.2189519509584</c:v>
                      </c:pt>
                      <c:pt idx="19">
                        <c:v>-388.77996846182833</c:v>
                      </c:pt>
                      <c:pt idx="20">
                        <c:v>-435.91070673749039</c:v>
                      </c:pt>
                      <c:pt idx="21">
                        <c:v>-484.08069513732823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774B-47E8-A19D-44B695C09DB0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-237.17563242849008</c:v>
                      </c:pt>
                      <c:pt idx="1">
                        <c:v>-223.93776305516852</c:v>
                      </c:pt>
                      <c:pt idx="2">
                        <c:v>-214.64619396559306</c:v>
                      </c:pt>
                      <c:pt idx="3">
                        <c:v>-213.66935487060803</c:v>
                      </c:pt>
                      <c:pt idx="4">
                        <c:v>-210.84385565810666</c:v>
                      </c:pt>
                      <c:pt idx="5">
                        <c:v>-198.75502852807628</c:v>
                      </c:pt>
                      <c:pt idx="6">
                        <c:v>-167.19800037095402</c:v>
                      </c:pt>
                      <c:pt idx="7">
                        <c:v>-1.2117102623154976</c:v>
                      </c:pt>
                      <c:pt idx="8">
                        <c:v>-1.3650164645147869E-4</c:v>
                      </c:pt>
                      <c:pt idx="9">
                        <c:v>-2.9459692420060309E-8</c:v>
                      </c:pt>
                      <c:pt idx="10">
                        <c:v>-1.1322046540359577E-11</c:v>
                      </c:pt>
                      <c:pt idx="11">
                        <c:v>-7.2298849711329807E-15</c:v>
                      </c:pt>
                      <c:pt idx="12">
                        <c:v>-7.2691758966830498E-18</c:v>
                      </c:pt>
                      <c:pt idx="13">
                        <c:v>-5.4507143372282674E-16</c:v>
                      </c:pt>
                      <c:pt idx="14">
                        <c:v>-1.1592660649777627E-12</c:v>
                      </c:pt>
                      <c:pt idx="15">
                        <c:v>-3.9101666271731005E-10</c:v>
                      </c:pt>
                      <c:pt idx="16">
                        <c:v>-1.3565096879857052E-9</c:v>
                      </c:pt>
                      <c:pt idx="17">
                        <c:v>-4.3817523993117614E-9</c:v>
                      </c:pt>
                      <c:pt idx="18">
                        <c:v>-1.3282872045240003E-8</c:v>
                      </c:pt>
                      <c:pt idx="19">
                        <c:v>-3.7912887357083108E-8</c:v>
                      </c:pt>
                      <c:pt idx="20">
                        <c:v>-1.5166645328986553E-6</c:v>
                      </c:pt>
                      <c:pt idx="21">
                        <c:v>-3.1696476619875006E-5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74B-47E8-A19D-44B695C09DB0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-315.19357914849002</c:v>
                      </c:pt>
                      <c:pt idx="1">
                        <c:v>-310.62203784266853</c:v>
                      </c:pt>
                      <c:pt idx="2">
                        <c:v>-310.21596704059306</c:v>
                      </c:pt>
                      <c:pt idx="3">
                        <c:v>-318.20759108560804</c:v>
                      </c:pt>
                      <c:pt idx="4">
                        <c:v>-324.44740508060664</c:v>
                      </c:pt>
                      <c:pt idx="5">
                        <c:v>-321.47017520807628</c:v>
                      </c:pt>
                      <c:pt idx="6">
                        <c:v>-298.93286908345408</c:v>
                      </c:pt>
                      <c:pt idx="7">
                        <c:v>-140.93588502231555</c:v>
                      </c:pt>
                      <c:pt idx="8">
                        <c:v>-149.04802527164651</c:v>
                      </c:pt>
                      <c:pt idx="9">
                        <c:v>-158.43640047945976</c:v>
                      </c:pt>
                      <c:pt idx="10">
                        <c:v>-167.88970980001136</c:v>
                      </c:pt>
                      <c:pt idx="11">
                        <c:v>-177.40781682000005</c:v>
                      </c:pt>
                      <c:pt idx="12">
                        <c:v>-186.99072151000004</c:v>
                      </c:pt>
                      <c:pt idx="13">
                        <c:v>-225.71249818250007</c:v>
                      </c:pt>
                      <c:pt idx="14">
                        <c:v>-265.26242677000118</c:v>
                      </c:pt>
                      <c:pt idx="15">
                        <c:v>-305.34931962539105</c:v>
                      </c:pt>
                      <c:pt idx="16">
                        <c:v>-315.73801022635661</c:v>
                      </c:pt>
                      <c:pt idx="17">
                        <c:v>-325.74215520438185</c:v>
                      </c:pt>
                      <c:pt idx="18">
                        <c:v>-336.072090013283</c:v>
                      </c:pt>
                      <c:pt idx="19">
                        <c:v>-346.16838738791296</c:v>
                      </c:pt>
                      <c:pt idx="20">
                        <c:v>-387.29440021666471</c:v>
                      </c:pt>
                      <c:pt idx="21">
                        <c:v>-429.23609419647676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74B-47E8-A19D-44B695C09DB0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-588.46579939394769</c:v>
                      </c:pt>
                      <c:pt idx="1">
                        <c:v>-607.12066805976133</c:v>
                      </c:pt>
                      <c:pt idx="2">
                        <c:v>-627.87810970531928</c:v>
                      </c:pt>
                      <c:pt idx="3">
                        <c:v>-650.01035571834404</c:v>
                      </c:pt>
                      <c:pt idx="4">
                        <c:v>-673.14180909584513</c:v>
                      </c:pt>
                      <c:pt idx="5">
                        <c:v>-698.0934918183998</c:v>
                      </c:pt>
                      <c:pt idx="6">
                        <c:v>-726.24640627297163</c:v>
                      </c:pt>
                      <c:pt idx="7">
                        <c:v>-774.87132125508936</c:v>
                      </c:pt>
                      <c:pt idx="8">
                        <c:v>-843.67364654499943</c:v>
                      </c:pt>
                      <c:pt idx="9">
                        <c:v>-915.14888360493785</c:v>
                      </c:pt>
                      <c:pt idx="10">
                        <c:v>-988.53213341933008</c:v>
                      </c:pt>
                      <c:pt idx="11">
                        <c:v>-1064.0209515686968</c:v>
                      </c:pt>
                      <c:pt idx="12">
                        <c:v>-1141.5479503993893</c:v>
                      </c:pt>
                      <c:pt idx="13">
                        <c:v>-1466.9588943618101</c:v>
                      </c:pt>
                      <c:pt idx="14">
                        <c:v>-1813.5949662569203</c:v>
                      </c:pt>
                      <c:pt idx="15">
                        <c:v>-2173.5511166637789</c:v>
                      </c:pt>
                      <c:pt idx="16">
                        <c:v>-2266.3991742452113</c:v>
                      </c:pt>
                      <c:pt idx="17">
                        <c:v>-2357.384357024529</c:v>
                      </c:pt>
                      <c:pt idx="18">
                        <c:v>-2450.4960097040785</c:v>
                      </c:pt>
                      <c:pt idx="19">
                        <c:v>-2542.0617576445638</c:v>
                      </c:pt>
                      <c:pt idx="20">
                        <c:v>-2908.6566541335787</c:v>
                      </c:pt>
                      <c:pt idx="21">
                        <c:v>-3269.7810881607415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74B-47E8-A19D-44B695C09DB0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74B-47E8-A19D-44B695C09DB0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74B-47E8-A19D-44B695C09DB0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74B-47E8-A19D-44B695C09DB0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ALL!$F$136:$AL$136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74B-47E8-A19D-44B695C09DB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ALL!$F$137:$AL$137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74B-47E8-A19D-44B695C09DB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ALL!$F$138:$AL$138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74B-47E8-A19D-44B695C09DB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ALL!$F$139:$AL$139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74B-47E8-A19D-44B695C09DB0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28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smoothMarker"/>
        <c:varyColors val="0"/>
        <c:ser>
          <c:idx val="5"/>
          <c:order val="5"/>
          <c:tx>
            <c:strRef>
              <c:f>ALL!$E$9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ALL!$F$9:$AL$9</c:f>
              <c:numCache>
                <c:formatCode>0.00</c:formatCode>
                <c:ptCount val="33"/>
                <c:pt idx="0">
                  <c:v>5.2450999999999998E-2</c:v>
                </c:pt>
                <c:pt idx="1">
                  <c:v>2.8126000000000002E-2</c:v>
                </c:pt>
                <c:pt idx="2">
                  <c:v>7.5303999999999996E-3</c:v>
                </c:pt>
                <c:pt idx="3">
                  <c:v>1.6239E-3</c:v>
                </c:pt>
                <c:pt idx="4">
                  <c:v>3.8434999999999999E-4</c:v>
                </c:pt>
                <c:pt idx="5">
                  <c:v>9.1833E-5</c:v>
                </c:pt>
                <c:pt idx="6">
                  <c:v>1.6246999999999999E-5</c:v>
                </c:pt>
                <c:pt idx="7">
                  <c:v>2.6618999999999999E-6</c:v>
                </c:pt>
                <c:pt idx="8">
                  <c:v>2.8435999999999999E-7</c:v>
                </c:pt>
                <c:pt idx="9">
                  <c:v>3.3676999999999998E-8</c:v>
                </c:pt>
                <c:pt idx="10">
                  <c:v>4.5736E-9</c:v>
                </c:pt>
                <c:pt idx="11">
                  <c:v>7.0760000000000002E-10</c:v>
                </c:pt>
                <c:pt idx="12">
                  <c:v>1.2301E-10</c:v>
                </c:pt>
                <c:pt idx="13">
                  <c:v>2.8091000000000001E-13</c:v>
                </c:pt>
                <c:pt idx="14">
                  <c:v>1.8204000000000002E-15</c:v>
                </c:pt>
                <c:pt idx="15">
                  <c:v>2.3338E-17</c:v>
                </c:pt>
                <c:pt idx="16">
                  <c:v>8.4999999999999995E-18</c:v>
                </c:pt>
                <c:pt idx="17">
                  <c:v>3.1781000000000001E-18</c:v>
                </c:pt>
                <c:pt idx="18">
                  <c:v>1.2172E-18</c:v>
                </c:pt>
                <c:pt idx="19">
                  <c:v>4.7653000000000002E-19</c:v>
                </c:pt>
                <c:pt idx="20">
                  <c:v>1.3479000000000001E-20</c:v>
                </c:pt>
                <c:pt idx="21">
                  <c:v>4.8049000000000002E-22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E7A-412E-BBF5-89E233391AB6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AE7A-412E-BBF5-89E233391AB6}"/>
              </c:ext>
            </c:extLst>
          </c:dPt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ALL!$F$10:$AL$10</c:f>
              <c:numCache>
                <c:formatCode>0.00</c:formatCode>
                <c:ptCount val="33"/>
                <c:pt idx="0">
                  <c:v>6.7547999999999997E-2</c:v>
                </c:pt>
                <c:pt idx="1">
                  <c:v>9.1858999999999996E-2</c:v>
                </c:pt>
                <c:pt idx="2">
                  <c:v>0.11228</c:v>
                </c:pt>
                <c:pt idx="3">
                  <c:v>0.11651</c:v>
                </c:pt>
                <c:pt idx="4">
                  <c:v>0.10771</c:v>
                </c:pt>
                <c:pt idx="5">
                  <c:v>7.7765000000000001E-2</c:v>
                </c:pt>
                <c:pt idx="6">
                  <c:v>3.7217E-2</c:v>
                </c:pt>
                <c:pt idx="7">
                  <c:v>1.4212000000000001E-2</c:v>
                </c:pt>
                <c:pt idx="8">
                  <c:v>4.1484E-3</c:v>
                </c:pt>
                <c:pt idx="9">
                  <c:v>1.2566999999999999E-3</c:v>
                </c:pt>
                <c:pt idx="10">
                  <c:v>4.1047000000000002E-4</c:v>
                </c:pt>
                <c:pt idx="11">
                  <c:v>1.4464999999999999E-4</c:v>
                </c:pt>
                <c:pt idx="12">
                  <c:v>5.4611999999999998E-5</c:v>
                </c:pt>
                <c:pt idx="13">
                  <c:v>1.9085999999999998E-6</c:v>
                </c:pt>
                <c:pt idx="14">
                  <c:v>1.2335E-7</c:v>
                </c:pt>
                <c:pt idx="15">
                  <c:v>1.1891E-8</c:v>
                </c:pt>
                <c:pt idx="16">
                  <c:v>6.9399E-9</c:v>
                </c:pt>
                <c:pt idx="17">
                  <c:v>4.1128000000000001E-9</c:v>
                </c:pt>
                <c:pt idx="18">
                  <c:v>2.4718000000000001E-9</c:v>
                </c:pt>
                <c:pt idx="19">
                  <c:v>1.5047E-9</c:v>
                </c:pt>
                <c:pt idx="20">
                  <c:v>2.3035999999999999E-10</c:v>
                </c:pt>
                <c:pt idx="21">
                  <c:v>4.0387000000000002E-11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ALL!$F$11:$AL$11</c:f>
              <c:numCache>
                <c:formatCode>0.00</c:formatCode>
                <c:ptCount val="33"/>
                <c:pt idx="0">
                  <c:v>3.8941000000000003E-2</c:v>
                </c:pt>
                <c:pt idx="1">
                  <c:v>4.3164000000000001E-2</c:v>
                </c:pt>
                <c:pt idx="2">
                  <c:v>4.6331999999999998E-2</c:v>
                </c:pt>
                <c:pt idx="3">
                  <c:v>4.7402E-2</c:v>
                </c:pt>
                <c:pt idx="4">
                  <c:v>4.8917000000000002E-2</c:v>
                </c:pt>
                <c:pt idx="5">
                  <c:v>5.2613E-2</c:v>
                </c:pt>
                <c:pt idx="6">
                  <c:v>5.6087999999999999E-2</c:v>
                </c:pt>
                <c:pt idx="7">
                  <c:v>1.0441999999999999E-3</c:v>
                </c:pt>
                <c:pt idx="8">
                  <c:v>1.0938E-7</c:v>
                </c:pt>
                <c:pt idx="9">
                  <c:v>2.1668999999999999E-11</c:v>
                </c:pt>
                <c:pt idx="10">
                  <c:v>7.6620999999999996E-15</c:v>
                </c:pt>
                <c:pt idx="11">
                  <c:v>4.5167E-18</c:v>
                </c:pt>
                <c:pt idx="12">
                  <c:v>4.1988000000000002E-21</c:v>
                </c:pt>
                <c:pt idx="13">
                  <c:v>1.3557999999999999E-31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ALL!$F$12:$AL$12</c:f>
              <c:numCache>
                <c:formatCode>0.00</c:formatCode>
                <c:ptCount val="33"/>
                <c:pt idx="0">
                  <c:v>7.8764000000000003E-7</c:v>
                </c:pt>
                <c:pt idx="1">
                  <c:v>7.4715999999999998E-6</c:v>
                </c:pt>
                <c:pt idx="2">
                  <c:v>9.4738E-5</c:v>
                </c:pt>
                <c:pt idx="3">
                  <c:v>9.3227000000000002E-4</c:v>
                </c:pt>
                <c:pt idx="4">
                  <c:v>5.9503999999999998E-3</c:v>
                </c:pt>
                <c:pt idx="5">
                  <c:v>2.1070999999999999E-2</c:v>
                </c:pt>
                <c:pt idx="6">
                  <c:v>4.1383000000000003E-2</c:v>
                </c:pt>
                <c:pt idx="7">
                  <c:v>5.2893000000000003E-2</c:v>
                </c:pt>
                <c:pt idx="8">
                  <c:v>5.7925999999999998E-2</c:v>
                </c:pt>
                <c:pt idx="9">
                  <c:v>5.9372000000000001E-2</c:v>
                </c:pt>
                <c:pt idx="10">
                  <c:v>5.9795000000000001E-2</c:v>
                </c:pt>
                <c:pt idx="11">
                  <c:v>5.9928000000000002E-2</c:v>
                </c:pt>
                <c:pt idx="12">
                  <c:v>5.9972999999999999E-2</c:v>
                </c:pt>
                <c:pt idx="13">
                  <c:v>5.9998999999999997E-2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ALL!$F$13:$AL$13</c:f>
              <c:numCache>
                <c:formatCode>0.00</c:formatCode>
                <c:ptCount val="33"/>
                <c:pt idx="0">
                  <c:v>6.9119E-21</c:v>
                </c:pt>
                <c:pt idx="1">
                  <c:v>3.1046E-17</c:v>
                </c:pt>
                <c:pt idx="2">
                  <c:v>1.1613000000000001E-13</c:v>
                </c:pt>
                <c:pt idx="3">
                  <c:v>2.0468999999999999E-10</c:v>
                </c:pt>
                <c:pt idx="4">
                  <c:v>1.4782000000000001E-7</c:v>
                </c:pt>
                <c:pt idx="5">
                  <c:v>4.8347000000000003E-5</c:v>
                </c:pt>
                <c:pt idx="6">
                  <c:v>9.5520999999999991E-3</c:v>
                </c:pt>
                <c:pt idx="7">
                  <c:v>0.19738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(l)Se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ALL!$F$14:$AL$14</c:f>
              <c:numCache>
                <c:formatCode>0.00</c:formatCode>
                <c:ptCount val="33"/>
                <c:pt idx="0">
                  <c:v>6.5137E-9</c:v>
                </c:pt>
                <c:pt idx="1">
                  <c:v>1.8022999999999999E-8</c:v>
                </c:pt>
                <c:pt idx="2">
                  <c:v>1.9216000000000001E-8</c:v>
                </c:pt>
                <c:pt idx="3">
                  <c:v>1.4127999999999999E-8</c:v>
                </c:pt>
                <c:pt idx="4">
                  <c:v>1.0792E-8</c:v>
                </c:pt>
                <c:pt idx="5">
                  <c:v>9.9617999999999992E-9</c:v>
                </c:pt>
                <c:pt idx="6">
                  <c:v>1.0096E-8</c:v>
                </c:pt>
                <c:pt idx="7">
                  <c:v>2.1419000000000001E-8</c:v>
                </c:pt>
                <c:pt idx="8">
                  <c:v>1.5926E-8</c:v>
                </c:pt>
                <c:pt idx="9">
                  <c:v>1.1574E-8</c:v>
                </c:pt>
                <c:pt idx="10">
                  <c:v>8.3898000000000001E-9</c:v>
                </c:pt>
                <c:pt idx="11">
                  <c:v>6.0866000000000001E-9</c:v>
                </c:pt>
                <c:pt idx="12">
                  <c:v>4.4243000000000001E-9</c:v>
                </c:pt>
                <c:pt idx="13">
                  <c:v>1.2651999999999999E-9</c:v>
                </c:pt>
                <c:pt idx="14">
                  <c:v>3.7555000000000001E-10</c:v>
                </c:pt>
                <c:pt idx="15">
                  <c:v>1.1495E-10</c:v>
                </c:pt>
                <c:pt idx="16">
                  <c:v>8.5818999999999999E-11</c:v>
                </c:pt>
                <c:pt idx="17">
                  <c:v>6.4141000000000006E-11</c:v>
                </c:pt>
                <c:pt idx="18">
                  <c:v>4.7985000000000003E-11</c:v>
                </c:pt>
                <c:pt idx="19">
                  <c:v>3.5928000000000001E-11</c:v>
                </c:pt>
                <c:pt idx="20">
                  <c:v>1.135E-11</c:v>
                </c:pt>
                <c:pt idx="21">
                  <c:v>3.5938999999999999E-12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(l)Se[a]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ALL!$F$15:$AL$15</c:f>
              <c:numCache>
                <c:formatCode>0.00</c:formatCode>
                <c:ptCount val="33"/>
                <c:pt idx="0">
                  <c:v>1.8050999999999999E-9</c:v>
                </c:pt>
                <c:pt idx="1">
                  <c:v>6.1321000000000004E-9</c:v>
                </c:pt>
                <c:pt idx="2">
                  <c:v>7.7454999999999998E-9</c:v>
                </c:pt>
                <c:pt idx="3">
                  <c:v>6.5640999999999997E-9</c:v>
                </c:pt>
                <c:pt idx="4">
                  <c:v>5.6573000000000003E-9</c:v>
                </c:pt>
                <c:pt idx="5">
                  <c:v>5.7921000000000003E-9</c:v>
                </c:pt>
                <c:pt idx="6">
                  <c:v>6.3408999999999999E-9</c:v>
                </c:pt>
                <c:pt idx="7">
                  <c:v>1.3219000000000001E-8</c:v>
                </c:pt>
                <c:pt idx="8">
                  <c:v>9.6430000000000007E-9</c:v>
                </c:pt>
                <c:pt idx="9">
                  <c:v>6.8697E-9</c:v>
                </c:pt>
                <c:pt idx="10">
                  <c:v>4.8790000000000002E-9</c:v>
                </c:pt>
                <c:pt idx="11">
                  <c:v>3.4675999999999999E-9</c:v>
                </c:pt>
                <c:pt idx="12">
                  <c:v>2.4694000000000002E-9</c:v>
                </c:pt>
                <c:pt idx="13">
                  <c:v>6.5206000000000002E-10</c:v>
                </c:pt>
                <c:pt idx="14">
                  <c:v>1.7954999999999999E-10</c:v>
                </c:pt>
                <c:pt idx="15">
                  <c:v>5.1136000000000002E-11</c:v>
                </c:pt>
                <c:pt idx="16">
                  <c:v>3.7508999999999999E-11</c:v>
                </c:pt>
                <c:pt idx="17">
                  <c:v>2.7548999999999999E-11</c:v>
                </c:pt>
                <c:pt idx="18">
                  <c:v>2.0257999999999999E-11</c:v>
                </c:pt>
                <c:pt idx="19">
                  <c:v>1.4910999999999999E-11</c:v>
                </c:pt>
                <c:pt idx="20">
                  <c:v>4.4090000000000003E-12</c:v>
                </c:pt>
                <c:pt idx="21">
                  <c:v>1.311E-12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ALL!$F$16:$AL$16</c:f>
              <c:numCache>
                <c:formatCode>0.00</c:formatCode>
                <c:ptCount val="33"/>
                <c:pt idx="0">
                  <c:v>7.5507999999999999E-3</c:v>
                </c:pt>
                <c:pt idx="1">
                  <c:v>3.1889000000000001E-2</c:v>
                </c:pt>
                <c:pt idx="2">
                  <c:v>5.2658999999999997E-2</c:v>
                </c:pt>
                <c:pt idx="3">
                  <c:v>6.0241000000000003E-2</c:v>
                </c:pt>
                <c:pt idx="4">
                  <c:v>7.1516999999999997E-2</c:v>
                </c:pt>
                <c:pt idx="5">
                  <c:v>0.10212</c:v>
                </c:pt>
                <c:pt idx="6">
                  <c:v>0.15708</c:v>
                </c:pt>
                <c:pt idx="7">
                  <c:v>0.46184999999999998</c:v>
                </c:pt>
                <c:pt idx="8">
                  <c:v>0.47585</c:v>
                </c:pt>
                <c:pt idx="9">
                  <c:v>0.47874</c:v>
                </c:pt>
                <c:pt idx="10">
                  <c:v>0.47959000000000002</c:v>
                </c:pt>
                <c:pt idx="11">
                  <c:v>0.47986000000000001</c:v>
                </c:pt>
                <c:pt idx="12">
                  <c:v>0.47994999999999999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  <c:pt idx="19">
                  <c:v>0.48</c:v>
                </c:pt>
                <c:pt idx="20">
                  <c:v>0.48</c:v>
                </c:pt>
                <c:pt idx="21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(l)Se[r]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ALL!$F$17:$AL$17</c:f>
              <c:numCache>
                <c:formatCode>0.00</c:formatCode>
                <c:ptCount val="33"/>
                <c:pt idx="0">
                  <c:v>3.0203999999999999E-11</c:v>
                </c:pt>
                <c:pt idx="1">
                  <c:v>1.6382999999999999E-10</c:v>
                </c:pt>
                <c:pt idx="2">
                  <c:v>3.0786000000000001E-10</c:v>
                </c:pt>
                <c:pt idx="3">
                  <c:v>3.6768000000000002E-10</c:v>
                </c:pt>
                <c:pt idx="4">
                  <c:v>4.2795999999999999E-10</c:v>
                </c:pt>
                <c:pt idx="5">
                  <c:v>5.7186000000000003E-10</c:v>
                </c:pt>
                <c:pt idx="6">
                  <c:v>7.9461000000000001E-10</c:v>
                </c:pt>
                <c:pt idx="7">
                  <c:v>2.0544999999999999E-9</c:v>
                </c:pt>
                <c:pt idx="8">
                  <c:v>1.8229E-9</c:v>
                </c:pt>
                <c:pt idx="9">
                  <c:v>1.5537999999999999E-9</c:v>
                </c:pt>
                <c:pt idx="10">
                  <c:v>1.3017E-9</c:v>
                </c:pt>
                <c:pt idx="11">
                  <c:v>1.0779E-9</c:v>
                </c:pt>
                <c:pt idx="12">
                  <c:v>8.8486999999999996E-10</c:v>
                </c:pt>
                <c:pt idx="13">
                  <c:v>3.7916999999999999E-10</c:v>
                </c:pt>
                <c:pt idx="14">
                  <c:v>1.5362999999999999E-10</c:v>
                </c:pt>
                <c:pt idx="15">
                  <c:v>6.0235999999999995E-11</c:v>
                </c:pt>
                <c:pt idx="16">
                  <c:v>4.7475999999999998E-11</c:v>
                </c:pt>
                <c:pt idx="17">
                  <c:v>3.7364999999999998E-11</c:v>
                </c:pt>
                <c:pt idx="18">
                  <c:v>2.9366999999999998E-11</c:v>
                </c:pt>
                <c:pt idx="19">
                  <c:v>2.3048E-11</c:v>
                </c:pt>
                <c:pt idx="20">
                  <c:v>8.6270000000000003E-12</c:v>
                </c:pt>
                <c:pt idx="21">
                  <c:v>3.1578000000000001E-12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(l)Ge[c]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ALL!$F$18:$AL$18</c:f>
              <c:numCache>
                <c:formatCode>0.00</c:formatCode>
                <c:ptCount val="33"/>
                <c:pt idx="0">
                  <c:v>7.8764000000000003E-7</c:v>
                </c:pt>
                <c:pt idx="1">
                  <c:v>7.4715999999999998E-6</c:v>
                </c:pt>
                <c:pt idx="2">
                  <c:v>9.4738E-5</c:v>
                </c:pt>
                <c:pt idx="3">
                  <c:v>9.3227000000000002E-4</c:v>
                </c:pt>
                <c:pt idx="4">
                  <c:v>5.9503999999999998E-3</c:v>
                </c:pt>
                <c:pt idx="5">
                  <c:v>2.1070999999999999E-2</c:v>
                </c:pt>
                <c:pt idx="6">
                  <c:v>4.1383000000000003E-2</c:v>
                </c:pt>
                <c:pt idx="7">
                  <c:v>5.2893000000000003E-2</c:v>
                </c:pt>
                <c:pt idx="8">
                  <c:v>5.7925999999999998E-2</c:v>
                </c:pt>
                <c:pt idx="9">
                  <c:v>5.9372000000000001E-2</c:v>
                </c:pt>
                <c:pt idx="10">
                  <c:v>5.9795000000000001E-2</c:v>
                </c:pt>
                <c:pt idx="11">
                  <c:v>5.9928000000000002E-2</c:v>
                </c:pt>
                <c:pt idx="12">
                  <c:v>5.9972999999999999E-2</c:v>
                </c:pt>
                <c:pt idx="13">
                  <c:v>5.9998999999999997E-2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AE7A-412E-BBF5-89E233391AB6}"/>
              </c:ext>
            </c:extLst>
          </c:dPt>
          <c:xVal>
            <c:numRef>
              <c:f>ALL!$A$34:$A$35</c:f>
              <c:numCache>
                <c:formatCode>General</c:formatCode>
                <c:ptCount val="2"/>
                <c:pt idx="0">
                  <c:v>731</c:v>
                </c:pt>
                <c:pt idx="1">
                  <c:v>731</c:v>
                </c:pt>
              </c:numCache>
            </c:numRef>
          </c:xVal>
          <c:yVal>
            <c:numRef>
              <c:f>ALL!$B$34:$B$35</c:f>
              <c:numCache>
                <c:formatCode>0.0E+00</c:formatCode>
                <c:ptCount val="2"/>
                <c:pt idx="0" formatCode="General">
                  <c:v>-60.79</c:v>
                </c:pt>
                <c:pt idx="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ALL!$F$4:$AL$4</c15:sqref>
                        </c15:formulaRef>
                      </c:ext>
                    </c:extLst>
                    <c:numCache>
                      <c:formatCode>0.00</c:formatCode>
                      <c:ptCount val="33"/>
                      <c:pt idx="0">
                        <c:v>3.4126E-9</c:v>
                      </c:pt>
                      <c:pt idx="1">
                        <c:v>6.8971000000000001E-9</c:v>
                      </c:pt>
                      <c:pt idx="2">
                        <c:v>1.2251999999999999E-8</c:v>
                      </c:pt>
                      <c:pt idx="3">
                        <c:v>9.8437000000000007E-9</c:v>
                      </c:pt>
                      <c:pt idx="4">
                        <c:v>7.0928999999999998E-9</c:v>
                      </c:pt>
                      <c:pt idx="5">
                        <c:v>1.4511000000000001E-11</c:v>
                      </c:pt>
                      <c:pt idx="6">
                        <c:v>7.7667000000000001E-23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AE7A-412E-BBF5-89E233391AB6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ALL!$F$5:$AL$5</c15:sqref>
                        </c15:formulaRef>
                      </c:ext>
                    </c:extLst>
                    <c:numCache>
                      <c:formatCode>0.00</c:formatCode>
                      <c:ptCount val="33"/>
                      <c:pt idx="0">
                        <c:v>7.6016999999999998E-31</c:v>
                      </c:pt>
                      <c:pt idx="1">
                        <c:v>2.9062E-21</c:v>
                      </c:pt>
                      <c:pt idx="2">
                        <c:v>1.2167E-17</c:v>
                      </c:pt>
                      <c:pt idx="3">
                        <c:v>3.46E-16</c:v>
                      </c:pt>
                      <c:pt idx="4">
                        <c:v>7.1997000000000001E-13</c:v>
                      </c:pt>
                      <c:pt idx="5">
                        <c:v>1.5125000000000001E-9</c:v>
                      </c:pt>
                      <c:pt idx="6">
                        <c:v>7.1831999999999998E-9</c:v>
                      </c:pt>
                      <c:pt idx="7">
                        <c:v>2.7564000000000001E-8</c:v>
                      </c:pt>
                      <c:pt idx="8">
                        <c:v>2.1766000000000001E-8</c:v>
                      </c:pt>
                      <c:pt idx="9">
                        <c:v>2.3666000000000002E-8</c:v>
                      </c:pt>
                      <c:pt idx="10">
                        <c:v>2.4103000000000001E-8</c:v>
                      </c:pt>
                      <c:pt idx="11">
                        <c:v>2.3997E-8</c:v>
                      </c:pt>
                      <c:pt idx="12">
                        <c:v>2.3738999999999998E-8</c:v>
                      </c:pt>
                      <c:pt idx="13">
                        <c:v>2.1979000000000001E-8</c:v>
                      </c:pt>
                      <c:pt idx="14">
                        <c:v>2.1196E-8</c:v>
                      </c:pt>
                      <c:pt idx="15">
                        <c:v>2.1174999999999999E-8</c:v>
                      </c:pt>
                      <c:pt idx="16">
                        <c:v>2.1165999999999999E-8</c:v>
                      </c:pt>
                      <c:pt idx="17">
                        <c:v>2.1155E-8</c:v>
                      </c:pt>
                      <c:pt idx="18">
                        <c:v>2.1212999999999999E-8</c:v>
                      </c:pt>
                      <c:pt idx="19">
                        <c:v>2.1276999999999999E-8</c:v>
                      </c:pt>
                      <c:pt idx="20">
                        <c:v>2.1562000000000001E-8</c:v>
                      </c:pt>
                      <c:pt idx="21">
                        <c:v>2.1891000000000001E-8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AE7A-412E-BBF5-89E233391AB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ALL!$F$6:$AL$6</c15:sqref>
                        </c15:formulaRef>
                      </c:ext>
                    </c:extLst>
                    <c:numCache>
                      <c:formatCode>0.00</c:formatCode>
                      <c:ptCount val="33"/>
                      <c:pt idx="0">
                        <c:v>6.1059000000000002E-2</c:v>
                      </c:pt>
                      <c:pt idx="1">
                        <c:v>5.6835999999999998E-2</c:v>
                      </c:pt>
                      <c:pt idx="2">
                        <c:v>5.3668E-2</c:v>
                      </c:pt>
                      <c:pt idx="3">
                        <c:v>5.2597999999999999E-2</c:v>
                      </c:pt>
                      <c:pt idx="4">
                        <c:v>5.1083000000000003E-2</c:v>
                      </c:pt>
                      <c:pt idx="5">
                        <c:v>4.7363000000000002E-2</c:v>
                      </c:pt>
                      <c:pt idx="6">
                        <c:v>3.9135999999999997E-2</c:v>
                      </c:pt>
                      <c:pt idx="7">
                        <c:v>2.6801E-4</c:v>
                      </c:pt>
                      <c:pt idx="8">
                        <c:v>2.7487E-8</c:v>
                      </c:pt>
                      <c:pt idx="9">
                        <c:v>5.4257999999999998E-12</c:v>
                      </c:pt>
                      <c:pt idx="10">
                        <c:v>1.9164999999999999E-15</c:v>
                      </c:pt>
                      <c:pt idx="11">
                        <c:v>1.1293999999999999E-18</c:v>
                      </c:pt>
                      <c:pt idx="12">
                        <c:v>1.0498000000000001E-21</c:v>
                      </c:pt>
                      <c:pt idx="13">
                        <c:v>3.3894E-32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AE7A-412E-BBF5-89E233391AB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ALL!$F$7:$AL$7</c15:sqref>
                        </c15:formulaRef>
                      </c:ext>
                    </c:extLst>
                    <c:numCache>
                      <c:formatCode>0.00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4.7876999999999999E-34</c:v>
                      </c:pt>
                      <c:pt idx="7">
                        <c:v>6.4196999999999995E-32</c:v>
                      </c:pt>
                      <c:pt idx="8">
                        <c:v>1.0090000000000001E-29</c:v>
                      </c:pt>
                      <c:pt idx="9">
                        <c:v>8.6744000000000001E-28</c:v>
                      </c:pt>
                      <c:pt idx="10">
                        <c:v>4.6054000000000001E-26</c:v>
                      </c:pt>
                      <c:pt idx="11">
                        <c:v>1.6372E-24</c:v>
                      </c:pt>
                      <c:pt idx="12">
                        <c:v>4.1365000000000001E-23</c:v>
                      </c:pt>
                      <c:pt idx="13">
                        <c:v>1.2665E-18</c:v>
                      </c:pt>
                      <c:pt idx="14">
                        <c:v>2.2310000000000002E-15</c:v>
                      </c:pt>
                      <c:pt idx="15">
                        <c:v>6.3804999999999999E-13</c:v>
                      </c:pt>
                      <c:pt idx="16">
                        <c:v>2.1290999999999999E-12</c:v>
                      </c:pt>
                      <c:pt idx="17">
                        <c:v>6.6288000000000002E-12</c:v>
                      </c:pt>
                      <c:pt idx="18">
                        <c:v>1.9369000000000001E-11</c:v>
                      </c:pt>
                      <c:pt idx="19">
                        <c:v>5.3384000000000003E-11</c:v>
                      </c:pt>
                      <c:pt idx="20">
                        <c:v>1.8718000000000001E-9</c:v>
                      </c:pt>
                      <c:pt idx="21">
                        <c:v>3.4675999999999999E-8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ALL!$F$8:$AL$8</c15:sqref>
                        </c15:formulaRef>
                      </c:ext>
                    </c:extLst>
                    <c:numCache>
                      <c:formatCode>0.00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ALL!$F$19:$AL$19</c15:sqref>
                        </c15:formulaRef>
                      </c:ext>
                    </c:extLst>
                    <c:numCache>
                      <c:formatCode>0.00</c:formatCode>
                      <c:ptCount val="33"/>
                      <c:pt idx="0">
                        <c:v>-18.88</c:v>
                      </c:pt>
                      <c:pt idx="1">
                        <c:v>-18.87</c:v>
                      </c:pt>
                      <c:pt idx="2">
                        <c:v>-18.899999999999999</c:v>
                      </c:pt>
                      <c:pt idx="3">
                        <c:v>-18.940000000000001</c:v>
                      </c:pt>
                      <c:pt idx="4">
                        <c:v>-18.989999999999998</c:v>
                      </c:pt>
                      <c:pt idx="5">
                        <c:v>-19.04</c:v>
                      </c:pt>
                      <c:pt idx="6">
                        <c:v>-19.07</c:v>
                      </c:pt>
                      <c:pt idx="7">
                        <c:v>-18.96</c:v>
                      </c:pt>
                      <c:pt idx="8">
                        <c:v>-19.03</c:v>
                      </c:pt>
                      <c:pt idx="9">
                        <c:v>-19.100000000000001</c:v>
                      </c:pt>
                      <c:pt idx="10">
                        <c:v>-19.170000000000002</c:v>
                      </c:pt>
                      <c:pt idx="11">
                        <c:v>-19.239999999999998</c:v>
                      </c:pt>
                      <c:pt idx="12">
                        <c:v>-19.309999999999999</c:v>
                      </c:pt>
                      <c:pt idx="13">
                        <c:v>-19.57</c:v>
                      </c:pt>
                      <c:pt idx="14">
                        <c:v>-19.82</c:v>
                      </c:pt>
                      <c:pt idx="15">
                        <c:v>-20.05</c:v>
                      </c:pt>
                      <c:pt idx="16">
                        <c:v>-20.11</c:v>
                      </c:pt>
                      <c:pt idx="17">
                        <c:v>-20.16</c:v>
                      </c:pt>
                      <c:pt idx="18">
                        <c:v>-20.21</c:v>
                      </c:pt>
                      <c:pt idx="19">
                        <c:v>-20.260000000000002</c:v>
                      </c:pt>
                      <c:pt idx="20">
                        <c:v>-20.46</c:v>
                      </c:pt>
                      <c:pt idx="21">
                        <c:v>-20.65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0-AE7A-412E-BBF5-89E233391AB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ALL!$F$20:$AL$20</c15:sqref>
                        </c15:formulaRef>
                      </c:ext>
                    </c:extLst>
                    <c:numCache>
                      <c:formatCode>0.00</c:formatCode>
                      <c:ptCount val="33"/>
                      <c:pt idx="0">
                        <c:v>-60.79</c:v>
                      </c:pt>
                      <c:pt idx="1">
                        <c:v>-53.82</c:v>
                      </c:pt>
                      <c:pt idx="2">
                        <c:v>-47.01</c:v>
                      </c:pt>
                      <c:pt idx="3">
                        <c:v>-40.9</c:v>
                      </c:pt>
                      <c:pt idx="4">
                        <c:v>-35.71</c:v>
                      </c:pt>
                      <c:pt idx="5">
                        <c:v>-31.39</c:v>
                      </c:pt>
                      <c:pt idx="6">
                        <c:v>-27.66</c:v>
                      </c:pt>
                      <c:pt idx="7">
                        <c:v>-26.79</c:v>
                      </c:pt>
                      <c:pt idx="8">
                        <c:v>-28.11</c:v>
                      </c:pt>
                      <c:pt idx="9">
                        <c:v>-29.41</c:v>
                      </c:pt>
                      <c:pt idx="10">
                        <c:v>-30.69</c:v>
                      </c:pt>
                      <c:pt idx="11">
                        <c:v>-31.94</c:v>
                      </c:pt>
                      <c:pt idx="12">
                        <c:v>-33.159999999999997</c:v>
                      </c:pt>
                      <c:pt idx="13">
                        <c:v>-37.67</c:v>
                      </c:pt>
                      <c:pt idx="14">
                        <c:v>-41.43</c:v>
                      </c:pt>
                      <c:pt idx="15">
                        <c:v>-44.33</c:v>
                      </c:pt>
                      <c:pt idx="16">
                        <c:v>-44.9</c:v>
                      </c:pt>
                      <c:pt idx="17">
                        <c:v>-45.42</c:v>
                      </c:pt>
                      <c:pt idx="18">
                        <c:v>-45.86</c:v>
                      </c:pt>
                      <c:pt idx="19">
                        <c:v>-46.25</c:v>
                      </c:pt>
                      <c:pt idx="20">
                        <c:v>-47.11</c:v>
                      </c:pt>
                      <c:pt idx="21">
                        <c:v>-46.85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1-AE7A-412E-BBF5-89E233391AB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ALL!$F$21:$AL$21</c15:sqref>
                        </c15:formulaRef>
                      </c:ext>
                    </c:extLst>
                    <c:numCache>
                      <c:formatCode>0.00</c:formatCode>
                      <c:ptCount val="33"/>
                      <c:pt idx="0">
                        <c:v>-16</c:v>
                      </c:pt>
                      <c:pt idx="1">
                        <c:v>-13.92</c:v>
                      </c:pt>
                      <c:pt idx="2">
                        <c:v>-11.54</c:v>
                      </c:pt>
                      <c:pt idx="3">
                        <c:v>-9.3460000000000001</c:v>
                      </c:pt>
                      <c:pt idx="4">
                        <c:v>-7.6120000000000001</c:v>
                      </c:pt>
                      <c:pt idx="5">
                        <c:v>-6.5529999999999999</c:v>
                      </c:pt>
                      <c:pt idx="6">
                        <c:v>-6.1760000000000002</c:v>
                      </c:pt>
                      <c:pt idx="7">
                        <c:v>-6.8330000000000002</c:v>
                      </c:pt>
                      <c:pt idx="8">
                        <c:v>-6.843</c:v>
                      </c:pt>
                      <c:pt idx="9">
                        <c:v>-6.9039999999999999</c:v>
                      </c:pt>
                      <c:pt idx="10">
                        <c:v>-6.9809999999999999</c:v>
                      </c:pt>
                      <c:pt idx="11">
                        <c:v>-7.0620000000000003</c:v>
                      </c:pt>
                      <c:pt idx="12">
                        <c:v>-7.1429999999999998</c:v>
                      </c:pt>
                      <c:pt idx="13">
                        <c:v>-7.4630000000000001</c:v>
                      </c:pt>
                      <c:pt idx="14">
                        <c:v>-7.7649999999999997</c:v>
                      </c:pt>
                      <c:pt idx="15">
                        <c:v>-8.048</c:v>
                      </c:pt>
                      <c:pt idx="16">
                        <c:v>-8.1159999999999997</c:v>
                      </c:pt>
                      <c:pt idx="17">
                        <c:v>-8.1820000000000004</c:v>
                      </c:pt>
                      <c:pt idx="18">
                        <c:v>-8.2479999999999993</c:v>
                      </c:pt>
                      <c:pt idx="19">
                        <c:v>-8.3130000000000006</c:v>
                      </c:pt>
                      <c:pt idx="20">
                        <c:v>-8.5609999999999999</c:v>
                      </c:pt>
                      <c:pt idx="21">
                        <c:v>-8.7949999999999999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2-AE7A-412E-BBF5-89E233391AB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ALL!$F$22:$AL$22</c15:sqref>
                        </c15:formulaRef>
                      </c:ext>
                    </c:extLst>
                    <c:numCache>
                      <c:formatCode>0.00</c:formatCode>
                      <c:ptCount val="33"/>
                      <c:pt idx="0">
                        <c:v>-22.14</c:v>
                      </c:pt>
                      <c:pt idx="1">
                        <c:v>-21.3</c:v>
                      </c:pt>
                      <c:pt idx="2">
                        <c:v>-21.39</c:v>
                      </c:pt>
                      <c:pt idx="3">
                        <c:v>-21.8</c:v>
                      </c:pt>
                      <c:pt idx="4">
                        <c:v>-22.19</c:v>
                      </c:pt>
                      <c:pt idx="5">
                        <c:v>-22.48</c:v>
                      </c:pt>
                      <c:pt idx="6">
                        <c:v>-22.79</c:v>
                      </c:pt>
                      <c:pt idx="7">
                        <c:v>-23.04</c:v>
                      </c:pt>
                      <c:pt idx="8">
                        <c:v>-23.53</c:v>
                      </c:pt>
                      <c:pt idx="9">
                        <c:v>-24.03</c:v>
                      </c:pt>
                      <c:pt idx="10">
                        <c:v>-24.51</c:v>
                      </c:pt>
                      <c:pt idx="11">
                        <c:v>-24.99</c:v>
                      </c:pt>
                      <c:pt idx="12">
                        <c:v>-25.47</c:v>
                      </c:pt>
                      <c:pt idx="13">
                        <c:v>-27.28</c:v>
                      </c:pt>
                      <c:pt idx="14">
                        <c:v>-29</c:v>
                      </c:pt>
                      <c:pt idx="15">
                        <c:v>-30.63</c:v>
                      </c:pt>
                      <c:pt idx="16">
                        <c:v>-31.03</c:v>
                      </c:pt>
                      <c:pt idx="17">
                        <c:v>-31.42</c:v>
                      </c:pt>
                      <c:pt idx="18">
                        <c:v>-31.81</c:v>
                      </c:pt>
                      <c:pt idx="19">
                        <c:v>-32.200000000000003</c:v>
                      </c:pt>
                      <c:pt idx="20">
                        <c:v>-33.729999999999997</c:v>
                      </c:pt>
                      <c:pt idx="21">
                        <c:v>-35.22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3-AE7A-412E-BBF5-89E233391AB6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4-AE7A-412E-BBF5-89E233391AB6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5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-60.345724742100003</c:v>
                </c:pt>
                <c:pt idx="1">
                  <c:v>-120.44752017981</c:v>
                </c:pt>
                <c:pt idx="2">
                  <c:v>-137.07748511079299</c:v>
                </c:pt>
                <c:pt idx="3">
                  <c:v>-154.21586962194999</c:v>
                </c:pt>
                <c:pt idx="4">
                  <c:v>-171.81651844380005</c:v>
                </c:pt>
                <c:pt idx="5">
                  <c:v>-189.91191687660006</c:v>
                </c:pt>
                <c:pt idx="6">
                  <c:v>-267.49840977980006</c:v>
                </c:pt>
                <c:pt idx="7">
                  <c:v>-288.62827312130008</c:v>
                </c:pt>
                <c:pt idx="8">
                  <c:v>-310.33458989375004</c:v>
                </c:pt>
                <c:pt idx="9">
                  <c:v>-332.60095919160005</c:v>
                </c:pt>
                <c:pt idx="10">
                  <c:v>-355.3086103224</c:v>
                </c:pt>
                <c:pt idx="11">
                  <c:v>-451.55909317530006</c:v>
                </c:pt>
                <c:pt idx="12">
                  <c:v>-477.72620654520006</c:v>
                </c:pt>
                <c:pt idx="13">
                  <c:v>-504.80560791850002</c:v>
                </c:pt>
                <c:pt idx="14">
                  <c:v>-532.58720429200002</c:v>
                </c:pt>
                <c:pt idx="15">
                  <c:v>-561.19702186800009</c:v>
                </c:pt>
                <c:pt idx="16">
                  <c:v>-681.6475869840001</c:v>
                </c:pt>
                <c:pt idx="17">
                  <c:v>-805.91686337500016</c:v>
                </c:pt>
                <c:pt idx="18">
                  <c:v>-932.94094425000003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F2-4069-8B7D-46697EC83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59448089071"/>
          <c:h val="0.8000927246350252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FLUID!$F$4:$AL$4</c:f>
              <c:numCache>
                <c:formatCode>0.0E+00</c:formatCode>
                <c:ptCount val="33"/>
                <c:pt idx="0">
                  <c:v>1.3056000000000001E-22</c:v>
                </c:pt>
                <c:pt idx="1">
                  <c:v>8.4706E-14</c:v>
                </c:pt>
                <c:pt idx="2">
                  <c:v>1.9731000000000001E-12</c:v>
                </c:pt>
                <c:pt idx="3">
                  <c:v>2.9366000000000002E-11</c:v>
                </c:pt>
                <c:pt idx="4">
                  <c:v>3.0681999999999998E-10</c:v>
                </c:pt>
                <c:pt idx="5">
                  <c:v>2.4323E-9</c:v>
                </c:pt>
                <c:pt idx="6">
                  <c:v>1.6574E-6</c:v>
                </c:pt>
                <c:pt idx="7">
                  <c:v>5.8046000000000003E-6</c:v>
                </c:pt>
                <c:pt idx="8">
                  <c:v>1.7708999999999999E-5</c:v>
                </c:pt>
                <c:pt idx="9">
                  <c:v>4.7824000000000002E-5</c:v>
                </c:pt>
                <c:pt idx="10">
                  <c:v>1.1595E-4</c:v>
                </c:pt>
                <c:pt idx="11">
                  <c:v>1.4264E-3</c:v>
                </c:pt>
                <c:pt idx="12">
                  <c:v>1.9935999999999999E-3</c:v>
                </c:pt>
                <c:pt idx="13">
                  <c:v>2.4840000000000001E-3</c:v>
                </c:pt>
                <c:pt idx="14">
                  <c:v>2.7785000000000002E-3</c:v>
                </c:pt>
                <c:pt idx="15">
                  <c:v>2.8771000000000001E-3</c:v>
                </c:pt>
                <c:pt idx="16">
                  <c:v>2.3430999999999999E-3</c:v>
                </c:pt>
                <c:pt idx="17">
                  <c:v>1.7071E-3</c:v>
                </c:pt>
                <c:pt idx="18">
                  <c:v>1.2738999999999999E-3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96-4DE2-99DA-C7F0C20F8110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FLUID!$F$5:$AL$5</c:f>
              <c:numCache>
                <c:formatCode>0.0E+00</c:formatCode>
                <c:ptCount val="33"/>
                <c:pt idx="0">
                  <c:v>7.6378999999999993E-21</c:v>
                </c:pt>
                <c:pt idx="1">
                  <c:v>5.8909999999999998E-13</c:v>
                </c:pt>
                <c:pt idx="2">
                  <c:v>9.5009000000000004E-12</c:v>
                </c:pt>
                <c:pt idx="3">
                  <c:v>1.0218E-10</c:v>
                </c:pt>
                <c:pt idx="4">
                  <c:v>8.0013999999999999E-10</c:v>
                </c:pt>
                <c:pt idx="5">
                  <c:v>4.9136000000000001E-9</c:v>
                </c:pt>
                <c:pt idx="6">
                  <c:v>1.6022000000000001E-6</c:v>
                </c:pt>
                <c:pt idx="7">
                  <c:v>4.8679999999999998E-6</c:v>
                </c:pt>
                <c:pt idx="8">
                  <c:v>1.2958E-5</c:v>
                </c:pt>
                <c:pt idx="9">
                  <c:v>3.0632000000000001E-5</c:v>
                </c:pt>
                <c:pt idx="10">
                  <c:v>6.5072000000000003E-5</c:v>
                </c:pt>
                <c:pt idx="11">
                  <c:v>4.3741E-4</c:v>
                </c:pt>
                <c:pt idx="12">
                  <c:v>5.0403000000000004E-4</c:v>
                </c:pt>
                <c:pt idx="13">
                  <c:v>5.0903999999999999E-4</c:v>
                </c:pt>
                <c:pt idx="14">
                  <c:v>4.5489E-4</c:v>
                </c:pt>
                <c:pt idx="15">
                  <c:v>3.7399999999999998E-4</c:v>
                </c:pt>
                <c:pt idx="16">
                  <c:v>1.2596999999999999E-4</c:v>
                </c:pt>
                <c:pt idx="17">
                  <c:v>4.3619999999999999E-5</c:v>
                </c:pt>
                <c:pt idx="18">
                  <c:v>1.7612999999999999E-5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96-4DE2-99DA-C7F0C20F8110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FLUID!$F$6:$AL$6</c:f>
              <c:numCache>
                <c:formatCode>0.0E+00</c:formatCode>
                <c:ptCount val="33"/>
                <c:pt idx="0">
                  <c:v>1.3752E-17</c:v>
                </c:pt>
                <c:pt idx="1">
                  <c:v>1.9065000000000001E-10</c:v>
                </c:pt>
                <c:pt idx="2">
                  <c:v>2.2833000000000002E-9</c:v>
                </c:pt>
                <c:pt idx="3">
                  <c:v>1.8868999999999998E-8</c:v>
                </c:pt>
                <c:pt idx="4">
                  <c:v>1.1695E-7</c:v>
                </c:pt>
                <c:pt idx="5">
                  <c:v>5.8406999999999996E-7</c:v>
                </c:pt>
                <c:pt idx="6">
                  <c:v>1.0599000000000001E-4</c:v>
                </c:pt>
                <c:pt idx="7">
                  <c:v>2.8779000000000001E-4</c:v>
                </c:pt>
                <c:pt idx="8">
                  <c:v>6.8687999999999996E-4</c:v>
                </c:pt>
                <c:pt idx="9">
                  <c:v>1.4574E-3</c:v>
                </c:pt>
                <c:pt idx="10">
                  <c:v>2.7763000000000002E-3</c:v>
                </c:pt>
                <c:pt idx="11">
                  <c:v>1.1018999999999999E-2</c:v>
                </c:pt>
                <c:pt idx="12">
                  <c:v>1.064E-2</c:v>
                </c:pt>
                <c:pt idx="13">
                  <c:v>8.8444000000000005E-3</c:v>
                </c:pt>
                <c:pt idx="14">
                  <c:v>6.4056E-3</c:v>
                </c:pt>
                <c:pt idx="15">
                  <c:v>4.2385000000000001E-3</c:v>
                </c:pt>
                <c:pt idx="16">
                  <c:v>6.1879999999999997E-4</c:v>
                </c:pt>
                <c:pt idx="17">
                  <c:v>1.0581000000000001E-4</c:v>
                </c:pt>
                <c:pt idx="18">
                  <c:v>2.3858000000000001E-5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96-4DE2-99DA-C7F0C20F8110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FLUID!$F$7:$AL$7</c:f>
              <c:numCache>
                <c:formatCode>0.0E+00</c:formatCode>
                <c:ptCount val="33"/>
                <c:pt idx="0">
                  <c:v>2.3151999999999998E-15</c:v>
                </c:pt>
                <c:pt idx="1">
                  <c:v>1.7347E-9</c:v>
                </c:pt>
                <c:pt idx="2">
                  <c:v>1.2705E-8</c:v>
                </c:pt>
                <c:pt idx="3">
                  <c:v>6.8158999999999995E-8</c:v>
                </c:pt>
                <c:pt idx="4">
                  <c:v>2.8845000000000002E-7</c:v>
                </c:pt>
                <c:pt idx="5">
                  <c:v>1.0280999999999999E-6</c:v>
                </c:pt>
                <c:pt idx="6">
                  <c:v>6.9690999999999994E-5</c:v>
                </c:pt>
                <c:pt idx="7">
                  <c:v>1.5655000000000001E-4</c:v>
                </c:pt>
                <c:pt idx="8">
                  <c:v>3.1220999999999999E-4</c:v>
                </c:pt>
                <c:pt idx="9">
                  <c:v>5.5734999999999997E-4</c:v>
                </c:pt>
                <c:pt idx="10">
                  <c:v>8.9707000000000003E-4</c:v>
                </c:pt>
                <c:pt idx="11">
                  <c:v>1.7256999999999999E-3</c:v>
                </c:pt>
                <c:pt idx="12">
                  <c:v>1.3401999999999999E-3</c:v>
                </c:pt>
                <c:pt idx="13">
                  <c:v>8.8225E-4</c:v>
                </c:pt>
                <c:pt idx="14">
                  <c:v>4.9950000000000005E-4</c:v>
                </c:pt>
                <c:pt idx="15">
                  <c:v>2.5712E-4</c:v>
                </c:pt>
                <c:pt idx="16">
                  <c:v>1.4467999999999999E-5</c:v>
                </c:pt>
                <c:pt idx="17">
                  <c:v>1.1112000000000001E-6</c:v>
                </c:pt>
                <c:pt idx="18">
                  <c:v>1.2944E-7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96-4DE2-99DA-C7F0C20F8110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FLUID!$F$8:$AL$8</c:f>
              <c:numCache>
                <c:formatCode>0.0E+00</c:formatCode>
                <c:ptCount val="33"/>
                <c:pt idx="0">
                  <c:v>2.5534000000000002E-16</c:v>
                </c:pt>
                <c:pt idx="1">
                  <c:v>3.8947999999999998E-10</c:v>
                </c:pt>
                <c:pt idx="2">
                  <c:v>3.1175E-9</c:v>
                </c:pt>
                <c:pt idx="3">
                  <c:v>1.7949999999999999E-8</c:v>
                </c:pt>
                <c:pt idx="4">
                  <c:v>8.0486999999999998E-8</c:v>
                </c:pt>
                <c:pt idx="5">
                  <c:v>3.0162000000000002E-7</c:v>
                </c:pt>
                <c:pt idx="6">
                  <c:v>2.4817999999999999E-5</c:v>
                </c:pt>
                <c:pt idx="7">
                  <c:v>5.7896999999999998E-5</c:v>
                </c:pt>
                <c:pt idx="8">
                  <c:v>1.1872E-4</c:v>
                </c:pt>
                <c:pt idx="9">
                  <c:v>2.1565000000000001E-4</c:v>
                </c:pt>
                <c:pt idx="10">
                  <c:v>3.4928999999999998E-4</c:v>
                </c:pt>
                <c:pt idx="11">
                  <c:v>5.8067999999999998E-4</c:v>
                </c:pt>
                <c:pt idx="12">
                  <c:v>4.0905999999999999E-4</c:v>
                </c:pt>
                <c:pt idx="13">
                  <c:v>2.3866999999999999E-4</c:v>
                </c:pt>
                <c:pt idx="14">
                  <c:v>1.1739E-4</c:v>
                </c:pt>
                <c:pt idx="15">
                  <c:v>5.1907000000000003E-5</c:v>
                </c:pt>
                <c:pt idx="16">
                  <c:v>1.5858999999999999E-6</c:v>
                </c:pt>
                <c:pt idx="17">
                  <c:v>7.2071999999999998E-8</c:v>
                </c:pt>
                <c:pt idx="18">
                  <c:v>5.4396000000000001E-9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696-4DE2-99DA-C7F0C20F8110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FLUID!$F$9:$AL$9</c:f>
              <c:numCache>
                <c:formatCode>0.0E+00</c:formatCode>
                <c:ptCount val="33"/>
                <c:pt idx="0">
                  <c:v>5.6206999999999997E-18</c:v>
                </c:pt>
                <c:pt idx="1">
                  <c:v>1.4855E-11</c:v>
                </c:pt>
                <c:pt idx="2">
                  <c:v>1.2668E-10</c:v>
                </c:pt>
                <c:pt idx="3">
                  <c:v>7.6573E-10</c:v>
                </c:pt>
                <c:pt idx="4">
                  <c:v>3.5687999999999999E-9</c:v>
                </c:pt>
                <c:pt idx="5">
                  <c:v>1.3825999999999999E-8</c:v>
                </c:pt>
                <c:pt idx="6">
                  <c:v>1.3120000000000001E-6</c:v>
                </c:pt>
                <c:pt idx="7">
                  <c:v>3.1472999999999999E-6</c:v>
                </c:pt>
                <c:pt idx="8">
                  <c:v>6.5763E-6</c:v>
                </c:pt>
                <c:pt idx="9">
                  <c:v>1.2055999999999999E-5</c:v>
                </c:pt>
                <c:pt idx="10">
                  <c:v>1.9502000000000001E-5</c:v>
                </c:pt>
                <c:pt idx="11">
                  <c:v>2.7330000000000001E-5</c:v>
                </c:pt>
                <c:pt idx="12">
                  <c:v>1.7374E-5</c:v>
                </c:pt>
                <c:pt idx="13">
                  <c:v>8.9414000000000005E-6</c:v>
                </c:pt>
                <c:pt idx="14">
                  <c:v>3.8031999999999999E-6</c:v>
                </c:pt>
                <c:pt idx="15">
                  <c:v>1.4384000000000001E-6</c:v>
                </c:pt>
                <c:pt idx="16">
                  <c:v>2.3513E-8</c:v>
                </c:pt>
                <c:pt idx="17">
                  <c:v>6.2489999999999998E-10</c:v>
                </c:pt>
                <c:pt idx="18">
                  <c:v>3.0264000000000003E-11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696-4DE2-99DA-C7F0C20F8110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5696-4DE2-99DA-C7F0C20F8110}"/>
              </c:ext>
            </c:extLst>
          </c:dPt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FLUID!$F$10:$AL$10</c:f>
              <c:numCache>
                <c:formatCode>0.0E+00</c:formatCode>
                <c:ptCount val="33"/>
                <c:pt idx="0">
                  <c:v>5.9567000000000001E-18</c:v>
                </c:pt>
                <c:pt idx="1">
                  <c:v>1.1197E-10</c:v>
                </c:pt>
                <c:pt idx="2">
                  <c:v>1.5425E-9</c:v>
                </c:pt>
                <c:pt idx="3">
                  <c:v>1.4734E-8</c:v>
                </c:pt>
                <c:pt idx="4">
                  <c:v>1.0530999999999999E-7</c:v>
                </c:pt>
                <c:pt idx="5">
                  <c:v>5.9993000000000005E-7</c:v>
                </c:pt>
                <c:pt idx="6">
                  <c:v>1.4694E-4</c:v>
                </c:pt>
                <c:pt idx="7">
                  <c:v>4.2429000000000002E-4</c:v>
                </c:pt>
                <c:pt idx="8">
                  <c:v>1.0943000000000001E-3</c:v>
                </c:pt>
                <c:pt idx="9">
                  <c:v>2.5579000000000001E-3</c:v>
                </c:pt>
                <c:pt idx="10">
                  <c:v>5.4903E-3</c:v>
                </c:pt>
                <c:pt idx="11">
                  <c:v>5.3856000000000001E-2</c:v>
                </c:pt>
                <c:pt idx="12">
                  <c:v>7.6957999999999999E-2</c:v>
                </c:pt>
                <c:pt idx="13">
                  <c:v>0.1009</c:v>
                </c:pt>
                <c:pt idx="14">
                  <c:v>0.12180000000000001</c:v>
                </c:pt>
                <c:pt idx="15">
                  <c:v>0.13827999999999999</c:v>
                </c:pt>
                <c:pt idx="16">
                  <c:v>0.16958000000000001</c:v>
                </c:pt>
                <c:pt idx="17">
                  <c:v>0.17902000000000001</c:v>
                </c:pt>
                <c:pt idx="18">
                  <c:v>0.18295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696-4DE2-99DA-C7F0C20F8110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FLUID!$F$11:$AL$11</c:f>
              <c:numCache>
                <c:formatCode>0.0E+00</c:formatCode>
                <c:ptCount val="33"/>
                <c:pt idx="0">
                  <c:v>6.4033E-36</c:v>
                </c:pt>
                <c:pt idx="1">
                  <c:v>2.5945999999999999E-23</c:v>
                </c:pt>
                <c:pt idx="2">
                  <c:v>2.6408000000000001E-21</c:v>
                </c:pt>
                <c:pt idx="3">
                  <c:v>1.4384E-19</c:v>
                </c:pt>
                <c:pt idx="4">
                  <c:v>4.7421000000000004E-18</c:v>
                </c:pt>
                <c:pt idx="5">
                  <c:v>1.0437E-16</c:v>
                </c:pt>
                <c:pt idx="6">
                  <c:v>1.5332999999999999E-12</c:v>
                </c:pt>
                <c:pt idx="7">
                  <c:v>9.8017999999999997E-12</c:v>
                </c:pt>
                <c:pt idx="8">
                  <c:v>5.2666000000000002E-11</c:v>
                </c:pt>
                <c:pt idx="9">
                  <c:v>2.4358E-10</c:v>
                </c:pt>
                <c:pt idx="10">
                  <c:v>9.9060000000000007E-10</c:v>
                </c:pt>
                <c:pt idx="11">
                  <c:v>9.6452999999999997E-8</c:v>
                </c:pt>
                <c:pt idx="12">
                  <c:v>2.3846999999999999E-7</c:v>
                </c:pt>
                <c:pt idx="13">
                  <c:v>5.384E-7</c:v>
                </c:pt>
                <c:pt idx="14">
                  <c:v>1.1132E-6</c:v>
                </c:pt>
                <c:pt idx="15">
                  <c:v>2.1393E-6</c:v>
                </c:pt>
                <c:pt idx="16">
                  <c:v>1.7793000000000001E-5</c:v>
                </c:pt>
                <c:pt idx="17">
                  <c:v>9.1658999999999998E-5</c:v>
                </c:pt>
                <c:pt idx="18">
                  <c:v>3.4886999999999999E-4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696-4DE2-99DA-C7F0C20F8110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FLUID!$F$12:$AL$12</c:f>
              <c:numCache>
                <c:formatCode>0.0E+00</c:formatCode>
                <c:ptCount val="33"/>
                <c:pt idx="0">
                  <c:v>2.555E-9</c:v>
                </c:pt>
                <c:pt idx="1">
                  <c:v>4.7712E-5</c:v>
                </c:pt>
                <c:pt idx="2">
                  <c:v>2.1557E-4</c:v>
                </c:pt>
                <c:pt idx="3">
                  <c:v>7.7851000000000005E-4</c:v>
                </c:pt>
                <c:pt idx="4">
                  <c:v>2.3381000000000001E-3</c:v>
                </c:pt>
                <c:pt idx="5">
                  <c:v>5.9845999999999996E-3</c:v>
                </c:pt>
                <c:pt idx="6">
                  <c:v>5.2388999999999998E-2</c:v>
                </c:pt>
                <c:pt idx="7">
                  <c:v>6.318E-2</c:v>
                </c:pt>
                <c:pt idx="8">
                  <c:v>7.1395E-2</c:v>
                </c:pt>
                <c:pt idx="9">
                  <c:v>7.7561000000000005E-2</c:v>
                </c:pt>
                <c:pt idx="10">
                  <c:v>8.2317000000000001E-2</c:v>
                </c:pt>
                <c:pt idx="11">
                  <c:v>9.3668000000000001E-2</c:v>
                </c:pt>
                <c:pt idx="12">
                  <c:v>9.5077999999999996E-2</c:v>
                </c:pt>
                <c:pt idx="13">
                  <c:v>9.6074000000000007E-2</c:v>
                </c:pt>
                <c:pt idx="14">
                  <c:v>9.6721000000000001E-2</c:v>
                </c:pt>
                <c:pt idx="15">
                  <c:v>9.7151000000000001E-2</c:v>
                </c:pt>
                <c:pt idx="16">
                  <c:v>9.7881999999999997E-2</c:v>
                </c:pt>
                <c:pt idx="17">
                  <c:v>9.8086999999999994E-2</c:v>
                </c:pt>
                <c:pt idx="18">
                  <c:v>9.8153000000000004E-2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5696-4DE2-99DA-C7F0C20F8110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FLUID!$F$13:$AL$13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696-4DE2-99DA-C7F0C20F8110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FLUID!$A$34:$A$35</c:f>
              <c:numCache>
                <c:formatCode>General</c:formatCode>
                <c:ptCount val="2"/>
                <c:pt idx="0">
                  <c:v>731</c:v>
                </c:pt>
                <c:pt idx="1">
                  <c:v>731</c:v>
                </c:pt>
              </c:numCache>
            </c:numRef>
          </c:xVal>
          <c:yVal>
            <c:numRef>
              <c:f>FLUID!$B$34:$B$35</c:f>
              <c:numCache>
                <c:formatCode>0.0E+00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CF-4AE5-880A-63C83CDD9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0.19989999999999999</c:v>
                      </c:pt>
                      <c:pt idx="2">
                        <c:v>0.19957</c:v>
                      </c:pt>
                      <c:pt idx="3">
                        <c:v>0.19844000000000001</c:v>
                      </c:pt>
                      <c:pt idx="4">
                        <c:v>0.19531999999999999</c:v>
                      </c:pt>
                      <c:pt idx="5">
                        <c:v>0.18803</c:v>
                      </c:pt>
                      <c:pt idx="6">
                        <c:v>9.5223000000000002E-2</c:v>
                      </c:pt>
                      <c:pt idx="7">
                        <c:v>7.3639999999999997E-2</c:v>
                      </c:pt>
                      <c:pt idx="8">
                        <c:v>5.7209999999999997E-2</c:v>
                      </c:pt>
                      <c:pt idx="9">
                        <c:v>4.4878000000000001E-2</c:v>
                      </c:pt>
                      <c:pt idx="10">
                        <c:v>3.5367000000000003E-2</c:v>
                      </c:pt>
                      <c:pt idx="11">
                        <c:v>1.2664999999999999E-2</c:v>
                      </c:pt>
                      <c:pt idx="12">
                        <c:v>9.8434999999999998E-3</c:v>
                      </c:pt>
                      <c:pt idx="13">
                        <c:v>7.8524000000000007E-3</c:v>
                      </c:pt>
                      <c:pt idx="14">
                        <c:v>6.5586999999999998E-3</c:v>
                      </c:pt>
                      <c:pt idx="15">
                        <c:v>5.6974E-3</c:v>
                      </c:pt>
                      <c:pt idx="16">
                        <c:v>4.2364000000000004E-3</c:v>
                      </c:pt>
                      <c:pt idx="17">
                        <c:v>3.8252E-3</c:v>
                      </c:pt>
                      <c:pt idx="18">
                        <c:v>3.6916000000000002E-3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5696-4DE2-99DA-C7F0C20F811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696-4DE2-99DA-C7F0C20F811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0.48</c:v>
                      </c:pt>
                      <c:pt idx="1">
                        <c:v>0.47994999999999999</c:v>
                      </c:pt>
                      <c:pt idx="2">
                        <c:v>0.47977999999999998</c:v>
                      </c:pt>
                      <c:pt idx="3">
                        <c:v>0.47921999999999998</c:v>
                      </c:pt>
                      <c:pt idx="4">
                        <c:v>0.47765999999999997</c:v>
                      </c:pt>
                      <c:pt idx="5">
                        <c:v>0.47399999999999998</c:v>
                      </c:pt>
                      <c:pt idx="6">
                        <c:v>0.42616999999999999</c:v>
                      </c:pt>
                      <c:pt idx="7">
                        <c:v>0.41313</c:v>
                      </c:pt>
                      <c:pt idx="8">
                        <c:v>0.40011999999999998</c:v>
                      </c:pt>
                      <c:pt idx="9">
                        <c:v>0.38482</c:v>
                      </c:pt>
                      <c:pt idx="10">
                        <c:v>0.36423</c:v>
                      </c:pt>
                      <c:pt idx="11">
                        <c:v>0.20286000000000001</c:v>
                      </c:pt>
                      <c:pt idx="12">
                        <c:v>0.15876999999999999</c:v>
                      </c:pt>
                      <c:pt idx="13">
                        <c:v>0.12138</c:v>
                      </c:pt>
                      <c:pt idx="14">
                        <c:v>9.3656000000000003E-2</c:v>
                      </c:pt>
                      <c:pt idx="15">
                        <c:v>7.3054999999999995E-2</c:v>
                      </c:pt>
                      <c:pt idx="16">
                        <c:v>3.2212999999999999E-2</c:v>
                      </c:pt>
                      <c:pt idx="17">
                        <c:v>1.7951000000000002E-2</c:v>
                      </c:pt>
                      <c:pt idx="18">
                        <c:v>1.1579000000000001E-2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696-4DE2-99DA-C7F0C20F8110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H (Аг)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-18.61</c:v>
                      </c:pt>
                      <c:pt idx="1">
                        <c:v>-18.760000000000002</c:v>
                      </c:pt>
                      <c:pt idx="2">
                        <c:v>-18.829999999999998</c:v>
                      </c:pt>
                      <c:pt idx="3">
                        <c:v>-18.899999999999999</c:v>
                      </c:pt>
                      <c:pt idx="4">
                        <c:v>-18.97</c:v>
                      </c:pt>
                      <c:pt idx="5">
                        <c:v>-19.059999999999999</c:v>
                      </c:pt>
                      <c:pt idx="6">
                        <c:v>-19.54</c:v>
                      </c:pt>
                      <c:pt idx="7">
                        <c:v>-19.649999999999999</c:v>
                      </c:pt>
                      <c:pt idx="8">
                        <c:v>-19.760000000000002</c:v>
                      </c:pt>
                      <c:pt idx="9">
                        <c:v>-19.850000000000001</c:v>
                      </c:pt>
                      <c:pt idx="10">
                        <c:v>-19.95</c:v>
                      </c:pt>
                      <c:pt idx="11">
                        <c:v>-20.420000000000002</c:v>
                      </c:pt>
                      <c:pt idx="12">
                        <c:v>-20.54</c:v>
                      </c:pt>
                      <c:pt idx="13">
                        <c:v>-20.66</c:v>
                      </c:pt>
                      <c:pt idx="14">
                        <c:v>-20.76</c:v>
                      </c:pt>
                      <c:pt idx="15">
                        <c:v>-20.85</c:v>
                      </c:pt>
                      <c:pt idx="16">
                        <c:v>-21.12</c:v>
                      </c:pt>
                      <c:pt idx="17">
                        <c:v>-21.34</c:v>
                      </c:pt>
                      <c:pt idx="18">
                        <c:v>-21.53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696-4DE2-99DA-C7F0C20F8110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-6.2460000000000004</c:v>
                      </c:pt>
                      <c:pt idx="1">
                        <c:v>-7.1479999999999997</c:v>
                      </c:pt>
                      <c:pt idx="2">
                        <c:v>-7.3440000000000003</c:v>
                      </c:pt>
                      <c:pt idx="3">
                        <c:v>-7.5309999999999997</c:v>
                      </c:pt>
                      <c:pt idx="4">
                        <c:v>-7.7160000000000002</c:v>
                      </c:pt>
                      <c:pt idx="5">
                        <c:v>-7.907</c:v>
                      </c:pt>
                      <c:pt idx="6">
                        <c:v>-8.98</c:v>
                      </c:pt>
                      <c:pt idx="7">
                        <c:v>-9.3170000000000002</c:v>
                      </c:pt>
                      <c:pt idx="8">
                        <c:v>-9.6470000000000002</c:v>
                      </c:pt>
                      <c:pt idx="9">
                        <c:v>-9.9629999999999992</c:v>
                      </c:pt>
                      <c:pt idx="10">
                        <c:v>-10.26</c:v>
                      </c:pt>
                      <c:pt idx="11">
                        <c:v>-11.28</c:v>
                      </c:pt>
                      <c:pt idx="12">
                        <c:v>-11.49</c:v>
                      </c:pt>
                      <c:pt idx="13">
                        <c:v>-11.66</c:v>
                      </c:pt>
                      <c:pt idx="14">
                        <c:v>-11.81</c:v>
                      </c:pt>
                      <c:pt idx="15">
                        <c:v>-11.94</c:v>
                      </c:pt>
                      <c:pt idx="16">
                        <c:v>-12.34</c:v>
                      </c:pt>
                      <c:pt idx="17">
                        <c:v>-12.65</c:v>
                      </c:pt>
                      <c:pt idx="18">
                        <c:v>-12.92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696-4DE2-99DA-C7F0C20F8110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5.367</c:v>
                      </c:pt>
                      <c:pt idx="1">
                        <c:v>0.73660000000000003</c:v>
                      </c:pt>
                      <c:pt idx="2">
                        <c:v>-5.534E-2</c:v>
                      </c:pt>
                      <c:pt idx="3">
                        <c:v>-0.75560000000000005</c:v>
                      </c:pt>
                      <c:pt idx="4">
                        <c:v>-1.3779999999999999</c:v>
                      </c:pt>
                      <c:pt idx="5">
                        <c:v>-1.93</c:v>
                      </c:pt>
                      <c:pt idx="6">
                        <c:v>-3.5449999999999999</c:v>
                      </c:pt>
                      <c:pt idx="7">
                        <c:v>-3.8580000000000001</c:v>
                      </c:pt>
                      <c:pt idx="8">
                        <c:v>-4.1520000000000001</c:v>
                      </c:pt>
                      <c:pt idx="9">
                        <c:v>-4.423</c:v>
                      </c:pt>
                      <c:pt idx="10">
                        <c:v>-4.6680000000000001</c:v>
                      </c:pt>
                      <c:pt idx="11">
                        <c:v>-5.2690000000000001</c:v>
                      </c:pt>
                      <c:pt idx="12">
                        <c:v>-5.3449999999999998</c:v>
                      </c:pt>
                      <c:pt idx="13">
                        <c:v>-5.4130000000000003</c:v>
                      </c:pt>
                      <c:pt idx="14">
                        <c:v>-5.4939999999999998</c:v>
                      </c:pt>
                      <c:pt idx="15">
                        <c:v>-5.5880000000000001</c:v>
                      </c:pt>
                      <c:pt idx="16">
                        <c:v>-6.0519999999999996</c:v>
                      </c:pt>
                      <c:pt idx="17">
                        <c:v>-6.5549999999999997</c:v>
                      </c:pt>
                      <c:pt idx="18">
                        <c:v>-7.0309999999999997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696-4DE2-99DA-C7F0C20F8110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-4.8239999999999998</c:v>
                      </c:pt>
                      <c:pt idx="1">
                        <c:v>-5.5949999999999998</c:v>
                      </c:pt>
                      <c:pt idx="2">
                        <c:v>-5.7880000000000003</c:v>
                      </c:pt>
                      <c:pt idx="3">
                        <c:v>-5.9749999999999996</c:v>
                      </c:pt>
                      <c:pt idx="4">
                        <c:v>-6.1550000000000002</c:v>
                      </c:pt>
                      <c:pt idx="5">
                        <c:v>-6.3259999999999996</c:v>
                      </c:pt>
                      <c:pt idx="6">
                        <c:v>-6.8819999999999997</c:v>
                      </c:pt>
                      <c:pt idx="7">
                        <c:v>-7.0060000000000002</c:v>
                      </c:pt>
                      <c:pt idx="8">
                        <c:v>-7.1319999999999997</c:v>
                      </c:pt>
                      <c:pt idx="9">
                        <c:v>-7.2610000000000001</c:v>
                      </c:pt>
                      <c:pt idx="10">
                        <c:v>-7.3940000000000001</c:v>
                      </c:pt>
                      <c:pt idx="11">
                        <c:v>-8.0410000000000004</c:v>
                      </c:pt>
                      <c:pt idx="12">
                        <c:v>-8.2520000000000007</c:v>
                      </c:pt>
                      <c:pt idx="13">
                        <c:v>-8.4819999999999993</c:v>
                      </c:pt>
                      <c:pt idx="14">
                        <c:v>-8.7279999999999998</c:v>
                      </c:pt>
                      <c:pt idx="15">
                        <c:v>-8.9819999999999993</c:v>
                      </c:pt>
                      <c:pt idx="16">
                        <c:v>-9.968</c:v>
                      </c:pt>
                      <c:pt idx="17">
                        <c:v>-10.83</c:v>
                      </c:pt>
                      <c:pt idx="18">
                        <c:v>-11.56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696-4DE2-99DA-C7F0C20F8110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696-4DE2-99DA-C7F0C20F8110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696-4DE2-99DA-C7F0C20F8110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696-4DE2-99DA-C7F0C20F8110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696-4DE2-99DA-C7F0C20F8110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696-4DE2-99DA-C7F0C20F8110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696-4DE2-99DA-C7F0C20F8110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696-4DE2-99DA-C7F0C20F8110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696-4DE2-99DA-C7F0C20F8110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696-4DE2-99DA-C7F0C20F8110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696-4DE2-99DA-C7F0C20F8110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696-4DE2-99DA-C7F0C20F8110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696-4DE2-99DA-C7F0C20F8110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4.7294133830119246E-2"/>
          <c:w val="0.83553361749524424"/>
          <c:h val="0.84652359165606239"/>
        </c:manualLayout>
      </c:layout>
      <c:scatterChart>
        <c:scatterStyle val="smoothMarker"/>
        <c:varyColors val="0"/>
        <c:ser>
          <c:idx val="10"/>
          <c:order val="10"/>
          <c:tx>
            <c:strRef>
              <c:f>FLUID!$E$14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FLUID!$F$14:$AL$14</c:f>
              <c:numCache>
                <c:formatCode>0.0E+00</c:formatCode>
                <c:ptCount val="33"/>
                <c:pt idx="0">
                  <c:v>0.2</c:v>
                </c:pt>
                <c:pt idx="1">
                  <c:v>0.19989999999999999</c:v>
                </c:pt>
                <c:pt idx="2">
                  <c:v>0.19957</c:v>
                </c:pt>
                <c:pt idx="3">
                  <c:v>0.19844000000000001</c:v>
                </c:pt>
                <c:pt idx="4">
                  <c:v>0.19531999999999999</c:v>
                </c:pt>
                <c:pt idx="5">
                  <c:v>0.18803</c:v>
                </c:pt>
                <c:pt idx="6">
                  <c:v>9.5223000000000002E-2</c:v>
                </c:pt>
                <c:pt idx="7">
                  <c:v>7.3639999999999997E-2</c:v>
                </c:pt>
                <c:pt idx="8">
                  <c:v>5.7209999999999997E-2</c:v>
                </c:pt>
                <c:pt idx="9">
                  <c:v>4.4878000000000001E-2</c:v>
                </c:pt>
                <c:pt idx="10">
                  <c:v>3.5367000000000003E-2</c:v>
                </c:pt>
                <c:pt idx="11">
                  <c:v>1.2664999999999999E-2</c:v>
                </c:pt>
                <c:pt idx="12">
                  <c:v>9.8434999999999998E-3</c:v>
                </c:pt>
                <c:pt idx="13">
                  <c:v>7.8524000000000007E-3</c:v>
                </c:pt>
                <c:pt idx="14">
                  <c:v>6.5586999999999998E-3</c:v>
                </c:pt>
                <c:pt idx="15">
                  <c:v>5.6974E-3</c:v>
                </c:pt>
                <c:pt idx="16">
                  <c:v>4.2364000000000004E-3</c:v>
                </c:pt>
                <c:pt idx="17">
                  <c:v>3.8252E-3</c:v>
                </c:pt>
                <c:pt idx="18">
                  <c:v>3.6916000000000002E-3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7A61-4FB5-94E6-BE91A525E719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FLUID!$F$15:$AL$15</c:f>
              <c:numCache>
                <c:formatCode>0.0E+00</c:formatCode>
                <c:ptCount val="33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7A61-4FB5-94E6-BE91A525E719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FLUID!$F$16:$AL$16</c:f>
              <c:numCache>
                <c:formatCode>0.0E+00</c:formatCode>
                <c:ptCount val="33"/>
                <c:pt idx="0">
                  <c:v>0.48</c:v>
                </c:pt>
                <c:pt idx="1">
                  <c:v>0.47994999999999999</c:v>
                </c:pt>
                <c:pt idx="2">
                  <c:v>0.47977999999999998</c:v>
                </c:pt>
                <c:pt idx="3">
                  <c:v>0.47921999999999998</c:v>
                </c:pt>
                <c:pt idx="4">
                  <c:v>0.47765999999999997</c:v>
                </c:pt>
                <c:pt idx="5">
                  <c:v>0.47399999999999998</c:v>
                </c:pt>
                <c:pt idx="6">
                  <c:v>0.42616999999999999</c:v>
                </c:pt>
                <c:pt idx="7">
                  <c:v>0.41313</c:v>
                </c:pt>
                <c:pt idx="8">
                  <c:v>0.40011999999999998</c:v>
                </c:pt>
                <c:pt idx="9">
                  <c:v>0.38482</c:v>
                </c:pt>
                <c:pt idx="10">
                  <c:v>0.36423</c:v>
                </c:pt>
                <c:pt idx="11">
                  <c:v>0.20286000000000001</c:v>
                </c:pt>
                <c:pt idx="12">
                  <c:v>0.15876999999999999</c:v>
                </c:pt>
                <c:pt idx="13">
                  <c:v>0.12138</c:v>
                </c:pt>
                <c:pt idx="14">
                  <c:v>9.3656000000000003E-2</c:v>
                </c:pt>
                <c:pt idx="15">
                  <c:v>7.3054999999999995E-2</c:v>
                </c:pt>
                <c:pt idx="16">
                  <c:v>3.2212999999999999E-2</c:v>
                </c:pt>
                <c:pt idx="17">
                  <c:v>1.7951000000000002E-2</c:v>
                </c:pt>
                <c:pt idx="18">
                  <c:v>1.1579000000000001E-2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7A61-4FB5-94E6-BE91A525E719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7A61-4FB5-94E6-BE91A525E719}"/>
              </c:ext>
            </c:extLst>
          </c:dPt>
          <c:xVal>
            <c:numRef>
              <c:f>FLUID!$A$34:$A$35</c:f>
              <c:numCache>
                <c:formatCode>General</c:formatCode>
                <c:ptCount val="2"/>
                <c:pt idx="0">
                  <c:v>731</c:v>
                </c:pt>
                <c:pt idx="1">
                  <c:v>731</c:v>
                </c:pt>
              </c:numCache>
            </c:numRef>
          </c:xVal>
          <c:yVal>
            <c:numRef>
              <c:f>FLUID!$B$34:$B$35</c:f>
              <c:numCache>
                <c:formatCode>0.0E+00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7A61-4FB5-94E6-BE91A525E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1.3056000000000001E-22</c:v>
                      </c:pt>
                      <c:pt idx="1">
                        <c:v>8.4706E-14</c:v>
                      </c:pt>
                      <c:pt idx="2">
                        <c:v>1.9731000000000001E-12</c:v>
                      </c:pt>
                      <c:pt idx="3">
                        <c:v>2.9366000000000002E-11</c:v>
                      </c:pt>
                      <c:pt idx="4">
                        <c:v>3.0681999999999998E-10</c:v>
                      </c:pt>
                      <c:pt idx="5">
                        <c:v>2.4323E-9</c:v>
                      </c:pt>
                      <c:pt idx="6">
                        <c:v>1.6574E-6</c:v>
                      </c:pt>
                      <c:pt idx="7">
                        <c:v>5.8046000000000003E-6</c:v>
                      </c:pt>
                      <c:pt idx="8">
                        <c:v>1.7708999999999999E-5</c:v>
                      </c:pt>
                      <c:pt idx="9">
                        <c:v>4.7824000000000002E-5</c:v>
                      </c:pt>
                      <c:pt idx="10">
                        <c:v>1.1595E-4</c:v>
                      </c:pt>
                      <c:pt idx="11">
                        <c:v>1.4264E-3</c:v>
                      </c:pt>
                      <c:pt idx="12">
                        <c:v>1.9935999999999999E-3</c:v>
                      </c:pt>
                      <c:pt idx="13">
                        <c:v>2.4840000000000001E-3</c:v>
                      </c:pt>
                      <c:pt idx="14">
                        <c:v>2.7785000000000002E-3</c:v>
                      </c:pt>
                      <c:pt idx="15">
                        <c:v>2.8771000000000001E-3</c:v>
                      </c:pt>
                      <c:pt idx="16">
                        <c:v>2.3430999999999999E-3</c:v>
                      </c:pt>
                      <c:pt idx="17">
                        <c:v>1.7071E-3</c:v>
                      </c:pt>
                      <c:pt idx="18">
                        <c:v>1.2738999999999999E-3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7A61-4FB5-94E6-BE91A525E719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7.6378999999999993E-21</c:v>
                      </c:pt>
                      <c:pt idx="1">
                        <c:v>5.8909999999999998E-13</c:v>
                      </c:pt>
                      <c:pt idx="2">
                        <c:v>9.5009000000000004E-12</c:v>
                      </c:pt>
                      <c:pt idx="3">
                        <c:v>1.0218E-10</c:v>
                      </c:pt>
                      <c:pt idx="4">
                        <c:v>8.0013999999999999E-10</c:v>
                      </c:pt>
                      <c:pt idx="5">
                        <c:v>4.9136000000000001E-9</c:v>
                      </c:pt>
                      <c:pt idx="6">
                        <c:v>1.6022000000000001E-6</c:v>
                      </c:pt>
                      <c:pt idx="7">
                        <c:v>4.8679999999999998E-6</c:v>
                      </c:pt>
                      <c:pt idx="8">
                        <c:v>1.2958E-5</c:v>
                      </c:pt>
                      <c:pt idx="9">
                        <c:v>3.0632000000000001E-5</c:v>
                      </c:pt>
                      <c:pt idx="10">
                        <c:v>6.5072000000000003E-5</c:v>
                      </c:pt>
                      <c:pt idx="11">
                        <c:v>4.3741E-4</c:v>
                      </c:pt>
                      <c:pt idx="12">
                        <c:v>5.0403000000000004E-4</c:v>
                      </c:pt>
                      <c:pt idx="13">
                        <c:v>5.0903999999999999E-4</c:v>
                      </c:pt>
                      <c:pt idx="14">
                        <c:v>4.5489E-4</c:v>
                      </c:pt>
                      <c:pt idx="15">
                        <c:v>3.7399999999999998E-4</c:v>
                      </c:pt>
                      <c:pt idx="16">
                        <c:v>1.2596999999999999E-4</c:v>
                      </c:pt>
                      <c:pt idx="17">
                        <c:v>4.3619999999999999E-5</c:v>
                      </c:pt>
                      <c:pt idx="18">
                        <c:v>1.7612999999999999E-5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A61-4FB5-94E6-BE91A525E7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1.3752E-17</c:v>
                      </c:pt>
                      <c:pt idx="1">
                        <c:v>1.9065000000000001E-10</c:v>
                      </c:pt>
                      <c:pt idx="2">
                        <c:v>2.2833000000000002E-9</c:v>
                      </c:pt>
                      <c:pt idx="3">
                        <c:v>1.8868999999999998E-8</c:v>
                      </c:pt>
                      <c:pt idx="4">
                        <c:v>1.1695E-7</c:v>
                      </c:pt>
                      <c:pt idx="5">
                        <c:v>5.8406999999999996E-7</c:v>
                      </c:pt>
                      <c:pt idx="6">
                        <c:v>1.0599000000000001E-4</c:v>
                      </c:pt>
                      <c:pt idx="7">
                        <c:v>2.8779000000000001E-4</c:v>
                      </c:pt>
                      <c:pt idx="8">
                        <c:v>6.8687999999999996E-4</c:v>
                      </c:pt>
                      <c:pt idx="9">
                        <c:v>1.4574E-3</c:v>
                      </c:pt>
                      <c:pt idx="10">
                        <c:v>2.7763000000000002E-3</c:v>
                      </c:pt>
                      <c:pt idx="11">
                        <c:v>1.1018999999999999E-2</c:v>
                      </c:pt>
                      <c:pt idx="12">
                        <c:v>1.064E-2</c:v>
                      </c:pt>
                      <c:pt idx="13">
                        <c:v>8.8444000000000005E-3</c:v>
                      </c:pt>
                      <c:pt idx="14">
                        <c:v>6.4056E-3</c:v>
                      </c:pt>
                      <c:pt idx="15">
                        <c:v>4.2385000000000001E-3</c:v>
                      </c:pt>
                      <c:pt idx="16">
                        <c:v>6.1879999999999997E-4</c:v>
                      </c:pt>
                      <c:pt idx="17">
                        <c:v>1.0581000000000001E-4</c:v>
                      </c:pt>
                      <c:pt idx="18">
                        <c:v>2.3858000000000001E-5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A61-4FB5-94E6-BE91A525E719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2.3151999999999998E-15</c:v>
                      </c:pt>
                      <c:pt idx="1">
                        <c:v>1.7347E-9</c:v>
                      </c:pt>
                      <c:pt idx="2">
                        <c:v>1.2705E-8</c:v>
                      </c:pt>
                      <c:pt idx="3">
                        <c:v>6.8158999999999995E-8</c:v>
                      </c:pt>
                      <c:pt idx="4">
                        <c:v>2.8845000000000002E-7</c:v>
                      </c:pt>
                      <c:pt idx="5">
                        <c:v>1.0280999999999999E-6</c:v>
                      </c:pt>
                      <c:pt idx="6">
                        <c:v>6.9690999999999994E-5</c:v>
                      </c:pt>
                      <c:pt idx="7">
                        <c:v>1.5655000000000001E-4</c:v>
                      </c:pt>
                      <c:pt idx="8">
                        <c:v>3.1220999999999999E-4</c:v>
                      </c:pt>
                      <c:pt idx="9">
                        <c:v>5.5734999999999997E-4</c:v>
                      </c:pt>
                      <c:pt idx="10">
                        <c:v>8.9707000000000003E-4</c:v>
                      </c:pt>
                      <c:pt idx="11">
                        <c:v>1.7256999999999999E-3</c:v>
                      </c:pt>
                      <c:pt idx="12">
                        <c:v>1.3401999999999999E-3</c:v>
                      </c:pt>
                      <c:pt idx="13">
                        <c:v>8.8225E-4</c:v>
                      </c:pt>
                      <c:pt idx="14">
                        <c:v>4.9950000000000005E-4</c:v>
                      </c:pt>
                      <c:pt idx="15">
                        <c:v>2.5712E-4</c:v>
                      </c:pt>
                      <c:pt idx="16">
                        <c:v>1.4467999999999999E-5</c:v>
                      </c:pt>
                      <c:pt idx="17">
                        <c:v>1.1112000000000001E-6</c:v>
                      </c:pt>
                      <c:pt idx="18">
                        <c:v>1.2944E-7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A61-4FB5-94E6-BE91A525E719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2.5534000000000002E-16</c:v>
                      </c:pt>
                      <c:pt idx="1">
                        <c:v>3.8947999999999998E-10</c:v>
                      </c:pt>
                      <c:pt idx="2">
                        <c:v>3.1175E-9</c:v>
                      </c:pt>
                      <c:pt idx="3">
                        <c:v>1.7949999999999999E-8</c:v>
                      </c:pt>
                      <c:pt idx="4">
                        <c:v>8.0486999999999998E-8</c:v>
                      </c:pt>
                      <c:pt idx="5">
                        <c:v>3.0162000000000002E-7</c:v>
                      </c:pt>
                      <c:pt idx="6">
                        <c:v>2.4817999999999999E-5</c:v>
                      </c:pt>
                      <c:pt idx="7">
                        <c:v>5.7896999999999998E-5</c:v>
                      </c:pt>
                      <c:pt idx="8">
                        <c:v>1.1872E-4</c:v>
                      </c:pt>
                      <c:pt idx="9">
                        <c:v>2.1565000000000001E-4</c:v>
                      </c:pt>
                      <c:pt idx="10">
                        <c:v>3.4928999999999998E-4</c:v>
                      </c:pt>
                      <c:pt idx="11">
                        <c:v>5.8067999999999998E-4</c:v>
                      </c:pt>
                      <c:pt idx="12">
                        <c:v>4.0905999999999999E-4</c:v>
                      </c:pt>
                      <c:pt idx="13">
                        <c:v>2.3866999999999999E-4</c:v>
                      </c:pt>
                      <c:pt idx="14">
                        <c:v>1.1739E-4</c:v>
                      </c:pt>
                      <c:pt idx="15">
                        <c:v>5.1907000000000003E-5</c:v>
                      </c:pt>
                      <c:pt idx="16">
                        <c:v>1.5858999999999999E-6</c:v>
                      </c:pt>
                      <c:pt idx="17">
                        <c:v>7.2071999999999998E-8</c:v>
                      </c:pt>
                      <c:pt idx="18">
                        <c:v>5.4396000000000001E-9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A61-4FB5-94E6-BE91A525E719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5.6206999999999997E-18</c:v>
                      </c:pt>
                      <c:pt idx="1">
                        <c:v>1.4855E-11</c:v>
                      </c:pt>
                      <c:pt idx="2">
                        <c:v>1.2668E-10</c:v>
                      </c:pt>
                      <c:pt idx="3">
                        <c:v>7.6573E-10</c:v>
                      </c:pt>
                      <c:pt idx="4">
                        <c:v>3.5687999999999999E-9</c:v>
                      </c:pt>
                      <c:pt idx="5">
                        <c:v>1.3825999999999999E-8</c:v>
                      </c:pt>
                      <c:pt idx="6">
                        <c:v>1.3120000000000001E-6</c:v>
                      </c:pt>
                      <c:pt idx="7">
                        <c:v>3.1472999999999999E-6</c:v>
                      </c:pt>
                      <c:pt idx="8">
                        <c:v>6.5763E-6</c:v>
                      </c:pt>
                      <c:pt idx="9">
                        <c:v>1.2055999999999999E-5</c:v>
                      </c:pt>
                      <c:pt idx="10">
                        <c:v>1.9502000000000001E-5</c:v>
                      </c:pt>
                      <c:pt idx="11">
                        <c:v>2.7330000000000001E-5</c:v>
                      </c:pt>
                      <c:pt idx="12">
                        <c:v>1.7374E-5</c:v>
                      </c:pt>
                      <c:pt idx="13">
                        <c:v>8.9414000000000005E-6</c:v>
                      </c:pt>
                      <c:pt idx="14">
                        <c:v>3.8031999999999999E-6</c:v>
                      </c:pt>
                      <c:pt idx="15">
                        <c:v>1.4384000000000001E-6</c:v>
                      </c:pt>
                      <c:pt idx="16">
                        <c:v>2.3513E-8</c:v>
                      </c:pt>
                      <c:pt idx="17">
                        <c:v>6.2489999999999998E-10</c:v>
                      </c:pt>
                      <c:pt idx="18">
                        <c:v>3.0264000000000003E-11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A61-4FB5-94E6-BE91A525E719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7A61-4FB5-94E6-BE91A525E719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5.9567000000000001E-18</c:v>
                      </c:pt>
                      <c:pt idx="1">
                        <c:v>1.1197E-10</c:v>
                      </c:pt>
                      <c:pt idx="2">
                        <c:v>1.5425E-9</c:v>
                      </c:pt>
                      <c:pt idx="3">
                        <c:v>1.4734E-8</c:v>
                      </c:pt>
                      <c:pt idx="4">
                        <c:v>1.0530999999999999E-7</c:v>
                      </c:pt>
                      <c:pt idx="5">
                        <c:v>5.9993000000000005E-7</c:v>
                      </c:pt>
                      <c:pt idx="6">
                        <c:v>1.4694E-4</c:v>
                      </c:pt>
                      <c:pt idx="7">
                        <c:v>4.2429000000000002E-4</c:v>
                      </c:pt>
                      <c:pt idx="8">
                        <c:v>1.0943000000000001E-3</c:v>
                      </c:pt>
                      <c:pt idx="9">
                        <c:v>2.5579000000000001E-3</c:v>
                      </c:pt>
                      <c:pt idx="10">
                        <c:v>5.4903E-3</c:v>
                      </c:pt>
                      <c:pt idx="11">
                        <c:v>5.3856000000000001E-2</c:v>
                      </c:pt>
                      <c:pt idx="12">
                        <c:v>7.6957999999999999E-2</c:v>
                      </c:pt>
                      <c:pt idx="13">
                        <c:v>0.1009</c:v>
                      </c:pt>
                      <c:pt idx="14">
                        <c:v>0.12180000000000001</c:v>
                      </c:pt>
                      <c:pt idx="15">
                        <c:v>0.13827999999999999</c:v>
                      </c:pt>
                      <c:pt idx="16">
                        <c:v>0.16958000000000001</c:v>
                      </c:pt>
                      <c:pt idx="17">
                        <c:v>0.17902000000000001</c:v>
                      </c:pt>
                      <c:pt idx="18">
                        <c:v>0.18295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A61-4FB5-94E6-BE91A525E719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6.4033E-36</c:v>
                      </c:pt>
                      <c:pt idx="1">
                        <c:v>2.5945999999999999E-23</c:v>
                      </c:pt>
                      <c:pt idx="2">
                        <c:v>2.6408000000000001E-21</c:v>
                      </c:pt>
                      <c:pt idx="3">
                        <c:v>1.4384E-19</c:v>
                      </c:pt>
                      <c:pt idx="4">
                        <c:v>4.7421000000000004E-18</c:v>
                      </c:pt>
                      <c:pt idx="5">
                        <c:v>1.0437E-16</c:v>
                      </c:pt>
                      <c:pt idx="6">
                        <c:v>1.5332999999999999E-12</c:v>
                      </c:pt>
                      <c:pt idx="7">
                        <c:v>9.8017999999999997E-12</c:v>
                      </c:pt>
                      <c:pt idx="8">
                        <c:v>5.2666000000000002E-11</c:v>
                      </c:pt>
                      <c:pt idx="9">
                        <c:v>2.4358E-10</c:v>
                      </c:pt>
                      <c:pt idx="10">
                        <c:v>9.9060000000000007E-10</c:v>
                      </c:pt>
                      <c:pt idx="11">
                        <c:v>9.6452999999999997E-8</c:v>
                      </c:pt>
                      <c:pt idx="12">
                        <c:v>2.3846999999999999E-7</c:v>
                      </c:pt>
                      <c:pt idx="13">
                        <c:v>5.384E-7</c:v>
                      </c:pt>
                      <c:pt idx="14">
                        <c:v>1.1132E-6</c:v>
                      </c:pt>
                      <c:pt idx="15">
                        <c:v>2.1393E-6</c:v>
                      </c:pt>
                      <c:pt idx="16">
                        <c:v>1.7793000000000001E-5</c:v>
                      </c:pt>
                      <c:pt idx="17">
                        <c:v>9.1658999999999998E-5</c:v>
                      </c:pt>
                      <c:pt idx="18">
                        <c:v>3.4886999999999999E-4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A61-4FB5-94E6-BE91A525E719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2.555E-9</c:v>
                      </c:pt>
                      <c:pt idx="1">
                        <c:v>4.7712E-5</c:v>
                      </c:pt>
                      <c:pt idx="2">
                        <c:v>2.1557E-4</c:v>
                      </c:pt>
                      <c:pt idx="3">
                        <c:v>7.7851000000000005E-4</c:v>
                      </c:pt>
                      <c:pt idx="4">
                        <c:v>2.3381000000000001E-3</c:v>
                      </c:pt>
                      <c:pt idx="5">
                        <c:v>5.9845999999999996E-3</c:v>
                      </c:pt>
                      <c:pt idx="6">
                        <c:v>5.2388999999999998E-2</c:v>
                      </c:pt>
                      <c:pt idx="7">
                        <c:v>6.318E-2</c:v>
                      </c:pt>
                      <c:pt idx="8">
                        <c:v>7.1395E-2</c:v>
                      </c:pt>
                      <c:pt idx="9">
                        <c:v>7.7561000000000005E-2</c:v>
                      </c:pt>
                      <c:pt idx="10">
                        <c:v>8.2317000000000001E-2</c:v>
                      </c:pt>
                      <c:pt idx="11">
                        <c:v>9.3668000000000001E-2</c:v>
                      </c:pt>
                      <c:pt idx="12">
                        <c:v>9.5077999999999996E-2</c:v>
                      </c:pt>
                      <c:pt idx="13">
                        <c:v>9.6074000000000007E-2</c:v>
                      </c:pt>
                      <c:pt idx="14">
                        <c:v>9.6721000000000001E-2</c:v>
                      </c:pt>
                      <c:pt idx="15">
                        <c:v>9.7151000000000001E-2</c:v>
                      </c:pt>
                      <c:pt idx="16">
                        <c:v>9.7881999999999997E-2</c:v>
                      </c:pt>
                      <c:pt idx="17">
                        <c:v>9.8086999999999994E-2</c:v>
                      </c:pt>
                      <c:pt idx="18">
                        <c:v>9.8153000000000004E-2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A61-4FB5-94E6-BE91A525E719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A61-4FB5-94E6-BE91A525E719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H (Аг)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-18.61</c:v>
                      </c:pt>
                      <c:pt idx="1">
                        <c:v>-18.760000000000002</c:v>
                      </c:pt>
                      <c:pt idx="2">
                        <c:v>-18.829999999999998</c:v>
                      </c:pt>
                      <c:pt idx="3">
                        <c:v>-18.899999999999999</c:v>
                      </c:pt>
                      <c:pt idx="4">
                        <c:v>-18.97</c:v>
                      </c:pt>
                      <c:pt idx="5">
                        <c:v>-19.059999999999999</c:v>
                      </c:pt>
                      <c:pt idx="6">
                        <c:v>-19.54</c:v>
                      </c:pt>
                      <c:pt idx="7">
                        <c:v>-19.649999999999999</c:v>
                      </c:pt>
                      <c:pt idx="8">
                        <c:v>-19.760000000000002</c:v>
                      </c:pt>
                      <c:pt idx="9">
                        <c:v>-19.850000000000001</c:v>
                      </c:pt>
                      <c:pt idx="10">
                        <c:v>-19.95</c:v>
                      </c:pt>
                      <c:pt idx="11">
                        <c:v>-20.420000000000002</c:v>
                      </c:pt>
                      <c:pt idx="12">
                        <c:v>-20.54</c:v>
                      </c:pt>
                      <c:pt idx="13">
                        <c:v>-20.66</c:v>
                      </c:pt>
                      <c:pt idx="14">
                        <c:v>-20.76</c:v>
                      </c:pt>
                      <c:pt idx="15">
                        <c:v>-20.85</c:v>
                      </c:pt>
                      <c:pt idx="16">
                        <c:v>-21.12</c:v>
                      </c:pt>
                      <c:pt idx="17">
                        <c:v>-21.34</c:v>
                      </c:pt>
                      <c:pt idx="18">
                        <c:v>-21.53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7A61-4FB5-94E6-BE91A525E719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-6.2460000000000004</c:v>
                      </c:pt>
                      <c:pt idx="1">
                        <c:v>-7.1479999999999997</c:v>
                      </c:pt>
                      <c:pt idx="2">
                        <c:v>-7.3440000000000003</c:v>
                      </c:pt>
                      <c:pt idx="3">
                        <c:v>-7.5309999999999997</c:v>
                      </c:pt>
                      <c:pt idx="4">
                        <c:v>-7.7160000000000002</c:v>
                      </c:pt>
                      <c:pt idx="5">
                        <c:v>-7.907</c:v>
                      </c:pt>
                      <c:pt idx="6">
                        <c:v>-8.98</c:v>
                      </c:pt>
                      <c:pt idx="7">
                        <c:v>-9.3170000000000002</c:v>
                      </c:pt>
                      <c:pt idx="8">
                        <c:v>-9.6470000000000002</c:v>
                      </c:pt>
                      <c:pt idx="9">
                        <c:v>-9.9629999999999992</c:v>
                      </c:pt>
                      <c:pt idx="10">
                        <c:v>-10.26</c:v>
                      </c:pt>
                      <c:pt idx="11">
                        <c:v>-11.28</c:v>
                      </c:pt>
                      <c:pt idx="12">
                        <c:v>-11.49</c:v>
                      </c:pt>
                      <c:pt idx="13">
                        <c:v>-11.66</c:v>
                      </c:pt>
                      <c:pt idx="14">
                        <c:v>-11.81</c:v>
                      </c:pt>
                      <c:pt idx="15">
                        <c:v>-11.94</c:v>
                      </c:pt>
                      <c:pt idx="16">
                        <c:v>-12.34</c:v>
                      </c:pt>
                      <c:pt idx="17">
                        <c:v>-12.65</c:v>
                      </c:pt>
                      <c:pt idx="18">
                        <c:v>-12.92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A61-4FB5-94E6-BE91A525E719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5.367</c:v>
                      </c:pt>
                      <c:pt idx="1">
                        <c:v>0.73660000000000003</c:v>
                      </c:pt>
                      <c:pt idx="2">
                        <c:v>-5.534E-2</c:v>
                      </c:pt>
                      <c:pt idx="3">
                        <c:v>-0.75560000000000005</c:v>
                      </c:pt>
                      <c:pt idx="4">
                        <c:v>-1.3779999999999999</c:v>
                      </c:pt>
                      <c:pt idx="5">
                        <c:v>-1.93</c:v>
                      </c:pt>
                      <c:pt idx="6">
                        <c:v>-3.5449999999999999</c:v>
                      </c:pt>
                      <c:pt idx="7">
                        <c:v>-3.8580000000000001</c:v>
                      </c:pt>
                      <c:pt idx="8">
                        <c:v>-4.1520000000000001</c:v>
                      </c:pt>
                      <c:pt idx="9">
                        <c:v>-4.423</c:v>
                      </c:pt>
                      <c:pt idx="10">
                        <c:v>-4.6680000000000001</c:v>
                      </c:pt>
                      <c:pt idx="11">
                        <c:v>-5.2690000000000001</c:v>
                      </c:pt>
                      <c:pt idx="12">
                        <c:v>-5.3449999999999998</c:v>
                      </c:pt>
                      <c:pt idx="13">
                        <c:v>-5.4130000000000003</c:v>
                      </c:pt>
                      <c:pt idx="14">
                        <c:v>-5.4939999999999998</c:v>
                      </c:pt>
                      <c:pt idx="15">
                        <c:v>-5.5880000000000001</c:v>
                      </c:pt>
                      <c:pt idx="16">
                        <c:v>-6.0519999999999996</c:v>
                      </c:pt>
                      <c:pt idx="17">
                        <c:v>-6.5549999999999997</c:v>
                      </c:pt>
                      <c:pt idx="18">
                        <c:v>-7.0309999999999997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7A61-4FB5-94E6-BE91A525E719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-4.8239999999999998</c:v>
                      </c:pt>
                      <c:pt idx="1">
                        <c:v>-5.5949999999999998</c:v>
                      </c:pt>
                      <c:pt idx="2">
                        <c:v>-5.7880000000000003</c:v>
                      </c:pt>
                      <c:pt idx="3">
                        <c:v>-5.9749999999999996</c:v>
                      </c:pt>
                      <c:pt idx="4">
                        <c:v>-6.1550000000000002</c:v>
                      </c:pt>
                      <c:pt idx="5">
                        <c:v>-6.3259999999999996</c:v>
                      </c:pt>
                      <c:pt idx="6">
                        <c:v>-6.8819999999999997</c:v>
                      </c:pt>
                      <c:pt idx="7">
                        <c:v>-7.0060000000000002</c:v>
                      </c:pt>
                      <c:pt idx="8">
                        <c:v>-7.1319999999999997</c:v>
                      </c:pt>
                      <c:pt idx="9">
                        <c:v>-7.2610000000000001</c:v>
                      </c:pt>
                      <c:pt idx="10">
                        <c:v>-7.3940000000000001</c:v>
                      </c:pt>
                      <c:pt idx="11">
                        <c:v>-8.0410000000000004</c:v>
                      </c:pt>
                      <c:pt idx="12">
                        <c:v>-8.2520000000000007</c:v>
                      </c:pt>
                      <c:pt idx="13">
                        <c:v>-8.4819999999999993</c:v>
                      </c:pt>
                      <c:pt idx="14">
                        <c:v>-8.7279999999999998</c:v>
                      </c:pt>
                      <c:pt idx="15">
                        <c:v>-8.9819999999999993</c:v>
                      </c:pt>
                      <c:pt idx="16">
                        <c:v>-9.968</c:v>
                      </c:pt>
                      <c:pt idx="17">
                        <c:v>-10.83</c:v>
                      </c:pt>
                      <c:pt idx="18">
                        <c:v>-11.56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7A61-4FB5-94E6-BE91A525E719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7A61-4FB5-94E6-BE91A525E719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7A61-4FB5-94E6-BE91A525E719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7A61-4FB5-94E6-BE91A525E719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7A61-4FB5-94E6-BE91A525E719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7A61-4FB5-94E6-BE91A525E719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7A61-4FB5-94E6-BE91A525E719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7A61-4FB5-94E6-BE91A525E719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7A61-4FB5-94E6-BE91A525E719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A61-4FB5-94E6-BE91A525E719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A61-4FB5-94E6-BE91A525E719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A61-4FB5-94E6-BE91A525E719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7A61-4FB5-94E6-BE91A525E719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FLUID!$F$126:$AL$126</c:f>
              <c:numCache>
                <c:formatCode>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FLUID!$F$127:$AL$127</c:f>
              <c:numCache>
                <c:formatCode>General</c:formatCode>
                <c:ptCount val="33"/>
                <c:pt idx="0">
                  <c:v>-60.34572474210001</c:v>
                </c:pt>
                <c:pt idx="1">
                  <c:v>-120.41777178326494</c:v>
                </c:pt>
                <c:pt idx="2">
                  <c:v>-136.93468438201671</c:v>
                </c:pt>
                <c:pt idx="3">
                  <c:v>-153.64911057165588</c:v>
                </c:pt>
                <c:pt idx="4">
                  <c:v>-169.95523988903386</c:v>
                </c:pt>
                <c:pt idx="5">
                  <c:v>-184.71901989958698</c:v>
                </c:pt>
                <c:pt idx="6">
                  <c:v>-204.00506052011042</c:v>
                </c:pt>
                <c:pt idx="7">
                  <c:v>-205.13368370881298</c:v>
                </c:pt>
                <c:pt idx="8">
                  <c:v>-207.05595494185272</c:v>
                </c:pt>
                <c:pt idx="9">
                  <c:v>-208.79765702959429</c:v>
                </c:pt>
                <c:pt idx="10">
                  <c:v>-208.535629440767</c:v>
                </c:pt>
                <c:pt idx="11">
                  <c:v>-161.02703822643409</c:v>
                </c:pt>
                <c:pt idx="12">
                  <c:v>-142.94150639238987</c:v>
                </c:pt>
                <c:pt idx="13">
                  <c:v>-126.7334933093542</c:v>
                </c:pt>
                <c:pt idx="14">
                  <c:v>-114.79157304561214</c:v>
                </c:pt>
                <c:pt idx="15">
                  <c:v>-106.20726785624076</c:v>
                </c:pt>
                <c:pt idx="16">
                  <c:v>-93.941861314135522</c:v>
                </c:pt>
                <c:pt idx="17">
                  <c:v>-97.429159832689763</c:v>
                </c:pt>
                <c:pt idx="18">
                  <c:v>-106.55745882405002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4FDC-4DA9-88D2-BC4A05D23606}"/>
            </c:ext>
          </c:extLst>
        </c:ser>
        <c:ser>
          <c:idx val="4"/>
          <c:order val="3"/>
          <c:marker>
            <c:symbol val="none"/>
          </c:marker>
          <c:xVal>
            <c:numRef>
              <c:f>FLUID!$F$126:$AL$126</c:f>
              <c:numCache>
                <c:formatCode>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FLUID!$F$130:$AL$130</c:f>
              <c:numCache>
                <c:formatCode>General</c:formatCode>
                <c:ptCount val="33"/>
                <c:pt idx="0">
                  <c:v>-60.345725656216956</c:v>
                </c:pt>
                <c:pt idx="1">
                  <c:v>-120.44616130864313</c:v>
                </c:pt>
                <c:pt idx="2">
                  <c:v>-137.0769498079417</c:v>
                </c:pt>
                <c:pt idx="3">
                  <c:v>-154.21492421467786</c:v>
                </c:pt>
                <c:pt idx="4">
                  <c:v>-171.81571523377457</c:v>
                </c:pt>
                <c:pt idx="5">
                  <c:v>-189.91096007018012</c:v>
                </c:pt>
                <c:pt idx="6">
                  <c:v>-267.49770465185719</c:v>
                </c:pt>
                <c:pt idx="7">
                  <c:v>-288.62975640753996</c:v>
                </c:pt>
                <c:pt idx="8">
                  <c:v>-310.33454051052735</c:v>
                </c:pt>
                <c:pt idx="9">
                  <c:v>-332.60091829327058</c:v>
                </c:pt>
                <c:pt idx="10">
                  <c:v>-355.30950260187956</c:v>
                </c:pt>
                <c:pt idx="11">
                  <c:v>-451.56067475357418</c:v>
                </c:pt>
                <c:pt idx="12">
                  <c:v>-477.72853419097896</c:v>
                </c:pt>
                <c:pt idx="13">
                  <c:v>-504.80619647477761</c:v>
                </c:pt>
                <c:pt idx="14">
                  <c:v>-532.59447340111444</c:v>
                </c:pt>
                <c:pt idx="15">
                  <c:v>-561.20024868851135</c:v>
                </c:pt>
                <c:pt idx="16">
                  <c:v>-681.64636546640099</c:v>
                </c:pt>
                <c:pt idx="17">
                  <c:v>-805.91761293595289</c:v>
                </c:pt>
                <c:pt idx="18">
                  <c:v>-932.92946396771265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4FDC-4DA9-88D2-BC4A05D23606}"/>
            </c:ext>
          </c:extLst>
        </c:ser>
        <c:ser>
          <c:idx val="3"/>
          <c:order val="13"/>
          <c:tx>
            <c:v>temp</c:v>
          </c:tx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FLUID!$A$118:$A$119</c:f>
              <c:numCache>
                <c:formatCode>General</c:formatCode>
                <c:ptCount val="2"/>
                <c:pt idx="0">
                  <c:v>731</c:v>
                </c:pt>
                <c:pt idx="1">
                  <c:v>731</c:v>
                </c:pt>
              </c:numCache>
            </c:numRef>
          </c:xVal>
          <c:yVal>
            <c:numRef>
              <c:f>FLUID!$B$118:$B$119</c:f>
              <c:numCache>
                <c:formatCode>0</c:formatCode>
                <c:ptCount val="2"/>
                <c:pt idx="0">
                  <c:v>-1273.8999676436629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4FDC-4DA9-88D2-BC4A05D23606}"/>
            </c:ext>
          </c:extLst>
        </c:ser>
        <c:ser>
          <c:idx val="13"/>
          <c:order val="14"/>
          <c:tx>
            <c:v>gibs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-60.345724742100003</c:v>
                </c:pt>
                <c:pt idx="1">
                  <c:v>-120.44752017981</c:v>
                </c:pt>
                <c:pt idx="2">
                  <c:v>-137.07748511079299</c:v>
                </c:pt>
                <c:pt idx="3">
                  <c:v>-154.21586962194999</c:v>
                </c:pt>
                <c:pt idx="4">
                  <c:v>-171.81651844380005</c:v>
                </c:pt>
                <c:pt idx="5">
                  <c:v>-189.91191687660006</c:v>
                </c:pt>
                <c:pt idx="6">
                  <c:v>-267.49840977980006</c:v>
                </c:pt>
                <c:pt idx="7">
                  <c:v>-288.62827312130008</c:v>
                </c:pt>
                <c:pt idx="8">
                  <c:v>-310.33458989375004</c:v>
                </c:pt>
                <c:pt idx="9">
                  <c:v>-332.60095919160005</c:v>
                </c:pt>
                <c:pt idx="10">
                  <c:v>-355.3086103224</c:v>
                </c:pt>
                <c:pt idx="11">
                  <c:v>-451.55909317530006</c:v>
                </c:pt>
                <c:pt idx="12">
                  <c:v>-477.72620654520006</c:v>
                </c:pt>
                <c:pt idx="13">
                  <c:v>-504.80560791850002</c:v>
                </c:pt>
                <c:pt idx="14">
                  <c:v>-532.58720429200002</c:v>
                </c:pt>
                <c:pt idx="15">
                  <c:v>-561.19702186800009</c:v>
                </c:pt>
                <c:pt idx="16">
                  <c:v>-681.6475869840001</c:v>
                </c:pt>
                <c:pt idx="17">
                  <c:v>-805.91686337500016</c:v>
                </c:pt>
                <c:pt idx="18">
                  <c:v>-932.94094425000003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4FDC-4DA9-88D2-BC4A05D2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FLUID!$F$128:$AL$128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-9.1411694747642525E-7</c:v>
                      </c:pt>
                      <c:pt idx="1">
                        <c:v>-2.8389525378194894E-2</c:v>
                      </c:pt>
                      <c:pt idx="2">
                        <c:v>-0.14226542592498001</c:v>
                      </c:pt>
                      <c:pt idx="3">
                        <c:v>-0.56581364302199189</c:v>
                      </c:pt>
                      <c:pt idx="4">
                        <c:v>-1.860475344740709</c:v>
                      </c:pt>
                      <c:pt idx="5">
                        <c:v>-5.1919401705931376</c:v>
                      </c:pt>
                      <c:pt idx="6">
                        <c:v>-63.492644131746765</c:v>
                      </c:pt>
                      <c:pt idx="7">
                        <c:v>-83.496072698726948</c:v>
                      </c:pt>
                      <c:pt idx="8">
                        <c:v>-103.27858556867463</c:v>
                      </c:pt>
                      <c:pt idx="9">
                        <c:v>-123.8032612636763</c:v>
                      </c:pt>
                      <c:pt idx="10">
                        <c:v>-146.77387316111256</c:v>
                      </c:pt>
                      <c:pt idx="11">
                        <c:v>-290.53363652714012</c:v>
                      </c:pt>
                      <c:pt idx="12">
                        <c:v>-334.78702779858907</c:v>
                      </c:pt>
                      <c:pt idx="13">
                        <c:v>-378.07270316542338</c:v>
                      </c:pt>
                      <c:pt idx="14">
                        <c:v>-417.80290035550229</c:v>
                      </c:pt>
                      <c:pt idx="15">
                        <c:v>-454.99298083227058</c:v>
                      </c:pt>
                      <c:pt idx="16">
                        <c:v>-587.70450415226549</c:v>
                      </c:pt>
                      <c:pt idx="17">
                        <c:v>-708.48845310326317</c:v>
                      </c:pt>
                      <c:pt idx="18">
                        <c:v>-826.37200514366259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3-4FDC-4DA9-88D2-BC4A05D23606}"/>
                  </c:ext>
                </c:extLst>
              </c15:ser>
            </c15:filteredScatterSeries>
            <c15:filteredScatterSeries>
              <c15:ser>
                <c:idx val="2"/>
                <c:order val="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-76.902224879116972</c:v>
                      </c:pt>
                      <c:pt idx="1">
                        <c:v>-112.25601391537823</c:v>
                      </c:pt>
                      <c:pt idx="2">
                        <c:v>-121.50393622342501</c:v>
                      </c:pt>
                      <c:pt idx="3">
                        <c:v>-131.12632851802204</c:v>
                      </c:pt>
                      <c:pt idx="4">
                        <c:v>-141.65834428974074</c:v>
                      </c:pt>
                      <c:pt idx="5">
                        <c:v>-154.47479671059315</c:v>
                      </c:pt>
                      <c:pt idx="6">
                        <c:v>-252.71059847174678</c:v>
                      </c:pt>
                      <c:pt idx="7">
                        <c:v>-282.87404117372699</c:v>
                      </c:pt>
                      <c:pt idx="8">
                        <c:v>-312.89101066867471</c:v>
                      </c:pt>
                      <c:pt idx="9">
                        <c:v>-343.55778275117638</c:v>
                      </c:pt>
                      <c:pt idx="10">
                        <c:v>-376.8691382986126</c:v>
                      </c:pt>
                      <c:pt idx="11">
                        <c:v>-563.82620739714025</c:v>
                      </c:pt>
                      <c:pt idx="12">
                        <c:v>-619.19237135858918</c:v>
                      </c:pt>
                      <c:pt idx="13">
                        <c:v>-673.81641951542338</c:v>
                      </c:pt>
                      <c:pt idx="14">
                        <c:v>-724.47159255550241</c:v>
                      </c:pt>
                      <c:pt idx="15">
                        <c:v>-772.52581445727071</c:v>
                      </c:pt>
                      <c:pt idx="16">
                        <c:v>-948.56710735226557</c:v>
                      </c:pt>
                      <c:pt idx="17">
                        <c:v>-1112.4406754032634</c:v>
                      </c:pt>
                      <c:pt idx="18">
                        <c:v>-1273.8999676436629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4FDC-4DA9-88D2-BC4A05D23606}"/>
                  </c:ext>
                </c:extLst>
              </c15:ser>
            </c15:filteredScatterSeries>
            <c15:filteredScatterSeries>
              <c15:ser>
                <c:idx val="5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-137.24794962121697</c:v>
                      </c:pt>
                      <c:pt idx="1">
                        <c:v>-232.67378569864317</c:v>
                      </c:pt>
                      <c:pt idx="2">
                        <c:v>-258.43862060544171</c:v>
                      </c:pt>
                      <c:pt idx="3">
                        <c:v>-284.77543908967789</c:v>
                      </c:pt>
                      <c:pt idx="4">
                        <c:v>-311.6135841787746</c:v>
                      </c:pt>
                      <c:pt idx="5">
                        <c:v>-339.19381661018014</c:v>
                      </c:pt>
                      <c:pt idx="6">
                        <c:v>-456.7156589918572</c:v>
                      </c:pt>
                      <c:pt idx="7">
                        <c:v>-488.00772488253995</c:v>
                      </c:pt>
                      <c:pt idx="8">
                        <c:v>-519.9469656105274</c:v>
                      </c:pt>
                      <c:pt idx="9">
                        <c:v>-552.35543978077067</c:v>
                      </c:pt>
                      <c:pt idx="10">
                        <c:v>-585.40476773937962</c:v>
                      </c:pt>
                      <c:pt idx="11">
                        <c:v>-724.85324562357437</c:v>
                      </c:pt>
                      <c:pt idx="12">
                        <c:v>-762.13387775097908</c:v>
                      </c:pt>
                      <c:pt idx="13">
                        <c:v>-800.54991282477761</c:v>
                      </c:pt>
                      <c:pt idx="14">
                        <c:v>-839.26316560111457</c:v>
                      </c:pt>
                      <c:pt idx="15">
                        <c:v>-878.73308231351143</c:v>
                      </c:pt>
                      <c:pt idx="16">
                        <c:v>-1042.5089686664012</c:v>
                      </c:pt>
                      <c:pt idx="17">
                        <c:v>-1209.8698352359531</c:v>
                      </c:pt>
                      <c:pt idx="18">
                        <c:v>-1380.4574264677128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4FDC-4DA9-88D2-BC4A05D23606}"/>
                  </c:ext>
                </c:extLst>
              </c15:ser>
            </c15:filteredScatterSeries>
            <c15:filteredScatterSeries>
              <c15:ser>
                <c:idx val="6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4FDC-4DA9-88D2-BC4A05D23606}"/>
                  </c:ext>
                </c:extLst>
              </c15:ser>
            </c15:filteredScatterSeries>
            <c15:filteredScatterSeries>
              <c15:ser>
                <c:idx val="7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4FDC-4DA9-88D2-BC4A05D23606}"/>
                  </c:ext>
                </c:extLst>
              </c15:ser>
            </c15:filteredScatterSeries>
            <c15:filteredScatterSeries>
              <c15:ser>
                <c:idx val="8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4FDC-4DA9-88D2-BC4A05D23606}"/>
                  </c:ext>
                </c:extLst>
              </c15:ser>
            </c15:filteredScatterSeries>
            <c15:filteredScatterSeries>
              <c15:ser>
                <c:idx val="9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1-4FDC-4DA9-88D2-BC4A05D23606}"/>
                  </c:ext>
                </c:extLst>
              </c15:ser>
            </c15:filteredScatterSeries>
            <c15:filteredScatterSeries>
              <c15:ser>
                <c:idx val="10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FLUID!$F$136:$AL$136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3-4FDC-4DA9-88D2-BC4A05D23606}"/>
                  </c:ext>
                </c:extLst>
              </c15:ser>
            </c15:filteredScatterSeries>
            <c15:filteredScatterSeries>
              <c15:ser>
                <c:idx val="11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FLUID!$F$137:$AL$137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5-4FDC-4DA9-88D2-BC4A05D23606}"/>
                  </c:ext>
                </c:extLst>
              </c15:ser>
            </c15:filteredScatterSeries>
            <c15:filteredScatterSeries>
              <c15:ser>
                <c:idx val="12"/>
                <c:order val="11"/>
                <c:spPr>
                  <a:ln>
                    <a:solidFill>
                      <a:schemeClr val="tx1">
                        <a:lumMod val="95000"/>
                        <a:lumOff val="5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FLUID!$F$138:$AL$138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7-4FDC-4DA9-88D2-BC4A05D23606}"/>
                  </c:ext>
                </c:extLst>
              </c15:ser>
            </c15:filteredScatterSeries>
            <c15:filteredScatterSeries>
              <c15:ser>
                <c:idx val="14"/>
                <c:order val="12"/>
                <c:spPr>
                  <a:ln>
                    <a:noFill/>
                  </a:ln>
                </c:spPr>
                <c:marker>
                  <c:symbol val="square"/>
                  <c:size val="5"/>
                  <c:spPr>
                    <a:solidFill>
                      <a:srgbClr val="002060"/>
                    </a:solidFill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FLUID!$F$139:$AL$139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9-4FDC-4DA9-88D2-BC4A05D23606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27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</c:plotArea>
    <c:plotVisOnly val="0"/>
    <c:dispBlanksAs val="span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-507.18277058400002</c:v>
                </c:pt>
                <c:pt idx="1">
                  <c:v>-515.74157553750013</c:v>
                </c:pt>
                <c:pt idx="2">
                  <c:v>-527.03948719900006</c:v>
                </c:pt>
                <c:pt idx="3">
                  <c:v>-539.76833539650011</c:v>
                </c:pt>
                <c:pt idx="4">
                  <c:v>-553.02973591065006</c:v>
                </c:pt>
                <c:pt idx="5">
                  <c:v>-566.80991909800002</c:v>
                </c:pt>
                <c:pt idx="6">
                  <c:v>-581.27475452200008</c:v>
                </c:pt>
                <c:pt idx="7">
                  <c:v>-603.69244633409994</c:v>
                </c:pt>
                <c:pt idx="8">
                  <c:v>-661.91830615620017</c:v>
                </c:pt>
                <c:pt idx="9">
                  <c:v>-914.28682361179995</c:v>
                </c:pt>
                <c:pt idx="10">
                  <c:v>-1193.1713959875501</c:v>
                </c:pt>
                <c:pt idx="11">
                  <c:v>-1492.6833360285</c:v>
                </c:pt>
                <c:pt idx="12">
                  <c:v>-1569.7430316348004</c:v>
                </c:pt>
                <c:pt idx="13">
                  <c:v>-1648.2744951780003</c:v>
                </c:pt>
                <c:pt idx="14">
                  <c:v>-1726.4354235829999</c:v>
                </c:pt>
                <c:pt idx="15">
                  <c:v>-1804.7256535490001</c:v>
                </c:pt>
                <c:pt idx="16">
                  <c:v>-2125.3337906895003</c:v>
                </c:pt>
                <c:pt idx="17">
                  <c:v>-2447.2008650760004</c:v>
                </c:pt>
                <c:pt idx="18">
                  <c:v>-2527.7105455000005</c:v>
                </c:pt>
                <c:pt idx="19">
                  <c:v>-2606.5901016830003</c:v>
                </c:pt>
                <c:pt idx="20">
                  <c:v>-2686.0279017105008</c:v>
                </c:pt>
                <c:pt idx="21">
                  <c:v>-2762.92082175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FF-483C-BCE0-647F459C0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4355674994144814"/>
          <c:h val="0.79988254071377496"/>
        </c:manualLayout>
      </c:layout>
      <c:scatterChart>
        <c:scatterStyle val="smoothMarker"/>
        <c:varyColors val="0"/>
        <c:ser>
          <c:idx val="8"/>
          <c:order val="8"/>
          <c:tx>
            <c:strRef>
              <c:f>SOLID!$E$12</c:f>
              <c:strCache>
                <c:ptCount val="1"/>
                <c:pt idx="0">
                  <c:v>Ge2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SOLID!$F$12:$AL$12</c:f>
              <c:numCache>
                <c:formatCode>0.00E+00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4.1590999999999998E-36</c:v>
                </c:pt>
                <c:pt idx="9">
                  <c:v>1.3659000000000001E-27</c:v>
                </c:pt>
                <c:pt idx="10">
                  <c:v>8.0203000000000004E-22</c:v>
                </c:pt>
                <c:pt idx="11">
                  <c:v>1.1604999999999999E-17</c:v>
                </c:pt>
                <c:pt idx="12">
                  <c:v>8.4930999999999999E-17</c:v>
                </c:pt>
                <c:pt idx="13">
                  <c:v>5.4554999999999996E-16</c:v>
                </c:pt>
                <c:pt idx="14">
                  <c:v>3.1137999999999998E-15</c:v>
                </c:pt>
                <c:pt idx="15">
                  <c:v>1.5962999999999998E-14</c:v>
                </c:pt>
                <c:pt idx="16">
                  <c:v>3.9470999999999996E-12</c:v>
                </c:pt>
                <c:pt idx="17">
                  <c:v>1.7847999999999999E-10</c:v>
                </c:pt>
                <c:pt idx="18">
                  <c:v>4.1200000000000002E-10</c:v>
                </c:pt>
                <c:pt idx="19">
                  <c:v>9.1374999999999997E-10</c:v>
                </c:pt>
                <c:pt idx="20">
                  <c:v>1.9525E-9</c:v>
                </c:pt>
                <c:pt idx="21">
                  <c:v>4.0296000000000002E-9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6F12-4D25-930A-3BF23642161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Ge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SOLID!$F$13:$AL$13</c:f>
              <c:numCache>
                <c:formatCode>0.00E+00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2.5350000000000001E-33</c:v>
                </c:pt>
                <c:pt idx="7">
                  <c:v>1.0517999999999999E-30</c:v>
                </c:pt>
                <c:pt idx="8">
                  <c:v>1.3863000000000001E-28</c:v>
                </c:pt>
                <c:pt idx="9">
                  <c:v>5.5174000000000001E-22</c:v>
                </c:pt>
                <c:pt idx="10">
                  <c:v>1.6886000000000001E-17</c:v>
                </c:pt>
                <c:pt idx="11">
                  <c:v>2.9747000000000003E-14</c:v>
                </c:pt>
                <c:pt idx="12">
                  <c:v>1.4100000000000001E-13</c:v>
                </c:pt>
                <c:pt idx="13">
                  <c:v>6.0427000000000001E-13</c:v>
                </c:pt>
                <c:pt idx="14">
                  <c:v>2.3635000000000002E-12</c:v>
                </c:pt>
                <c:pt idx="15">
                  <c:v>8.5073000000000003E-12</c:v>
                </c:pt>
                <c:pt idx="16">
                  <c:v>6.6755000000000004E-10</c:v>
                </c:pt>
                <c:pt idx="17">
                  <c:v>1.6446E-8</c:v>
                </c:pt>
                <c:pt idx="18">
                  <c:v>3.3279000000000003E-8</c:v>
                </c:pt>
                <c:pt idx="19">
                  <c:v>6.5148999999999997E-8</c:v>
                </c:pt>
                <c:pt idx="20">
                  <c:v>1.2367E-7</c:v>
                </c:pt>
                <c:pt idx="21">
                  <c:v>2.2807999999999999E-7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F12-4D25-930A-3BF236421612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SOLID!$F$14:$AL$14</c:f>
              <c:numCache>
                <c:formatCode>0.00E+00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6F12-4D25-930A-3BF236421612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SOLID!$A$34:$A$35</c:f>
              <c:numCache>
                <c:formatCode>General</c:formatCode>
                <c:ptCount val="2"/>
                <c:pt idx="0">
                  <c:v>731</c:v>
                </c:pt>
                <c:pt idx="1">
                  <c:v>731</c:v>
                </c:pt>
              </c:numCache>
            </c:numRef>
          </c:xVal>
          <c:yVal>
            <c:numRef>
              <c:f>SOLID!$B$34:$B$35</c:f>
              <c:numCache>
                <c:formatCode>0.0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B7-4871-B625-DDFFBF00C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SOLID!$E$4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SOLID!$F$4:$AL$4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5.4464E-24</c:v>
                      </c:pt>
                      <c:pt idx="9">
                        <c:v>2.7126E-13</c:v>
                      </c:pt>
                      <c:pt idx="10">
                        <c:v>4.3304999999999999E-11</c:v>
                      </c:pt>
                      <c:pt idx="11">
                        <c:v>1.4366E-9</c:v>
                      </c:pt>
                      <c:pt idx="12">
                        <c:v>2.4853000000000001E-9</c:v>
                      </c:pt>
                      <c:pt idx="13">
                        <c:v>4.4833E-9</c:v>
                      </c:pt>
                      <c:pt idx="14">
                        <c:v>1.1865000000000001E-8</c:v>
                      </c:pt>
                      <c:pt idx="15">
                        <c:v>2.9401E-8</c:v>
                      </c:pt>
                      <c:pt idx="16">
                        <c:v>5.9993999999999999E-2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6F12-4D25-930A-3BF23642161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SOLID!$F$5:$AL$5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2.4355E-24</c:v>
                      </c:pt>
                      <c:pt idx="4">
                        <c:v>9.869100000000001E-16</c:v>
                      </c:pt>
                      <c:pt idx="5">
                        <c:v>1.9321999999999999E-11</c:v>
                      </c:pt>
                      <c:pt idx="6">
                        <c:v>4.5759999999999999E-9</c:v>
                      </c:pt>
                      <c:pt idx="7">
                        <c:v>0.06</c:v>
                      </c:pt>
                      <c:pt idx="8">
                        <c:v>0.06</c:v>
                      </c:pt>
                      <c:pt idx="9">
                        <c:v>0.06</c:v>
                      </c:pt>
                      <c:pt idx="10">
                        <c:v>0.06</c:v>
                      </c:pt>
                      <c:pt idx="11">
                        <c:v>0.06</c:v>
                      </c:pt>
                      <c:pt idx="12">
                        <c:v>0.06</c:v>
                      </c:pt>
                      <c:pt idx="13">
                        <c:v>0.06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5.8922000000000001E-6</c:v>
                      </c:pt>
                      <c:pt idx="17">
                        <c:v>1.9743E-8</c:v>
                      </c:pt>
                      <c:pt idx="18">
                        <c:v>1.4553E-8</c:v>
                      </c:pt>
                      <c:pt idx="19">
                        <c:v>8.2159000000000001E-9</c:v>
                      </c:pt>
                      <c:pt idx="20">
                        <c:v>7.8679999999999997E-9</c:v>
                      </c:pt>
                      <c:pt idx="21">
                        <c:v>6.0850000000000004E-9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F12-4D25-930A-3BF23642161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SOLID!$F$6:$AL$6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0.06</c:v>
                      </c:pt>
                      <c:pt idx="1">
                        <c:v>0.06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8.4004999999999997E-9</c:v>
                      </c:pt>
                      <c:pt idx="8">
                        <c:v>8.1328000000000001E-11</c:v>
                      </c:pt>
                      <c:pt idx="9">
                        <c:v>7.2548999999999998E-26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F12-4D25-930A-3BF23642161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SOLID!$E$7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SOLID!$F$7:$AL$7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0.15512999999999999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F12-4D25-930A-3BF23642161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SOLID!$E$8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SOLID!$F$8:$AL$8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2.4355E-24</c:v>
                      </c:pt>
                      <c:pt idx="4">
                        <c:v>9.869100000000001E-16</c:v>
                      </c:pt>
                      <c:pt idx="5">
                        <c:v>1.9321999999999999E-11</c:v>
                      </c:pt>
                      <c:pt idx="6">
                        <c:v>4.5759999999999999E-9</c:v>
                      </c:pt>
                      <c:pt idx="7">
                        <c:v>0.06</c:v>
                      </c:pt>
                      <c:pt idx="8">
                        <c:v>0.06</c:v>
                      </c:pt>
                      <c:pt idx="9">
                        <c:v>0.06</c:v>
                      </c:pt>
                      <c:pt idx="10">
                        <c:v>0.06</c:v>
                      </c:pt>
                      <c:pt idx="11">
                        <c:v>0.06</c:v>
                      </c:pt>
                      <c:pt idx="12">
                        <c:v>0.06</c:v>
                      </c:pt>
                      <c:pt idx="13">
                        <c:v>0.06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5.8922000000000001E-6</c:v>
                      </c:pt>
                      <c:pt idx="17">
                        <c:v>1.9743E-8</c:v>
                      </c:pt>
                      <c:pt idx="18">
                        <c:v>1.4553E-8</c:v>
                      </c:pt>
                      <c:pt idx="19">
                        <c:v>8.2159000000000001E-9</c:v>
                      </c:pt>
                      <c:pt idx="20">
                        <c:v>7.8679999999999997E-9</c:v>
                      </c:pt>
                      <c:pt idx="21">
                        <c:v>6.0850000000000004E-9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F12-4D25-930A-3BF23642161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SOLID!$E$9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SOLID!$F$9:$AL$9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8.7129E-15</c:v>
                      </c:pt>
                      <c:pt idx="1">
                        <c:v>9.8545999999999994E-9</c:v>
                      </c:pt>
                      <c:pt idx="2">
                        <c:v>0.06</c:v>
                      </c:pt>
                      <c:pt idx="3">
                        <c:v>0.06</c:v>
                      </c:pt>
                      <c:pt idx="4">
                        <c:v>0.06</c:v>
                      </c:pt>
                      <c:pt idx="5">
                        <c:v>0.06</c:v>
                      </c:pt>
                      <c:pt idx="6">
                        <c:v>0.06</c:v>
                      </c:pt>
                      <c:pt idx="7">
                        <c:v>0.41270000000000001</c:v>
                      </c:pt>
                      <c:pt idx="8">
                        <c:v>0.47999000000000003</c:v>
                      </c:pt>
                      <c:pt idx="9">
                        <c:v>0.48</c:v>
                      </c:pt>
                      <c:pt idx="10">
                        <c:v>0.48</c:v>
                      </c:pt>
                      <c:pt idx="11">
                        <c:v>0.48</c:v>
                      </c:pt>
                      <c:pt idx="12">
                        <c:v>0.48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F12-4D25-930A-3BF23642161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6F12-4D25-930A-3BF23642161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SOLID!$F$10:$AL$10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0.06</c:v>
                      </c:pt>
                      <c:pt idx="1">
                        <c:v>0.06</c:v>
                      </c:pt>
                      <c:pt idx="2">
                        <c:v>3.7176000000000002E-10</c:v>
                      </c:pt>
                      <c:pt idx="3">
                        <c:v>3.6682999999999996E-12</c:v>
                      </c:pt>
                      <c:pt idx="4">
                        <c:v>2.1788000000000001E-17</c:v>
                      </c:pt>
                      <c:pt idx="5">
                        <c:v>1.974E-29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F12-4D25-930A-3BF23642161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SOLID!$F$11:$AL$11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0.1</c:v>
                      </c:pt>
                      <c:pt idx="1">
                        <c:v>0.1</c:v>
                      </c:pt>
                      <c:pt idx="2">
                        <c:v>0.1</c:v>
                      </c:pt>
                      <c:pt idx="3">
                        <c:v>0.1</c:v>
                      </c:pt>
                      <c:pt idx="4">
                        <c:v>0.1</c:v>
                      </c:pt>
                      <c:pt idx="5">
                        <c:v>0.1</c:v>
                      </c:pt>
                      <c:pt idx="6">
                        <c:v>0.1</c:v>
                      </c:pt>
                      <c:pt idx="7">
                        <c:v>2.2433000000000002E-2</c:v>
                      </c:pt>
                      <c:pt idx="8">
                        <c:v>2.0362000000000001E-6</c:v>
                      </c:pt>
                      <c:pt idx="9">
                        <c:v>7.7761000000000004E-20</c:v>
                      </c:pt>
                      <c:pt idx="10">
                        <c:v>2.5107E-30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6F12-4D25-930A-3BF23642161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SOLID!$F$15:$AL$15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2.0058000000000001E-22</c:v>
                      </c:pt>
                      <c:pt idx="9">
                        <c:v>7.6130999999999995E-12</c:v>
                      </c:pt>
                      <c:pt idx="10">
                        <c:v>5.2134000000000001E-11</c:v>
                      </c:pt>
                      <c:pt idx="11">
                        <c:v>1.4366E-9</c:v>
                      </c:pt>
                      <c:pt idx="12">
                        <c:v>2.4853000000000001E-9</c:v>
                      </c:pt>
                      <c:pt idx="13">
                        <c:v>4.4833E-9</c:v>
                      </c:pt>
                      <c:pt idx="14">
                        <c:v>1.1865000000000001E-8</c:v>
                      </c:pt>
                      <c:pt idx="15">
                        <c:v>2.9401E-8</c:v>
                      </c:pt>
                      <c:pt idx="16">
                        <c:v>5.9993999999999999E-2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F12-4D25-930A-3BF23642161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-19.02</c:v>
                      </c:pt>
                      <c:pt idx="1">
                        <c:v>-19.03</c:v>
                      </c:pt>
                      <c:pt idx="2">
                        <c:v>-19.059999999999999</c:v>
                      </c:pt>
                      <c:pt idx="3">
                        <c:v>-19.11</c:v>
                      </c:pt>
                      <c:pt idx="4">
                        <c:v>-19.170000000000002</c:v>
                      </c:pt>
                      <c:pt idx="5">
                        <c:v>-19.23</c:v>
                      </c:pt>
                      <c:pt idx="6">
                        <c:v>-19.3</c:v>
                      </c:pt>
                      <c:pt idx="7">
                        <c:v>-19.07</c:v>
                      </c:pt>
                      <c:pt idx="8">
                        <c:v>-19.03</c:v>
                      </c:pt>
                      <c:pt idx="9">
                        <c:v>-19.309999999999999</c:v>
                      </c:pt>
                      <c:pt idx="10">
                        <c:v>-19.57</c:v>
                      </c:pt>
                      <c:pt idx="11">
                        <c:v>-19.82</c:v>
                      </c:pt>
                      <c:pt idx="12">
                        <c:v>-19.88</c:v>
                      </c:pt>
                      <c:pt idx="13">
                        <c:v>-19.940000000000001</c:v>
                      </c:pt>
                      <c:pt idx="14">
                        <c:v>-20</c:v>
                      </c:pt>
                      <c:pt idx="15">
                        <c:v>-20.05</c:v>
                      </c:pt>
                      <c:pt idx="16">
                        <c:v>-20.260000000000002</c:v>
                      </c:pt>
                      <c:pt idx="17">
                        <c:v>-20.46</c:v>
                      </c:pt>
                      <c:pt idx="18">
                        <c:v>-20.51</c:v>
                      </c:pt>
                      <c:pt idx="19">
                        <c:v>-20.56</c:v>
                      </c:pt>
                      <c:pt idx="20">
                        <c:v>-20.6</c:v>
                      </c:pt>
                      <c:pt idx="21">
                        <c:v>-20.65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F12-4D25-930A-3BF23642161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-60.99</c:v>
                      </c:pt>
                      <c:pt idx="1">
                        <c:v>-55.39</c:v>
                      </c:pt>
                      <c:pt idx="2">
                        <c:v>-48.92</c:v>
                      </c:pt>
                      <c:pt idx="3">
                        <c:v>-42.66</c:v>
                      </c:pt>
                      <c:pt idx="4">
                        <c:v>-37.28</c:v>
                      </c:pt>
                      <c:pt idx="5">
                        <c:v>-32.6</c:v>
                      </c:pt>
                      <c:pt idx="6">
                        <c:v>-28.48</c:v>
                      </c:pt>
                      <c:pt idx="7">
                        <c:v>-25.41</c:v>
                      </c:pt>
                      <c:pt idx="8">
                        <c:v>-26.73</c:v>
                      </c:pt>
                      <c:pt idx="9">
                        <c:v>-31.78</c:v>
                      </c:pt>
                      <c:pt idx="10">
                        <c:v>-36.28</c:v>
                      </c:pt>
                      <c:pt idx="11">
                        <c:v>-40.049999999999997</c:v>
                      </c:pt>
                      <c:pt idx="12">
                        <c:v>-40.86</c:v>
                      </c:pt>
                      <c:pt idx="13">
                        <c:v>-41.61</c:v>
                      </c:pt>
                      <c:pt idx="14">
                        <c:v>-42.31</c:v>
                      </c:pt>
                      <c:pt idx="15">
                        <c:v>-42.94</c:v>
                      </c:pt>
                      <c:pt idx="16">
                        <c:v>-44.86</c:v>
                      </c:pt>
                      <c:pt idx="17">
                        <c:v>-45.72</c:v>
                      </c:pt>
                      <c:pt idx="18">
                        <c:v>-45.76</c:v>
                      </c:pt>
                      <c:pt idx="19">
                        <c:v>-45.74</c:v>
                      </c:pt>
                      <c:pt idx="20">
                        <c:v>-45.64</c:v>
                      </c:pt>
                      <c:pt idx="21">
                        <c:v>-45.47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F12-4D25-930A-3BF23642161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-15.35</c:v>
                      </c:pt>
                      <c:pt idx="1">
                        <c:v>-14.36</c:v>
                      </c:pt>
                      <c:pt idx="2">
                        <c:v>-12.3</c:v>
                      </c:pt>
                      <c:pt idx="3">
                        <c:v>-10.01</c:v>
                      </c:pt>
                      <c:pt idx="4">
                        <c:v>-8.0210000000000008</c:v>
                      </c:pt>
                      <c:pt idx="5">
                        <c:v>-6.28</c:v>
                      </c:pt>
                      <c:pt idx="6">
                        <c:v>-4.7359999999999998</c:v>
                      </c:pt>
                      <c:pt idx="7">
                        <c:v>-4.141</c:v>
                      </c:pt>
                      <c:pt idx="8">
                        <c:v>-4.2229999999999999</c:v>
                      </c:pt>
                      <c:pt idx="9">
                        <c:v>-4.5529999999999999</c:v>
                      </c:pt>
                      <c:pt idx="10">
                        <c:v>-4.8730000000000002</c:v>
                      </c:pt>
                      <c:pt idx="11">
                        <c:v>-5.1749999999999998</c:v>
                      </c:pt>
                      <c:pt idx="12">
                        <c:v>-5.2469999999999999</c:v>
                      </c:pt>
                      <c:pt idx="13">
                        <c:v>-5.3179999999999996</c:v>
                      </c:pt>
                      <c:pt idx="14">
                        <c:v>-5.3890000000000002</c:v>
                      </c:pt>
                      <c:pt idx="15">
                        <c:v>-5.4580000000000002</c:v>
                      </c:pt>
                      <c:pt idx="16">
                        <c:v>-5.7869999999999999</c:v>
                      </c:pt>
                      <c:pt idx="17">
                        <c:v>-6.3879999999999999</c:v>
                      </c:pt>
                      <c:pt idx="18">
                        <c:v>-6.5250000000000004</c:v>
                      </c:pt>
                      <c:pt idx="19">
                        <c:v>-6.6580000000000004</c:v>
                      </c:pt>
                      <c:pt idx="20">
                        <c:v>-6.7869999999999999</c:v>
                      </c:pt>
                      <c:pt idx="21">
                        <c:v>-6.9109999999999996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F12-4D25-930A-3BF23642161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-21.89</c:v>
                      </c:pt>
                      <c:pt idx="1">
                        <c:v>-20.11</c:v>
                      </c:pt>
                      <c:pt idx="2">
                        <c:v>-19.97</c:v>
                      </c:pt>
                      <c:pt idx="3">
                        <c:v>-20.47</c:v>
                      </c:pt>
                      <c:pt idx="4">
                        <c:v>-20.98</c:v>
                      </c:pt>
                      <c:pt idx="5">
                        <c:v>-21.49</c:v>
                      </c:pt>
                      <c:pt idx="6">
                        <c:v>-22.01</c:v>
                      </c:pt>
                      <c:pt idx="7">
                        <c:v>-22.51</c:v>
                      </c:pt>
                      <c:pt idx="8">
                        <c:v>-23.02</c:v>
                      </c:pt>
                      <c:pt idx="9">
                        <c:v>-24.96</c:v>
                      </c:pt>
                      <c:pt idx="10">
                        <c:v>-26.77</c:v>
                      </c:pt>
                      <c:pt idx="11">
                        <c:v>-28.49</c:v>
                      </c:pt>
                      <c:pt idx="12">
                        <c:v>-28.9</c:v>
                      </c:pt>
                      <c:pt idx="13">
                        <c:v>-29.31</c:v>
                      </c:pt>
                      <c:pt idx="14">
                        <c:v>-29.72</c:v>
                      </c:pt>
                      <c:pt idx="15">
                        <c:v>-30.12</c:v>
                      </c:pt>
                      <c:pt idx="16">
                        <c:v>-31.69</c:v>
                      </c:pt>
                      <c:pt idx="17">
                        <c:v>-33.22</c:v>
                      </c:pt>
                      <c:pt idx="18">
                        <c:v>-33.590000000000003</c:v>
                      </c:pt>
                      <c:pt idx="19">
                        <c:v>-33.97</c:v>
                      </c:pt>
                      <c:pt idx="20">
                        <c:v>-34.340000000000003</c:v>
                      </c:pt>
                      <c:pt idx="21">
                        <c:v>-34.71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F12-4D25-930A-3BF23642161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F12-4D25-930A-3BF23642161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F12-4D25-930A-3BF23642161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F12-4D25-930A-3BF23642161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F12-4D25-930A-3BF23642161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F12-4D25-930A-3BF23642161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F12-4D25-930A-3BF23642161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F12-4D25-930A-3BF23642161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F12-4D25-930A-3BF23642161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F12-4D25-930A-3BF23642161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F12-4D25-930A-3BF23642161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F12-4D25-930A-3BF23642161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F12-4D25-930A-3BF23642161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F12-4D25-930A-3BF23642161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SOLID!$F$127:$AL$127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-3.3171549083295307E-20</c:v>
                </c:pt>
                <c:pt idx="9">
                  <c:v>-1.6782898676740513E-9</c:v>
                </c:pt>
                <c:pt idx="10">
                  <c:v>-1.4650493200802501E-8</c:v>
                </c:pt>
                <c:pt idx="11">
                  <c:v>-4.9749452873133752E-7</c:v>
                </c:pt>
                <c:pt idx="12">
                  <c:v>-9.028117463570371E-7</c:v>
                </c:pt>
                <c:pt idx="13">
                  <c:v>-1.7064805660882326E-6</c:v>
                </c:pt>
                <c:pt idx="14">
                  <c:v>-4.7226745938303771E-6</c:v>
                </c:pt>
                <c:pt idx="15">
                  <c:v>-1.2219353177076327E-5</c:v>
                </c:pt>
                <c:pt idx="16">
                  <c:v>-29.660554737641025</c:v>
                </c:pt>
                <c:pt idx="17">
                  <c:v>-36.276196758000005</c:v>
                </c:pt>
                <c:pt idx="18">
                  <c:v>-37.976478750000005</c:v>
                </c:pt>
                <c:pt idx="19">
                  <c:v>-39.663964726500012</c:v>
                </c:pt>
                <c:pt idx="20">
                  <c:v>-41.391780185250006</c:v>
                </c:pt>
                <c:pt idx="21">
                  <c:v>-43.096132125000004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96-4B09-963C-81925246AA85}"/>
            </c:ext>
          </c:extLst>
        </c:ser>
        <c:ser>
          <c:idx val="1"/>
          <c:order val="3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SOLID!$F$130:$AL$130</c:f>
              <c:numCache>
                <c:formatCode>General</c:formatCode>
                <c:ptCount val="33"/>
                <c:pt idx="0">
                  <c:v>-387.7136573625001</c:v>
                </c:pt>
                <c:pt idx="1">
                  <c:v>-393.01924374375011</c:v>
                </c:pt>
                <c:pt idx="2">
                  <c:v>-398.83946303124998</c:v>
                </c:pt>
                <c:pt idx="3">
                  <c:v>-404.93388067125011</c:v>
                </c:pt>
                <c:pt idx="4">
                  <c:v>-411.2819390625001</c:v>
                </c:pt>
                <c:pt idx="5">
                  <c:v>-417.86956591375014</c:v>
                </c:pt>
                <c:pt idx="6">
                  <c:v>-424.80523080625011</c:v>
                </c:pt>
                <c:pt idx="7">
                  <c:v>-97.82702426331339</c:v>
                </c:pt>
                <c:pt idx="8">
                  <c:v>-9.7697728422550829E-3</c:v>
                </c:pt>
                <c:pt idx="9">
                  <c:v>-1.6782903890278557E-9</c:v>
                </c:pt>
                <c:pt idx="10">
                  <c:v>-1.4650497946491081E-8</c:v>
                </c:pt>
                <c:pt idx="11">
                  <c:v>-4.9750483815399808E-7</c:v>
                </c:pt>
                <c:pt idx="12">
                  <c:v>-9.0286302781587314E-7</c:v>
                </c:pt>
                <c:pt idx="13">
                  <c:v>-1.7067109849655364E-6</c:v>
                </c:pt>
                <c:pt idx="14">
                  <c:v>-4.7236178262223547E-6</c:v>
                </c:pt>
                <c:pt idx="15">
                  <c:v>-1.2222902165830208E-5</c:v>
                </c:pt>
                <c:pt idx="16">
                  <c:v>-29.660555071575246</c:v>
                </c:pt>
                <c:pt idx="17">
                  <c:v>-36.276206917124725</c:v>
                </c:pt>
                <c:pt idx="18">
                  <c:v>-37.976500335197585</c:v>
                </c:pt>
                <c:pt idx="19">
                  <c:v>-39.664009002392234</c:v>
                </c:pt>
                <c:pt idx="20">
                  <c:v>-41.391868194522623</c:v>
                </c:pt>
                <c:pt idx="21">
                  <c:v>-43.096301736436054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0D96-4B09-963C-81925246AA85}"/>
            </c:ext>
          </c:extLst>
        </c:ser>
        <c:ser>
          <c:idx val="2"/>
          <c:order val="4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SOLID!$F$131:$AL$131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0D96-4B09-963C-81925246AA85}"/>
            </c:ext>
          </c:extLst>
        </c:ser>
        <c:ser>
          <c:idx val="4"/>
          <c:order val="5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SOLID!$F$132:$AL$132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0D96-4B09-963C-81925246AA85}"/>
            </c:ext>
          </c:extLst>
        </c:ser>
        <c:ser>
          <c:idx val="5"/>
          <c:order val="6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SOLID!$F$133:$AL$133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0D96-4B09-963C-81925246AA85}"/>
            </c:ext>
          </c:extLst>
        </c:ser>
        <c:ser>
          <c:idx val="6"/>
          <c:order val="7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SOLID!$F$134:$AL$134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0D96-4B09-963C-81925246AA85}"/>
            </c:ext>
          </c:extLst>
        </c:ser>
        <c:ser>
          <c:idx val="7"/>
          <c:order val="8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SOLID!$F$135:$AL$135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0D96-4B09-963C-81925246AA85}"/>
            </c:ext>
          </c:extLst>
        </c:ser>
        <c:ser>
          <c:idx val="8"/>
          <c:order val="9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SOLID!$F$136:$AL$136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0D96-4B09-963C-81925246AA85}"/>
            </c:ext>
          </c:extLst>
        </c:ser>
        <c:ser>
          <c:idx val="9"/>
          <c:order val="10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SOLID!$F$137:$AL$137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0D96-4B09-963C-81925246AA85}"/>
            </c:ext>
          </c:extLst>
        </c:ser>
        <c:ser>
          <c:idx val="10"/>
          <c:order val="11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SOLID!$F$138:$AL$138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0D96-4B09-963C-81925246AA85}"/>
            </c:ext>
          </c:extLst>
        </c:ser>
        <c:ser>
          <c:idx val="11"/>
          <c:order val="12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SOLID!$F$139:$AL$139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0D96-4B09-963C-81925246AA85}"/>
            </c:ext>
          </c:extLst>
        </c:ser>
        <c:ser>
          <c:idx val="12"/>
          <c:order val="13"/>
          <c:tx>
            <c:v>temp</c:v>
          </c:tx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xVal>
            <c:numRef>
              <c:f>SOLID!$A$118:$A$119</c:f>
              <c:numCache>
                <c:formatCode>General</c:formatCode>
                <c:ptCount val="2"/>
                <c:pt idx="0">
                  <c:v>731</c:v>
                </c:pt>
                <c:pt idx="1">
                  <c:v>731</c:v>
                </c:pt>
              </c:numCache>
            </c:numRef>
          </c:xVal>
          <c:yVal>
            <c:numRef>
              <c:f>SOLID!$B$118:$B$119</c:f>
              <c:numCache>
                <c:formatCode>0</c:formatCode>
                <c:ptCount val="2"/>
                <c:pt idx="0">
                  <c:v>-2762.92082175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0D96-4B09-963C-81925246AA85}"/>
            </c:ext>
          </c:extLst>
        </c:ser>
        <c:ser>
          <c:idx val="14"/>
          <c:order val="14"/>
          <c:tx>
            <c:v>gibs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-507.18277058400002</c:v>
                </c:pt>
                <c:pt idx="1">
                  <c:v>-515.74157553750013</c:v>
                </c:pt>
                <c:pt idx="2">
                  <c:v>-527.03948719900006</c:v>
                </c:pt>
                <c:pt idx="3">
                  <c:v>-539.76833539650011</c:v>
                </c:pt>
                <c:pt idx="4">
                  <c:v>-553.02973591065006</c:v>
                </c:pt>
                <c:pt idx="5">
                  <c:v>-566.80991909800002</c:v>
                </c:pt>
                <c:pt idx="6">
                  <c:v>-581.27475452200008</c:v>
                </c:pt>
                <c:pt idx="7">
                  <c:v>-603.69244633409994</c:v>
                </c:pt>
                <c:pt idx="8">
                  <c:v>-661.91830615620017</c:v>
                </c:pt>
                <c:pt idx="9">
                  <c:v>-914.28682361179995</c:v>
                </c:pt>
                <c:pt idx="10">
                  <c:v>-1193.1713959875501</c:v>
                </c:pt>
                <c:pt idx="11">
                  <c:v>-1492.6833360285</c:v>
                </c:pt>
                <c:pt idx="12">
                  <c:v>-1569.7430316348004</c:v>
                </c:pt>
                <c:pt idx="13">
                  <c:v>-1648.2744951780003</c:v>
                </c:pt>
                <c:pt idx="14">
                  <c:v>-1726.4354235829999</c:v>
                </c:pt>
                <c:pt idx="15">
                  <c:v>-1804.7256535490001</c:v>
                </c:pt>
                <c:pt idx="16">
                  <c:v>-2125.3337906895003</c:v>
                </c:pt>
                <c:pt idx="17">
                  <c:v>-2447.2008650760004</c:v>
                </c:pt>
                <c:pt idx="18">
                  <c:v>-2527.7105455000005</c:v>
                </c:pt>
                <c:pt idx="19">
                  <c:v>-2606.5901016830003</c:v>
                </c:pt>
                <c:pt idx="20">
                  <c:v>-2686.0279017105008</c:v>
                </c:pt>
                <c:pt idx="21">
                  <c:v>-2762.92082175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0D96-4B09-963C-81925246A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1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SOLID!$F$128:$AL$128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-387.7136573625001</c:v>
                      </c:pt>
                      <c:pt idx="1">
                        <c:v>-393.01924374375011</c:v>
                      </c:pt>
                      <c:pt idx="2">
                        <c:v>-398.83946303124998</c:v>
                      </c:pt>
                      <c:pt idx="3">
                        <c:v>-404.93388067125011</c:v>
                      </c:pt>
                      <c:pt idx="4">
                        <c:v>-411.2819390625001</c:v>
                      </c:pt>
                      <c:pt idx="5">
                        <c:v>-417.86956591375014</c:v>
                      </c:pt>
                      <c:pt idx="6">
                        <c:v>-424.80523080625011</c:v>
                      </c:pt>
                      <c:pt idx="7">
                        <c:v>-97.82702426331339</c:v>
                      </c:pt>
                      <c:pt idx="8">
                        <c:v>-9.7697728422550829E-3</c:v>
                      </c:pt>
                      <c:pt idx="9">
                        <c:v>-5.2135380437530261E-16</c:v>
                      </c:pt>
                      <c:pt idx="10">
                        <c:v>-4.74568858058136E-15</c:v>
                      </c:pt>
                      <c:pt idx="11">
                        <c:v>-1.0309422660575631E-11</c:v>
                      </c:pt>
                      <c:pt idx="12">
                        <c:v>-5.1281458836036665E-11</c:v>
                      </c:pt>
                      <c:pt idx="13">
                        <c:v>-2.3041887730372607E-10</c:v>
                      </c:pt>
                      <c:pt idx="14">
                        <c:v>-9.4323239197797161E-10</c:v>
                      </c:pt>
                      <c:pt idx="15">
                        <c:v>-3.5489887538815944E-9</c:v>
                      </c:pt>
                      <c:pt idx="16">
                        <c:v>-3.3393422119415529E-7</c:v>
                      </c:pt>
                      <c:pt idx="17">
                        <c:v>-1.0159124717946732E-5</c:v>
                      </c:pt>
                      <c:pt idx="18">
                        <c:v>-2.1585197580187506E-5</c:v>
                      </c:pt>
                      <c:pt idx="19">
                        <c:v>-4.4275892225073797E-5</c:v>
                      </c:pt>
                      <c:pt idx="20">
                        <c:v>-8.8009272618887836E-5</c:v>
                      </c:pt>
                      <c:pt idx="21">
                        <c:v>-1.6961143605152999E-4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0D96-4B09-963C-81925246AA85}"/>
                  </c:ext>
                </c:extLst>
              </c15:ser>
            </c15:filteredScatterSeries>
            <c15:filteredScatterSeries>
              <c15:ser>
                <c:idx val="13"/>
                <c:order val="2"/>
                <c:tx>
                  <c:v>Ряд3</c:v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0D96-4B09-963C-81925246AA85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-466.31012699250016</c:v>
                      </c:pt>
                      <c:pt idx="1">
                        <c:v>-480.43852033125012</c:v>
                      </c:pt>
                      <c:pt idx="2">
                        <c:v>-495.21829238625003</c:v>
                      </c:pt>
                      <c:pt idx="3">
                        <c:v>-510.41042206875011</c:v>
                      </c:pt>
                      <c:pt idx="4">
                        <c:v>-525.9622993800001</c:v>
                      </c:pt>
                      <c:pt idx="5">
                        <c:v>-541.80928601125026</c:v>
                      </c:pt>
                      <c:pt idx="6">
                        <c:v>-558.1289311812501</c:v>
                      </c:pt>
                      <c:pt idx="7">
                        <c:v>-238.3618350583134</c:v>
                      </c:pt>
                      <c:pt idx="8">
                        <c:v>-149.05765854284232</c:v>
                      </c:pt>
                      <c:pt idx="9">
                        <c:v>-186.99072151000004</c:v>
                      </c:pt>
                      <c:pt idx="10">
                        <c:v>-225.71249818250007</c:v>
                      </c:pt>
                      <c:pt idx="11">
                        <c:v>-265.26242677001039</c:v>
                      </c:pt>
                      <c:pt idx="12">
                        <c:v>-275.26671032005135</c:v>
                      </c:pt>
                      <c:pt idx="13">
                        <c:v>-285.43706215023053</c:v>
                      </c:pt>
                      <c:pt idx="14">
                        <c:v>-295.44190000094335</c:v>
                      </c:pt>
                      <c:pt idx="15">
                        <c:v>-305.34931962854904</c:v>
                      </c:pt>
                      <c:pt idx="16">
                        <c:v>-346.16838768393433</c:v>
                      </c:pt>
                      <c:pt idx="17">
                        <c:v>-387.29440885912487</c:v>
                      </c:pt>
                      <c:pt idx="18">
                        <c:v>-397.90427658519769</c:v>
                      </c:pt>
                      <c:pt idx="19">
                        <c:v>-408.27636087589241</c:v>
                      </c:pt>
                      <c:pt idx="20">
                        <c:v>-418.77650950927284</c:v>
                      </c:pt>
                      <c:pt idx="21">
                        <c:v>-429.23623211143621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D96-4B09-963C-81925246AA8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2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97950914030483"/>
          <c:y val="4.3911525859608953E-2"/>
          <c:w val="0.86827784684809139"/>
          <c:h val="0.8502139352744800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SOLID!$F$4:$AL$4</c:f>
              <c:numCache>
                <c:formatCode>0.00E+00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5.4464E-24</c:v>
                </c:pt>
                <c:pt idx="9">
                  <c:v>2.7126E-13</c:v>
                </c:pt>
                <c:pt idx="10">
                  <c:v>4.3304999999999999E-11</c:v>
                </c:pt>
                <c:pt idx="11">
                  <c:v>1.4366E-9</c:v>
                </c:pt>
                <c:pt idx="12">
                  <c:v>2.4853000000000001E-9</c:v>
                </c:pt>
                <c:pt idx="13">
                  <c:v>4.4833E-9</c:v>
                </c:pt>
                <c:pt idx="14">
                  <c:v>1.1865000000000001E-8</c:v>
                </c:pt>
                <c:pt idx="15">
                  <c:v>2.9401E-8</c:v>
                </c:pt>
                <c:pt idx="16">
                  <c:v>5.9993999999999999E-2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F2-4C72-9FE2-1C7299990DB3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SOLID!$F$5:$AL$5</c:f>
              <c:numCache>
                <c:formatCode>0.00E+00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2.4355E-24</c:v>
                </c:pt>
                <c:pt idx="4">
                  <c:v>9.869100000000001E-16</c:v>
                </c:pt>
                <c:pt idx="5">
                  <c:v>1.9321999999999999E-11</c:v>
                </c:pt>
                <c:pt idx="6">
                  <c:v>4.5759999999999999E-9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5.8922000000000001E-6</c:v>
                </c:pt>
                <c:pt idx="17">
                  <c:v>1.9743E-8</c:v>
                </c:pt>
                <c:pt idx="18">
                  <c:v>1.4553E-8</c:v>
                </c:pt>
                <c:pt idx="19">
                  <c:v>8.2159000000000001E-9</c:v>
                </c:pt>
                <c:pt idx="20">
                  <c:v>7.8679999999999997E-9</c:v>
                </c:pt>
                <c:pt idx="21">
                  <c:v>6.0850000000000004E-9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F2-4C72-9FE2-1C7299990DB3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SOLID!$F$6:$AL$6</c:f>
              <c:numCache>
                <c:formatCode>0.00E+00</c:formatCode>
                <c:ptCount val="33"/>
                <c:pt idx="0">
                  <c:v>0.06</c:v>
                </c:pt>
                <c:pt idx="1">
                  <c:v>0.06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8.4004999999999997E-9</c:v>
                </c:pt>
                <c:pt idx="8">
                  <c:v>8.1328000000000001E-11</c:v>
                </c:pt>
                <c:pt idx="9">
                  <c:v>7.2548999999999998E-26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F2-4C72-9FE2-1C7299990DB3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SOLID!$F$7:$AL$7</c:f>
              <c:numCache>
                <c:formatCode>0.00E+00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0.15512999999999999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F2-4C72-9FE2-1C7299990DB3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*Ge[c]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SOLID!$F$8:$AL$8</c:f>
              <c:numCache>
                <c:formatCode>0.00E+00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2.4355E-24</c:v>
                </c:pt>
                <c:pt idx="4">
                  <c:v>9.869100000000001E-16</c:v>
                </c:pt>
                <c:pt idx="5">
                  <c:v>1.9321999999999999E-11</c:v>
                </c:pt>
                <c:pt idx="6">
                  <c:v>4.5759999999999999E-9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5.8922000000000001E-6</c:v>
                </c:pt>
                <c:pt idx="17">
                  <c:v>1.9743E-8</c:v>
                </c:pt>
                <c:pt idx="18">
                  <c:v>1.4553E-8</c:v>
                </c:pt>
                <c:pt idx="19">
                  <c:v>8.2159000000000001E-9</c:v>
                </c:pt>
                <c:pt idx="20">
                  <c:v>7.8679999999999997E-9</c:v>
                </c:pt>
                <c:pt idx="21">
                  <c:v>6.0850000000000004E-9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EF2-4C72-9FE2-1C7299990DB3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SOLID!$F$9:$AL$9</c:f>
              <c:numCache>
                <c:formatCode>0.00E+00</c:formatCode>
                <c:ptCount val="33"/>
                <c:pt idx="0">
                  <c:v>8.7129E-15</c:v>
                </c:pt>
                <c:pt idx="1">
                  <c:v>9.8545999999999994E-9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0.41270000000000001</c:v>
                </c:pt>
                <c:pt idx="8">
                  <c:v>0.47999000000000003</c:v>
                </c:pt>
                <c:pt idx="9">
                  <c:v>0.48</c:v>
                </c:pt>
                <c:pt idx="10">
                  <c:v>0.48</c:v>
                </c:pt>
                <c:pt idx="11">
                  <c:v>0.48</c:v>
                </c:pt>
                <c:pt idx="12">
                  <c:v>0.48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  <c:pt idx="19">
                  <c:v>0.48</c:v>
                </c:pt>
                <c:pt idx="20">
                  <c:v>0.48</c:v>
                </c:pt>
                <c:pt idx="2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EF2-4C72-9FE2-1C7299990DB3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5EF2-4C72-9FE2-1C7299990DB3}"/>
              </c:ext>
            </c:extLst>
          </c:dPt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SOLID!$F$10:$AL$10</c:f>
              <c:numCache>
                <c:formatCode>0.00E+00</c:formatCode>
                <c:ptCount val="33"/>
                <c:pt idx="0">
                  <c:v>0.06</c:v>
                </c:pt>
                <c:pt idx="1">
                  <c:v>0.06</c:v>
                </c:pt>
                <c:pt idx="2">
                  <c:v>3.7176000000000002E-10</c:v>
                </c:pt>
                <c:pt idx="3">
                  <c:v>3.6682999999999996E-12</c:v>
                </c:pt>
                <c:pt idx="4">
                  <c:v>2.1788000000000001E-17</c:v>
                </c:pt>
                <c:pt idx="5">
                  <c:v>1.974E-29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EF2-4C72-9FE2-1C7299990DB3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*Ga2Se3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SOLID!$F$11:$AL$11</c:f>
              <c:numCache>
                <c:formatCode>0.00E+00</c:formatCode>
                <c:ptCount val="33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2.2433000000000002E-2</c:v>
                </c:pt>
                <c:pt idx="8">
                  <c:v>2.0362000000000001E-6</c:v>
                </c:pt>
                <c:pt idx="9">
                  <c:v>7.7761000000000004E-20</c:v>
                </c:pt>
                <c:pt idx="10">
                  <c:v>2.5107E-30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5EF2-4C72-9FE2-1C7299990DB3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SOLID!$A$34:$A$35</c:f>
              <c:numCache>
                <c:formatCode>General</c:formatCode>
                <c:ptCount val="2"/>
                <c:pt idx="0">
                  <c:v>731</c:v>
                </c:pt>
                <c:pt idx="1">
                  <c:v>731</c:v>
                </c:pt>
              </c:numCache>
            </c:numRef>
          </c:xVal>
          <c:yVal>
            <c:numRef>
              <c:f>SOLID!$B$34:$B$35</c:f>
              <c:numCache>
                <c:formatCode>0.0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EF2-4C72-9FE2-1C7299990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8"/>
                <c:order val="8"/>
                <c:tx>
                  <c:strRef>
                    <c:extLst>
                      <c:ext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SOLID!$F$12:$AL$12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4.1590999999999998E-36</c:v>
                      </c:pt>
                      <c:pt idx="9">
                        <c:v>1.3659000000000001E-27</c:v>
                      </c:pt>
                      <c:pt idx="10">
                        <c:v>8.0203000000000004E-22</c:v>
                      </c:pt>
                      <c:pt idx="11">
                        <c:v>1.1604999999999999E-17</c:v>
                      </c:pt>
                      <c:pt idx="12">
                        <c:v>8.4930999999999999E-17</c:v>
                      </c:pt>
                      <c:pt idx="13">
                        <c:v>5.4554999999999996E-16</c:v>
                      </c:pt>
                      <c:pt idx="14">
                        <c:v>3.1137999999999998E-15</c:v>
                      </c:pt>
                      <c:pt idx="15">
                        <c:v>1.5962999999999998E-14</c:v>
                      </c:pt>
                      <c:pt idx="16">
                        <c:v>3.9470999999999996E-12</c:v>
                      </c:pt>
                      <c:pt idx="17">
                        <c:v>1.7847999999999999E-10</c:v>
                      </c:pt>
                      <c:pt idx="18">
                        <c:v>4.1200000000000002E-10</c:v>
                      </c:pt>
                      <c:pt idx="19">
                        <c:v>9.1374999999999997E-10</c:v>
                      </c:pt>
                      <c:pt idx="20">
                        <c:v>1.9525E-9</c:v>
                      </c:pt>
                      <c:pt idx="21">
                        <c:v>4.0296000000000002E-9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5EF2-4C72-9FE2-1C7299990D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SOLID!$F$13:$AL$13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2.5350000000000001E-33</c:v>
                      </c:pt>
                      <c:pt idx="7">
                        <c:v>1.0517999999999999E-30</c:v>
                      </c:pt>
                      <c:pt idx="8">
                        <c:v>1.3863000000000001E-28</c:v>
                      </c:pt>
                      <c:pt idx="9">
                        <c:v>5.5174000000000001E-22</c:v>
                      </c:pt>
                      <c:pt idx="10">
                        <c:v>1.6886000000000001E-17</c:v>
                      </c:pt>
                      <c:pt idx="11">
                        <c:v>2.9747000000000003E-14</c:v>
                      </c:pt>
                      <c:pt idx="12">
                        <c:v>1.4100000000000001E-13</c:v>
                      </c:pt>
                      <c:pt idx="13">
                        <c:v>6.0427000000000001E-13</c:v>
                      </c:pt>
                      <c:pt idx="14">
                        <c:v>2.3635000000000002E-12</c:v>
                      </c:pt>
                      <c:pt idx="15">
                        <c:v>8.5073000000000003E-12</c:v>
                      </c:pt>
                      <c:pt idx="16">
                        <c:v>6.6755000000000004E-10</c:v>
                      </c:pt>
                      <c:pt idx="17">
                        <c:v>1.6446E-8</c:v>
                      </c:pt>
                      <c:pt idx="18">
                        <c:v>3.3279000000000003E-8</c:v>
                      </c:pt>
                      <c:pt idx="19">
                        <c:v>6.5148999999999997E-8</c:v>
                      </c:pt>
                      <c:pt idx="20">
                        <c:v>1.2367E-7</c:v>
                      </c:pt>
                      <c:pt idx="21">
                        <c:v>2.2807999999999999E-7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EF2-4C72-9FE2-1C7299990D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SOLID!$F$14:$AL$14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EF2-4C72-9FE2-1C7299990D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SOLID!$F$15:$AL$15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2.0058000000000001E-22</c:v>
                      </c:pt>
                      <c:pt idx="9">
                        <c:v>7.6130999999999995E-12</c:v>
                      </c:pt>
                      <c:pt idx="10">
                        <c:v>5.2134000000000001E-11</c:v>
                      </c:pt>
                      <c:pt idx="11">
                        <c:v>1.4366E-9</c:v>
                      </c:pt>
                      <c:pt idx="12">
                        <c:v>2.4853000000000001E-9</c:v>
                      </c:pt>
                      <c:pt idx="13">
                        <c:v>4.4833E-9</c:v>
                      </c:pt>
                      <c:pt idx="14">
                        <c:v>1.1865000000000001E-8</c:v>
                      </c:pt>
                      <c:pt idx="15">
                        <c:v>2.9401E-8</c:v>
                      </c:pt>
                      <c:pt idx="16">
                        <c:v>5.9993999999999999E-2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EF2-4C72-9FE2-1C7299990D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-19.02</c:v>
                      </c:pt>
                      <c:pt idx="1">
                        <c:v>-19.03</c:v>
                      </c:pt>
                      <c:pt idx="2">
                        <c:v>-19.059999999999999</c:v>
                      </c:pt>
                      <c:pt idx="3">
                        <c:v>-19.11</c:v>
                      </c:pt>
                      <c:pt idx="4">
                        <c:v>-19.170000000000002</c:v>
                      </c:pt>
                      <c:pt idx="5">
                        <c:v>-19.23</c:v>
                      </c:pt>
                      <c:pt idx="6">
                        <c:v>-19.3</c:v>
                      </c:pt>
                      <c:pt idx="7">
                        <c:v>-19.07</c:v>
                      </c:pt>
                      <c:pt idx="8">
                        <c:v>-19.03</c:v>
                      </c:pt>
                      <c:pt idx="9">
                        <c:v>-19.309999999999999</c:v>
                      </c:pt>
                      <c:pt idx="10">
                        <c:v>-19.57</c:v>
                      </c:pt>
                      <c:pt idx="11">
                        <c:v>-19.82</c:v>
                      </c:pt>
                      <c:pt idx="12">
                        <c:v>-19.88</c:v>
                      </c:pt>
                      <c:pt idx="13">
                        <c:v>-19.940000000000001</c:v>
                      </c:pt>
                      <c:pt idx="14">
                        <c:v>-20</c:v>
                      </c:pt>
                      <c:pt idx="15">
                        <c:v>-20.05</c:v>
                      </c:pt>
                      <c:pt idx="16">
                        <c:v>-20.260000000000002</c:v>
                      </c:pt>
                      <c:pt idx="17">
                        <c:v>-20.46</c:v>
                      </c:pt>
                      <c:pt idx="18">
                        <c:v>-20.51</c:v>
                      </c:pt>
                      <c:pt idx="19">
                        <c:v>-20.56</c:v>
                      </c:pt>
                      <c:pt idx="20">
                        <c:v>-20.6</c:v>
                      </c:pt>
                      <c:pt idx="21">
                        <c:v>-20.65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EF2-4C72-9FE2-1C7299990D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-60.99</c:v>
                      </c:pt>
                      <c:pt idx="1">
                        <c:v>-55.39</c:v>
                      </c:pt>
                      <c:pt idx="2">
                        <c:v>-48.92</c:v>
                      </c:pt>
                      <c:pt idx="3">
                        <c:v>-42.66</c:v>
                      </c:pt>
                      <c:pt idx="4">
                        <c:v>-37.28</c:v>
                      </c:pt>
                      <c:pt idx="5">
                        <c:v>-32.6</c:v>
                      </c:pt>
                      <c:pt idx="6">
                        <c:v>-28.48</c:v>
                      </c:pt>
                      <c:pt idx="7">
                        <c:v>-25.41</c:v>
                      </c:pt>
                      <c:pt idx="8">
                        <c:v>-26.73</c:v>
                      </c:pt>
                      <c:pt idx="9">
                        <c:v>-31.78</c:v>
                      </c:pt>
                      <c:pt idx="10">
                        <c:v>-36.28</c:v>
                      </c:pt>
                      <c:pt idx="11">
                        <c:v>-40.049999999999997</c:v>
                      </c:pt>
                      <c:pt idx="12">
                        <c:v>-40.86</c:v>
                      </c:pt>
                      <c:pt idx="13">
                        <c:v>-41.61</c:v>
                      </c:pt>
                      <c:pt idx="14">
                        <c:v>-42.31</c:v>
                      </c:pt>
                      <c:pt idx="15">
                        <c:v>-42.94</c:v>
                      </c:pt>
                      <c:pt idx="16">
                        <c:v>-44.86</c:v>
                      </c:pt>
                      <c:pt idx="17">
                        <c:v>-45.72</c:v>
                      </c:pt>
                      <c:pt idx="18">
                        <c:v>-45.76</c:v>
                      </c:pt>
                      <c:pt idx="19">
                        <c:v>-45.74</c:v>
                      </c:pt>
                      <c:pt idx="20">
                        <c:v>-45.64</c:v>
                      </c:pt>
                      <c:pt idx="21">
                        <c:v>-45.47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EF2-4C72-9FE2-1C7299990D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-15.35</c:v>
                      </c:pt>
                      <c:pt idx="1">
                        <c:v>-14.36</c:v>
                      </c:pt>
                      <c:pt idx="2">
                        <c:v>-12.3</c:v>
                      </c:pt>
                      <c:pt idx="3">
                        <c:v>-10.01</c:v>
                      </c:pt>
                      <c:pt idx="4">
                        <c:v>-8.0210000000000008</c:v>
                      </c:pt>
                      <c:pt idx="5">
                        <c:v>-6.28</c:v>
                      </c:pt>
                      <c:pt idx="6">
                        <c:v>-4.7359999999999998</c:v>
                      </c:pt>
                      <c:pt idx="7">
                        <c:v>-4.141</c:v>
                      </c:pt>
                      <c:pt idx="8">
                        <c:v>-4.2229999999999999</c:v>
                      </c:pt>
                      <c:pt idx="9">
                        <c:v>-4.5529999999999999</c:v>
                      </c:pt>
                      <c:pt idx="10">
                        <c:v>-4.8730000000000002</c:v>
                      </c:pt>
                      <c:pt idx="11">
                        <c:v>-5.1749999999999998</c:v>
                      </c:pt>
                      <c:pt idx="12">
                        <c:v>-5.2469999999999999</c:v>
                      </c:pt>
                      <c:pt idx="13">
                        <c:v>-5.3179999999999996</c:v>
                      </c:pt>
                      <c:pt idx="14">
                        <c:v>-5.3890000000000002</c:v>
                      </c:pt>
                      <c:pt idx="15">
                        <c:v>-5.4580000000000002</c:v>
                      </c:pt>
                      <c:pt idx="16">
                        <c:v>-5.7869999999999999</c:v>
                      </c:pt>
                      <c:pt idx="17">
                        <c:v>-6.3879999999999999</c:v>
                      </c:pt>
                      <c:pt idx="18">
                        <c:v>-6.5250000000000004</c:v>
                      </c:pt>
                      <c:pt idx="19">
                        <c:v>-6.6580000000000004</c:v>
                      </c:pt>
                      <c:pt idx="20">
                        <c:v>-6.7869999999999999</c:v>
                      </c:pt>
                      <c:pt idx="21">
                        <c:v>-6.9109999999999996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EF2-4C72-9FE2-1C7299990DB3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-21.89</c:v>
                      </c:pt>
                      <c:pt idx="1">
                        <c:v>-20.11</c:v>
                      </c:pt>
                      <c:pt idx="2">
                        <c:v>-19.97</c:v>
                      </c:pt>
                      <c:pt idx="3">
                        <c:v>-20.47</c:v>
                      </c:pt>
                      <c:pt idx="4">
                        <c:v>-20.98</c:v>
                      </c:pt>
                      <c:pt idx="5">
                        <c:v>-21.49</c:v>
                      </c:pt>
                      <c:pt idx="6">
                        <c:v>-22.01</c:v>
                      </c:pt>
                      <c:pt idx="7">
                        <c:v>-22.51</c:v>
                      </c:pt>
                      <c:pt idx="8">
                        <c:v>-23.02</c:v>
                      </c:pt>
                      <c:pt idx="9">
                        <c:v>-24.96</c:v>
                      </c:pt>
                      <c:pt idx="10">
                        <c:v>-26.77</c:v>
                      </c:pt>
                      <c:pt idx="11">
                        <c:v>-28.49</c:v>
                      </c:pt>
                      <c:pt idx="12">
                        <c:v>-28.9</c:v>
                      </c:pt>
                      <c:pt idx="13">
                        <c:v>-29.31</c:v>
                      </c:pt>
                      <c:pt idx="14">
                        <c:v>-29.72</c:v>
                      </c:pt>
                      <c:pt idx="15">
                        <c:v>-30.12</c:v>
                      </c:pt>
                      <c:pt idx="16">
                        <c:v>-31.69</c:v>
                      </c:pt>
                      <c:pt idx="17">
                        <c:v>-33.22</c:v>
                      </c:pt>
                      <c:pt idx="18">
                        <c:v>-33.590000000000003</c:v>
                      </c:pt>
                      <c:pt idx="19">
                        <c:v>-33.97</c:v>
                      </c:pt>
                      <c:pt idx="20">
                        <c:v>-34.340000000000003</c:v>
                      </c:pt>
                      <c:pt idx="21">
                        <c:v>-34.71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EF2-4C72-9FE2-1C7299990DB3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EF2-4C72-9FE2-1C7299990DB3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EF2-4C72-9FE2-1C7299990DB3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EF2-4C72-9FE2-1C7299990DB3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EF2-4C72-9FE2-1C7299990DB3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EF2-4C72-9FE2-1C7299990DB3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EF2-4C72-9FE2-1C7299990DB3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EF2-4C72-9FE2-1C7299990DB3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EF2-4C72-9FE2-1C7299990DB3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EF2-4C72-9FE2-1C7299990DB3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EF2-4C72-9FE2-1C7299990DB3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EF2-4C72-9FE2-1C7299990DB3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EF2-4C72-9FE2-1C7299990DB3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EF2-4C72-9FE2-1C7299990DB3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303</c:v>
                </c:pt>
                <c:pt idx="1">
                  <c:v>316</c:v>
                </c:pt>
                <c:pt idx="2">
                  <c:v>329</c:v>
                </c:pt>
                <c:pt idx="3">
                  <c:v>342</c:v>
                </c:pt>
                <c:pt idx="4">
                  <c:v>355</c:v>
                </c:pt>
                <c:pt idx="5">
                  <c:v>368</c:v>
                </c:pt>
                <c:pt idx="6">
                  <c:v>381</c:v>
                </c:pt>
                <c:pt idx="7">
                  <c:v>394</c:v>
                </c:pt>
                <c:pt idx="8">
                  <c:v>407</c:v>
                </c:pt>
                <c:pt idx="9">
                  <c:v>420</c:v>
                </c:pt>
                <c:pt idx="10">
                  <c:v>433</c:v>
                </c:pt>
                <c:pt idx="11">
                  <c:v>446</c:v>
                </c:pt>
                <c:pt idx="12">
                  <c:v>459</c:v>
                </c:pt>
                <c:pt idx="13">
                  <c:v>472</c:v>
                </c:pt>
                <c:pt idx="14">
                  <c:v>485</c:v>
                </c:pt>
                <c:pt idx="15">
                  <c:v>498</c:v>
                </c:pt>
                <c:pt idx="16">
                  <c:v>511</c:v>
                </c:pt>
                <c:pt idx="17">
                  <c:v>524</c:v>
                </c:pt>
                <c:pt idx="18">
                  <c:v>537</c:v>
                </c:pt>
                <c:pt idx="19">
                  <c:v>550</c:v>
                </c:pt>
                <c:pt idx="20">
                  <c:v>563</c:v>
                </c:pt>
                <c:pt idx="21">
                  <c:v>576</c:v>
                </c:pt>
                <c:pt idx="22">
                  <c:v>589</c:v>
                </c:pt>
                <c:pt idx="23">
                  <c:v>602</c:v>
                </c:pt>
                <c:pt idx="24">
                  <c:v>615</c:v>
                </c:pt>
                <c:pt idx="25">
                  <c:v>628</c:v>
                </c:pt>
                <c:pt idx="26">
                  <c:v>641</c:v>
                </c:pt>
                <c:pt idx="27">
                  <c:v>654</c:v>
                </c:pt>
                <c:pt idx="28">
                  <c:v>667</c:v>
                </c:pt>
                <c:pt idx="29">
                  <c:v>680</c:v>
                </c:pt>
                <c:pt idx="30">
                  <c:v>693</c:v>
                </c:pt>
                <c:pt idx="31">
                  <c:v>706</c:v>
                </c:pt>
                <c:pt idx="32">
                  <c:v>719</c:v>
                </c:pt>
                <c:pt idx="33">
                  <c:v>732</c:v>
                </c:pt>
                <c:pt idx="34">
                  <c:v>745</c:v>
                </c:pt>
                <c:pt idx="35">
                  <c:v>758</c:v>
                </c:pt>
                <c:pt idx="36">
                  <c:v>771</c:v>
                </c:pt>
                <c:pt idx="37">
                  <c:v>784</c:v>
                </c:pt>
                <c:pt idx="38">
                  <c:v>797</c:v>
                </c:pt>
                <c:pt idx="39">
                  <c:v>810</c:v>
                </c:pt>
                <c:pt idx="40">
                  <c:v>823</c:v>
                </c:pt>
                <c:pt idx="41">
                  <c:v>836</c:v>
                </c:pt>
                <c:pt idx="42">
                  <c:v>849</c:v>
                </c:pt>
                <c:pt idx="43">
                  <c:v>862</c:v>
                </c:pt>
                <c:pt idx="44">
                  <c:v>875</c:v>
                </c:pt>
                <c:pt idx="45">
                  <c:v>888</c:v>
                </c:pt>
                <c:pt idx="46">
                  <c:v>901</c:v>
                </c:pt>
                <c:pt idx="47">
                  <c:v>914</c:v>
                </c:pt>
                <c:pt idx="48">
                  <c:v>927</c:v>
                </c:pt>
                <c:pt idx="49">
                  <c:v>940</c:v>
                </c:pt>
                <c:pt idx="50">
                  <c:v>953</c:v>
                </c:pt>
                <c:pt idx="51">
                  <c:v>966</c:v>
                </c:pt>
                <c:pt idx="52">
                  <c:v>979</c:v>
                </c:pt>
                <c:pt idx="53">
                  <c:v>992</c:v>
                </c:pt>
                <c:pt idx="54">
                  <c:v>1005</c:v>
                </c:pt>
                <c:pt idx="55">
                  <c:v>1018</c:v>
                </c:pt>
                <c:pt idx="56">
                  <c:v>1031</c:v>
                </c:pt>
                <c:pt idx="57">
                  <c:v>1044</c:v>
                </c:pt>
                <c:pt idx="58">
                  <c:v>1057</c:v>
                </c:pt>
                <c:pt idx="59">
                  <c:v>1070</c:v>
                </c:pt>
                <c:pt idx="60">
                  <c:v>1083</c:v>
                </c:pt>
                <c:pt idx="61">
                  <c:v>1096</c:v>
                </c:pt>
                <c:pt idx="62">
                  <c:v>1109</c:v>
                </c:pt>
                <c:pt idx="63">
                  <c:v>1122</c:v>
                </c:pt>
                <c:pt idx="64">
                  <c:v>1135</c:v>
                </c:pt>
                <c:pt idx="65">
                  <c:v>1148</c:v>
                </c:pt>
                <c:pt idx="66">
                  <c:v>1161</c:v>
                </c:pt>
                <c:pt idx="67">
                  <c:v>1174</c:v>
                </c:pt>
                <c:pt idx="68">
                  <c:v>1187</c:v>
                </c:pt>
                <c:pt idx="69">
                  <c:v>1200</c:v>
                </c:pt>
                <c:pt idx="70">
                  <c:v>1213</c:v>
                </c:pt>
                <c:pt idx="71">
                  <c:v>1226</c:v>
                </c:pt>
                <c:pt idx="72">
                  <c:v>1239</c:v>
                </c:pt>
                <c:pt idx="73">
                  <c:v>1252</c:v>
                </c:pt>
                <c:pt idx="74">
                  <c:v>1265</c:v>
                </c:pt>
                <c:pt idx="75">
                  <c:v>1278</c:v>
                </c:pt>
                <c:pt idx="76">
                  <c:v>1291</c:v>
                </c:pt>
                <c:pt idx="77">
                  <c:v>1304</c:v>
                </c:pt>
                <c:pt idx="78">
                  <c:v>1317</c:v>
                </c:pt>
                <c:pt idx="79">
                  <c:v>1330</c:v>
                </c:pt>
                <c:pt idx="80">
                  <c:v>1343</c:v>
                </c:pt>
                <c:pt idx="81">
                  <c:v>1356</c:v>
                </c:pt>
                <c:pt idx="82">
                  <c:v>1369</c:v>
                </c:pt>
                <c:pt idx="83">
                  <c:v>1382</c:v>
                </c:pt>
                <c:pt idx="84">
                  <c:v>1395</c:v>
                </c:pt>
                <c:pt idx="85">
                  <c:v>1408</c:v>
                </c:pt>
                <c:pt idx="86">
                  <c:v>1421</c:v>
                </c:pt>
                <c:pt idx="87">
                  <c:v>1434</c:v>
                </c:pt>
                <c:pt idx="88">
                  <c:v>1447</c:v>
                </c:pt>
                <c:pt idx="89">
                  <c:v>1460</c:v>
                </c:pt>
                <c:pt idx="90">
                  <c:v>1473</c:v>
                </c:pt>
                <c:pt idx="91">
                  <c:v>1486</c:v>
                </c:pt>
                <c:pt idx="92">
                  <c:v>1499</c:v>
                </c:pt>
              </c:numCache>
            </c:numRef>
          </c:xVal>
          <c:yVal>
            <c:numRef>
              <c:f>EVALUATION!$B$102:$CP$102</c:f>
              <c:numCache>
                <c:formatCode>0</c:formatCode>
                <c:ptCount val="93"/>
                <c:pt idx="0">
                  <c:v>-15.207297297297297</c:v>
                </c:pt>
                <c:pt idx="1">
                  <c:v>-14.82081081081081</c:v>
                </c:pt>
                <c:pt idx="2" formatCode="General">
                  <c:v>-14.434324324324324</c:v>
                </c:pt>
                <c:pt idx="3" formatCode="General">
                  <c:v>-13.712395209580837</c:v>
                </c:pt>
                <c:pt idx="4" formatCode="General">
                  <c:v>-12.910598802395208</c:v>
                </c:pt>
                <c:pt idx="5" formatCode="General">
                  <c:v>-12.087455089820359</c:v>
                </c:pt>
                <c:pt idx="6" formatCode="General">
                  <c:v>-11.196137724550898</c:v>
                </c:pt>
                <c:pt idx="7" formatCode="General">
                  <c:v>-10.304820359281438</c:v>
                </c:pt>
                <c:pt idx="8" formatCode="General">
                  <c:v>-9.491907185628742</c:v>
                </c:pt>
                <c:pt idx="9" formatCode="General">
                  <c:v>-8.7177455089820359</c:v>
                </c:pt>
                <c:pt idx="10" formatCode="General">
                  <c:v>-7.9532365269461076</c:v>
                </c:pt>
                <c:pt idx="11" formatCode="General">
                  <c:v>-7.2756017964071864</c:v>
                </c:pt>
                <c:pt idx="12" formatCode="General">
                  <c:v>-6.5979670658682643</c:v>
                </c:pt>
                <c:pt idx="13" formatCode="General">
                  <c:v>-5.9610299401197615</c:v>
                </c:pt>
                <c:pt idx="14" formatCode="General">
                  <c:v>-5.3600718562874254</c:v>
                </c:pt>
                <c:pt idx="15" formatCode="General">
                  <c:v>-4.7591137724550894</c:v>
                </c:pt>
                <c:pt idx="16" formatCode="General">
                  <c:v>-4.5126516516516508</c:v>
                </c:pt>
                <c:pt idx="17" formatCode="General">
                  <c:v>-4.2803693693693692</c:v>
                </c:pt>
                <c:pt idx="18" formatCode="General">
                  <c:v>-4.1537664670658687</c:v>
                </c:pt>
                <c:pt idx="19" formatCode="General">
                  <c:v>-4.1856826347305391</c:v>
                </c:pt>
                <c:pt idx="20" formatCode="General">
                  <c:v>-4.2175988023952096</c:v>
                </c:pt>
                <c:pt idx="21" formatCode="General">
                  <c:v>-4.249676646706587</c:v>
                </c:pt>
                <c:pt idx="22" formatCode="General">
                  <c:v>-4.2817874251497008</c:v>
                </c:pt>
                <c:pt idx="23" formatCode="General">
                  <c:v>-4.3138982035928146</c:v>
                </c:pt>
                <c:pt idx="24" formatCode="General">
                  <c:v>-4.3460089820359284</c:v>
                </c:pt>
                <c:pt idx="25" formatCode="General">
                  <c:v>-4.3781197604790414</c:v>
                </c:pt>
                <c:pt idx="26" formatCode="General">
                  <c:v>-4.4102305389221552</c:v>
                </c:pt>
                <c:pt idx="27" formatCode="General">
                  <c:v>-4.442341317365269</c:v>
                </c:pt>
                <c:pt idx="28" formatCode="General">
                  <c:v>-4.4744520958083829</c:v>
                </c:pt>
                <c:pt idx="29" formatCode="General">
                  <c:v>-4.5065628742514967</c:v>
                </c:pt>
                <c:pt idx="30" formatCode="General">
                  <c:v>-4.5386736526946105</c:v>
                </c:pt>
                <c:pt idx="31" formatCode="General">
                  <c:v>-4.5702584269662925</c:v>
                </c:pt>
                <c:pt idx="32" formatCode="General">
                  <c:v>-4.6014194756554305</c:v>
                </c:pt>
                <c:pt idx="33" formatCode="General">
                  <c:v>-4.6325805243445695</c:v>
                </c:pt>
                <c:pt idx="34" formatCode="General">
                  <c:v>-4.6637415730337084</c:v>
                </c:pt>
                <c:pt idx="35" formatCode="General">
                  <c:v>-4.6949026217228464</c:v>
                </c:pt>
                <c:pt idx="36" formatCode="General">
                  <c:v>-4.7260636704119854</c:v>
                </c:pt>
                <c:pt idx="37" formatCode="General">
                  <c:v>-4.7572247191011234</c:v>
                </c:pt>
                <c:pt idx="38" formatCode="General">
                  <c:v>-4.7883857677902624</c:v>
                </c:pt>
                <c:pt idx="39" formatCode="General">
                  <c:v>-4.8195468164794013</c:v>
                </c:pt>
                <c:pt idx="40" formatCode="General">
                  <c:v>-4.8507078651685394</c:v>
                </c:pt>
                <c:pt idx="41" formatCode="General">
                  <c:v>-4.8813700374531841</c:v>
                </c:pt>
                <c:pt idx="42" formatCode="General">
                  <c:v>-4.9107782771535584</c:v>
                </c:pt>
                <c:pt idx="43" formatCode="General">
                  <c:v>-4.9401865168539327</c:v>
                </c:pt>
                <c:pt idx="44" formatCode="General">
                  <c:v>-4.969594756554307</c:v>
                </c:pt>
                <c:pt idx="45" formatCode="General">
                  <c:v>-4.9990029962546814</c:v>
                </c:pt>
                <c:pt idx="46" formatCode="General">
                  <c:v>-5.0284112359550566</c:v>
                </c:pt>
                <c:pt idx="47" formatCode="General">
                  <c:v>-5.0578194756554309</c:v>
                </c:pt>
                <c:pt idx="48" formatCode="General">
                  <c:v>-5.0872277153558052</c:v>
                </c:pt>
                <c:pt idx="49" formatCode="General">
                  <c:v>-5.1166359550561795</c:v>
                </c:pt>
                <c:pt idx="50" formatCode="General">
                  <c:v>-5.1460441947565538</c:v>
                </c:pt>
                <c:pt idx="51" formatCode="General">
                  <c:v>-5.1754311377245505</c:v>
                </c:pt>
                <c:pt idx="52" formatCode="General">
                  <c:v>-5.2034550898203591</c:v>
                </c:pt>
                <c:pt idx="53" formatCode="General">
                  <c:v>-5.2314790419161676</c:v>
                </c:pt>
                <c:pt idx="54" formatCode="General">
                  <c:v>-5.2591834319526622</c:v>
                </c:pt>
                <c:pt idx="55" formatCode="General">
                  <c:v>-5.2864911242603547</c:v>
                </c:pt>
                <c:pt idx="56" formatCode="General">
                  <c:v>-5.3137988165680472</c:v>
                </c:pt>
                <c:pt idx="57" formatCode="General">
                  <c:v>-5.3416666666666668</c:v>
                </c:pt>
                <c:pt idx="58" formatCode="General">
                  <c:v>-5.3696363636363635</c:v>
                </c:pt>
                <c:pt idx="59" formatCode="General">
                  <c:v>-5.3973636363636368</c:v>
                </c:pt>
                <c:pt idx="60" formatCode="General">
                  <c:v>-5.4245454545454548</c:v>
                </c:pt>
                <c:pt idx="61" formatCode="General">
                  <c:v>-5.4517272727272728</c:v>
                </c:pt>
                <c:pt idx="62" formatCode="General">
                  <c:v>-5.4825522388059706</c:v>
                </c:pt>
                <c:pt idx="63" formatCode="General">
                  <c:v>-5.5144701492537314</c:v>
                </c:pt>
                <c:pt idx="64" formatCode="General">
                  <c:v>-5.546388059701493</c:v>
                </c:pt>
                <c:pt idx="65" formatCode="General">
                  <c:v>-5.5783059701492537</c:v>
                </c:pt>
                <c:pt idx="66" formatCode="General">
                  <c:v>-5.6102238805970153</c:v>
                </c:pt>
                <c:pt idx="67" formatCode="General">
                  <c:v>-5.642141791044776</c:v>
                </c:pt>
                <c:pt idx="68" formatCode="General">
                  <c:v>-5.6740597014925376</c:v>
                </c:pt>
                <c:pt idx="69" formatCode="General">
                  <c:v>-5.7059776119402983</c:v>
                </c:pt>
                <c:pt idx="70" formatCode="General">
                  <c:v>-5.7378955223880599</c:v>
                </c:pt>
                <c:pt idx="71" formatCode="General">
                  <c:v>-5.7698134328358206</c:v>
                </c:pt>
                <c:pt idx="72" formatCode="General">
                  <c:v>-5.8141127819548872</c:v>
                </c:pt>
                <c:pt idx="73" formatCode="General">
                  <c:v>-5.8728571428571428</c:v>
                </c:pt>
                <c:pt idx="74" formatCode="General">
                  <c:v>-5.9316015037593983</c:v>
                </c:pt>
                <c:pt idx="75" formatCode="General">
                  <c:v>-5.9903458646616539</c:v>
                </c:pt>
                <c:pt idx="76" formatCode="General">
                  <c:v>-6.0490902255639094</c:v>
                </c:pt>
                <c:pt idx="77" formatCode="General">
                  <c:v>-6.107834586466165</c:v>
                </c:pt>
                <c:pt idx="78" formatCode="General">
                  <c:v>-6.1665789473684214</c:v>
                </c:pt>
                <c:pt idx="79" formatCode="General">
                  <c:v>-6.2253233082706769</c:v>
                </c:pt>
                <c:pt idx="80" formatCode="General">
                  <c:v>-6.2840676691729325</c:v>
                </c:pt>
                <c:pt idx="81" formatCode="General">
                  <c:v>-6.342812030075188</c:v>
                </c:pt>
                <c:pt idx="82" formatCode="General">
                  <c:v>-6.4000882352941177</c:v>
                </c:pt>
                <c:pt idx="83" formatCode="General">
                  <c:v>-6.4524705882352942</c:v>
                </c:pt>
                <c:pt idx="84" formatCode="General">
                  <c:v>-6.5048529411764706</c:v>
                </c:pt>
                <c:pt idx="85" formatCode="General">
                  <c:v>-6.5572424242424248</c:v>
                </c:pt>
                <c:pt idx="86" formatCode="General">
                  <c:v>-6.6096363636363638</c:v>
                </c:pt>
                <c:pt idx="87" formatCode="General">
                  <c:v>-6.6617941176470588</c:v>
                </c:pt>
                <c:pt idx="88" formatCode="General">
                  <c:v>-6.7111176470588241</c:v>
                </c:pt>
                <c:pt idx="89" formatCode="General">
                  <c:v>-6.7604411764705885</c:v>
                </c:pt>
                <c:pt idx="90" formatCode="General">
                  <c:v>-6.8095454545454546</c:v>
                </c:pt>
                <c:pt idx="91" formatCode="General">
                  <c:v>-6.858393939393939</c:v>
                </c:pt>
                <c:pt idx="92" formatCode="General">
                  <c:v>-6.9072424242424235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DA-4C12-8154-2CB8D6548BBE}"/>
            </c:ext>
          </c:extLst>
        </c:ser>
        <c:ser>
          <c:idx val="39"/>
          <c:order val="39"/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303</c:v>
                </c:pt>
                <c:pt idx="1">
                  <c:v>316</c:v>
                </c:pt>
                <c:pt idx="2">
                  <c:v>329</c:v>
                </c:pt>
                <c:pt idx="3">
                  <c:v>342</c:v>
                </c:pt>
                <c:pt idx="4">
                  <c:v>355</c:v>
                </c:pt>
                <c:pt idx="5">
                  <c:v>368</c:v>
                </c:pt>
                <c:pt idx="6">
                  <c:v>381</c:v>
                </c:pt>
                <c:pt idx="7">
                  <c:v>394</c:v>
                </c:pt>
                <c:pt idx="8">
                  <c:v>407</c:v>
                </c:pt>
                <c:pt idx="9">
                  <c:v>420</c:v>
                </c:pt>
                <c:pt idx="10">
                  <c:v>433</c:v>
                </c:pt>
                <c:pt idx="11">
                  <c:v>446</c:v>
                </c:pt>
                <c:pt idx="12">
                  <c:v>459</c:v>
                </c:pt>
                <c:pt idx="13">
                  <c:v>472</c:v>
                </c:pt>
                <c:pt idx="14">
                  <c:v>485</c:v>
                </c:pt>
                <c:pt idx="15">
                  <c:v>498</c:v>
                </c:pt>
                <c:pt idx="16">
                  <c:v>511</c:v>
                </c:pt>
                <c:pt idx="17">
                  <c:v>524</c:v>
                </c:pt>
                <c:pt idx="18">
                  <c:v>537</c:v>
                </c:pt>
                <c:pt idx="19">
                  <c:v>550</c:v>
                </c:pt>
                <c:pt idx="20">
                  <c:v>563</c:v>
                </c:pt>
                <c:pt idx="21">
                  <c:v>576</c:v>
                </c:pt>
                <c:pt idx="22">
                  <c:v>589</c:v>
                </c:pt>
                <c:pt idx="23">
                  <c:v>602</c:v>
                </c:pt>
                <c:pt idx="24">
                  <c:v>615</c:v>
                </c:pt>
                <c:pt idx="25">
                  <c:v>628</c:v>
                </c:pt>
                <c:pt idx="26">
                  <c:v>641</c:v>
                </c:pt>
                <c:pt idx="27">
                  <c:v>654</c:v>
                </c:pt>
                <c:pt idx="28">
                  <c:v>667</c:v>
                </c:pt>
                <c:pt idx="29">
                  <c:v>680</c:v>
                </c:pt>
                <c:pt idx="30">
                  <c:v>693</c:v>
                </c:pt>
                <c:pt idx="31">
                  <c:v>706</c:v>
                </c:pt>
                <c:pt idx="32">
                  <c:v>719</c:v>
                </c:pt>
                <c:pt idx="33">
                  <c:v>732</c:v>
                </c:pt>
                <c:pt idx="34">
                  <c:v>745</c:v>
                </c:pt>
                <c:pt idx="35">
                  <c:v>758</c:v>
                </c:pt>
                <c:pt idx="36">
                  <c:v>771</c:v>
                </c:pt>
                <c:pt idx="37">
                  <c:v>784</c:v>
                </c:pt>
                <c:pt idx="38">
                  <c:v>797</c:v>
                </c:pt>
                <c:pt idx="39">
                  <c:v>810</c:v>
                </c:pt>
                <c:pt idx="40">
                  <c:v>823</c:v>
                </c:pt>
                <c:pt idx="41">
                  <c:v>836</c:v>
                </c:pt>
                <c:pt idx="42">
                  <c:v>849</c:v>
                </c:pt>
                <c:pt idx="43">
                  <c:v>862</c:v>
                </c:pt>
                <c:pt idx="44">
                  <c:v>875</c:v>
                </c:pt>
                <c:pt idx="45">
                  <c:v>888</c:v>
                </c:pt>
                <c:pt idx="46">
                  <c:v>901</c:v>
                </c:pt>
                <c:pt idx="47">
                  <c:v>914</c:v>
                </c:pt>
                <c:pt idx="48">
                  <c:v>927</c:v>
                </c:pt>
                <c:pt idx="49">
                  <c:v>940</c:v>
                </c:pt>
                <c:pt idx="50">
                  <c:v>953</c:v>
                </c:pt>
                <c:pt idx="51">
                  <c:v>966</c:v>
                </c:pt>
                <c:pt idx="52">
                  <c:v>979</c:v>
                </c:pt>
                <c:pt idx="53">
                  <c:v>992</c:v>
                </c:pt>
                <c:pt idx="54">
                  <c:v>1005</c:v>
                </c:pt>
                <c:pt idx="55">
                  <c:v>1018</c:v>
                </c:pt>
                <c:pt idx="56">
                  <c:v>1031</c:v>
                </c:pt>
                <c:pt idx="57">
                  <c:v>1044</c:v>
                </c:pt>
                <c:pt idx="58">
                  <c:v>1057</c:v>
                </c:pt>
                <c:pt idx="59">
                  <c:v>1070</c:v>
                </c:pt>
                <c:pt idx="60">
                  <c:v>1083</c:v>
                </c:pt>
                <c:pt idx="61">
                  <c:v>1096</c:v>
                </c:pt>
                <c:pt idx="62">
                  <c:v>1109</c:v>
                </c:pt>
                <c:pt idx="63">
                  <c:v>1122</c:v>
                </c:pt>
                <c:pt idx="64">
                  <c:v>1135</c:v>
                </c:pt>
                <c:pt idx="65">
                  <c:v>1148</c:v>
                </c:pt>
                <c:pt idx="66">
                  <c:v>1161</c:v>
                </c:pt>
                <c:pt idx="67">
                  <c:v>1174</c:v>
                </c:pt>
                <c:pt idx="68">
                  <c:v>1187</c:v>
                </c:pt>
                <c:pt idx="69">
                  <c:v>1200</c:v>
                </c:pt>
                <c:pt idx="70">
                  <c:v>1213</c:v>
                </c:pt>
                <c:pt idx="71">
                  <c:v>1226</c:v>
                </c:pt>
                <c:pt idx="72">
                  <c:v>1239</c:v>
                </c:pt>
                <c:pt idx="73">
                  <c:v>1252</c:v>
                </c:pt>
                <c:pt idx="74">
                  <c:v>1265</c:v>
                </c:pt>
                <c:pt idx="75">
                  <c:v>1278</c:v>
                </c:pt>
                <c:pt idx="76">
                  <c:v>1291</c:v>
                </c:pt>
                <c:pt idx="77">
                  <c:v>1304</c:v>
                </c:pt>
                <c:pt idx="78">
                  <c:v>1317</c:v>
                </c:pt>
                <c:pt idx="79">
                  <c:v>1330</c:v>
                </c:pt>
                <c:pt idx="80">
                  <c:v>1343</c:v>
                </c:pt>
                <c:pt idx="81">
                  <c:v>1356</c:v>
                </c:pt>
                <c:pt idx="82">
                  <c:v>1369</c:v>
                </c:pt>
                <c:pt idx="83">
                  <c:v>1382</c:v>
                </c:pt>
                <c:pt idx="84">
                  <c:v>1395</c:v>
                </c:pt>
                <c:pt idx="85">
                  <c:v>1408</c:v>
                </c:pt>
                <c:pt idx="86">
                  <c:v>1421</c:v>
                </c:pt>
                <c:pt idx="87">
                  <c:v>1434</c:v>
                </c:pt>
                <c:pt idx="88">
                  <c:v>1447</c:v>
                </c:pt>
                <c:pt idx="89">
                  <c:v>1460</c:v>
                </c:pt>
                <c:pt idx="90">
                  <c:v>1473</c:v>
                </c:pt>
                <c:pt idx="91">
                  <c:v>1486</c:v>
                </c:pt>
                <c:pt idx="92">
                  <c:v>1499</c:v>
                </c:pt>
              </c:numCache>
            </c:numRef>
          </c:xVal>
          <c:yVal>
            <c:numRef>
              <c:f>EVALUATION!$B$140:$CP$140</c:f>
              <c:numCache>
                <c:formatCode>0</c:formatCode>
                <c:ptCount val="93"/>
                <c:pt idx="0">
                  <c:v>-15.70018018018018</c:v>
                </c:pt>
                <c:pt idx="1">
                  <c:v>-14.888168168168168</c:v>
                </c:pt>
                <c:pt idx="2" formatCode="General">
                  <c:v>-14.076156156156156</c:v>
                </c:pt>
                <c:pt idx="3" formatCode="General">
                  <c:v>-13.171796407185628</c:v>
                </c:pt>
                <c:pt idx="4" formatCode="General">
                  <c:v>-12.245449101796405</c:v>
                </c:pt>
                <c:pt idx="5" formatCode="General">
                  <c:v>-11.336365269461076</c:v>
                </c:pt>
                <c:pt idx="6" formatCode="General">
                  <c:v>-10.482413173652693</c:v>
                </c:pt>
                <c:pt idx="7" formatCode="General">
                  <c:v>-9.628461077844312</c:v>
                </c:pt>
                <c:pt idx="8" formatCode="General">
                  <c:v>-8.8943293413173663</c:v>
                </c:pt>
                <c:pt idx="9" formatCode="General">
                  <c:v>-8.2194191616766474</c:v>
                </c:pt>
                <c:pt idx="10" formatCode="General">
                  <c:v>-7.5707814371257482</c:v>
                </c:pt>
                <c:pt idx="11" formatCode="General">
                  <c:v>-7.1585958083832333</c:v>
                </c:pt>
                <c:pt idx="12" formatCode="General">
                  <c:v>-6.7464101796407192</c:v>
                </c:pt>
                <c:pt idx="13" formatCode="General">
                  <c:v>-6.4751167664670657</c:v>
                </c:pt>
                <c:pt idx="14" formatCode="General">
                  <c:v>-6.3283802395209579</c:v>
                </c:pt>
                <c:pt idx="15" formatCode="General">
                  <c:v>-6.18164371257485</c:v>
                </c:pt>
                <c:pt idx="16" formatCode="General">
                  <c:v>-6.4226216216216221</c:v>
                </c:pt>
                <c:pt idx="17" formatCode="General">
                  <c:v>-6.6791081081081085</c:v>
                </c:pt>
                <c:pt idx="18" formatCode="General">
                  <c:v>-6.8345568862275448</c:v>
                </c:pt>
                <c:pt idx="19" formatCode="General">
                  <c:v>-6.8384491017964075</c:v>
                </c:pt>
                <c:pt idx="20" formatCode="General">
                  <c:v>-6.8423413173652694</c:v>
                </c:pt>
                <c:pt idx="21" formatCode="General">
                  <c:v>-6.8627245508982035</c:v>
                </c:pt>
                <c:pt idx="22" formatCode="General">
                  <c:v>-6.8864670658682634</c:v>
                </c:pt>
                <c:pt idx="23" formatCode="General">
                  <c:v>-6.911838323353293</c:v>
                </c:pt>
                <c:pt idx="24" formatCode="General">
                  <c:v>-6.9418083832335329</c:v>
                </c:pt>
                <c:pt idx="25" formatCode="General">
                  <c:v>-6.9717784431137719</c:v>
                </c:pt>
                <c:pt idx="26" formatCode="General">
                  <c:v>-7.0028263473053896</c:v>
                </c:pt>
                <c:pt idx="27" formatCode="General">
                  <c:v>-7.0343532934131741</c:v>
                </c:pt>
                <c:pt idx="28" formatCode="General">
                  <c:v>-7.0658802395209586</c:v>
                </c:pt>
                <c:pt idx="29" formatCode="General">
                  <c:v>-7.0974071856287431</c:v>
                </c:pt>
                <c:pt idx="30" formatCode="General">
                  <c:v>-7.1289341317365267</c:v>
                </c:pt>
                <c:pt idx="31" formatCode="General">
                  <c:v>-7.1602584269662923</c:v>
                </c:pt>
                <c:pt idx="32" formatCode="General">
                  <c:v>-7.1914194756554304</c:v>
                </c:pt>
                <c:pt idx="33" formatCode="General">
                  <c:v>-7.2225805243445693</c:v>
                </c:pt>
                <c:pt idx="34" formatCode="General">
                  <c:v>-7.2537415730337083</c:v>
                </c:pt>
                <c:pt idx="35" formatCode="General">
                  <c:v>-7.2849026217228463</c:v>
                </c:pt>
                <c:pt idx="36" formatCode="General">
                  <c:v>-7.3160636704119852</c:v>
                </c:pt>
                <c:pt idx="37" formatCode="General">
                  <c:v>-7.3472247191011233</c:v>
                </c:pt>
                <c:pt idx="38" formatCode="General">
                  <c:v>-7.3783857677902622</c:v>
                </c:pt>
                <c:pt idx="39" formatCode="General">
                  <c:v>-7.4095468164794012</c:v>
                </c:pt>
                <c:pt idx="40" formatCode="General">
                  <c:v>-7.4407078651685392</c:v>
                </c:pt>
                <c:pt idx="41" formatCode="General">
                  <c:v>-7.471370037453184</c:v>
                </c:pt>
                <c:pt idx="42" formatCode="General">
                  <c:v>-7.5007782771535583</c:v>
                </c:pt>
                <c:pt idx="43" formatCode="General">
                  <c:v>-7.5301865168539326</c:v>
                </c:pt>
                <c:pt idx="44" formatCode="General">
                  <c:v>-7.5595947565543069</c:v>
                </c:pt>
                <c:pt idx="45" formatCode="General">
                  <c:v>-7.5890029962546812</c:v>
                </c:pt>
                <c:pt idx="46" formatCode="General">
                  <c:v>-7.6184112359550564</c:v>
                </c:pt>
                <c:pt idx="47" formatCode="General">
                  <c:v>-7.6478194756554307</c:v>
                </c:pt>
                <c:pt idx="48" formatCode="General">
                  <c:v>-7.6772277153558051</c:v>
                </c:pt>
                <c:pt idx="49" formatCode="General">
                  <c:v>-7.7066359550561794</c:v>
                </c:pt>
                <c:pt idx="50" formatCode="General">
                  <c:v>-7.7360441947565537</c:v>
                </c:pt>
                <c:pt idx="51" formatCode="General">
                  <c:v>-7.7654249249249245</c:v>
                </c:pt>
                <c:pt idx="52" formatCode="General">
                  <c:v>-7.7930450450450452</c:v>
                </c:pt>
                <c:pt idx="53" formatCode="General">
                  <c:v>-7.8206651651651651</c:v>
                </c:pt>
                <c:pt idx="54" formatCode="General">
                  <c:v>-7.8482852852852849</c:v>
                </c:pt>
                <c:pt idx="55" formatCode="General">
                  <c:v>-7.8759054054054056</c:v>
                </c:pt>
                <c:pt idx="56" formatCode="General">
                  <c:v>-7.9035255255255255</c:v>
                </c:pt>
                <c:pt idx="57" formatCode="General">
                  <c:v>-7.9311456456456453</c:v>
                </c:pt>
                <c:pt idx="58" formatCode="General">
                  <c:v>-7.958765765765766</c:v>
                </c:pt>
                <c:pt idx="59" formatCode="General">
                  <c:v>-7.9863858858858858</c:v>
                </c:pt>
                <c:pt idx="60" formatCode="General">
                  <c:v>-8.0140060060060065</c:v>
                </c:pt>
                <c:pt idx="61" formatCode="General">
                  <c:v>-8.0416261261261255</c:v>
                </c:pt>
                <c:pt idx="62" formatCode="General">
                  <c:v>-8.0679999999999996</c:v>
                </c:pt>
                <c:pt idx="63" formatCode="General">
                  <c:v>-8.0939999999999994</c:v>
                </c:pt>
                <c:pt idx="64" formatCode="General">
                  <c:v>-8.1199999999999992</c:v>
                </c:pt>
                <c:pt idx="65" formatCode="General">
                  <c:v>-8.1460000000000008</c:v>
                </c:pt>
                <c:pt idx="66" formatCode="General">
                  <c:v>-8.1720000000000006</c:v>
                </c:pt>
                <c:pt idx="67" formatCode="General">
                  <c:v>-8.1975294117647053</c:v>
                </c:pt>
                <c:pt idx="68" formatCode="General">
                  <c:v>-8.2227647058823532</c:v>
                </c:pt>
                <c:pt idx="69" formatCode="General">
                  <c:v>-8.2479999999999993</c:v>
                </c:pt>
                <c:pt idx="70" formatCode="General">
                  <c:v>-8.2736060606060597</c:v>
                </c:pt>
                <c:pt idx="71" formatCode="General">
                  <c:v>-8.2992121212121219</c:v>
                </c:pt>
                <c:pt idx="72" formatCode="General">
                  <c:v>-8.3241879699248127</c:v>
                </c:pt>
                <c:pt idx="73" formatCode="General">
                  <c:v>-8.3484285714285722</c:v>
                </c:pt>
                <c:pt idx="74" formatCode="General">
                  <c:v>-8.3726691729323317</c:v>
                </c:pt>
                <c:pt idx="75" formatCode="General">
                  <c:v>-8.3969097744360912</c:v>
                </c:pt>
                <c:pt idx="76" formatCode="General">
                  <c:v>-8.4211503759398507</c:v>
                </c:pt>
                <c:pt idx="77" formatCode="General">
                  <c:v>-8.4453909774436084</c:v>
                </c:pt>
                <c:pt idx="78" formatCode="General">
                  <c:v>-8.469631578947368</c:v>
                </c:pt>
                <c:pt idx="79" formatCode="General">
                  <c:v>-8.4938721804511275</c:v>
                </c:pt>
                <c:pt idx="80" formatCode="General">
                  <c:v>-8.518112781954887</c:v>
                </c:pt>
                <c:pt idx="81" formatCode="General">
                  <c:v>-8.5423533834586465</c:v>
                </c:pt>
                <c:pt idx="82" formatCode="General">
                  <c:v>-8.5662388059701495</c:v>
                </c:pt>
                <c:pt idx="83" formatCode="General">
                  <c:v>-8.5889402985074632</c:v>
                </c:pt>
                <c:pt idx="84" formatCode="General">
                  <c:v>-8.6116417910447769</c:v>
                </c:pt>
                <c:pt idx="85" formatCode="General">
                  <c:v>-8.6343432835820888</c:v>
                </c:pt>
                <c:pt idx="86" formatCode="General">
                  <c:v>-8.6570447761194025</c:v>
                </c:pt>
                <c:pt idx="87" formatCode="General">
                  <c:v>-8.6797462686567162</c:v>
                </c:pt>
                <c:pt idx="88" formatCode="General">
                  <c:v>-8.7024477611940299</c:v>
                </c:pt>
                <c:pt idx="89" formatCode="General">
                  <c:v>-8.7251492537313435</c:v>
                </c:pt>
                <c:pt idx="90" formatCode="General">
                  <c:v>-8.7478507462686572</c:v>
                </c:pt>
                <c:pt idx="91" formatCode="General">
                  <c:v>-8.7705522388059709</c:v>
                </c:pt>
                <c:pt idx="92" formatCode="General">
                  <c:v>-8.7932537313432828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EEDA-4C12-8154-2CB8D6548BBE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3031-40B8-95B0-11E9890D9296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731</c:v>
                </c:pt>
                <c:pt idx="1">
                  <c:v>731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-199.33052238805971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031-40B8-95B0-11E9890D9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-15.207297297297297</c:v>
                      </c:pt>
                      <c:pt idx="1">
                        <c:v>-14.82081081081081</c:v>
                      </c:pt>
                      <c:pt idx="2" formatCode="General">
                        <c:v>-14.434324324324324</c:v>
                      </c:pt>
                      <c:pt idx="3" formatCode="General">
                        <c:v>-13.712395209580837</c:v>
                      </c:pt>
                      <c:pt idx="4" formatCode="General">
                        <c:v>-12.910598802395208</c:v>
                      </c:pt>
                      <c:pt idx="5" formatCode="General">
                        <c:v>-12.087455089820359</c:v>
                      </c:pt>
                      <c:pt idx="6" formatCode="General">
                        <c:v>-11.196137724550898</c:v>
                      </c:pt>
                      <c:pt idx="7" formatCode="General">
                        <c:v>-10.304820359281438</c:v>
                      </c:pt>
                      <c:pt idx="8" formatCode="General">
                        <c:v>-9.491907185628742</c:v>
                      </c:pt>
                      <c:pt idx="9" formatCode="General">
                        <c:v>-8.7177455089820359</c:v>
                      </c:pt>
                      <c:pt idx="10" formatCode="General">
                        <c:v>-7.9532365269461076</c:v>
                      </c:pt>
                      <c:pt idx="11" formatCode="General">
                        <c:v>-7.2756017964071864</c:v>
                      </c:pt>
                      <c:pt idx="12" formatCode="General">
                        <c:v>-6.5979670658682643</c:v>
                      </c:pt>
                      <c:pt idx="13" formatCode="General">
                        <c:v>-5.9610299401197615</c:v>
                      </c:pt>
                      <c:pt idx="14" formatCode="General">
                        <c:v>-5.3600718562874254</c:v>
                      </c:pt>
                      <c:pt idx="15" formatCode="General">
                        <c:v>-4.7591137724550894</c:v>
                      </c:pt>
                      <c:pt idx="16" formatCode="General">
                        <c:v>-4.5126516516516508</c:v>
                      </c:pt>
                      <c:pt idx="17" formatCode="General">
                        <c:v>-4.2803693693693692</c:v>
                      </c:pt>
                      <c:pt idx="18" formatCode="General">
                        <c:v>-4.1537664670658687</c:v>
                      </c:pt>
                      <c:pt idx="19" formatCode="General">
                        <c:v>-4.1856826347305391</c:v>
                      </c:pt>
                      <c:pt idx="20" formatCode="General">
                        <c:v>-4.2175988023952096</c:v>
                      </c:pt>
                      <c:pt idx="21" formatCode="General">
                        <c:v>-4.249676646706587</c:v>
                      </c:pt>
                      <c:pt idx="22" formatCode="General">
                        <c:v>-4.2817874251497008</c:v>
                      </c:pt>
                      <c:pt idx="23" formatCode="General">
                        <c:v>-4.3138982035928146</c:v>
                      </c:pt>
                      <c:pt idx="24" formatCode="General">
                        <c:v>-4.3460089820359284</c:v>
                      </c:pt>
                      <c:pt idx="25" formatCode="General">
                        <c:v>-4.3781197604790414</c:v>
                      </c:pt>
                      <c:pt idx="26" formatCode="General">
                        <c:v>-4.4102305389221552</c:v>
                      </c:pt>
                      <c:pt idx="27" formatCode="General">
                        <c:v>-4.442341317365269</c:v>
                      </c:pt>
                      <c:pt idx="28" formatCode="General">
                        <c:v>-4.4744520958083829</c:v>
                      </c:pt>
                      <c:pt idx="29" formatCode="General">
                        <c:v>-4.5065628742514967</c:v>
                      </c:pt>
                      <c:pt idx="30" formatCode="General">
                        <c:v>-4.5386736526946105</c:v>
                      </c:pt>
                      <c:pt idx="31" formatCode="General">
                        <c:v>-4.5702584269662925</c:v>
                      </c:pt>
                      <c:pt idx="32" formatCode="General">
                        <c:v>-4.6014194756554305</c:v>
                      </c:pt>
                      <c:pt idx="33" formatCode="General">
                        <c:v>-4.6325805243445695</c:v>
                      </c:pt>
                      <c:pt idx="34" formatCode="General">
                        <c:v>-4.6637415730337084</c:v>
                      </c:pt>
                      <c:pt idx="35" formatCode="General">
                        <c:v>-4.6949026217228464</c:v>
                      </c:pt>
                      <c:pt idx="36" formatCode="General">
                        <c:v>-4.7260636704119854</c:v>
                      </c:pt>
                      <c:pt idx="37" formatCode="General">
                        <c:v>-4.7572247191011234</c:v>
                      </c:pt>
                      <c:pt idx="38" formatCode="General">
                        <c:v>-4.7883857677902624</c:v>
                      </c:pt>
                      <c:pt idx="39" formatCode="General">
                        <c:v>-4.8195468164794013</c:v>
                      </c:pt>
                      <c:pt idx="40" formatCode="General">
                        <c:v>-4.8507078651685394</c:v>
                      </c:pt>
                      <c:pt idx="41" formatCode="General">
                        <c:v>-4.8813700374531841</c:v>
                      </c:pt>
                      <c:pt idx="42" formatCode="General">
                        <c:v>-4.9107782771535584</c:v>
                      </c:pt>
                      <c:pt idx="43" formatCode="General">
                        <c:v>-4.9401865168539327</c:v>
                      </c:pt>
                      <c:pt idx="44" formatCode="General">
                        <c:v>-4.969594756554307</c:v>
                      </c:pt>
                      <c:pt idx="45" formatCode="General">
                        <c:v>-4.9990029962546814</c:v>
                      </c:pt>
                      <c:pt idx="46" formatCode="General">
                        <c:v>-5.0284112359550566</c:v>
                      </c:pt>
                      <c:pt idx="47" formatCode="General">
                        <c:v>-5.0578194756554309</c:v>
                      </c:pt>
                      <c:pt idx="48" formatCode="General">
                        <c:v>-5.0872277153558052</c:v>
                      </c:pt>
                      <c:pt idx="49" formatCode="General">
                        <c:v>-5.1166359550561795</c:v>
                      </c:pt>
                      <c:pt idx="50" formatCode="General">
                        <c:v>-5.1460441947565538</c:v>
                      </c:pt>
                      <c:pt idx="51" formatCode="General">
                        <c:v>-5.1754311377245505</c:v>
                      </c:pt>
                      <c:pt idx="52" formatCode="General">
                        <c:v>-5.2034550898203591</c:v>
                      </c:pt>
                      <c:pt idx="53" formatCode="General">
                        <c:v>-5.2314790419161676</c:v>
                      </c:pt>
                      <c:pt idx="54" formatCode="General">
                        <c:v>-5.2591834319526622</c:v>
                      </c:pt>
                      <c:pt idx="55" formatCode="General">
                        <c:v>-5.2864911242603547</c:v>
                      </c:pt>
                      <c:pt idx="56" formatCode="General">
                        <c:v>-5.3137988165680472</c:v>
                      </c:pt>
                      <c:pt idx="57" formatCode="General">
                        <c:v>-5.3416666666666668</c:v>
                      </c:pt>
                      <c:pt idx="58" formatCode="General">
                        <c:v>-5.3696363636363635</c:v>
                      </c:pt>
                      <c:pt idx="59" formatCode="General">
                        <c:v>-5.3973636363636368</c:v>
                      </c:pt>
                      <c:pt idx="60" formatCode="General">
                        <c:v>-5.4245454545454548</c:v>
                      </c:pt>
                      <c:pt idx="61" formatCode="General">
                        <c:v>-5.4517272727272728</c:v>
                      </c:pt>
                      <c:pt idx="62" formatCode="General">
                        <c:v>-5.4825522388059706</c:v>
                      </c:pt>
                      <c:pt idx="63" formatCode="General">
                        <c:v>-5.5144701492537314</c:v>
                      </c:pt>
                      <c:pt idx="64" formatCode="General">
                        <c:v>-5.546388059701493</c:v>
                      </c:pt>
                      <c:pt idx="65" formatCode="General">
                        <c:v>-5.5783059701492537</c:v>
                      </c:pt>
                      <c:pt idx="66" formatCode="General">
                        <c:v>-5.6102238805970153</c:v>
                      </c:pt>
                      <c:pt idx="67" formatCode="General">
                        <c:v>-5.642141791044776</c:v>
                      </c:pt>
                      <c:pt idx="68" formatCode="General">
                        <c:v>-5.6740597014925376</c:v>
                      </c:pt>
                      <c:pt idx="69" formatCode="General">
                        <c:v>-5.7059776119402983</c:v>
                      </c:pt>
                      <c:pt idx="70" formatCode="General">
                        <c:v>-5.7378955223880599</c:v>
                      </c:pt>
                      <c:pt idx="71" formatCode="General">
                        <c:v>-5.7698134328358206</c:v>
                      </c:pt>
                      <c:pt idx="72" formatCode="General">
                        <c:v>-5.8141127819548872</c:v>
                      </c:pt>
                      <c:pt idx="73" formatCode="General">
                        <c:v>-5.8728571428571428</c:v>
                      </c:pt>
                      <c:pt idx="74" formatCode="General">
                        <c:v>-5.9316015037593983</c:v>
                      </c:pt>
                      <c:pt idx="75" formatCode="General">
                        <c:v>-5.9903458646616539</c:v>
                      </c:pt>
                      <c:pt idx="76" formatCode="General">
                        <c:v>-6.0490902255639094</c:v>
                      </c:pt>
                      <c:pt idx="77" formatCode="General">
                        <c:v>-6.107834586466165</c:v>
                      </c:pt>
                      <c:pt idx="78" formatCode="General">
                        <c:v>-6.1665789473684214</c:v>
                      </c:pt>
                      <c:pt idx="79" formatCode="General">
                        <c:v>-6.2253233082706769</c:v>
                      </c:pt>
                      <c:pt idx="80" formatCode="General">
                        <c:v>-6.2840676691729325</c:v>
                      </c:pt>
                      <c:pt idx="81" formatCode="General">
                        <c:v>-6.342812030075188</c:v>
                      </c:pt>
                      <c:pt idx="82" formatCode="General">
                        <c:v>-6.4000882352941177</c:v>
                      </c:pt>
                      <c:pt idx="83" formatCode="General">
                        <c:v>-6.4524705882352942</c:v>
                      </c:pt>
                      <c:pt idx="84" formatCode="General">
                        <c:v>-6.5048529411764706</c:v>
                      </c:pt>
                      <c:pt idx="85" formatCode="General">
                        <c:v>-6.5572424242424248</c:v>
                      </c:pt>
                      <c:pt idx="86" formatCode="General">
                        <c:v>-6.6096363636363638</c:v>
                      </c:pt>
                      <c:pt idx="87" formatCode="General">
                        <c:v>-6.6617941176470588</c:v>
                      </c:pt>
                      <c:pt idx="88" formatCode="General">
                        <c:v>-6.7111176470588241</c:v>
                      </c:pt>
                      <c:pt idx="89" formatCode="General">
                        <c:v>-6.7604411764705885</c:v>
                      </c:pt>
                      <c:pt idx="90" formatCode="General">
                        <c:v>-6.8095454545454546</c:v>
                      </c:pt>
                      <c:pt idx="91" formatCode="General">
                        <c:v>-6.858393939393939</c:v>
                      </c:pt>
                      <c:pt idx="92" formatCode="General">
                        <c:v>-6.9072424242424235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EEDA-4C12-8154-2CB8D6548BBE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-36.840720720720718</c:v>
                      </c:pt>
                      <c:pt idx="1">
                        <c:v>-35.759339339339341</c:v>
                      </c:pt>
                      <c:pt idx="2" formatCode="General">
                        <c:v>-34.677957957957958</c:v>
                      </c:pt>
                      <c:pt idx="3" formatCode="General">
                        <c:v>-33.778383233532935</c:v>
                      </c:pt>
                      <c:pt idx="4" formatCode="General">
                        <c:v>-32.922095808383233</c:v>
                      </c:pt>
                      <c:pt idx="5" formatCode="General">
                        <c:v>-32.103862275449096</c:v>
                      </c:pt>
                      <c:pt idx="6" formatCode="General">
                        <c:v>-31.407155688622751</c:v>
                      </c:pt>
                      <c:pt idx="7" formatCode="General">
                        <c:v>-30.710449101796403</c:v>
                      </c:pt>
                      <c:pt idx="8" formatCode="General">
                        <c:v>-30.094751497005987</c:v>
                      </c:pt>
                      <c:pt idx="9" formatCode="General">
                        <c:v>-29.519092814371255</c:v>
                      </c:pt>
                      <c:pt idx="10" formatCode="General">
                        <c:v>-28.953086826347306</c:v>
                      </c:pt>
                      <c:pt idx="11" formatCode="General">
                        <c:v>-28.473955089820361</c:v>
                      </c:pt>
                      <c:pt idx="12" formatCode="General">
                        <c:v>-27.994823353293413</c:v>
                      </c:pt>
                      <c:pt idx="13" formatCode="General">
                        <c:v>-27.55845508982036</c:v>
                      </c:pt>
                      <c:pt idx="14" formatCode="General">
                        <c:v>-27.159892215568863</c:v>
                      </c:pt>
                      <c:pt idx="15" formatCode="General">
                        <c:v>-26.761329341317367</c:v>
                      </c:pt>
                      <c:pt idx="16" formatCode="General">
                        <c:v>-26.710339339339342</c:v>
                      </c:pt>
                      <c:pt idx="17" formatCode="General">
                        <c:v>-26.673252252252254</c:v>
                      </c:pt>
                      <c:pt idx="18" formatCode="General">
                        <c:v>-26.743167664670661</c:v>
                      </c:pt>
                      <c:pt idx="19" formatCode="General">
                        <c:v>-26.973586826347304</c:v>
                      </c:pt>
                      <c:pt idx="20" formatCode="General">
                        <c:v>-27.204005988023951</c:v>
                      </c:pt>
                      <c:pt idx="21" formatCode="General">
                        <c:v>-27.426502994011976</c:v>
                      </c:pt>
                      <c:pt idx="22" formatCode="General">
                        <c:v>-27.64738622754491</c:v>
                      </c:pt>
                      <c:pt idx="23" formatCode="General">
                        <c:v>-27.868269461077844</c:v>
                      </c:pt>
                      <c:pt idx="24" formatCode="General">
                        <c:v>-28.089152694610778</c:v>
                      </c:pt>
                      <c:pt idx="25" formatCode="General">
                        <c:v>-28.310035928143712</c:v>
                      </c:pt>
                      <c:pt idx="26" formatCode="General">
                        <c:v>-28.530919161676646</c:v>
                      </c:pt>
                      <c:pt idx="27" formatCode="General">
                        <c:v>-28.75180239520958</c:v>
                      </c:pt>
                      <c:pt idx="28" formatCode="General">
                        <c:v>-28.972685628742518</c:v>
                      </c:pt>
                      <c:pt idx="29" formatCode="General">
                        <c:v>-29.193568862275452</c:v>
                      </c:pt>
                      <c:pt idx="30" formatCode="General">
                        <c:v>-29.414452095808386</c:v>
                      </c:pt>
                      <c:pt idx="31" formatCode="General">
                        <c:v>-29.627876404494383</c:v>
                      </c:pt>
                      <c:pt idx="32" formatCode="General">
                        <c:v>-29.835292134831462</c:v>
                      </c:pt>
                      <c:pt idx="33" formatCode="General">
                        <c:v>-30.042707865168541</c:v>
                      </c:pt>
                      <c:pt idx="34" formatCode="General">
                        <c:v>-30.25012359550562</c:v>
                      </c:pt>
                      <c:pt idx="35" formatCode="General">
                        <c:v>-30.457539325842699</c:v>
                      </c:pt>
                      <c:pt idx="36" formatCode="General">
                        <c:v>-30.664955056179778</c:v>
                      </c:pt>
                      <c:pt idx="37" formatCode="General">
                        <c:v>-30.872370786516857</c:v>
                      </c:pt>
                      <c:pt idx="38" formatCode="General">
                        <c:v>-31.079786516853936</c:v>
                      </c:pt>
                      <c:pt idx="39" formatCode="General">
                        <c:v>-31.287202247191011</c:v>
                      </c:pt>
                      <c:pt idx="40" formatCode="General">
                        <c:v>-31.49461797752809</c:v>
                      </c:pt>
                      <c:pt idx="41" formatCode="General">
                        <c:v>-31.699040449438204</c:v>
                      </c:pt>
                      <c:pt idx="42" formatCode="General">
                        <c:v>-31.895939325842697</c:v>
                      </c:pt>
                      <c:pt idx="43" formatCode="General">
                        <c:v>-32.092838202247194</c:v>
                      </c:pt>
                      <c:pt idx="44" formatCode="General">
                        <c:v>-32.289737078651683</c:v>
                      </c:pt>
                      <c:pt idx="45" formatCode="General">
                        <c:v>-32.48663595505618</c:v>
                      </c:pt>
                      <c:pt idx="46" formatCode="General">
                        <c:v>-32.683534831460676</c:v>
                      </c:pt>
                      <c:pt idx="47" formatCode="General">
                        <c:v>-32.880433707865166</c:v>
                      </c:pt>
                      <c:pt idx="48" formatCode="General">
                        <c:v>-33.077332584269662</c:v>
                      </c:pt>
                      <c:pt idx="49" formatCode="General">
                        <c:v>-33.274231460674159</c:v>
                      </c:pt>
                      <c:pt idx="50" formatCode="General">
                        <c:v>-33.471130337078648</c:v>
                      </c:pt>
                      <c:pt idx="51" formatCode="General">
                        <c:v>-33.667886227544912</c:v>
                      </c:pt>
                      <c:pt idx="52" formatCode="General">
                        <c:v>-33.85549101796407</c:v>
                      </c:pt>
                      <c:pt idx="53" formatCode="General">
                        <c:v>-34.043095808383235</c:v>
                      </c:pt>
                      <c:pt idx="54" formatCode="General">
                        <c:v>-34.229538461538461</c:v>
                      </c:pt>
                      <c:pt idx="55" formatCode="General">
                        <c:v>-34.414538461538463</c:v>
                      </c:pt>
                      <c:pt idx="56" formatCode="General">
                        <c:v>-34.599538461538458</c:v>
                      </c:pt>
                      <c:pt idx="57" formatCode="General">
                        <c:v>-34.788333333333334</c:v>
                      </c:pt>
                      <c:pt idx="58" formatCode="General">
                        <c:v>-34.977818181818186</c:v>
                      </c:pt>
                      <c:pt idx="59" formatCode="General">
                        <c:v>-35.165848484848489</c:v>
                      </c:pt>
                      <c:pt idx="60" formatCode="General">
                        <c:v>-35.350606060606061</c:v>
                      </c:pt>
                      <c:pt idx="61" formatCode="General">
                        <c:v>-35.535363636363641</c:v>
                      </c:pt>
                      <c:pt idx="62" formatCode="General">
                        <c:v>-35.719716417910448</c:v>
                      </c:pt>
                      <c:pt idx="63" formatCode="General">
                        <c:v>-35.903947761194033</c:v>
                      </c:pt>
                      <c:pt idx="64" formatCode="General">
                        <c:v>-36.088179104477618</c:v>
                      </c:pt>
                      <c:pt idx="65" formatCode="General">
                        <c:v>-36.272410447761196</c:v>
                      </c:pt>
                      <c:pt idx="66" formatCode="General">
                        <c:v>-36.456641791044781</c:v>
                      </c:pt>
                      <c:pt idx="67" formatCode="General">
                        <c:v>-36.640873134328359</c:v>
                      </c:pt>
                      <c:pt idx="68" formatCode="General">
                        <c:v>-36.825104477611944</c:v>
                      </c:pt>
                      <c:pt idx="69" formatCode="General">
                        <c:v>-37.009335820895529</c:v>
                      </c:pt>
                      <c:pt idx="70" formatCode="General">
                        <c:v>-37.193567164179107</c:v>
                      </c:pt>
                      <c:pt idx="71" formatCode="General">
                        <c:v>-37.377798507462693</c:v>
                      </c:pt>
                      <c:pt idx="72" formatCode="General">
                        <c:v>-37.573135338345871</c:v>
                      </c:pt>
                      <c:pt idx="73" formatCode="General">
                        <c:v>-37.781428571428577</c:v>
                      </c:pt>
                      <c:pt idx="74" formatCode="General">
                        <c:v>-37.989721804511284</c:v>
                      </c:pt>
                      <c:pt idx="75" formatCode="General">
                        <c:v>-38.19801503759399</c:v>
                      </c:pt>
                      <c:pt idx="76" formatCode="General">
                        <c:v>-38.406308270676689</c:v>
                      </c:pt>
                      <c:pt idx="77" formatCode="General">
                        <c:v>-38.614601503759395</c:v>
                      </c:pt>
                      <c:pt idx="78" formatCode="General">
                        <c:v>-38.822894736842102</c:v>
                      </c:pt>
                      <c:pt idx="79" formatCode="General">
                        <c:v>-39.031187969924808</c:v>
                      </c:pt>
                      <c:pt idx="80" formatCode="General">
                        <c:v>-39.239481203007514</c:v>
                      </c:pt>
                      <c:pt idx="81" formatCode="General">
                        <c:v>-39.447774436090221</c:v>
                      </c:pt>
                      <c:pt idx="82" formatCode="General">
                        <c:v>-39.652735294117647</c:v>
                      </c:pt>
                      <c:pt idx="83" formatCode="General">
                        <c:v>-39.846588235294114</c:v>
                      </c:pt>
                      <c:pt idx="84" formatCode="General">
                        <c:v>-40.040441176470587</c:v>
                      </c:pt>
                      <c:pt idx="85" formatCode="General">
                        <c:v>-40.239363636363635</c:v>
                      </c:pt>
                      <c:pt idx="86" formatCode="General">
                        <c:v>-40.441454545454548</c:v>
                      </c:pt>
                      <c:pt idx="87" formatCode="General">
                        <c:v>-40.642676470588235</c:v>
                      </c:pt>
                      <c:pt idx="88" formatCode="General">
                        <c:v>-40.833470588235294</c:v>
                      </c:pt>
                      <c:pt idx="89" formatCode="General">
                        <c:v>-41.024264705882352</c:v>
                      </c:pt>
                      <c:pt idx="90" formatCode="General">
                        <c:v>-41.216818181818184</c:v>
                      </c:pt>
                      <c:pt idx="91" formatCode="General">
                        <c:v>-41.411424242424246</c:v>
                      </c:pt>
                      <c:pt idx="92" formatCode="General">
                        <c:v>-41.606030303030302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EDA-4C12-8154-2CB8D6548BBE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-60.182792792792796</c:v>
                      </c:pt>
                      <c:pt idx="1">
                        <c:v>-57.996606606606605</c:v>
                      </c:pt>
                      <c:pt idx="2" formatCode="General">
                        <c:v>-55.810420420420421</c:v>
                      </c:pt>
                      <c:pt idx="3" formatCode="General">
                        <c:v>-53.356017964071853</c:v>
                      </c:pt>
                      <c:pt idx="4" formatCode="General">
                        <c:v>-50.837754491017961</c:v>
                      </c:pt>
                      <c:pt idx="5" formatCode="General">
                        <c:v>-48.33898203592814</c:v>
                      </c:pt>
                      <c:pt idx="6" formatCode="General">
                        <c:v>-45.902455089820357</c:v>
                      </c:pt>
                      <c:pt idx="7" formatCode="General">
                        <c:v>-43.465928143712574</c:v>
                      </c:pt>
                      <c:pt idx="8" formatCode="General">
                        <c:v>-41.258622754491014</c:v>
                      </c:pt>
                      <c:pt idx="9" formatCode="General">
                        <c:v>-39.164610778443112</c:v>
                      </c:pt>
                      <c:pt idx="10" formatCode="General">
                        <c:v>-37.097844311377244</c:v>
                      </c:pt>
                      <c:pt idx="11" formatCode="General">
                        <c:v>-35.276287425149704</c:v>
                      </c:pt>
                      <c:pt idx="12" formatCode="General">
                        <c:v>-33.454730538922156</c:v>
                      </c:pt>
                      <c:pt idx="13" formatCode="General">
                        <c:v>-31.748862275449106</c:v>
                      </c:pt>
                      <c:pt idx="14" formatCode="General">
                        <c:v>-30.145269461077845</c:v>
                      </c:pt>
                      <c:pt idx="15" formatCode="General">
                        <c:v>-28.541676646706588</c:v>
                      </c:pt>
                      <c:pt idx="16" formatCode="General">
                        <c:v>-27.327597597597595</c:v>
                      </c:pt>
                      <c:pt idx="17" formatCode="General">
                        <c:v>-26.129099099099097</c:v>
                      </c:pt>
                      <c:pt idx="18" formatCode="General">
                        <c:v>-25.61550898203593</c:v>
                      </c:pt>
                      <c:pt idx="19" formatCode="General">
                        <c:v>-26.129281437125748</c:v>
                      </c:pt>
                      <c:pt idx="20" formatCode="General">
                        <c:v>-26.643053892215569</c:v>
                      </c:pt>
                      <c:pt idx="21" formatCode="General">
                        <c:v>-27.13823353293413</c:v>
                      </c:pt>
                      <c:pt idx="22" formatCode="General">
                        <c:v>-27.629625748502992</c:v>
                      </c:pt>
                      <c:pt idx="23" formatCode="General">
                        <c:v>-28.121017964071857</c:v>
                      </c:pt>
                      <c:pt idx="24" formatCode="General">
                        <c:v>-28.612410179640719</c:v>
                      </c:pt>
                      <c:pt idx="25" formatCode="General">
                        <c:v>-29.103802395209581</c:v>
                      </c:pt>
                      <c:pt idx="26" formatCode="General">
                        <c:v>-29.595194610778446</c:v>
                      </c:pt>
                      <c:pt idx="27" formatCode="General">
                        <c:v>-30.086586826347308</c:v>
                      </c:pt>
                      <c:pt idx="28" formatCode="General">
                        <c:v>-30.577979041916169</c:v>
                      </c:pt>
                      <c:pt idx="29" formatCode="General">
                        <c:v>-31.069371257485031</c:v>
                      </c:pt>
                      <c:pt idx="30" formatCode="General">
                        <c:v>-31.560763473053896</c:v>
                      </c:pt>
                      <c:pt idx="31" formatCode="General">
                        <c:v>-32.022696629213485</c:v>
                      </c:pt>
                      <c:pt idx="32" formatCode="General">
                        <c:v>-32.460898876404499</c:v>
                      </c:pt>
                      <c:pt idx="33" formatCode="General">
                        <c:v>-32.899101123595507</c:v>
                      </c:pt>
                      <c:pt idx="34" formatCode="General">
                        <c:v>-33.337303370786522</c:v>
                      </c:pt>
                      <c:pt idx="35" formatCode="General">
                        <c:v>-33.775505617977529</c:v>
                      </c:pt>
                      <c:pt idx="36" formatCode="General">
                        <c:v>-34.213707865168544</c:v>
                      </c:pt>
                      <c:pt idx="37" formatCode="General">
                        <c:v>-34.651910112359552</c:v>
                      </c:pt>
                      <c:pt idx="38" formatCode="General">
                        <c:v>-35.090112359550567</c:v>
                      </c:pt>
                      <c:pt idx="39" formatCode="General">
                        <c:v>-35.528314606741574</c:v>
                      </c:pt>
                      <c:pt idx="40" formatCode="General">
                        <c:v>-35.966516853932589</c:v>
                      </c:pt>
                      <c:pt idx="41" formatCode="General">
                        <c:v>-36.38448689138577</c:v>
                      </c:pt>
                      <c:pt idx="42" formatCode="General">
                        <c:v>-36.751602996254682</c:v>
                      </c:pt>
                      <c:pt idx="43" formatCode="General">
                        <c:v>-37.118719101123595</c:v>
                      </c:pt>
                      <c:pt idx="44" formatCode="General">
                        <c:v>-37.485835205992508</c:v>
                      </c:pt>
                      <c:pt idx="45" formatCode="General">
                        <c:v>-37.852951310861421</c:v>
                      </c:pt>
                      <c:pt idx="46" formatCode="General">
                        <c:v>-38.220067415730334</c:v>
                      </c:pt>
                      <c:pt idx="47" formatCode="General">
                        <c:v>-38.587183520599254</c:v>
                      </c:pt>
                      <c:pt idx="48" formatCode="General">
                        <c:v>-38.954299625468167</c:v>
                      </c:pt>
                      <c:pt idx="49" formatCode="General">
                        <c:v>-39.32141573033708</c:v>
                      </c:pt>
                      <c:pt idx="50" formatCode="General">
                        <c:v>-39.688531835205993</c:v>
                      </c:pt>
                      <c:pt idx="51" formatCode="General">
                        <c:v>-40.054850299401195</c:v>
                      </c:pt>
                      <c:pt idx="52" formatCode="General">
                        <c:v>-40.370119760479042</c:v>
                      </c:pt>
                      <c:pt idx="53" formatCode="General">
                        <c:v>-40.685389221556882</c:v>
                      </c:pt>
                      <c:pt idx="54" formatCode="General">
                        <c:v>-40.988698224852072</c:v>
                      </c:pt>
                      <c:pt idx="55" formatCode="General">
                        <c:v>-41.277159763313605</c:v>
                      </c:pt>
                      <c:pt idx="56" formatCode="General">
                        <c:v>-41.565621301775145</c:v>
                      </c:pt>
                      <c:pt idx="57" formatCode="General">
                        <c:v>-41.843333333333334</c:v>
                      </c:pt>
                      <c:pt idx="58" formatCode="General">
                        <c:v>-42.119090909090907</c:v>
                      </c:pt>
                      <c:pt idx="59" formatCode="General">
                        <c:v>-42.38636363636364</c:v>
                      </c:pt>
                      <c:pt idx="60" formatCode="General">
                        <c:v>-42.634545454545453</c:v>
                      </c:pt>
                      <c:pt idx="61" formatCode="General">
                        <c:v>-42.882727272727273</c:v>
                      </c:pt>
                      <c:pt idx="62" formatCode="General">
                        <c:v>-43.08328358208955</c:v>
                      </c:pt>
                      <c:pt idx="63" formatCode="General">
                        <c:v>-43.269552238805971</c:v>
                      </c:pt>
                      <c:pt idx="64" formatCode="General">
                        <c:v>-43.455820895522386</c:v>
                      </c:pt>
                      <c:pt idx="65" formatCode="General">
                        <c:v>-43.642089552238801</c:v>
                      </c:pt>
                      <c:pt idx="66" formatCode="General">
                        <c:v>-43.828358208955223</c:v>
                      </c:pt>
                      <c:pt idx="67" formatCode="General">
                        <c:v>-44.014626865671637</c:v>
                      </c:pt>
                      <c:pt idx="68" formatCode="General">
                        <c:v>-44.200895522388059</c:v>
                      </c:pt>
                      <c:pt idx="69" formatCode="General">
                        <c:v>-44.387164179104474</c:v>
                      </c:pt>
                      <c:pt idx="70" formatCode="General">
                        <c:v>-44.573432835820896</c:v>
                      </c:pt>
                      <c:pt idx="71" formatCode="General">
                        <c:v>-44.75970149253731</c:v>
                      </c:pt>
                      <c:pt idx="72" formatCode="General">
                        <c:v>-44.898796992481202</c:v>
                      </c:pt>
                      <c:pt idx="73" formatCode="General">
                        <c:v>-44.982857142857142</c:v>
                      </c:pt>
                      <c:pt idx="74" formatCode="General">
                        <c:v>-45.066917293233082</c:v>
                      </c:pt>
                      <c:pt idx="75" formatCode="General">
                        <c:v>-45.150977443609023</c:v>
                      </c:pt>
                      <c:pt idx="76" formatCode="General">
                        <c:v>-45.235037593984963</c:v>
                      </c:pt>
                      <c:pt idx="77" formatCode="General">
                        <c:v>-45.319097744360903</c:v>
                      </c:pt>
                      <c:pt idx="78" formatCode="General">
                        <c:v>-45.403157894736843</c:v>
                      </c:pt>
                      <c:pt idx="79" formatCode="General">
                        <c:v>-45.487218045112783</c:v>
                      </c:pt>
                      <c:pt idx="80" formatCode="General">
                        <c:v>-45.571278195488723</c:v>
                      </c:pt>
                      <c:pt idx="81" formatCode="General">
                        <c:v>-45.655338345864664</c:v>
                      </c:pt>
                      <c:pt idx="82" formatCode="General">
                        <c:v>-45.723529411764702</c:v>
                      </c:pt>
                      <c:pt idx="83" formatCode="General">
                        <c:v>-45.738823529411761</c:v>
                      </c:pt>
                      <c:pt idx="84" formatCode="General">
                        <c:v>-45.75411764705882</c:v>
                      </c:pt>
                      <c:pt idx="85" formatCode="General">
                        <c:v>-45.755151515151518</c:v>
                      </c:pt>
                      <c:pt idx="86" formatCode="General">
                        <c:v>-45.74727272727273</c:v>
                      </c:pt>
                      <c:pt idx="87" formatCode="General">
                        <c:v>-45.737058823529416</c:v>
                      </c:pt>
                      <c:pt idx="88" formatCode="General">
                        <c:v>-45.698823529411769</c:v>
                      </c:pt>
                      <c:pt idx="89" formatCode="General">
                        <c:v>-45.660588235294121</c:v>
                      </c:pt>
                      <c:pt idx="90" formatCode="General">
                        <c:v>-45.609090909090909</c:v>
                      </c:pt>
                      <c:pt idx="91" formatCode="General">
                        <c:v>-45.542121212121209</c:v>
                      </c:pt>
                      <c:pt idx="92" formatCode="General">
                        <c:v>-45.475151515151516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EDA-4C12-8154-2CB8D6548BBE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-15.207297297297297</c:v>
                      </c:pt>
                      <c:pt idx="1">
                        <c:v>-14.82081081081081</c:v>
                      </c:pt>
                      <c:pt idx="2" formatCode="General">
                        <c:v>-14.434324324324324</c:v>
                      </c:pt>
                      <c:pt idx="3" formatCode="General">
                        <c:v>-13.712395209580837</c:v>
                      </c:pt>
                      <c:pt idx="4" formatCode="General">
                        <c:v>-12.910598802395208</c:v>
                      </c:pt>
                      <c:pt idx="5" formatCode="General">
                        <c:v>-12.087455089820359</c:v>
                      </c:pt>
                      <c:pt idx="6" formatCode="General">
                        <c:v>-11.196137724550898</c:v>
                      </c:pt>
                      <c:pt idx="7" formatCode="General">
                        <c:v>-10.304820359281438</c:v>
                      </c:pt>
                      <c:pt idx="8" formatCode="General">
                        <c:v>-9.491907185628742</c:v>
                      </c:pt>
                      <c:pt idx="9" formatCode="General">
                        <c:v>-8.7177455089820359</c:v>
                      </c:pt>
                      <c:pt idx="10" formatCode="General">
                        <c:v>-7.9532365269461076</c:v>
                      </c:pt>
                      <c:pt idx="11" formatCode="General">
                        <c:v>-7.2756017964071864</c:v>
                      </c:pt>
                      <c:pt idx="12" formatCode="General">
                        <c:v>-6.5979670658682643</c:v>
                      </c:pt>
                      <c:pt idx="13" formatCode="General">
                        <c:v>-5.9610299401197615</c:v>
                      </c:pt>
                      <c:pt idx="14" formatCode="General">
                        <c:v>-5.3600718562874254</c:v>
                      </c:pt>
                      <c:pt idx="15" formatCode="General">
                        <c:v>-4.7591137724550894</c:v>
                      </c:pt>
                      <c:pt idx="16" formatCode="General">
                        <c:v>-4.5126516516516508</c:v>
                      </c:pt>
                      <c:pt idx="17" formatCode="General">
                        <c:v>-4.2803693693693692</c:v>
                      </c:pt>
                      <c:pt idx="18" formatCode="General">
                        <c:v>-4.1537664670658687</c:v>
                      </c:pt>
                      <c:pt idx="19" formatCode="General">
                        <c:v>-4.1856826347305391</c:v>
                      </c:pt>
                      <c:pt idx="20" formatCode="General">
                        <c:v>-4.2175988023952096</c:v>
                      </c:pt>
                      <c:pt idx="21" formatCode="General">
                        <c:v>-4.249676646706587</c:v>
                      </c:pt>
                      <c:pt idx="22" formatCode="General">
                        <c:v>-4.2817874251497008</c:v>
                      </c:pt>
                      <c:pt idx="23" formatCode="General">
                        <c:v>-4.3138982035928146</c:v>
                      </c:pt>
                      <c:pt idx="24" formatCode="General">
                        <c:v>-4.3460089820359284</c:v>
                      </c:pt>
                      <c:pt idx="25" formatCode="General">
                        <c:v>-4.3781197604790414</c:v>
                      </c:pt>
                      <c:pt idx="26" formatCode="General">
                        <c:v>-4.4102305389221552</c:v>
                      </c:pt>
                      <c:pt idx="27" formatCode="General">
                        <c:v>-4.442341317365269</c:v>
                      </c:pt>
                      <c:pt idx="28" formatCode="General">
                        <c:v>-4.4744520958083829</c:v>
                      </c:pt>
                      <c:pt idx="29" formatCode="General">
                        <c:v>-4.5065628742514967</c:v>
                      </c:pt>
                      <c:pt idx="30" formatCode="General">
                        <c:v>-4.5386736526946105</c:v>
                      </c:pt>
                      <c:pt idx="31" formatCode="General">
                        <c:v>-4.5702584269662925</c:v>
                      </c:pt>
                      <c:pt idx="32" formatCode="General">
                        <c:v>-4.6014194756554305</c:v>
                      </c:pt>
                      <c:pt idx="33" formatCode="General">
                        <c:v>-4.6325805243445695</c:v>
                      </c:pt>
                      <c:pt idx="34" formatCode="General">
                        <c:v>-4.6637415730337084</c:v>
                      </c:pt>
                      <c:pt idx="35" formatCode="General">
                        <c:v>-4.6949026217228464</c:v>
                      </c:pt>
                      <c:pt idx="36" formatCode="General">
                        <c:v>-4.7260636704119854</c:v>
                      </c:pt>
                      <c:pt idx="37" formatCode="General">
                        <c:v>-4.7572247191011234</c:v>
                      </c:pt>
                      <c:pt idx="38" formatCode="General">
                        <c:v>-4.7883857677902624</c:v>
                      </c:pt>
                      <c:pt idx="39" formatCode="General">
                        <c:v>-4.8195468164794013</c:v>
                      </c:pt>
                      <c:pt idx="40" formatCode="General">
                        <c:v>-4.8507078651685394</c:v>
                      </c:pt>
                      <c:pt idx="41" formatCode="General">
                        <c:v>-4.8813700374531841</c:v>
                      </c:pt>
                      <c:pt idx="42" formatCode="General">
                        <c:v>-4.9107782771535584</c:v>
                      </c:pt>
                      <c:pt idx="43" formatCode="General">
                        <c:v>-4.9401865168539327</c:v>
                      </c:pt>
                      <c:pt idx="44" formatCode="General">
                        <c:v>-4.969594756554307</c:v>
                      </c:pt>
                      <c:pt idx="45" formatCode="General">
                        <c:v>-4.9990029962546814</c:v>
                      </c:pt>
                      <c:pt idx="46" formatCode="General">
                        <c:v>-5.0284112359550566</c:v>
                      </c:pt>
                      <c:pt idx="47" formatCode="General">
                        <c:v>-5.0578194756554309</c:v>
                      </c:pt>
                      <c:pt idx="48" formatCode="General">
                        <c:v>-5.0872277153558052</c:v>
                      </c:pt>
                      <c:pt idx="49" formatCode="General">
                        <c:v>-5.1166359550561795</c:v>
                      </c:pt>
                      <c:pt idx="50" formatCode="General">
                        <c:v>-5.1460441947565538</c:v>
                      </c:pt>
                      <c:pt idx="51" formatCode="General">
                        <c:v>-5.1754311377245505</c:v>
                      </c:pt>
                      <c:pt idx="52" formatCode="General">
                        <c:v>-5.2034550898203591</c:v>
                      </c:pt>
                      <c:pt idx="53" formatCode="General">
                        <c:v>-5.2314790419161676</c:v>
                      </c:pt>
                      <c:pt idx="54" formatCode="General">
                        <c:v>-5.2591834319526622</c:v>
                      </c:pt>
                      <c:pt idx="55" formatCode="General">
                        <c:v>-5.2864911242603547</c:v>
                      </c:pt>
                      <c:pt idx="56" formatCode="General">
                        <c:v>-5.3137988165680472</c:v>
                      </c:pt>
                      <c:pt idx="57" formatCode="General">
                        <c:v>-5.3416666666666668</c:v>
                      </c:pt>
                      <c:pt idx="58" formatCode="General">
                        <c:v>-5.3696363636363635</c:v>
                      </c:pt>
                      <c:pt idx="59" formatCode="General">
                        <c:v>-5.3973636363636368</c:v>
                      </c:pt>
                      <c:pt idx="60" formatCode="General">
                        <c:v>-5.4245454545454548</c:v>
                      </c:pt>
                      <c:pt idx="61" formatCode="General">
                        <c:v>-5.4517272727272728</c:v>
                      </c:pt>
                      <c:pt idx="62" formatCode="General">
                        <c:v>-5.4825522388059706</c:v>
                      </c:pt>
                      <c:pt idx="63" formatCode="General">
                        <c:v>-5.5144701492537314</c:v>
                      </c:pt>
                      <c:pt idx="64" formatCode="General">
                        <c:v>-5.546388059701493</c:v>
                      </c:pt>
                      <c:pt idx="65" formatCode="General">
                        <c:v>-5.5783059701492537</c:v>
                      </c:pt>
                      <c:pt idx="66" formatCode="General">
                        <c:v>-5.6102238805970153</c:v>
                      </c:pt>
                      <c:pt idx="67" formatCode="General">
                        <c:v>-5.642141791044776</c:v>
                      </c:pt>
                      <c:pt idx="68" formatCode="General">
                        <c:v>-5.6740597014925376</c:v>
                      </c:pt>
                      <c:pt idx="69" formatCode="General">
                        <c:v>-5.7059776119402983</c:v>
                      </c:pt>
                      <c:pt idx="70" formatCode="General">
                        <c:v>-5.7378955223880599</c:v>
                      </c:pt>
                      <c:pt idx="71" formatCode="General">
                        <c:v>-5.7698134328358206</c:v>
                      </c:pt>
                      <c:pt idx="72" formatCode="General">
                        <c:v>-5.8141127819548872</c:v>
                      </c:pt>
                      <c:pt idx="73" formatCode="General">
                        <c:v>-5.8728571428571428</c:v>
                      </c:pt>
                      <c:pt idx="74" formatCode="General">
                        <c:v>-5.9316015037593983</c:v>
                      </c:pt>
                      <c:pt idx="75" formatCode="General">
                        <c:v>-5.9903458646616539</c:v>
                      </c:pt>
                      <c:pt idx="76" formatCode="General">
                        <c:v>-6.0490902255639094</c:v>
                      </c:pt>
                      <c:pt idx="77" formatCode="General">
                        <c:v>-6.107834586466165</c:v>
                      </c:pt>
                      <c:pt idx="78" formatCode="General">
                        <c:v>-6.1665789473684214</c:v>
                      </c:pt>
                      <c:pt idx="79" formatCode="General">
                        <c:v>-6.2253233082706769</c:v>
                      </c:pt>
                      <c:pt idx="80" formatCode="General">
                        <c:v>-6.2840676691729325</c:v>
                      </c:pt>
                      <c:pt idx="81" formatCode="General">
                        <c:v>-6.342812030075188</c:v>
                      </c:pt>
                      <c:pt idx="82" formatCode="General">
                        <c:v>-6.4000882352941177</c:v>
                      </c:pt>
                      <c:pt idx="83" formatCode="General">
                        <c:v>-6.4524705882352942</c:v>
                      </c:pt>
                      <c:pt idx="84" formatCode="General">
                        <c:v>-6.5048529411764706</c:v>
                      </c:pt>
                      <c:pt idx="85" formatCode="General">
                        <c:v>-6.5572424242424248</c:v>
                      </c:pt>
                      <c:pt idx="86" formatCode="General">
                        <c:v>-6.6096363636363638</c:v>
                      </c:pt>
                      <c:pt idx="87" formatCode="General">
                        <c:v>-6.6617941176470588</c:v>
                      </c:pt>
                      <c:pt idx="88" formatCode="General">
                        <c:v>-6.7111176470588241</c:v>
                      </c:pt>
                      <c:pt idx="89" formatCode="General">
                        <c:v>-6.7604411764705885</c:v>
                      </c:pt>
                      <c:pt idx="90" formatCode="General">
                        <c:v>-6.8095454545454546</c:v>
                      </c:pt>
                      <c:pt idx="91" formatCode="General">
                        <c:v>-6.858393939393939</c:v>
                      </c:pt>
                      <c:pt idx="92" formatCode="General">
                        <c:v>-6.9072424242424235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EDA-4C12-8154-2CB8D6548BBE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-21.633423423423423</c:v>
                      </c:pt>
                      <c:pt idx="1">
                        <c:v>-20.938528528528529</c:v>
                      </c:pt>
                      <c:pt idx="2" formatCode="General">
                        <c:v>-20.243633633633632</c:v>
                      </c:pt>
                      <c:pt idx="3" formatCode="General">
                        <c:v>-20.065988023952094</c:v>
                      </c:pt>
                      <c:pt idx="4" formatCode="General">
                        <c:v>-20.011497005988023</c:v>
                      </c:pt>
                      <c:pt idx="5" formatCode="General">
                        <c:v>-20.01640718562874</c:v>
                      </c:pt>
                      <c:pt idx="6" formatCode="General">
                        <c:v>-20.211017964071857</c:v>
                      </c:pt>
                      <c:pt idx="7" formatCode="General">
                        <c:v>-20.40562874251497</c:v>
                      </c:pt>
                      <c:pt idx="8" formatCode="General">
                        <c:v>-20.602844311377243</c:v>
                      </c:pt>
                      <c:pt idx="9" formatCode="General">
                        <c:v>-20.801347305389221</c:v>
                      </c:pt>
                      <c:pt idx="10" formatCode="General">
                        <c:v>-20.999850299401199</c:v>
                      </c:pt>
                      <c:pt idx="11" formatCode="General">
                        <c:v>-21.198353293413174</c:v>
                      </c:pt>
                      <c:pt idx="12" formatCode="General">
                        <c:v>-21.396856287425148</c:v>
                      </c:pt>
                      <c:pt idx="13" formatCode="General">
                        <c:v>-21.597425149700598</c:v>
                      </c:pt>
                      <c:pt idx="14" formatCode="General">
                        <c:v>-21.799820359281437</c:v>
                      </c:pt>
                      <c:pt idx="15" formatCode="General">
                        <c:v>-22.002215568862276</c:v>
                      </c:pt>
                      <c:pt idx="16" formatCode="General">
                        <c:v>-22.19768768768769</c:v>
                      </c:pt>
                      <c:pt idx="17" formatCode="General">
                        <c:v>-22.392882882882883</c:v>
                      </c:pt>
                      <c:pt idx="18" formatCode="General">
                        <c:v>-22.589401197604793</c:v>
                      </c:pt>
                      <c:pt idx="19" formatCode="General">
                        <c:v>-22.787904191616768</c:v>
                      </c:pt>
                      <c:pt idx="20" formatCode="General">
                        <c:v>-22.986407185628742</c:v>
                      </c:pt>
                      <c:pt idx="21" formatCode="General">
                        <c:v>-23.17682634730539</c:v>
                      </c:pt>
                      <c:pt idx="22" formatCode="General">
                        <c:v>-23.365598802395208</c:v>
                      </c:pt>
                      <c:pt idx="23" formatCode="General">
                        <c:v>-23.55437125748503</c:v>
                      </c:pt>
                      <c:pt idx="24" formatCode="General">
                        <c:v>-23.743143712574849</c:v>
                      </c:pt>
                      <c:pt idx="25" formatCode="General">
                        <c:v>-23.931916167664671</c:v>
                      </c:pt>
                      <c:pt idx="26" formatCode="General">
                        <c:v>-24.120688622754493</c:v>
                      </c:pt>
                      <c:pt idx="27" formatCode="General">
                        <c:v>-24.309461077844311</c:v>
                      </c:pt>
                      <c:pt idx="28" formatCode="General">
                        <c:v>-24.498233532934133</c:v>
                      </c:pt>
                      <c:pt idx="29" formatCode="General">
                        <c:v>-24.687005988023952</c:v>
                      </c:pt>
                      <c:pt idx="30" formatCode="General">
                        <c:v>-24.875778443113774</c:v>
                      </c:pt>
                      <c:pt idx="31" formatCode="General">
                        <c:v>-25.057617977528093</c:v>
                      </c:pt>
                      <c:pt idx="32" formatCode="General">
                        <c:v>-25.233872659176033</c:v>
                      </c:pt>
                      <c:pt idx="33" formatCode="General">
                        <c:v>-25.410127340823973</c:v>
                      </c:pt>
                      <c:pt idx="34" formatCode="General">
                        <c:v>-25.586382022471913</c:v>
                      </c:pt>
                      <c:pt idx="35" formatCode="General">
                        <c:v>-25.762636704119853</c:v>
                      </c:pt>
                      <c:pt idx="36" formatCode="General">
                        <c:v>-25.938891385767793</c:v>
                      </c:pt>
                      <c:pt idx="37" formatCode="General">
                        <c:v>-26.115146067415729</c:v>
                      </c:pt>
                      <c:pt idx="38" formatCode="General">
                        <c:v>-26.291400749063669</c:v>
                      </c:pt>
                      <c:pt idx="39" formatCode="General">
                        <c:v>-26.467655430711609</c:v>
                      </c:pt>
                      <c:pt idx="40" formatCode="General">
                        <c:v>-26.643910112359549</c:v>
                      </c:pt>
                      <c:pt idx="41" formatCode="General">
                        <c:v>-26.81767041198502</c:v>
                      </c:pt>
                      <c:pt idx="42" formatCode="General">
                        <c:v>-26.98516104868914</c:v>
                      </c:pt>
                      <c:pt idx="43" formatCode="General">
                        <c:v>-27.152651685393259</c:v>
                      </c:pt>
                      <c:pt idx="44" formatCode="General">
                        <c:v>-27.320142322097379</c:v>
                      </c:pt>
                      <c:pt idx="45" formatCode="General">
                        <c:v>-27.487632958801498</c:v>
                      </c:pt>
                      <c:pt idx="46" formatCode="General">
                        <c:v>-27.655123595505618</c:v>
                      </c:pt>
                      <c:pt idx="47" formatCode="General">
                        <c:v>-27.822614232209737</c:v>
                      </c:pt>
                      <c:pt idx="48" formatCode="General">
                        <c:v>-27.990104868913857</c:v>
                      </c:pt>
                      <c:pt idx="49" formatCode="General">
                        <c:v>-28.157595505617977</c:v>
                      </c:pt>
                      <c:pt idx="50" formatCode="General">
                        <c:v>-28.325086142322096</c:v>
                      </c:pt>
                      <c:pt idx="51" formatCode="General">
                        <c:v>-28.492455089820357</c:v>
                      </c:pt>
                      <c:pt idx="52" formatCode="General">
                        <c:v>-28.652035928143711</c:v>
                      </c:pt>
                      <c:pt idx="53" formatCode="General">
                        <c:v>-28.811616766467065</c:v>
                      </c:pt>
                      <c:pt idx="54" formatCode="General">
                        <c:v>-28.970355029585797</c:v>
                      </c:pt>
                      <c:pt idx="55" formatCode="General">
                        <c:v>-29.128047337278105</c:v>
                      </c:pt>
                      <c:pt idx="56" formatCode="General">
                        <c:v>-29.285739644970413</c:v>
                      </c:pt>
                      <c:pt idx="57" formatCode="General">
                        <c:v>-29.446666666666665</c:v>
                      </c:pt>
                      <c:pt idx="58" formatCode="General">
                        <c:v>-29.608181818181816</c:v>
                      </c:pt>
                      <c:pt idx="59" formatCode="General">
                        <c:v>-29.768484848484846</c:v>
                      </c:pt>
                      <c:pt idx="60" formatCode="General">
                        <c:v>-29.926060606060606</c:v>
                      </c:pt>
                      <c:pt idx="61" formatCode="General">
                        <c:v>-30.083636363636366</c:v>
                      </c:pt>
                      <c:pt idx="62" formatCode="General">
                        <c:v>-30.237164179104479</c:v>
                      </c:pt>
                      <c:pt idx="63" formatCode="General">
                        <c:v>-30.389477611940301</c:v>
                      </c:pt>
                      <c:pt idx="64" formatCode="General">
                        <c:v>-30.541791044776119</c:v>
                      </c:pt>
                      <c:pt idx="65" formatCode="General">
                        <c:v>-30.69410447761194</c:v>
                      </c:pt>
                      <c:pt idx="66" formatCode="General">
                        <c:v>-30.846417910447762</c:v>
                      </c:pt>
                      <c:pt idx="67" formatCode="General">
                        <c:v>-30.998731343283584</c:v>
                      </c:pt>
                      <c:pt idx="68" formatCode="General">
                        <c:v>-31.151044776119406</c:v>
                      </c:pt>
                      <c:pt idx="69" formatCode="General">
                        <c:v>-31.303358208955224</c:v>
                      </c:pt>
                      <c:pt idx="70" formatCode="General">
                        <c:v>-31.455671641791046</c:v>
                      </c:pt>
                      <c:pt idx="71" formatCode="General">
                        <c:v>-31.607985074626868</c:v>
                      </c:pt>
                      <c:pt idx="72" formatCode="General">
                        <c:v>-31.759022556390978</c:v>
                      </c:pt>
                      <c:pt idx="73" formatCode="General">
                        <c:v>-31.908571428571431</c:v>
                      </c:pt>
                      <c:pt idx="74" formatCode="General">
                        <c:v>-32.058120300751881</c:v>
                      </c:pt>
                      <c:pt idx="75" formatCode="General">
                        <c:v>-32.207669172932334</c:v>
                      </c:pt>
                      <c:pt idx="76" formatCode="General">
                        <c:v>-32.357218045112781</c:v>
                      </c:pt>
                      <c:pt idx="77" formatCode="General">
                        <c:v>-32.506766917293234</c:v>
                      </c:pt>
                      <c:pt idx="78" formatCode="General">
                        <c:v>-32.65631578947368</c:v>
                      </c:pt>
                      <c:pt idx="79" formatCode="General">
                        <c:v>-32.805864661654134</c:v>
                      </c:pt>
                      <c:pt idx="80" formatCode="General">
                        <c:v>-32.955413533834587</c:v>
                      </c:pt>
                      <c:pt idx="81" formatCode="General">
                        <c:v>-33.104962406015034</c:v>
                      </c:pt>
                      <c:pt idx="82" formatCode="General">
                        <c:v>-33.252647058823527</c:v>
                      </c:pt>
                      <c:pt idx="83" formatCode="General">
                        <c:v>-33.394117647058827</c:v>
                      </c:pt>
                      <c:pt idx="84" formatCode="General">
                        <c:v>-33.535588235294121</c:v>
                      </c:pt>
                      <c:pt idx="85" formatCode="General">
                        <c:v>-33.682121212121217</c:v>
                      </c:pt>
                      <c:pt idx="86" formatCode="General">
                        <c:v>-33.831818181818186</c:v>
                      </c:pt>
                      <c:pt idx="87" formatCode="General">
                        <c:v>-33.980882352941173</c:v>
                      </c:pt>
                      <c:pt idx="88" formatCode="General">
                        <c:v>-34.122352941176473</c:v>
                      </c:pt>
                      <c:pt idx="89" formatCode="General">
                        <c:v>-34.263823529411766</c:v>
                      </c:pt>
                      <c:pt idx="90" formatCode="General">
                        <c:v>-34.407272727272733</c:v>
                      </c:pt>
                      <c:pt idx="91" formatCode="General">
                        <c:v>-34.553030303030305</c:v>
                      </c:pt>
                      <c:pt idx="92" formatCode="General">
                        <c:v>-34.698787878787883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EDA-4C12-8154-2CB8D6548BBE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-58.474144144144148</c:v>
                      </c:pt>
                      <c:pt idx="1">
                        <c:v>-56.69786786786787</c:v>
                      </c:pt>
                      <c:pt idx="2" formatCode="General">
                        <c:v>-54.921591591591593</c:v>
                      </c:pt>
                      <c:pt idx="3" formatCode="General">
                        <c:v>-53.84437125748503</c:v>
                      </c:pt>
                      <c:pt idx="4" formatCode="General">
                        <c:v>-52.933592814371252</c:v>
                      </c:pt>
                      <c:pt idx="5" formatCode="General">
                        <c:v>-52.120269461077839</c:v>
                      </c:pt>
                      <c:pt idx="6" formatCode="General">
                        <c:v>-51.618173652694608</c:v>
                      </c:pt>
                      <c:pt idx="7" formatCode="General">
                        <c:v>-51.11607784431137</c:v>
                      </c:pt>
                      <c:pt idx="8" formatCode="General">
                        <c:v>-50.697595808383234</c:v>
                      </c:pt>
                      <c:pt idx="9" formatCode="General">
                        <c:v>-50.320440119760477</c:v>
                      </c:pt>
                      <c:pt idx="10" formatCode="General">
                        <c:v>-49.952937125748505</c:v>
                      </c:pt>
                      <c:pt idx="11" formatCode="General">
                        <c:v>-49.672308383233535</c:v>
                      </c:pt>
                      <c:pt idx="12" formatCode="General">
                        <c:v>-49.391679640718564</c:v>
                      </c:pt>
                      <c:pt idx="13" formatCode="General">
                        <c:v>-49.155880239520954</c:v>
                      </c:pt>
                      <c:pt idx="14" formatCode="General">
                        <c:v>-48.9597125748503</c:v>
                      </c:pt>
                      <c:pt idx="15" formatCode="General">
                        <c:v>-48.76354491017964</c:v>
                      </c:pt>
                      <c:pt idx="16" formatCode="General">
                        <c:v>-48.908027027027025</c:v>
                      </c:pt>
                      <c:pt idx="17" formatCode="General">
                        <c:v>-49.066135135135134</c:v>
                      </c:pt>
                      <c:pt idx="18" formatCode="General">
                        <c:v>-49.332568862275451</c:v>
                      </c:pt>
                      <c:pt idx="19" formatCode="General">
                        <c:v>-49.761491017964069</c:v>
                      </c:pt>
                      <c:pt idx="20" formatCode="General">
                        <c:v>-50.190413173652694</c:v>
                      </c:pt>
                      <c:pt idx="21" formatCode="General">
                        <c:v>-50.603329341317362</c:v>
                      </c:pt>
                      <c:pt idx="22" formatCode="General">
                        <c:v>-51.012985029940118</c:v>
                      </c:pt>
                      <c:pt idx="23" formatCode="General">
                        <c:v>-51.422640718562874</c:v>
                      </c:pt>
                      <c:pt idx="24" formatCode="General">
                        <c:v>-51.832296407185623</c:v>
                      </c:pt>
                      <c:pt idx="25" formatCode="General">
                        <c:v>-52.241952095808379</c:v>
                      </c:pt>
                      <c:pt idx="26" formatCode="General">
                        <c:v>-52.651607784431135</c:v>
                      </c:pt>
                      <c:pt idx="27" formatCode="General">
                        <c:v>-53.061263473053891</c:v>
                      </c:pt>
                      <c:pt idx="28" formatCode="General">
                        <c:v>-53.470919161676647</c:v>
                      </c:pt>
                      <c:pt idx="29" formatCode="General">
                        <c:v>-53.880574850299404</c:v>
                      </c:pt>
                      <c:pt idx="30" formatCode="General">
                        <c:v>-54.29023053892216</c:v>
                      </c:pt>
                      <c:pt idx="31" formatCode="General">
                        <c:v>-54.685494382022469</c:v>
                      </c:pt>
                      <c:pt idx="32" formatCode="General">
                        <c:v>-55.069164794007492</c:v>
                      </c:pt>
                      <c:pt idx="33" formatCode="General">
                        <c:v>-55.452835205992507</c:v>
                      </c:pt>
                      <c:pt idx="34" formatCode="General">
                        <c:v>-55.836505617977529</c:v>
                      </c:pt>
                      <c:pt idx="35" formatCode="General">
                        <c:v>-56.220176029962545</c:v>
                      </c:pt>
                      <c:pt idx="36" formatCode="General">
                        <c:v>-56.603846441947567</c:v>
                      </c:pt>
                      <c:pt idx="37" formatCode="General">
                        <c:v>-56.987516853932583</c:v>
                      </c:pt>
                      <c:pt idx="38" formatCode="General">
                        <c:v>-57.371187265917598</c:v>
                      </c:pt>
                      <c:pt idx="39" formatCode="General">
                        <c:v>-57.754857677902621</c:v>
                      </c:pt>
                      <c:pt idx="40" formatCode="General">
                        <c:v>-58.138528089887636</c:v>
                      </c:pt>
                      <c:pt idx="41" formatCode="General">
                        <c:v>-58.516710861423221</c:v>
                      </c:pt>
                      <c:pt idx="42" formatCode="General">
                        <c:v>-58.881100374531833</c:v>
                      </c:pt>
                      <c:pt idx="43" formatCode="General">
                        <c:v>-59.245489887640446</c:v>
                      </c:pt>
                      <c:pt idx="44" formatCode="General">
                        <c:v>-59.609879400749058</c:v>
                      </c:pt>
                      <c:pt idx="45" formatCode="General">
                        <c:v>-59.974268913857678</c:v>
                      </c:pt>
                      <c:pt idx="46" formatCode="General">
                        <c:v>-60.33865842696629</c:v>
                      </c:pt>
                      <c:pt idx="47" formatCode="General">
                        <c:v>-60.703047940074903</c:v>
                      </c:pt>
                      <c:pt idx="48" formatCode="General">
                        <c:v>-61.067437453183516</c:v>
                      </c:pt>
                      <c:pt idx="49" formatCode="General">
                        <c:v>-61.431826966292128</c:v>
                      </c:pt>
                      <c:pt idx="50" formatCode="General">
                        <c:v>-61.796216479400748</c:v>
                      </c:pt>
                      <c:pt idx="51" formatCode="General">
                        <c:v>-62.160341317365265</c:v>
                      </c:pt>
                      <c:pt idx="52" formatCode="General">
                        <c:v>-62.507526946107781</c:v>
                      </c:pt>
                      <c:pt idx="53" formatCode="General">
                        <c:v>-62.854712574850296</c:v>
                      </c:pt>
                      <c:pt idx="54" formatCode="General">
                        <c:v>-63.199893491124257</c:v>
                      </c:pt>
                      <c:pt idx="55" formatCode="General">
                        <c:v>-63.54258579881656</c:v>
                      </c:pt>
                      <c:pt idx="56" formatCode="General">
                        <c:v>-63.885278106508871</c:v>
                      </c:pt>
                      <c:pt idx="57" formatCode="General">
                        <c:v>-64.234999999999999</c:v>
                      </c:pt>
                      <c:pt idx="58" formatCode="General">
                        <c:v>-64.585999999999999</c:v>
                      </c:pt>
                      <c:pt idx="59" formatCode="General">
                        <c:v>-64.934333333333328</c:v>
                      </c:pt>
                      <c:pt idx="60" formatCode="General">
                        <c:v>-65.276666666666671</c:v>
                      </c:pt>
                      <c:pt idx="61" formatCode="General">
                        <c:v>-65.619</c:v>
                      </c:pt>
                      <c:pt idx="62" formatCode="General">
                        <c:v>-65.95688059701493</c:v>
                      </c:pt>
                      <c:pt idx="63" formatCode="General">
                        <c:v>-66.29342537313434</c:v>
                      </c:pt>
                      <c:pt idx="64" formatCode="General">
                        <c:v>-66.629970149253737</c:v>
                      </c:pt>
                      <c:pt idx="65" formatCode="General">
                        <c:v>-66.966514925373133</c:v>
                      </c:pt>
                      <c:pt idx="66" formatCode="General">
                        <c:v>-67.303059701492543</c:v>
                      </c:pt>
                      <c:pt idx="67" formatCode="General">
                        <c:v>-67.63960447761194</c:v>
                      </c:pt>
                      <c:pt idx="68" formatCode="General">
                        <c:v>-67.97614925373135</c:v>
                      </c:pt>
                      <c:pt idx="69" formatCode="General">
                        <c:v>-68.312694029850746</c:v>
                      </c:pt>
                      <c:pt idx="70" formatCode="General">
                        <c:v>-68.649238805970157</c:v>
                      </c:pt>
                      <c:pt idx="71" formatCode="General">
                        <c:v>-68.985783582089553</c:v>
                      </c:pt>
                      <c:pt idx="72" formatCode="General">
                        <c:v>-69.332157894736838</c:v>
                      </c:pt>
                      <c:pt idx="73" formatCode="General">
                        <c:v>-69.69</c:v>
                      </c:pt>
                      <c:pt idx="74" formatCode="General">
                        <c:v>-70.047842105263157</c:v>
                      </c:pt>
                      <c:pt idx="75" formatCode="General">
                        <c:v>-70.405684210526317</c:v>
                      </c:pt>
                      <c:pt idx="76" formatCode="General">
                        <c:v>-70.763526315789477</c:v>
                      </c:pt>
                      <c:pt idx="77" formatCode="General">
                        <c:v>-71.121368421052637</c:v>
                      </c:pt>
                      <c:pt idx="78" formatCode="General">
                        <c:v>-71.479210526315796</c:v>
                      </c:pt>
                      <c:pt idx="79" formatCode="General">
                        <c:v>-71.837052631578956</c:v>
                      </c:pt>
                      <c:pt idx="80" formatCode="General">
                        <c:v>-72.194894736842102</c:v>
                      </c:pt>
                      <c:pt idx="81" formatCode="General">
                        <c:v>-72.552736842105261</c:v>
                      </c:pt>
                      <c:pt idx="82" formatCode="General">
                        <c:v>-72.905382352941174</c:v>
                      </c:pt>
                      <c:pt idx="83" formatCode="General">
                        <c:v>-73.240705882352955</c:v>
                      </c:pt>
                      <c:pt idx="84" formatCode="General">
                        <c:v>-73.576029411764722</c:v>
                      </c:pt>
                      <c:pt idx="85" formatCode="General">
                        <c:v>-73.921484848484852</c:v>
                      </c:pt>
                      <c:pt idx="86" formatCode="General">
                        <c:v>-74.273272727272726</c:v>
                      </c:pt>
                      <c:pt idx="87" formatCode="General">
                        <c:v>-74.623558823529407</c:v>
                      </c:pt>
                      <c:pt idx="88" formatCode="General">
                        <c:v>-74.955823529411774</c:v>
                      </c:pt>
                      <c:pt idx="89" formatCode="General">
                        <c:v>-75.288088235294126</c:v>
                      </c:pt>
                      <c:pt idx="90" formatCode="General">
                        <c:v>-75.624090909090924</c:v>
                      </c:pt>
                      <c:pt idx="91" formatCode="General">
                        <c:v>-75.964454545454558</c:v>
                      </c:pt>
                      <c:pt idx="92" formatCode="General">
                        <c:v>-76.304818181818192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EDA-4C12-8154-2CB8D6548BBE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-185.26585585585585</c:v>
                      </c:pt>
                      <c:pt idx="1">
                        <c:v>-178.80879879879882</c:v>
                      </c:pt>
                      <c:pt idx="2" formatCode="General">
                        <c:v>-172.35174174174176</c:v>
                      </c:pt>
                      <c:pt idx="3" formatCode="General">
                        <c:v>-166.91</c:v>
                      </c:pt>
                      <c:pt idx="4" formatCode="General">
                        <c:v>-161.71</c:v>
                      </c:pt>
                      <c:pt idx="5" formatCode="General">
                        <c:v>-156.72718562874252</c:v>
                      </c:pt>
                      <c:pt idx="6" formatCode="General">
                        <c:v>-152.43796407185627</c:v>
                      </c:pt>
                      <c:pt idx="7" formatCode="General">
                        <c:v>-148.14874251497005</c:v>
                      </c:pt>
                      <c:pt idx="8" formatCode="General">
                        <c:v>-144.32577844311376</c:v>
                      </c:pt>
                      <c:pt idx="9" formatCode="General">
                        <c:v>-140.73326347305388</c:v>
                      </c:pt>
                      <c:pt idx="10" formatCode="General">
                        <c:v>-137.19523952095807</c:v>
                      </c:pt>
                      <c:pt idx="11" formatCode="General">
                        <c:v>-134.14763473053893</c:v>
                      </c:pt>
                      <c:pt idx="12" formatCode="General">
                        <c:v>-131.10002994011978</c:v>
                      </c:pt>
                      <c:pt idx="13" formatCode="General">
                        <c:v>-128.29000000000002</c:v>
                      </c:pt>
                      <c:pt idx="14" formatCode="General">
                        <c:v>-125.69000000000001</c:v>
                      </c:pt>
                      <c:pt idx="15" formatCode="General">
                        <c:v>-123.09</c:v>
                      </c:pt>
                      <c:pt idx="16" formatCode="General">
                        <c:v>-121.24825825825826</c:v>
                      </c:pt>
                      <c:pt idx="17" formatCode="General">
                        <c:v>-119.43684684684683</c:v>
                      </c:pt>
                      <c:pt idx="18" formatCode="General">
                        <c:v>-118.99922155688623</c:v>
                      </c:pt>
                      <c:pt idx="19" formatCode="General">
                        <c:v>-120.62227544910179</c:v>
                      </c:pt>
                      <c:pt idx="20" formatCode="General">
                        <c:v>-122.24532934131737</c:v>
                      </c:pt>
                      <c:pt idx="21" formatCode="General">
                        <c:v>-123.80694610778444</c:v>
                      </c:pt>
                      <c:pt idx="22" formatCode="General">
                        <c:v>-125.35604790419163</c:v>
                      </c:pt>
                      <c:pt idx="23" formatCode="General">
                        <c:v>-126.90514970059881</c:v>
                      </c:pt>
                      <c:pt idx="24" formatCode="General">
                        <c:v>-128.454251497006</c:v>
                      </c:pt>
                      <c:pt idx="25" formatCode="General">
                        <c:v>-130.00335329341317</c:v>
                      </c:pt>
                      <c:pt idx="26" formatCode="General">
                        <c:v>-131.55245508982037</c:v>
                      </c:pt>
                      <c:pt idx="27" formatCode="General">
                        <c:v>-133.10155688622754</c:v>
                      </c:pt>
                      <c:pt idx="28" formatCode="General">
                        <c:v>-134.65065868263474</c:v>
                      </c:pt>
                      <c:pt idx="29" formatCode="General">
                        <c:v>-136.19976047904191</c:v>
                      </c:pt>
                      <c:pt idx="30" formatCode="General">
                        <c:v>-137.74886227544911</c:v>
                      </c:pt>
                      <c:pt idx="31" formatCode="General">
                        <c:v>-139.21824719101124</c:v>
                      </c:pt>
                      <c:pt idx="32" formatCode="General">
                        <c:v>-140.62341573033709</c:v>
                      </c:pt>
                      <c:pt idx="33" formatCode="General">
                        <c:v>-142.02858426966293</c:v>
                      </c:pt>
                      <c:pt idx="34" formatCode="General">
                        <c:v>-143.43375280898877</c:v>
                      </c:pt>
                      <c:pt idx="35" formatCode="General">
                        <c:v>-144.83892134831461</c:v>
                      </c:pt>
                      <c:pt idx="36" formatCode="General">
                        <c:v>-146.24408988764046</c:v>
                      </c:pt>
                      <c:pt idx="37" formatCode="General">
                        <c:v>-147.6492584269663</c:v>
                      </c:pt>
                      <c:pt idx="38" formatCode="General">
                        <c:v>-149.05442696629214</c:v>
                      </c:pt>
                      <c:pt idx="39" formatCode="General">
                        <c:v>-150.45959550561798</c:v>
                      </c:pt>
                      <c:pt idx="40" formatCode="General">
                        <c:v>-151.86476404494383</c:v>
                      </c:pt>
                      <c:pt idx="41" formatCode="General">
                        <c:v>-153.2219850187266</c:v>
                      </c:pt>
                      <c:pt idx="42" formatCode="General">
                        <c:v>-154.45868913857677</c:v>
                      </c:pt>
                      <c:pt idx="43" formatCode="General">
                        <c:v>-155.69539325842698</c:v>
                      </c:pt>
                      <c:pt idx="44" formatCode="General">
                        <c:v>-156.93209737827715</c:v>
                      </c:pt>
                      <c:pt idx="45" formatCode="General">
                        <c:v>-158.16880149812735</c:v>
                      </c:pt>
                      <c:pt idx="46" formatCode="General">
                        <c:v>-159.40550561797752</c:v>
                      </c:pt>
                      <c:pt idx="47" formatCode="General">
                        <c:v>-160.64220973782773</c:v>
                      </c:pt>
                      <c:pt idx="48" formatCode="General">
                        <c:v>-161.8789138576779</c:v>
                      </c:pt>
                      <c:pt idx="49" formatCode="General">
                        <c:v>-163.1156179775281</c:v>
                      </c:pt>
                      <c:pt idx="50" formatCode="General">
                        <c:v>-164.35232209737828</c:v>
                      </c:pt>
                      <c:pt idx="51" formatCode="General">
                        <c:v>-165.58706586826347</c:v>
                      </c:pt>
                      <c:pt idx="52" formatCode="General">
                        <c:v>-166.69634730538922</c:v>
                      </c:pt>
                      <c:pt idx="53" formatCode="General">
                        <c:v>-167.80562874251495</c:v>
                      </c:pt>
                      <c:pt idx="54" formatCode="General">
                        <c:v>-168.88846153846151</c:v>
                      </c:pt>
                      <c:pt idx="55" formatCode="General">
                        <c:v>-169.93846153846152</c:v>
                      </c:pt>
                      <c:pt idx="56" formatCode="General">
                        <c:v>-170.98846153846151</c:v>
                      </c:pt>
                      <c:pt idx="57" formatCode="General">
                        <c:v>-172.02666666666664</c:v>
                      </c:pt>
                      <c:pt idx="58" formatCode="General">
                        <c:v>-173.06272727272727</c:v>
                      </c:pt>
                      <c:pt idx="59" formatCode="General">
                        <c:v>-174.07818181818183</c:v>
                      </c:pt>
                      <c:pt idx="60" formatCode="General">
                        <c:v>-175.04727272727274</c:v>
                      </c:pt>
                      <c:pt idx="61" formatCode="General">
                        <c:v>-176.01636363636365</c:v>
                      </c:pt>
                      <c:pt idx="62" formatCode="General">
                        <c:v>-176.87805970149256</c:v>
                      </c:pt>
                      <c:pt idx="63" formatCode="General">
                        <c:v>-177.70753731343285</c:v>
                      </c:pt>
                      <c:pt idx="64" formatCode="General">
                        <c:v>-178.53701492537314</c:v>
                      </c:pt>
                      <c:pt idx="65" formatCode="General">
                        <c:v>-179.36649253731343</c:v>
                      </c:pt>
                      <c:pt idx="66" formatCode="General">
                        <c:v>-180.19597014925375</c:v>
                      </c:pt>
                      <c:pt idx="67" formatCode="General">
                        <c:v>-181.02544776119404</c:v>
                      </c:pt>
                      <c:pt idx="68" formatCode="General">
                        <c:v>-181.85492537313434</c:v>
                      </c:pt>
                      <c:pt idx="69" formatCode="General">
                        <c:v>-182.68440298507466</c:v>
                      </c:pt>
                      <c:pt idx="70" formatCode="General">
                        <c:v>-183.51388059701495</c:v>
                      </c:pt>
                      <c:pt idx="71" formatCode="General">
                        <c:v>-184.34335820895524</c:v>
                      </c:pt>
                      <c:pt idx="72" formatCode="General">
                        <c:v>-185.07466165413535</c:v>
                      </c:pt>
                      <c:pt idx="73" formatCode="General">
                        <c:v>-185.69142857142859</c:v>
                      </c:pt>
                      <c:pt idx="74" formatCode="General">
                        <c:v>-186.30819548872182</c:v>
                      </c:pt>
                      <c:pt idx="75" formatCode="General">
                        <c:v>-186.92496240601506</c:v>
                      </c:pt>
                      <c:pt idx="76" formatCode="General">
                        <c:v>-187.54172932330829</c:v>
                      </c:pt>
                      <c:pt idx="77" formatCode="General">
                        <c:v>-188.15849624060152</c:v>
                      </c:pt>
                      <c:pt idx="78" formatCode="General">
                        <c:v>-188.77526315789473</c:v>
                      </c:pt>
                      <c:pt idx="79" formatCode="General">
                        <c:v>-189.39203007518796</c:v>
                      </c:pt>
                      <c:pt idx="80" formatCode="General">
                        <c:v>-190.00879699248119</c:v>
                      </c:pt>
                      <c:pt idx="81" formatCode="General">
                        <c:v>-190.62556390977443</c:v>
                      </c:pt>
                      <c:pt idx="82" formatCode="General">
                        <c:v>-191.20499999999998</c:v>
                      </c:pt>
                      <c:pt idx="83" formatCode="General">
                        <c:v>-191.66</c:v>
                      </c:pt>
                      <c:pt idx="84" formatCode="General">
                        <c:v>-192.11500000000001</c:v>
                      </c:pt>
                      <c:pt idx="85" formatCode="General">
                        <c:v>-192.55666666666667</c:v>
                      </c:pt>
                      <c:pt idx="86" formatCode="General">
                        <c:v>-192.99</c:v>
                      </c:pt>
                      <c:pt idx="87" formatCode="General">
                        <c:v>-193.41676470588234</c:v>
                      </c:pt>
                      <c:pt idx="88" formatCode="General">
                        <c:v>-193.76470588235293</c:v>
                      </c:pt>
                      <c:pt idx="89" formatCode="General">
                        <c:v>-194.11264705882354</c:v>
                      </c:pt>
                      <c:pt idx="90" formatCode="General">
                        <c:v>-194.44</c:v>
                      </c:pt>
                      <c:pt idx="91" formatCode="General">
                        <c:v>-194.74333333333334</c:v>
                      </c:pt>
                      <c:pt idx="92" formatCode="General">
                        <c:v>-195.04666666666665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EDA-4C12-8154-2CB8D6548BBE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-30.414594594594593</c:v>
                      </c:pt>
                      <c:pt idx="1">
                        <c:v>-29.641621621621621</c:v>
                      </c:pt>
                      <c:pt idx="2" formatCode="General">
                        <c:v>-28.868648648648648</c:v>
                      </c:pt>
                      <c:pt idx="3" formatCode="General">
                        <c:v>-27.424790419161674</c:v>
                      </c:pt>
                      <c:pt idx="4" formatCode="General">
                        <c:v>-25.821197604790417</c:v>
                      </c:pt>
                      <c:pt idx="5" formatCode="General">
                        <c:v>-24.174910179640719</c:v>
                      </c:pt>
                      <c:pt idx="6" formatCode="General">
                        <c:v>-22.392275449101795</c:v>
                      </c:pt>
                      <c:pt idx="7" formatCode="General">
                        <c:v>-20.609640718562876</c:v>
                      </c:pt>
                      <c:pt idx="8" formatCode="General">
                        <c:v>-18.983814371257484</c:v>
                      </c:pt>
                      <c:pt idx="9" formatCode="General">
                        <c:v>-17.435491017964072</c:v>
                      </c:pt>
                      <c:pt idx="10" formatCode="General">
                        <c:v>-15.906473053892215</c:v>
                      </c:pt>
                      <c:pt idx="11" formatCode="General">
                        <c:v>-14.551203592814373</c:v>
                      </c:pt>
                      <c:pt idx="12" formatCode="General">
                        <c:v>-13.195934131736529</c:v>
                      </c:pt>
                      <c:pt idx="13" formatCode="General">
                        <c:v>-11.922059880239523</c:v>
                      </c:pt>
                      <c:pt idx="14" formatCode="General">
                        <c:v>-10.720143712574851</c:v>
                      </c:pt>
                      <c:pt idx="15" formatCode="General">
                        <c:v>-9.5182275449101788</c:v>
                      </c:pt>
                      <c:pt idx="16" formatCode="General">
                        <c:v>-9.0253033033033017</c:v>
                      </c:pt>
                      <c:pt idx="17" formatCode="General">
                        <c:v>-8.5607387387387384</c:v>
                      </c:pt>
                      <c:pt idx="18" formatCode="General">
                        <c:v>-8.3075329341317374</c:v>
                      </c:pt>
                      <c:pt idx="19" formatCode="General">
                        <c:v>-8.3713652694610783</c:v>
                      </c:pt>
                      <c:pt idx="20" formatCode="General">
                        <c:v>-8.4351976047904191</c:v>
                      </c:pt>
                      <c:pt idx="21" formatCode="General">
                        <c:v>-8.4993532934131739</c:v>
                      </c:pt>
                      <c:pt idx="22" formatCode="General">
                        <c:v>-8.5635748502994016</c:v>
                      </c:pt>
                      <c:pt idx="23" formatCode="General">
                        <c:v>-8.6277964071856292</c:v>
                      </c:pt>
                      <c:pt idx="24" formatCode="General">
                        <c:v>-8.6920179640718569</c:v>
                      </c:pt>
                      <c:pt idx="25" formatCode="General">
                        <c:v>-8.7562395209580828</c:v>
                      </c:pt>
                      <c:pt idx="26" formatCode="General">
                        <c:v>-8.8204610778443104</c:v>
                      </c:pt>
                      <c:pt idx="27" formatCode="General">
                        <c:v>-8.8846826347305381</c:v>
                      </c:pt>
                      <c:pt idx="28" formatCode="General">
                        <c:v>-8.9489041916167658</c:v>
                      </c:pt>
                      <c:pt idx="29" formatCode="General">
                        <c:v>-9.0131257485029934</c:v>
                      </c:pt>
                      <c:pt idx="30" formatCode="General">
                        <c:v>-9.0773473053892211</c:v>
                      </c:pt>
                      <c:pt idx="31" formatCode="General">
                        <c:v>-9.140516853932585</c:v>
                      </c:pt>
                      <c:pt idx="32" formatCode="General">
                        <c:v>-9.202838951310861</c:v>
                      </c:pt>
                      <c:pt idx="33" formatCode="General">
                        <c:v>-9.2651610486891389</c:v>
                      </c:pt>
                      <c:pt idx="34" formatCode="General">
                        <c:v>-9.3274831460674168</c:v>
                      </c:pt>
                      <c:pt idx="35" formatCode="General">
                        <c:v>-9.3898052434456929</c:v>
                      </c:pt>
                      <c:pt idx="36" formatCode="General">
                        <c:v>-9.4521273408239708</c:v>
                      </c:pt>
                      <c:pt idx="37" formatCode="General">
                        <c:v>-9.5144494382022469</c:v>
                      </c:pt>
                      <c:pt idx="38" formatCode="General">
                        <c:v>-9.5767715355805247</c:v>
                      </c:pt>
                      <c:pt idx="39" formatCode="General">
                        <c:v>-9.6390936329588026</c:v>
                      </c:pt>
                      <c:pt idx="40" formatCode="General">
                        <c:v>-9.7014157303370787</c:v>
                      </c:pt>
                      <c:pt idx="41" formatCode="General">
                        <c:v>-9.7627400749063682</c:v>
                      </c:pt>
                      <c:pt idx="42" formatCode="General">
                        <c:v>-9.8215565543071168</c:v>
                      </c:pt>
                      <c:pt idx="43" formatCode="General">
                        <c:v>-9.8803730337078655</c:v>
                      </c:pt>
                      <c:pt idx="44" formatCode="General">
                        <c:v>-9.9391895131086141</c:v>
                      </c:pt>
                      <c:pt idx="45" formatCode="General">
                        <c:v>-9.9980059925093627</c:v>
                      </c:pt>
                      <c:pt idx="46" formatCode="General">
                        <c:v>-10.056822471910113</c:v>
                      </c:pt>
                      <c:pt idx="47" formatCode="General">
                        <c:v>-10.115638951310862</c:v>
                      </c:pt>
                      <c:pt idx="48" formatCode="General">
                        <c:v>-10.17445543071161</c:v>
                      </c:pt>
                      <c:pt idx="49" formatCode="General">
                        <c:v>-10.233271910112359</c:v>
                      </c:pt>
                      <c:pt idx="50" formatCode="General">
                        <c:v>-10.292088389513108</c:v>
                      </c:pt>
                      <c:pt idx="51" formatCode="General">
                        <c:v>-10.350862275449101</c:v>
                      </c:pt>
                      <c:pt idx="52" formatCode="General">
                        <c:v>-10.406910179640718</c:v>
                      </c:pt>
                      <c:pt idx="53" formatCode="General">
                        <c:v>-10.462958083832335</c:v>
                      </c:pt>
                      <c:pt idx="54" formatCode="General">
                        <c:v>-10.518366863905324</c:v>
                      </c:pt>
                      <c:pt idx="55" formatCode="General">
                        <c:v>-10.572982248520709</c:v>
                      </c:pt>
                      <c:pt idx="56" formatCode="General">
                        <c:v>-10.627597633136094</c:v>
                      </c:pt>
                      <c:pt idx="57" formatCode="General">
                        <c:v>-10.683333333333334</c:v>
                      </c:pt>
                      <c:pt idx="58" formatCode="General">
                        <c:v>-10.739272727272727</c:v>
                      </c:pt>
                      <c:pt idx="59" formatCode="General">
                        <c:v>-10.794727272727274</c:v>
                      </c:pt>
                      <c:pt idx="60" formatCode="General">
                        <c:v>-10.84909090909091</c:v>
                      </c:pt>
                      <c:pt idx="61" formatCode="General">
                        <c:v>-10.903454545454546</c:v>
                      </c:pt>
                      <c:pt idx="62" formatCode="General">
                        <c:v>-10.965104477611941</c:v>
                      </c:pt>
                      <c:pt idx="63" formatCode="General">
                        <c:v>-11.028940298507463</c:v>
                      </c:pt>
                      <c:pt idx="64" formatCode="General">
                        <c:v>-11.092776119402986</c:v>
                      </c:pt>
                      <c:pt idx="65" formatCode="General">
                        <c:v>-11.156611940298507</c:v>
                      </c:pt>
                      <c:pt idx="66" formatCode="General">
                        <c:v>-11.220447761194031</c:v>
                      </c:pt>
                      <c:pt idx="67" formatCode="General">
                        <c:v>-11.284283582089552</c:v>
                      </c:pt>
                      <c:pt idx="68" formatCode="General">
                        <c:v>-11.348119402985075</c:v>
                      </c:pt>
                      <c:pt idx="69" formatCode="General">
                        <c:v>-11.411955223880597</c:v>
                      </c:pt>
                      <c:pt idx="70" formatCode="General">
                        <c:v>-11.47579104477612</c:v>
                      </c:pt>
                      <c:pt idx="71" formatCode="General">
                        <c:v>-11.539626865671641</c:v>
                      </c:pt>
                      <c:pt idx="72" formatCode="General">
                        <c:v>-11.628225563909774</c:v>
                      </c:pt>
                      <c:pt idx="73" formatCode="General">
                        <c:v>-11.745714285714286</c:v>
                      </c:pt>
                      <c:pt idx="74" formatCode="General">
                        <c:v>-11.863203007518797</c:v>
                      </c:pt>
                      <c:pt idx="75" formatCode="General">
                        <c:v>-11.980691729323308</c:v>
                      </c:pt>
                      <c:pt idx="76" formatCode="General">
                        <c:v>-12.098180451127819</c:v>
                      </c:pt>
                      <c:pt idx="77" formatCode="General">
                        <c:v>-12.21566917293233</c:v>
                      </c:pt>
                      <c:pt idx="78" formatCode="General">
                        <c:v>-12.333157894736843</c:v>
                      </c:pt>
                      <c:pt idx="79" formatCode="General">
                        <c:v>-12.450646616541354</c:v>
                      </c:pt>
                      <c:pt idx="80" formatCode="General">
                        <c:v>-12.568135338345865</c:v>
                      </c:pt>
                      <c:pt idx="81" formatCode="General">
                        <c:v>-12.685624060150376</c:v>
                      </c:pt>
                      <c:pt idx="82" formatCode="General">
                        <c:v>-12.800176470588235</c:v>
                      </c:pt>
                      <c:pt idx="83" formatCode="General">
                        <c:v>-12.904941176470588</c:v>
                      </c:pt>
                      <c:pt idx="84" formatCode="General">
                        <c:v>-13.009705882352941</c:v>
                      </c:pt>
                      <c:pt idx="85" formatCode="General">
                        <c:v>-13.11448484848485</c:v>
                      </c:pt>
                      <c:pt idx="86" formatCode="General">
                        <c:v>-13.219272727272728</c:v>
                      </c:pt>
                      <c:pt idx="87" formatCode="General">
                        <c:v>-13.323588235294118</c:v>
                      </c:pt>
                      <c:pt idx="88" formatCode="General">
                        <c:v>-13.422235294117648</c:v>
                      </c:pt>
                      <c:pt idx="89" formatCode="General">
                        <c:v>-13.520882352941177</c:v>
                      </c:pt>
                      <c:pt idx="90" formatCode="General">
                        <c:v>-13.619090909090909</c:v>
                      </c:pt>
                      <c:pt idx="91" formatCode="General">
                        <c:v>-13.716787878787878</c:v>
                      </c:pt>
                      <c:pt idx="92" formatCode="General">
                        <c:v>-13.814484848484847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EDA-4C12-8154-2CB8D6548BBE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-15.207297297297297</c:v>
                      </c:pt>
                      <c:pt idx="1">
                        <c:v>-14.82081081081081</c:v>
                      </c:pt>
                      <c:pt idx="2" formatCode="General">
                        <c:v>-14.434324324324324</c:v>
                      </c:pt>
                      <c:pt idx="3" formatCode="General">
                        <c:v>-13.712395209580837</c:v>
                      </c:pt>
                      <c:pt idx="4" formatCode="General">
                        <c:v>-12.910598802395208</c:v>
                      </c:pt>
                      <c:pt idx="5" formatCode="General">
                        <c:v>-12.087455089820359</c:v>
                      </c:pt>
                      <c:pt idx="6" formatCode="General">
                        <c:v>-11.196137724550898</c:v>
                      </c:pt>
                      <c:pt idx="7" formatCode="General">
                        <c:v>-10.304820359281438</c:v>
                      </c:pt>
                      <c:pt idx="8" formatCode="General">
                        <c:v>-9.491907185628742</c:v>
                      </c:pt>
                      <c:pt idx="9" formatCode="General">
                        <c:v>-8.7177455089820359</c:v>
                      </c:pt>
                      <c:pt idx="10" formatCode="General">
                        <c:v>-7.9532365269461076</c:v>
                      </c:pt>
                      <c:pt idx="11" formatCode="General">
                        <c:v>-7.2756017964071864</c:v>
                      </c:pt>
                      <c:pt idx="12" formatCode="General">
                        <c:v>-6.5979670658682643</c:v>
                      </c:pt>
                      <c:pt idx="13" formatCode="General">
                        <c:v>-5.9610299401197615</c:v>
                      </c:pt>
                      <c:pt idx="14" formatCode="General">
                        <c:v>-5.3600718562874254</c:v>
                      </c:pt>
                      <c:pt idx="15" formatCode="General">
                        <c:v>-4.7591137724550894</c:v>
                      </c:pt>
                      <c:pt idx="16" formatCode="General">
                        <c:v>-4.5126516516516508</c:v>
                      </c:pt>
                      <c:pt idx="17" formatCode="General">
                        <c:v>-4.2803693693693692</c:v>
                      </c:pt>
                      <c:pt idx="18" formatCode="General">
                        <c:v>-4.1537664670658687</c:v>
                      </c:pt>
                      <c:pt idx="19" formatCode="General">
                        <c:v>-4.1856826347305391</c:v>
                      </c:pt>
                      <c:pt idx="20" formatCode="General">
                        <c:v>-4.2175988023952096</c:v>
                      </c:pt>
                      <c:pt idx="21" formatCode="General">
                        <c:v>-4.249676646706587</c:v>
                      </c:pt>
                      <c:pt idx="22" formatCode="General">
                        <c:v>-4.2817874251497008</c:v>
                      </c:pt>
                      <c:pt idx="23" formatCode="General">
                        <c:v>-4.3138982035928146</c:v>
                      </c:pt>
                      <c:pt idx="24" formatCode="General">
                        <c:v>-4.3460089820359284</c:v>
                      </c:pt>
                      <c:pt idx="25" formatCode="General">
                        <c:v>-4.3781197604790414</c:v>
                      </c:pt>
                      <c:pt idx="26" formatCode="General">
                        <c:v>-4.4102305389221552</c:v>
                      </c:pt>
                      <c:pt idx="27" formatCode="General">
                        <c:v>-4.442341317365269</c:v>
                      </c:pt>
                      <c:pt idx="28" formatCode="General">
                        <c:v>-4.4744520958083829</c:v>
                      </c:pt>
                      <c:pt idx="29" formatCode="General">
                        <c:v>-4.5065628742514967</c:v>
                      </c:pt>
                      <c:pt idx="30" formatCode="General">
                        <c:v>-4.5386736526946105</c:v>
                      </c:pt>
                      <c:pt idx="31" formatCode="General">
                        <c:v>-4.5702584269662925</c:v>
                      </c:pt>
                      <c:pt idx="32" formatCode="General">
                        <c:v>-4.6014194756554305</c:v>
                      </c:pt>
                      <c:pt idx="33" formatCode="General">
                        <c:v>-4.6325805243445695</c:v>
                      </c:pt>
                      <c:pt idx="34" formatCode="General">
                        <c:v>-4.6637415730337084</c:v>
                      </c:pt>
                      <c:pt idx="35" formatCode="General">
                        <c:v>-4.6949026217228464</c:v>
                      </c:pt>
                      <c:pt idx="36" formatCode="General">
                        <c:v>-4.7260636704119854</c:v>
                      </c:pt>
                      <c:pt idx="37" formatCode="General">
                        <c:v>-4.7572247191011234</c:v>
                      </c:pt>
                      <c:pt idx="38" formatCode="General">
                        <c:v>-4.7883857677902624</c:v>
                      </c:pt>
                      <c:pt idx="39" formatCode="General">
                        <c:v>-4.8195468164794013</c:v>
                      </c:pt>
                      <c:pt idx="40" formatCode="General">
                        <c:v>-4.8507078651685394</c:v>
                      </c:pt>
                      <c:pt idx="41" formatCode="General">
                        <c:v>-4.8813700374531841</c:v>
                      </c:pt>
                      <c:pt idx="42" formatCode="General">
                        <c:v>-4.9107782771535584</c:v>
                      </c:pt>
                      <c:pt idx="43" formatCode="General">
                        <c:v>-4.9401865168539327</c:v>
                      </c:pt>
                      <c:pt idx="44" formatCode="General">
                        <c:v>-4.969594756554307</c:v>
                      </c:pt>
                      <c:pt idx="45" formatCode="General">
                        <c:v>-4.9990029962546814</c:v>
                      </c:pt>
                      <c:pt idx="46" formatCode="General">
                        <c:v>-5.0284112359550566</c:v>
                      </c:pt>
                      <c:pt idx="47" formatCode="General">
                        <c:v>-5.0578194756554309</c:v>
                      </c:pt>
                      <c:pt idx="48" formatCode="General">
                        <c:v>-5.0872277153558052</c:v>
                      </c:pt>
                      <c:pt idx="49" formatCode="General">
                        <c:v>-5.1166359550561795</c:v>
                      </c:pt>
                      <c:pt idx="50" formatCode="General">
                        <c:v>-5.1460441947565538</c:v>
                      </c:pt>
                      <c:pt idx="51" formatCode="General">
                        <c:v>-5.1754311377245505</c:v>
                      </c:pt>
                      <c:pt idx="52" formatCode="General">
                        <c:v>-5.2034550898203591</c:v>
                      </c:pt>
                      <c:pt idx="53" formatCode="General">
                        <c:v>-5.2314790419161676</c:v>
                      </c:pt>
                      <c:pt idx="54" formatCode="General">
                        <c:v>-5.2591834319526622</c:v>
                      </c:pt>
                      <c:pt idx="55" formatCode="General">
                        <c:v>-5.2864911242603547</c:v>
                      </c:pt>
                      <c:pt idx="56" formatCode="General">
                        <c:v>-5.3137988165680472</c:v>
                      </c:pt>
                      <c:pt idx="57" formatCode="General">
                        <c:v>-5.3416666666666668</c:v>
                      </c:pt>
                      <c:pt idx="58" formatCode="General">
                        <c:v>-5.3696363636363635</c:v>
                      </c:pt>
                      <c:pt idx="59" formatCode="General">
                        <c:v>-5.3973636363636368</c:v>
                      </c:pt>
                      <c:pt idx="60" formatCode="General">
                        <c:v>-5.4245454545454548</c:v>
                      </c:pt>
                      <c:pt idx="61" formatCode="General">
                        <c:v>-5.4517272727272728</c:v>
                      </c:pt>
                      <c:pt idx="62" formatCode="General">
                        <c:v>-5.4825522388059706</c:v>
                      </c:pt>
                      <c:pt idx="63" formatCode="General">
                        <c:v>-5.5144701492537314</c:v>
                      </c:pt>
                      <c:pt idx="64" formatCode="General">
                        <c:v>-5.546388059701493</c:v>
                      </c:pt>
                      <c:pt idx="65" formatCode="General">
                        <c:v>-5.5783059701492537</c:v>
                      </c:pt>
                      <c:pt idx="66" formatCode="General">
                        <c:v>-5.6102238805970153</c:v>
                      </c:pt>
                      <c:pt idx="67" formatCode="General">
                        <c:v>-5.642141791044776</c:v>
                      </c:pt>
                      <c:pt idx="68" formatCode="General">
                        <c:v>-5.6740597014925376</c:v>
                      </c:pt>
                      <c:pt idx="69" formatCode="General">
                        <c:v>-5.7059776119402983</c:v>
                      </c:pt>
                      <c:pt idx="70" formatCode="General">
                        <c:v>-5.7378955223880599</c:v>
                      </c:pt>
                      <c:pt idx="71" formatCode="General">
                        <c:v>-5.7698134328358206</c:v>
                      </c:pt>
                      <c:pt idx="72" formatCode="General">
                        <c:v>-5.8141127819548872</c:v>
                      </c:pt>
                      <c:pt idx="73" formatCode="General">
                        <c:v>-5.8728571428571428</c:v>
                      </c:pt>
                      <c:pt idx="74" formatCode="General">
                        <c:v>-5.9316015037593983</c:v>
                      </c:pt>
                      <c:pt idx="75" formatCode="General">
                        <c:v>-5.9903458646616539</c:v>
                      </c:pt>
                      <c:pt idx="76" formatCode="General">
                        <c:v>-6.0490902255639094</c:v>
                      </c:pt>
                      <c:pt idx="77" formatCode="General">
                        <c:v>-6.107834586466165</c:v>
                      </c:pt>
                      <c:pt idx="78" formatCode="General">
                        <c:v>-6.1665789473684214</c:v>
                      </c:pt>
                      <c:pt idx="79" formatCode="General">
                        <c:v>-6.2253233082706769</c:v>
                      </c:pt>
                      <c:pt idx="80" formatCode="General">
                        <c:v>-6.2840676691729325</c:v>
                      </c:pt>
                      <c:pt idx="81" formatCode="General">
                        <c:v>-6.342812030075188</c:v>
                      </c:pt>
                      <c:pt idx="82" formatCode="General">
                        <c:v>-6.4000882352941177</c:v>
                      </c:pt>
                      <c:pt idx="83" formatCode="General">
                        <c:v>-6.4524705882352942</c:v>
                      </c:pt>
                      <c:pt idx="84" formatCode="General">
                        <c:v>-6.5048529411764706</c:v>
                      </c:pt>
                      <c:pt idx="85" formatCode="General">
                        <c:v>-6.5572424242424248</c:v>
                      </c:pt>
                      <c:pt idx="86" formatCode="General">
                        <c:v>-6.6096363636363638</c:v>
                      </c:pt>
                      <c:pt idx="87" formatCode="General">
                        <c:v>-6.6617941176470588</c:v>
                      </c:pt>
                      <c:pt idx="88" formatCode="General">
                        <c:v>-6.7111176470588241</c:v>
                      </c:pt>
                      <c:pt idx="89" formatCode="General">
                        <c:v>-6.7604411764705885</c:v>
                      </c:pt>
                      <c:pt idx="90" formatCode="General">
                        <c:v>-6.8095454545454546</c:v>
                      </c:pt>
                      <c:pt idx="91" formatCode="General">
                        <c:v>-6.858393939393939</c:v>
                      </c:pt>
                      <c:pt idx="92" formatCode="General">
                        <c:v>-6.9072424242424235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EDA-4C12-8154-2CB8D6548BB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-19.021441441441443</c:v>
                      </c:pt>
                      <c:pt idx="1">
                        <c:v>-19.025345345345347</c:v>
                      </c:pt>
                      <c:pt idx="2" formatCode="General">
                        <c:v>-19.029249249249251</c:v>
                      </c:pt>
                      <c:pt idx="3" formatCode="General">
                        <c:v>-19.039431137724552</c:v>
                      </c:pt>
                      <c:pt idx="4" formatCode="General">
                        <c:v>-19.051107784431139</c:v>
                      </c:pt>
                      <c:pt idx="5" formatCode="General">
                        <c:v>-19.064640718562874</c:v>
                      </c:pt>
                      <c:pt idx="6" formatCode="General">
                        <c:v>-19.084101796407186</c:v>
                      </c:pt>
                      <c:pt idx="7" formatCode="General">
                        <c:v>-19.103562874251498</c:v>
                      </c:pt>
                      <c:pt idx="8" formatCode="General">
                        <c:v>-19.125628742514969</c:v>
                      </c:pt>
                      <c:pt idx="9" formatCode="General">
                        <c:v>-19.148982035928146</c:v>
                      </c:pt>
                      <c:pt idx="10" formatCode="General">
                        <c:v>-19.172335329341319</c:v>
                      </c:pt>
                      <c:pt idx="11" formatCode="General">
                        <c:v>-19.195688622754492</c:v>
                      </c:pt>
                      <c:pt idx="12" formatCode="General">
                        <c:v>-19.219041916167665</c:v>
                      </c:pt>
                      <c:pt idx="13" formatCode="General">
                        <c:v>-19.244461077844313</c:v>
                      </c:pt>
                      <c:pt idx="14" formatCode="General">
                        <c:v>-19.271706586826348</c:v>
                      </c:pt>
                      <c:pt idx="15" formatCode="General">
                        <c:v>-19.298952095808385</c:v>
                      </c:pt>
                      <c:pt idx="16" formatCode="General">
                        <c:v>-19.213663663663663</c:v>
                      </c:pt>
                      <c:pt idx="17" formatCode="General">
                        <c:v>-19.123873873873872</c:v>
                      </c:pt>
                      <c:pt idx="18" formatCode="General">
                        <c:v>-19.063772455089822</c:v>
                      </c:pt>
                      <c:pt idx="19" formatCode="General">
                        <c:v>-19.048203592814371</c:v>
                      </c:pt>
                      <c:pt idx="20" formatCode="General">
                        <c:v>-19.032634730538923</c:v>
                      </c:pt>
                      <c:pt idx="21" formatCode="General">
                        <c:v>-19.052634730538923</c:v>
                      </c:pt>
                      <c:pt idx="22" formatCode="General">
                        <c:v>-19.079880239520957</c:v>
                      </c:pt>
                      <c:pt idx="23" formatCode="General">
                        <c:v>-19.107125748502995</c:v>
                      </c:pt>
                      <c:pt idx="24" formatCode="General">
                        <c:v>-19.134371257485029</c:v>
                      </c:pt>
                      <c:pt idx="25" formatCode="General">
                        <c:v>-19.161616766467066</c:v>
                      </c:pt>
                      <c:pt idx="26" formatCode="General">
                        <c:v>-19.1888622754491</c:v>
                      </c:pt>
                      <c:pt idx="27" formatCode="General">
                        <c:v>-19.216107784431138</c:v>
                      </c:pt>
                      <c:pt idx="28" formatCode="General">
                        <c:v>-19.243353293413172</c:v>
                      </c:pt>
                      <c:pt idx="29" formatCode="General">
                        <c:v>-19.27059880239521</c:v>
                      </c:pt>
                      <c:pt idx="30" formatCode="General">
                        <c:v>-19.297844311377244</c:v>
                      </c:pt>
                      <c:pt idx="31" formatCode="General">
                        <c:v>-19.324022471910112</c:v>
                      </c:pt>
                      <c:pt idx="32" formatCode="General">
                        <c:v>-19.349340823970035</c:v>
                      </c:pt>
                      <c:pt idx="33" formatCode="General">
                        <c:v>-19.374659176029962</c:v>
                      </c:pt>
                      <c:pt idx="34" formatCode="General">
                        <c:v>-19.399977528089888</c:v>
                      </c:pt>
                      <c:pt idx="35" formatCode="General">
                        <c:v>-19.425295880149811</c:v>
                      </c:pt>
                      <c:pt idx="36" formatCode="General">
                        <c:v>-19.450614232209738</c:v>
                      </c:pt>
                      <c:pt idx="37" formatCode="General">
                        <c:v>-19.475932584269664</c:v>
                      </c:pt>
                      <c:pt idx="38" formatCode="General">
                        <c:v>-19.501250936329587</c:v>
                      </c:pt>
                      <c:pt idx="39" formatCode="General">
                        <c:v>-19.526569288389513</c:v>
                      </c:pt>
                      <c:pt idx="40" formatCode="General">
                        <c:v>-19.55188764044944</c:v>
                      </c:pt>
                      <c:pt idx="41" formatCode="General">
                        <c:v>-19.576928838951311</c:v>
                      </c:pt>
                      <c:pt idx="42" formatCode="General">
                        <c:v>-19.601273408239702</c:v>
                      </c:pt>
                      <c:pt idx="43" formatCode="General">
                        <c:v>-19.625617977528091</c:v>
                      </c:pt>
                      <c:pt idx="44" formatCode="General">
                        <c:v>-19.649962546816479</c:v>
                      </c:pt>
                      <c:pt idx="45" formatCode="General">
                        <c:v>-19.67430711610487</c:v>
                      </c:pt>
                      <c:pt idx="46" formatCode="General">
                        <c:v>-19.698651685393259</c:v>
                      </c:pt>
                      <c:pt idx="47" formatCode="General">
                        <c:v>-19.722996254681647</c:v>
                      </c:pt>
                      <c:pt idx="48" formatCode="General">
                        <c:v>-19.747340823970038</c:v>
                      </c:pt>
                      <c:pt idx="49" formatCode="General">
                        <c:v>-19.771685393258426</c:v>
                      </c:pt>
                      <c:pt idx="50" formatCode="General">
                        <c:v>-19.796029962546818</c:v>
                      </c:pt>
                      <c:pt idx="51" formatCode="General">
                        <c:v>-19.820359281437128</c:v>
                      </c:pt>
                      <c:pt idx="52" formatCode="General">
                        <c:v>-19.843712574850301</c:v>
                      </c:pt>
                      <c:pt idx="53" formatCode="General">
                        <c:v>-19.867065868263474</c:v>
                      </c:pt>
                      <c:pt idx="54" formatCode="General">
                        <c:v>-19.890295857988164</c:v>
                      </c:pt>
                      <c:pt idx="55" formatCode="General">
                        <c:v>-19.913372781065089</c:v>
                      </c:pt>
                      <c:pt idx="56" formatCode="General">
                        <c:v>-19.936449704142014</c:v>
                      </c:pt>
                      <c:pt idx="57" formatCode="General">
                        <c:v>-19.96</c:v>
                      </c:pt>
                      <c:pt idx="58" formatCode="General">
                        <c:v>-19.983636363636364</c:v>
                      </c:pt>
                      <c:pt idx="59" formatCode="General">
                        <c:v>-20.006060606060608</c:v>
                      </c:pt>
                      <c:pt idx="60" formatCode="General">
                        <c:v>-20.025757575757577</c:v>
                      </c:pt>
                      <c:pt idx="61" formatCode="General">
                        <c:v>-20.045454545454547</c:v>
                      </c:pt>
                      <c:pt idx="62" formatCode="General">
                        <c:v>-20.065671641791045</c:v>
                      </c:pt>
                      <c:pt idx="63" formatCode="General">
                        <c:v>-20.086044776119405</c:v>
                      </c:pt>
                      <c:pt idx="64" formatCode="General">
                        <c:v>-20.106417910447764</c:v>
                      </c:pt>
                      <c:pt idx="65" formatCode="General">
                        <c:v>-20.12679104477612</c:v>
                      </c:pt>
                      <c:pt idx="66" formatCode="General">
                        <c:v>-20.147164179104479</c:v>
                      </c:pt>
                      <c:pt idx="67" formatCode="General">
                        <c:v>-20.167537313432838</c:v>
                      </c:pt>
                      <c:pt idx="68" formatCode="General">
                        <c:v>-20.187910447761194</c:v>
                      </c:pt>
                      <c:pt idx="69" formatCode="General">
                        <c:v>-20.208283582089553</c:v>
                      </c:pt>
                      <c:pt idx="70" formatCode="General">
                        <c:v>-20.228656716417913</c:v>
                      </c:pt>
                      <c:pt idx="71" formatCode="General">
                        <c:v>-20.249029850746272</c:v>
                      </c:pt>
                      <c:pt idx="72" formatCode="General">
                        <c:v>-20.269022556390979</c:v>
                      </c:pt>
                      <c:pt idx="73" formatCode="General">
                        <c:v>-20.28857142857143</c:v>
                      </c:pt>
                      <c:pt idx="74" formatCode="General">
                        <c:v>-20.308120300751881</c:v>
                      </c:pt>
                      <c:pt idx="75" formatCode="General">
                        <c:v>-20.327669172932332</c:v>
                      </c:pt>
                      <c:pt idx="76" formatCode="General">
                        <c:v>-20.347218045112783</c:v>
                      </c:pt>
                      <c:pt idx="77" formatCode="General">
                        <c:v>-20.366766917293234</c:v>
                      </c:pt>
                      <c:pt idx="78" formatCode="General">
                        <c:v>-20.386315789473684</c:v>
                      </c:pt>
                      <c:pt idx="79" formatCode="General">
                        <c:v>-20.405864661654135</c:v>
                      </c:pt>
                      <c:pt idx="80" formatCode="General">
                        <c:v>-20.425413533834586</c:v>
                      </c:pt>
                      <c:pt idx="81" formatCode="General">
                        <c:v>-20.444962406015037</c:v>
                      </c:pt>
                      <c:pt idx="82" formatCode="General">
                        <c:v>-20.464411764705883</c:v>
                      </c:pt>
                      <c:pt idx="83" formatCode="General">
                        <c:v>-20.483529411764707</c:v>
                      </c:pt>
                      <c:pt idx="84" formatCode="General">
                        <c:v>-20.502647058823531</c:v>
                      </c:pt>
                      <c:pt idx="85" formatCode="General">
                        <c:v>-20.522121212121213</c:v>
                      </c:pt>
                      <c:pt idx="86" formatCode="General">
                        <c:v>-20.541818181818183</c:v>
                      </c:pt>
                      <c:pt idx="87" formatCode="General">
                        <c:v>-20.561176470588233</c:v>
                      </c:pt>
                      <c:pt idx="88" formatCode="General">
                        <c:v>-20.576470588235296</c:v>
                      </c:pt>
                      <c:pt idx="89" formatCode="General">
                        <c:v>-20.591764705882355</c:v>
                      </c:pt>
                      <c:pt idx="90" formatCode="General">
                        <c:v>-20.609090909090909</c:v>
                      </c:pt>
                      <c:pt idx="91" formatCode="General">
                        <c:v>-20.628787878787879</c:v>
                      </c:pt>
                      <c:pt idx="92" formatCode="General">
                        <c:v>-20.648484848484848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EDA-4C12-8154-2CB8D6548BB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-15.207297297297297</c:v>
                      </c:pt>
                      <c:pt idx="1">
                        <c:v>-14.82081081081081</c:v>
                      </c:pt>
                      <c:pt idx="2" formatCode="General">
                        <c:v>-14.434324324324324</c:v>
                      </c:pt>
                      <c:pt idx="3" formatCode="General">
                        <c:v>-13.712395209580837</c:v>
                      </c:pt>
                      <c:pt idx="4" formatCode="General">
                        <c:v>-12.910598802395208</c:v>
                      </c:pt>
                      <c:pt idx="5" formatCode="General">
                        <c:v>-12.087455089820359</c:v>
                      </c:pt>
                      <c:pt idx="6" formatCode="General">
                        <c:v>-11.196137724550898</c:v>
                      </c:pt>
                      <c:pt idx="7" formatCode="General">
                        <c:v>-10.304820359281438</c:v>
                      </c:pt>
                      <c:pt idx="8" formatCode="General">
                        <c:v>-9.491907185628742</c:v>
                      </c:pt>
                      <c:pt idx="9" formatCode="General">
                        <c:v>-8.7177455089820359</c:v>
                      </c:pt>
                      <c:pt idx="10" formatCode="General">
                        <c:v>-7.9532365269461076</c:v>
                      </c:pt>
                      <c:pt idx="11" formatCode="General">
                        <c:v>-7.2756017964071864</c:v>
                      </c:pt>
                      <c:pt idx="12" formatCode="General">
                        <c:v>-6.5979670658682643</c:v>
                      </c:pt>
                      <c:pt idx="13" formatCode="General">
                        <c:v>-5.9610299401197615</c:v>
                      </c:pt>
                      <c:pt idx="14" formatCode="General">
                        <c:v>-5.3600718562874254</c:v>
                      </c:pt>
                      <c:pt idx="15" formatCode="General">
                        <c:v>-4.7591137724550894</c:v>
                      </c:pt>
                      <c:pt idx="16" formatCode="General">
                        <c:v>-4.5126516516516508</c:v>
                      </c:pt>
                      <c:pt idx="17" formatCode="General">
                        <c:v>-4.2803693693693692</c:v>
                      </c:pt>
                      <c:pt idx="18" formatCode="General">
                        <c:v>-4.1537664670658687</c:v>
                      </c:pt>
                      <c:pt idx="19" formatCode="General">
                        <c:v>-4.1856826347305391</c:v>
                      </c:pt>
                      <c:pt idx="20" formatCode="General">
                        <c:v>-4.2175988023952096</c:v>
                      </c:pt>
                      <c:pt idx="21" formatCode="General">
                        <c:v>-4.249676646706587</c:v>
                      </c:pt>
                      <c:pt idx="22" formatCode="General">
                        <c:v>-4.2817874251497008</c:v>
                      </c:pt>
                      <c:pt idx="23" formatCode="General">
                        <c:v>-4.3138982035928146</c:v>
                      </c:pt>
                      <c:pt idx="24" formatCode="General">
                        <c:v>-4.3460089820359284</c:v>
                      </c:pt>
                      <c:pt idx="25" formatCode="General">
                        <c:v>-4.3781197604790414</c:v>
                      </c:pt>
                      <c:pt idx="26" formatCode="General">
                        <c:v>-4.4102305389221552</c:v>
                      </c:pt>
                      <c:pt idx="27" formatCode="General">
                        <c:v>-4.442341317365269</c:v>
                      </c:pt>
                      <c:pt idx="28" formatCode="General">
                        <c:v>-4.4744520958083829</c:v>
                      </c:pt>
                      <c:pt idx="29" formatCode="General">
                        <c:v>-4.5065628742514967</c:v>
                      </c:pt>
                      <c:pt idx="30" formatCode="General">
                        <c:v>-4.5386736526946105</c:v>
                      </c:pt>
                      <c:pt idx="31" formatCode="General">
                        <c:v>-4.5702584269662925</c:v>
                      </c:pt>
                      <c:pt idx="32" formatCode="General">
                        <c:v>-4.6014194756554305</c:v>
                      </c:pt>
                      <c:pt idx="33" formatCode="General">
                        <c:v>-4.6325805243445695</c:v>
                      </c:pt>
                      <c:pt idx="34" formatCode="General">
                        <c:v>-4.6637415730337084</c:v>
                      </c:pt>
                      <c:pt idx="35" formatCode="General">
                        <c:v>-4.6949026217228464</c:v>
                      </c:pt>
                      <c:pt idx="36" formatCode="General">
                        <c:v>-4.7260636704119854</c:v>
                      </c:pt>
                      <c:pt idx="37" formatCode="General">
                        <c:v>-4.7572247191011234</c:v>
                      </c:pt>
                      <c:pt idx="38" formatCode="General">
                        <c:v>-4.7883857677902624</c:v>
                      </c:pt>
                      <c:pt idx="39" formatCode="General">
                        <c:v>-4.8195468164794013</c:v>
                      </c:pt>
                      <c:pt idx="40" formatCode="General">
                        <c:v>-4.8507078651685394</c:v>
                      </c:pt>
                      <c:pt idx="41" formatCode="General">
                        <c:v>-4.8813700374531841</c:v>
                      </c:pt>
                      <c:pt idx="42" formatCode="General">
                        <c:v>-4.9107782771535584</c:v>
                      </c:pt>
                      <c:pt idx="43" formatCode="General">
                        <c:v>-4.9401865168539327</c:v>
                      </c:pt>
                      <c:pt idx="44" formatCode="General">
                        <c:v>-4.969594756554307</c:v>
                      </c:pt>
                      <c:pt idx="45" formatCode="General">
                        <c:v>-4.9990029962546814</c:v>
                      </c:pt>
                      <c:pt idx="46" formatCode="General">
                        <c:v>-5.0284112359550566</c:v>
                      </c:pt>
                      <c:pt idx="47" formatCode="General">
                        <c:v>-5.0578194756554309</c:v>
                      </c:pt>
                      <c:pt idx="48" formatCode="General">
                        <c:v>-5.0872277153558052</c:v>
                      </c:pt>
                      <c:pt idx="49" formatCode="General">
                        <c:v>-5.1166359550561795</c:v>
                      </c:pt>
                      <c:pt idx="50" formatCode="General">
                        <c:v>-5.1460441947565538</c:v>
                      </c:pt>
                      <c:pt idx="51" formatCode="General">
                        <c:v>-5.1754311377245505</c:v>
                      </c:pt>
                      <c:pt idx="52" formatCode="General">
                        <c:v>-5.2034550898203591</c:v>
                      </c:pt>
                      <c:pt idx="53" formatCode="General">
                        <c:v>-5.2314790419161676</c:v>
                      </c:pt>
                      <c:pt idx="54" formatCode="General">
                        <c:v>-5.2591834319526622</c:v>
                      </c:pt>
                      <c:pt idx="55" formatCode="General">
                        <c:v>-5.2864911242603547</c:v>
                      </c:pt>
                      <c:pt idx="56" formatCode="General">
                        <c:v>-5.3137988165680472</c:v>
                      </c:pt>
                      <c:pt idx="57" formatCode="General">
                        <c:v>-5.3416666666666668</c:v>
                      </c:pt>
                      <c:pt idx="58" formatCode="General">
                        <c:v>-5.3696363636363635</c:v>
                      </c:pt>
                      <c:pt idx="59" formatCode="General">
                        <c:v>-5.3973636363636368</c:v>
                      </c:pt>
                      <c:pt idx="60" formatCode="General">
                        <c:v>-5.4245454545454548</c:v>
                      </c:pt>
                      <c:pt idx="61" formatCode="General">
                        <c:v>-5.4517272727272728</c:v>
                      </c:pt>
                      <c:pt idx="62" formatCode="General">
                        <c:v>-5.4825522388059706</c:v>
                      </c:pt>
                      <c:pt idx="63" formatCode="General">
                        <c:v>-5.5144701492537314</c:v>
                      </c:pt>
                      <c:pt idx="64" formatCode="General">
                        <c:v>-5.546388059701493</c:v>
                      </c:pt>
                      <c:pt idx="65" formatCode="General">
                        <c:v>-5.5783059701492537</c:v>
                      </c:pt>
                      <c:pt idx="66" formatCode="General">
                        <c:v>-5.6102238805970153</c:v>
                      </c:pt>
                      <c:pt idx="67" formatCode="General">
                        <c:v>-5.642141791044776</c:v>
                      </c:pt>
                      <c:pt idx="68" formatCode="General">
                        <c:v>-5.6740597014925376</c:v>
                      </c:pt>
                      <c:pt idx="69" formatCode="General">
                        <c:v>-5.7059776119402983</c:v>
                      </c:pt>
                      <c:pt idx="70" formatCode="General">
                        <c:v>-5.7378955223880599</c:v>
                      </c:pt>
                      <c:pt idx="71" formatCode="General">
                        <c:v>-5.7698134328358206</c:v>
                      </c:pt>
                      <c:pt idx="72" formatCode="General">
                        <c:v>-5.8141127819548872</c:v>
                      </c:pt>
                      <c:pt idx="73" formatCode="General">
                        <c:v>-5.8728571428571428</c:v>
                      </c:pt>
                      <c:pt idx="74" formatCode="General">
                        <c:v>-5.9316015037593983</c:v>
                      </c:pt>
                      <c:pt idx="75" formatCode="General">
                        <c:v>-5.9903458646616539</c:v>
                      </c:pt>
                      <c:pt idx="76" formatCode="General">
                        <c:v>-6.0490902255639094</c:v>
                      </c:pt>
                      <c:pt idx="77" formatCode="General">
                        <c:v>-6.107834586466165</c:v>
                      </c:pt>
                      <c:pt idx="78" formatCode="General">
                        <c:v>-6.1665789473684214</c:v>
                      </c:pt>
                      <c:pt idx="79" formatCode="General">
                        <c:v>-6.2253233082706769</c:v>
                      </c:pt>
                      <c:pt idx="80" formatCode="General">
                        <c:v>-6.2840676691729325</c:v>
                      </c:pt>
                      <c:pt idx="81" formatCode="General">
                        <c:v>-6.342812030075188</c:v>
                      </c:pt>
                      <c:pt idx="82" formatCode="General">
                        <c:v>-6.4000882352941177</c:v>
                      </c:pt>
                      <c:pt idx="83" formatCode="General">
                        <c:v>-6.4524705882352942</c:v>
                      </c:pt>
                      <c:pt idx="84" formatCode="General">
                        <c:v>-6.5048529411764706</c:v>
                      </c:pt>
                      <c:pt idx="85" formatCode="General">
                        <c:v>-6.5572424242424248</c:v>
                      </c:pt>
                      <c:pt idx="86" formatCode="General">
                        <c:v>-6.6096363636363638</c:v>
                      </c:pt>
                      <c:pt idx="87" formatCode="General">
                        <c:v>-6.6617941176470588</c:v>
                      </c:pt>
                      <c:pt idx="88" formatCode="General">
                        <c:v>-6.7111176470588241</c:v>
                      </c:pt>
                      <c:pt idx="89" formatCode="General">
                        <c:v>-6.7604411764705885</c:v>
                      </c:pt>
                      <c:pt idx="90" formatCode="General">
                        <c:v>-6.8095454545454546</c:v>
                      </c:pt>
                      <c:pt idx="91" formatCode="General">
                        <c:v>-6.858393939393939</c:v>
                      </c:pt>
                      <c:pt idx="92" formatCode="General">
                        <c:v>-6.9072424242424235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EDA-4C12-8154-2CB8D6548BB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-19.021441441441443</c:v>
                      </c:pt>
                      <c:pt idx="1">
                        <c:v>-19.025345345345347</c:v>
                      </c:pt>
                      <c:pt idx="2" formatCode="General">
                        <c:v>-19.029249249249251</c:v>
                      </c:pt>
                      <c:pt idx="3" formatCode="General">
                        <c:v>-19.039431137724552</c:v>
                      </c:pt>
                      <c:pt idx="4" formatCode="General">
                        <c:v>-19.051107784431139</c:v>
                      </c:pt>
                      <c:pt idx="5" formatCode="General">
                        <c:v>-19.064640718562874</c:v>
                      </c:pt>
                      <c:pt idx="6" formatCode="General">
                        <c:v>-19.084101796407186</c:v>
                      </c:pt>
                      <c:pt idx="7" formatCode="General">
                        <c:v>-19.103562874251498</c:v>
                      </c:pt>
                      <c:pt idx="8" formatCode="General">
                        <c:v>-19.125628742514969</c:v>
                      </c:pt>
                      <c:pt idx="9" formatCode="General">
                        <c:v>-19.148982035928146</c:v>
                      </c:pt>
                      <c:pt idx="10" formatCode="General">
                        <c:v>-19.172335329341319</c:v>
                      </c:pt>
                      <c:pt idx="11" formatCode="General">
                        <c:v>-19.195688622754492</c:v>
                      </c:pt>
                      <c:pt idx="12" formatCode="General">
                        <c:v>-19.219041916167665</c:v>
                      </c:pt>
                      <c:pt idx="13" formatCode="General">
                        <c:v>-19.244461077844313</c:v>
                      </c:pt>
                      <c:pt idx="14" formatCode="General">
                        <c:v>-19.271706586826348</c:v>
                      </c:pt>
                      <c:pt idx="15" formatCode="General">
                        <c:v>-19.298952095808385</c:v>
                      </c:pt>
                      <c:pt idx="16" formatCode="General">
                        <c:v>-19.213663663663663</c:v>
                      </c:pt>
                      <c:pt idx="17" formatCode="General">
                        <c:v>-19.123873873873872</c:v>
                      </c:pt>
                      <c:pt idx="18" formatCode="General">
                        <c:v>-19.063772455089822</c:v>
                      </c:pt>
                      <c:pt idx="19" formatCode="General">
                        <c:v>-19.048203592814371</c:v>
                      </c:pt>
                      <c:pt idx="20" formatCode="General">
                        <c:v>-19.032634730538923</c:v>
                      </c:pt>
                      <c:pt idx="21" formatCode="General">
                        <c:v>-19.052634730538923</c:v>
                      </c:pt>
                      <c:pt idx="22" formatCode="General">
                        <c:v>-19.079880239520957</c:v>
                      </c:pt>
                      <c:pt idx="23" formatCode="General">
                        <c:v>-19.107125748502995</c:v>
                      </c:pt>
                      <c:pt idx="24" formatCode="General">
                        <c:v>-19.134371257485029</c:v>
                      </c:pt>
                      <c:pt idx="25" formatCode="General">
                        <c:v>-19.161616766467066</c:v>
                      </c:pt>
                      <c:pt idx="26" formatCode="General">
                        <c:v>-19.1888622754491</c:v>
                      </c:pt>
                      <c:pt idx="27" formatCode="General">
                        <c:v>-19.216107784431138</c:v>
                      </c:pt>
                      <c:pt idx="28" formatCode="General">
                        <c:v>-19.243353293413172</c:v>
                      </c:pt>
                      <c:pt idx="29" formatCode="General">
                        <c:v>-19.27059880239521</c:v>
                      </c:pt>
                      <c:pt idx="30" formatCode="General">
                        <c:v>-19.297844311377244</c:v>
                      </c:pt>
                      <c:pt idx="31" formatCode="General">
                        <c:v>-19.324022471910112</c:v>
                      </c:pt>
                      <c:pt idx="32" formatCode="General">
                        <c:v>-19.349340823970035</c:v>
                      </c:pt>
                      <c:pt idx="33" formatCode="General">
                        <c:v>-19.374659176029962</c:v>
                      </c:pt>
                      <c:pt idx="34" formatCode="General">
                        <c:v>-19.399977528089888</c:v>
                      </c:pt>
                      <c:pt idx="35" formatCode="General">
                        <c:v>-19.425295880149811</c:v>
                      </c:pt>
                      <c:pt idx="36" formatCode="General">
                        <c:v>-19.450614232209738</c:v>
                      </c:pt>
                      <c:pt idx="37" formatCode="General">
                        <c:v>-19.475932584269664</c:v>
                      </c:pt>
                      <c:pt idx="38" formatCode="General">
                        <c:v>-19.501250936329587</c:v>
                      </c:pt>
                      <c:pt idx="39" formatCode="General">
                        <c:v>-19.526569288389513</c:v>
                      </c:pt>
                      <c:pt idx="40" formatCode="General">
                        <c:v>-19.55188764044944</c:v>
                      </c:pt>
                      <c:pt idx="41" formatCode="General">
                        <c:v>-19.576928838951311</c:v>
                      </c:pt>
                      <c:pt idx="42" formatCode="General">
                        <c:v>-19.601273408239702</c:v>
                      </c:pt>
                      <c:pt idx="43" formatCode="General">
                        <c:v>-19.625617977528091</c:v>
                      </c:pt>
                      <c:pt idx="44" formatCode="General">
                        <c:v>-19.649962546816479</c:v>
                      </c:pt>
                      <c:pt idx="45" formatCode="General">
                        <c:v>-19.67430711610487</c:v>
                      </c:pt>
                      <c:pt idx="46" formatCode="General">
                        <c:v>-19.698651685393259</c:v>
                      </c:pt>
                      <c:pt idx="47" formatCode="General">
                        <c:v>-19.722996254681647</c:v>
                      </c:pt>
                      <c:pt idx="48" formatCode="General">
                        <c:v>-19.747340823970038</c:v>
                      </c:pt>
                      <c:pt idx="49" formatCode="General">
                        <c:v>-19.771685393258426</c:v>
                      </c:pt>
                      <c:pt idx="50" formatCode="General">
                        <c:v>-19.796029962546818</c:v>
                      </c:pt>
                      <c:pt idx="51" formatCode="General">
                        <c:v>-19.820359281437128</c:v>
                      </c:pt>
                      <c:pt idx="52" formatCode="General">
                        <c:v>-19.843712574850301</c:v>
                      </c:pt>
                      <c:pt idx="53" formatCode="General">
                        <c:v>-19.867065868263474</c:v>
                      </c:pt>
                      <c:pt idx="54" formatCode="General">
                        <c:v>-19.890295857988164</c:v>
                      </c:pt>
                      <c:pt idx="55" formatCode="General">
                        <c:v>-19.913372781065089</c:v>
                      </c:pt>
                      <c:pt idx="56" formatCode="General">
                        <c:v>-19.936449704142014</c:v>
                      </c:pt>
                      <c:pt idx="57" formatCode="General">
                        <c:v>-19.96</c:v>
                      </c:pt>
                      <c:pt idx="58" formatCode="General">
                        <c:v>-19.983636363636364</c:v>
                      </c:pt>
                      <c:pt idx="59" formatCode="General">
                        <c:v>-20.006060606060608</c:v>
                      </c:pt>
                      <c:pt idx="60" formatCode="General">
                        <c:v>-20.025757575757577</c:v>
                      </c:pt>
                      <c:pt idx="61" formatCode="General">
                        <c:v>-20.045454545454547</c:v>
                      </c:pt>
                      <c:pt idx="62" formatCode="General">
                        <c:v>-20.065671641791045</c:v>
                      </c:pt>
                      <c:pt idx="63" formatCode="General">
                        <c:v>-20.086044776119405</c:v>
                      </c:pt>
                      <c:pt idx="64" formatCode="General">
                        <c:v>-20.106417910447764</c:v>
                      </c:pt>
                      <c:pt idx="65" formatCode="General">
                        <c:v>-20.12679104477612</c:v>
                      </c:pt>
                      <c:pt idx="66" formatCode="General">
                        <c:v>-20.147164179104479</c:v>
                      </c:pt>
                      <c:pt idx="67" formatCode="General">
                        <c:v>-20.167537313432838</c:v>
                      </c:pt>
                      <c:pt idx="68" formatCode="General">
                        <c:v>-20.187910447761194</c:v>
                      </c:pt>
                      <c:pt idx="69" formatCode="General">
                        <c:v>-20.208283582089553</c:v>
                      </c:pt>
                      <c:pt idx="70" formatCode="General">
                        <c:v>-20.228656716417913</c:v>
                      </c:pt>
                      <c:pt idx="71" formatCode="General">
                        <c:v>-20.249029850746272</c:v>
                      </c:pt>
                      <c:pt idx="72" formatCode="General">
                        <c:v>-20.269022556390979</c:v>
                      </c:pt>
                      <c:pt idx="73" formatCode="General">
                        <c:v>-20.28857142857143</c:v>
                      </c:pt>
                      <c:pt idx="74" formatCode="General">
                        <c:v>-20.308120300751881</c:v>
                      </c:pt>
                      <c:pt idx="75" formatCode="General">
                        <c:v>-20.327669172932332</c:v>
                      </c:pt>
                      <c:pt idx="76" formatCode="General">
                        <c:v>-20.347218045112783</c:v>
                      </c:pt>
                      <c:pt idx="77" formatCode="General">
                        <c:v>-20.366766917293234</c:v>
                      </c:pt>
                      <c:pt idx="78" formatCode="General">
                        <c:v>-20.386315789473684</c:v>
                      </c:pt>
                      <c:pt idx="79" formatCode="General">
                        <c:v>-20.405864661654135</c:v>
                      </c:pt>
                      <c:pt idx="80" formatCode="General">
                        <c:v>-20.425413533834586</c:v>
                      </c:pt>
                      <c:pt idx="81" formatCode="General">
                        <c:v>-20.444962406015037</c:v>
                      </c:pt>
                      <c:pt idx="82" formatCode="General">
                        <c:v>-20.464411764705883</c:v>
                      </c:pt>
                      <c:pt idx="83" formatCode="General">
                        <c:v>-20.483529411764707</c:v>
                      </c:pt>
                      <c:pt idx="84" formatCode="General">
                        <c:v>-20.502647058823531</c:v>
                      </c:pt>
                      <c:pt idx="85" formatCode="General">
                        <c:v>-20.522121212121213</c:v>
                      </c:pt>
                      <c:pt idx="86" formatCode="General">
                        <c:v>-20.541818181818183</c:v>
                      </c:pt>
                      <c:pt idx="87" formatCode="General">
                        <c:v>-20.561176470588233</c:v>
                      </c:pt>
                      <c:pt idx="88" formatCode="General">
                        <c:v>-20.576470588235296</c:v>
                      </c:pt>
                      <c:pt idx="89" formatCode="General">
                        <c:v>-20.591764705882355</c:v>
                      </c:pt>
                      <c:pt idx="90" formatCode="General">
                        <c:v>-20.609090909090909</c:v>
                      </c:pt>
                      <c:pt idx="91" formatCode="General">
                        <c:v>-20.628787878787879</c:v>
                      </c:pt>
                      <c:pt idx="92" formatCode="General">
                        <c:v>-20.648484848484848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EDA-4C12-8154-2CB8D6548BB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-60.182792792792796</c:v>
                      </c:pt>
                      <c:pt idx="1">
                        <c:v>-57.996606606606605</c:v>
                      </c:pt>
                      <c:pt idx="2" formatCode="General">
                        <c:v>-55.810420420420421</c:v>
                      </c:pt>
                      <c:pt idx="3" formatCode="General">
                        <c:v>-53.356017964071853</c:v>
                      </c:pt>
                      <c:pt idx="4" formatCode="General">
                        <c:v>-50.837754491017961</c:v>
                      </c:pt>
                      <c:pt idx="5" formatCode="General">
                        <c:v>-48.33898203592814</c:v>
                      </c:pt>
                      <c:pt idx="6" formatCode="General">
                        <c:v>-45.902455089820357</c:v>
                      </c:pt>
                      <c:pt idx="7" formatCode="General">
                        <c:v>-43.465928143712574</c:v>
                      </c:pt>
                      <c:pt idx="8" formatCode="General">
                        <c:v>-41.258622754491014</c:v>
                      </c:pt>
                      <c:pt idx="9" formatCode="General">
                        <c:v>-39.164610778443112</c:v>
                      </c:pt>
                      <c:pt idx="10" formatCode="General">
                        <c:v>-37.097844311377244</c:v>
                      </c:pt>
                      <c:pt idx="11" formatCode="General">
                        <c:v>-35.276287425149704</c:v>
                      </c:pt>
                      <c:pt idx="12" formatCode="General">
                        <c:v>-33.454730538922156</c:v>
                      </c:pt>
                      <c:pt idx="13" formatCode="General">
                        <c:v>-31.748862275449106</c:v>
                      </c:pt>
                      <c:pt idx="14" formatCode="General">
                        <c:v>-30.145269461077845</c:v>
                      </c:pt>
                      <c:pt idx="15" formatCode="General">
                        <c:v>-28.541676646706588</c:v>
                      </c:pt>
                      <c:pt idx="16" formatCode="General">
                        <c:v>-27.327597597597595</c:v>
                      </c:pt>
                      <c:pt idx="17" formatCode="General">
                        <c:v>-26.129099099099097</c:v>
                      </c:pt>
                      <c:pt idx="18" formatCode="General">
                        <c:v>-25.61550898203593</c:v>
                      </c:pt>
                      <c:pt idx="19" formatCode="General">
                        <c:v>-26.129281437125748</c:v>
                      </c:pt>
                      <c:pt idx="20" formatCode="General">
                        <c:v>-26.643053892215569</c:v>
                      </c:pt>
                      <c:pt idx="21" formatCode="General">
                        <c:v>-27.13823353293413</c:v>
                      </c:pt>
                      <c:pt idx="22" formatCode="General">
                        <c:v>-27.629625748502992</c:v>
                      </c:pt>
                      <c:pt idx="23" formatCode="General">
                        <c:v>-28.121017964071857</c:v>
                      </c:pt>
                      <c:pt idx="24" formatCode="General">
                        <c:v>-28.612410179640719</c:v>
                      </c:pt>
                      <c:pt idx="25" formatCode="General">
                        <c:v>-29.103802395209581</c:v>
                      </c:pt>
                      <c:pt idx="26" formatCode="General">
                        <c:v>-29.595194610778446</c:v>
                      </c:pt>
                      <c:pt idx="27" formatCode="General">
                        <c:v>-30.086586826347308</c:v>
                      </c:pt>
                      <c:pt idx="28" formatCode="General">
                        <c:v>-30.577979041916169</c:v>
                      </c:pt>
                      <c:pt idx="29" formatCode="General">
                        <c:v>-31.069371257485031</c:v>
                      </c:pt>
                      <c:pt idx="30" formatCode="General">
                        <c:v>-31.560763473053896</c:v>
                      </c:pt>
                      <c:pt idx="31" formatCode="General">
                        <c:v>-32.022696629213485</c:v>
                      </c:pt>
                      <c:pt idx="32" formatCode="General">
                        <c:v>-32.460898876404499</c:v>
                      </c:pt>
                      <c:pt idx="33" formatCode="General">
                        <c:v>-32.899101123595507</c:v>
                      </c:pt>
                      <c:pt idx="34" formatCode="General">
                        <c:v>-33.337303370786522</c:v>
                      </c:pt>
                      <c:pt idx="35" formatCode="General">
                        <c:v>-33.775505617977529</c:v>
                      </c:pt>
                      <c:pt idx="36" formatCode="General">
                        <c:v>-34.213707865168544</c:v>
                      </c:pt>
                      <c:pt idx="37" formatCode="General">
                        <c:v>-34.651910112359552</c:v>
                      </c:pt>
                      <c:pt idx="38" formatCode="General">
                        <c:v>-35.090112359550567</c:v>
                      </c:pt>
                      <c:pt idx="39" formatCode="General">
                        <c:v>-35.528314606741574</c:v>
                      </c:pt>
                      <c:pt idx="40" formatCode="General">
                        <c:v>-35.966516853932589</c:v>
                      </c:pt>
                      <c:pt idx="41" formatCode="General">
                        <c:v>-36.38448689138577</c:v>
                      </c:pt>
                      <c:pt idx="42" formatCode="General">
                        <c:v>-36.751602996254682</c:v>
                      </c:pt>
                      <c:pt idx="43" formatCode="General">
                        <c:v>-37.118719101123595</c:v>
                      </c:pt>
                      <c:pt idx="44" formatCode="General">
                        <c:v>-37.485835205992508</c:v>
                      </c:pt>
                      <c:pt idx="45" formatCode="General">
                        <c:v>-37.852951310861421</c:v>
                      </c:pt>
                      <c:pt idx="46" formatCode="General">
                        <c:v>-38.220067415730334</c:v>
                      </c:pt>
                      <c:pt idx="47" formatCode="General">
                        <c:v>-38.587183520599254</c:v>
                      </c:pt>
                      <c:pt idx="48" formatCode="General">
                        <c:v>-38.954299625468167</c:v>
                      </c:pt>
                      <c:pt idx="49" formatCode="General">
                        <c:v>-39.32141573033708</c:v>
                      </c:pt>
                      <c:pt idx="50" formatCode="General">
                        <c:v>-39.688531835205993</c:v>
                      </c:pt>
                      <c:pt idx="51" formatCode="General">
                        <c:v>-40.054850299401195</c:v>
                      </c:pt>
                      <c:pt idx="52" formatCode="General">
                        <c:v>-40.370119760479042</c:v>
                      </c:pt>
                      <c:pt idx="53" formatCode="General">
                        <c:v>-40.685389221556882</c:v>
                      </c:pt>
                      <c:pt idx="54" formatCode="General">
                        <c:v>-40.988698224852072</c:v>
                      </c:pt>
                      <c:pt idx="55" formatCode="General">
                        <c:v>-41.277159763313605</c:v>
                      </c:pt>
                      <c:pt idx="56" formatCode="General">
                        <c:v>-41.565621301775145</c:v>
                      </c:pt>
                      <c:pt idx="57" formatCode="General">
                        <c:v>-41.843333333333334</c:v>
                      </c:pt>
                      <c:pt idx="58" formatCode="General">
                        <c:v>-42.119090909090907</c:v>
                      </c:pt>
                      <c:pt idx="59" formatCode="General">
                        <c:v>-42.38636363636364</c:v>
                      </c:pt>
                      <c:pt idx="60" formatCode="General">
                        <c:v>-42.634545454545453</c:v>
                      </c:pt>
                      <c:pt idx="61" formatCode="General">
                        <c:v>-42.882727272727273</c:v>
                      </c:pt>
                      <c:pt idx="62" formatCode="General">
                        <c:v>-43.08328358208955</c:v>
                      </c:pt>
                      <c:pt idx="63" formatCode="General">
                        <c:v>-43.269552238805971</c:v>
                      </c:pt>
                      <c:pt idx="64" formatCode="General">
                        <c:v>-43.455820895522386</c:v>
                      </c:pt>
                      <c:pt idx="65" formatCode="General">
                        <c:v>-43.642089552238801</c:v>
                      </c:pt>
                      <c:pt idx="66" formatCode="General">
                        <c:v>-43.828358208955223</c:v>
                      </c:pt>
                      <c:pt idx="67" formatCode="General">
                        <c:v>-44.014626865671637</c:v>
                      </c:pt>
                      <c:pt idx="68" formatCode="General">
                        <c:v>-44.200895522388059</c:v>
                      </c:pt>
                      <c:pt idx="69" formatCode="General">
                        <c:v>-44.387164179104474</c:v>
                      </c:pt>
                      <c:pt idx="70" formatCode="General">
                        <c:v>-44.573432835820896</c:v>
                      </c:pt>
                      <c:pt idx="71" formatCode="General">
                        <c:v>-44.75970149253731</c:v>
                      </c:pt>
                      <c:pt idx="72" formatCode="General">
                        <c:v>-44.898796992481202</c:v>
                      </c:pt>
                      <c:pt idx="73" formatCode="General">
                        <c:v>-44.982857142857142</c:v>
                      </c:pt>
                      <c:pt idx="74" formatCode="General">
                        <c:v>-45.066917293233082</c:v>
                      </c:pt>
                      <c:pt idx="75" formatCode="General">
                        <c:v>-45.150977443609023</c:v>
                      </c:pt>
                      <c:pt idx="76" formatCode="General">
                        <c:v>-45.235037593984963</c:v>
                      </c:pt>
                      <c:pt idx="77" formatCode="General">
                        <c:v>-45.319097744360903</c:v>
                      </c:pt>
                      <c:pt idx="78" formatCode="General">
                        <c:v>-45.403157894736843</c:v>
                      </c:pt>
                      <c:pt idx="79" formatCode="General">
                        <c:v>-45.487218045112783</c:v>
                      </c:pt>
                      <c:pt idx="80" formatCode="General">
                        <c:v>-45.571278195488723</c:v>
                      </c:pt>
                      <c:pt idx="81" formatCode="General">
                        <c:v>-45.655338345864664</c:v>
                      </c:pt>
                      <c:pt idx="82" formatCode="General">
                        <c:v>-45.723529411764702</c:v>
                      </c:pt>
                      <c:pt idx="83" formatCode="General">
                        <c:v>-45.738823529411761</c:v>
                      </c:pt>
                      <c:pt idx="84" formatCode="General">
                        <c:v>-45.75411764705882</c:v>
                      </c:pt>
                      <c:pt idx="85" formatCode="General">
                        <c:v>-45.755151515151518</c:v>
                      </c:pt>
                      <c:pt idx="86" formatCode="General">
                        <c:v>-45.74727272727273</c:v>
                      </c:pt>
                      <c:pt idx="87" formatCode="General">
                        <c:v>-45.737058823529416</c:v>
                      </c:pt>
                      <c:pt idx="88" formatCode="General">
                        <c:v>-45.698823529411769</c:v>
                      </c:pt>
                      <c:pt idx="89" formatCode="General">
                        <c:v>-45.660588235294121</c:v>
                      </c:pt>
                      <c:pt idx="90" formatCode="General">
                        <c:v>-45.609090909090909</c:v>
                      </c:pt>
                      <c:pt idx="91" formatCode="General">
                        <c:v>-45.542121212121209</c:v>
                      </c:pt>
                      <c:pt idx="92" formatCode="General">
                        <c:v>-45.475151515151516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EDA-4C12-8154-2CB8D6548BB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-15.207297297297297</c:v>
                      </c:pt>
                      <c:pt idx="1">
                        <c:v>-14.82081081081081</c:v>
                      </c:pt>
                      <c:pt idx="2" formatCode="General">
                        <c:v>-14.434324324324324</c:v>
                      </c:pt>
                      <c:pt idx="3" formatCode="General">
                        <c:v>-13.712395209580837</c:v>
                      </c:pt>
                      <c:pt idx="4" formatCode="General">
                        <c:v>-12.910598802395208</c:v>
                      </c:pt>
                      <c:pt idx="5" formatCode="General">
                        <c:v>-12.087455089820359</c:v>
                      </c:pt>
                      <c:pt idx="6" formatCode="General">
                        <c:v>-11.196137724550898</c:v>
                      </c:pt>
                      <c:pt idx="7" formatCode="General">
                        <c:v>-10.304820359281438</c:v>
                      </c:pt>
                      <c:pt idx="8" formatCode="General">
                        <c:v>-9.491907185628742</c:v>
                      </c:pt>
                      <c:pt idx="9" formatCode="General">
                        <c:v>-8.7177455089820359</c:v>
                      </c:pt>
                      <c:pt idx="10" formatCode="General">
                        <c:v>-7.9532365269461076</c:v>
                      </c:pt>
                      <c:pt idx="11" formatCode="General">
                        <c:v>-7.2756017964071864</c:v>
                      </c:pt>
                      <c:pt idx="12" formatCode="General">
                        <c:v>-6.5979670658682643</c:v>
                      </c:pt>
                      <c:pt idx="13" formatCode="General">
                        <c:v>-5.9610299401197615</c:v>
                      </c:pt>
                      <c:pt idx="14" formatCode="General">
                        <c:v>-5.3600718562874254</c:v>
                      </c:pt>
                      <c:pt idx="15" formatCode="General">
                        <c:v>-4.7591137724550894</c:v>
                      </c:pt>
                      <c:pt idx="16" formatCode="General">
                        <c:v>-4.5126516516516508</c:v>
                      </c:pt>
                      <c:pt idx="17" formatCode="General">
                        <c:v>-4.2803693693693692</c:v>
                      </c:pt>
                      <c:pt idx="18" formatCode="General">
                        <c:v>-4.1537664670658687</c:v>
                      </c:pt>
                      <c:pt idx="19" formatCode="General">
                        <c:v>-4.1856826347305391</c:v>
                      </c:pt>
                      <c:pt idx="20" formatCode="General">
                        <c:v>-4.2175988023952096</c:v>
                      </c:pt>
                      <c:pt idx="21" formatCode="General">
                        <c:v>-4.249676646706587</c:v>
                      </c:pt>
                      <c:pt idx="22" formatCode="General">
                        <c:v>-4.2817874251497008</c:v>
                      </c:pt>
                      <c:pt idx="23" formatCode="General">
                        <c:v>-4.3138982035928146</c:v>
                      </c:pt>
                      <c:pt idx="24" formatCode="General">
                        <c:v>-4.3460089820359284</c:v>
                      </c:pt>
                      <c:pt idx="25" formatCode="General">
                        <c:v>-4.3781197604790414</c:v>
                      </c:pt>
                      <c:pt idx="26" formatCode="General">
                        <c:v>-4.4102305389221552</c:v>
                      </c:pt>
                      <c:pt idx="27" formatCode="General">
                        <c:v>-4.442341317365269</c:v>
                      </c:pt>
                      <c:pt idx="28" formatCode="General">
                        <c:v>-4.4744520958083829</c:v>
                      </c:pt>
                      <c:pt idx="29" formatCode="General">
                        <c:v>-4.5065628742514967</c:v>
                      </c:pt>
                      <c:pt idx="30" formatCode="General">
                        <c:v>-4.5386736526946105</c:v>
                      </c:pt>
                      <c:pt idx="31" formatCode="General">
                        <c:v>-4.5702584269662925</c:v>
                      </c:pt>
                      <c:pt idx="32" formatCode="General">
                        <c:v>-4.6014194756554305</c:v>
                      </c:pt>
                      <c:pt idx="33" formatCode="General">
                        <c:v>-4.6325805243445695</c:v>
                      </c:pt>
                      <c:pt idx="34" formatCode="General">
                        <c:v>-4.6637415730337084</c:v>
                      </c:pt>
                      <c:pt idx="35" formatCode="General">
                        <c:v>-4.6949026217228464</c:v>
                      </c:pt>
                      <c:pt idx="36" formatCode="General">
                        <c:v>-4.7260636704119854</c:v>
                      </c:pt>
                      <c:pt idx="37" formatCode="General">
                        <c:v>-4.7572247191011234</c:v>
                      </c:pt>
                      <c:pt idx="38" formatCode="General">
                        <c:v>-4.7883857677902624</c:v>
                      </c:pt>
                      <c:pt idx="39" formatCode="General">
                        <c:v>-4.8195468164794013</c:v>
                      </c:pt>
                      <c:pt idx="40" formatCode="General">
                        <c:v>-4.8507078651685394</c:v>
                      </c:pt>
                      <c:pt idx="41" formatCode="General">
                        <c:v>-4.8813700374531841</c:v>
                      </c:pt>
                      <c:pt idx="42" formatCode="General">
                        <c:v>-4.9107782771535584</c:v>
                      </c:pt>
                      <c:pt idx="43" formatCode="General">
                        <c:v>-4.9401865168539327</c:v>
                      </c:pt>
                      <c:pt idx="44" formatCode="General">
                        <c:v>-4.969594756554307</c:v>
                      </c:pt>
                      <c:pt idx="45" formatCode="General">
                        <c:v>-4.9990029962546814</c:v>
                      </c:pt>
                      <c:pt idx="46" formatCode="General">
                        <c:v>-5.0284112359550566</c:v>
                      </c:pt>
                      <c:pt idx="47" formatCode="General">
                        <c:v>-5.0578194756554309</c:v>
                      </c:pt>
                      <c:pt idx="48" formatCode="General">
                        <c:v>-5.0872277153558052</c:v>
                      </c:pt>
                      <c:pt idx="49" formatCode="General">
                        <c:v>-5.1166359550561795</c:v>
                      </c:pt>
                      <c:pt idx="50" formatCode="General">
                        <c:v>-5.1460441947565538</c:v>
                      </c:pt>
                      <c:pt idx="51" formatCode="General">
                        <c:v>-5.1754311377245505</c:v>
                      </c:pt>
                      <c:pt idx="52" formatCode="General">
                        <c:v>-5.2034550898203591</c:v>
                      </c:pt>
                      <c:pt idx="53" formatCode="General">
                        <c:v>-5.2314790419161676</c:v>
                      </c:pt>
                      <c:pt idx="54" formatCode="General">
                        <c:v>-5.2591834319526622</c:v>
                      </c:pt>
                      <c:pt idx="55" formatCode="General">
                        <c:v>-5.2864911242603547</c:v>
                      </c:pt>
                      <c:pt idx="56" formatCode="General">
                        <c:v>-5.3137988165680472</c:v>
                      </c:pt>
                      <c:pt idx="57" formatCode="General">
                        <c:v>-5.3416666666666668</c:v>
                      </c:pt>
                      <c:pt idx="58" formatCode="General">
                        <c:v>-5.3696363636363635</c:v>
                      </c:pt>
                      <c:pt idx="59" formatCode="General">
                        <c:v>-5.3973636363636368</c:v>
                      </c:pt>
                      <c:pt idx="60" formatCode="General">
                        <c:v>-5.4245454545454548</c:v>
                      </c:pt>
                      <c:pt idx="61" formatCode="General">
                        <c:v>-5.4517272727272728</c:v>
                      </c:pt>
                      <c:pt idx="62" formatCode="General">
                        <c:v>-5.4825522388059706</c:v>
                      </c:pt>
                      <c:pt idx="63" formatCode="General">
                        <c:v>-5.5144701492537314</c:v>
                      </c:pt>
                      <c:pt idx="64" formatCode="General">
                        <c:v>-5.546388059701493</c:v>
                      </c:pt>
                      <c:pt idx="65" formatCode="General">
                        <c:v>-5.5783059701492537</c:v>
                      </c:pt>
                      <c:pt idx="66" formatCode="General">
                        <c:v>-5.6102238805970153</c:v>
                      </c:pt>
                      <c:pt idx="67" formatCode="General">
                        <c:v>-5.642141791044776</c:v>
                      </c:pt>
                      <c:pt idx="68" formatCode="General">
                        <c:v>-5.6740597014925376</c:v>
                      </c:pt>
                      <c:pt idx="69" formatCode="General">
                        <c:v>-5.7059776119402983</c:v>
                      </c:pt>
                      <c:pt idx="70" formatCode="General">
                        <c:v>-5.7378955223880599</c:v>
                      </c:pt>
                      <c:pt idx="71" formatCode="General">
                        <c:v>-5.7698134328358206</c:v>
                      </c:pt>
                      <c:pt idx="72" formatCode="General">
                        <c:v>-5.8141127819548872</c:v>
                      </c:pt>
                      <c:pt idx="73" formatCode="General">
                        <c:v>-5.8728571428571428</c:v>
                      </c:pt>
                      <c:pt idx="74" formatCode="General">
                        <c:v>-5.9316015037593983</c:v>
                      </c:pt>
                      <c:pt idx="75" formatCode="General">
                        <c:v>-5.9903458646616539</c:v>
                      </c:pt>
                      <c:pt idx="76" formatCode="General">
                        <c:v>-6.0490902255639094</c:v>
                      </c:pt>
                      <c:pt idx="77" formatCode="General">
                        <c:v>-6.107834586466165</c:v>
                      </c:pt>
                      <c:pt idx="78" formatCode="General">
                        <c:v>-6.1665789473684214</c:v>
                      </c:pt>
                      <c:pt idx="79" formatCode="General">
                        <c:v>-6.2253233082706769</c:v>
                      </c:pt>
                      <c:pt idx="80" formatCode="General">
                        <c:v>-6.2840676691729325</c:v>
                      </c:pt>
                      <c:pt idx="81" formatCode="General">
                        <c:v>-6.342812030075188</c:v>
                      </c:pt>
                      <c:pt idx="82" formatCode="General">
                        <c:v>-6.4000882352941177</c:v>
                      </c:pt>
                      <c:pt idx="83" formatCode="General">
                        <c:v>-6.4524705882352942</c:v>
                      </c:pt>
                      <c:pt idx="84" formatCode="General">
                        <c:v>-6.5048529411764706</c:v>
                      </c:pt>
                      <c:pt idx="85" formatCode="General">
                        <c:v>-6.5572424242424248</c:v>
                      </c:pt>
                      <c:pt idx="86" formatCode="General">
                        <c:v>-6.6096363636363638</c:v>
                      </c:pt>
                      <c:pt idx="87" formatCode="General">
                        <c:v>-6.6617941176470588</c:v>
                      </c:pt>
                      <c:pt idx="88" formatCode="General">
                        <c:v>-6.7111176470588241</c:v>
                      </c:pt>
                      <c:pt idx="89" formatCode="General">
                        <c:v>-6.7604411764705885</c:v>
                      </c:pt>
                      <c:pt idx="90" formatCode="General">
                        <c:v>-6.8095454545454546</c:v>
                      </c:pt>
                      <c:pt idx="91" formatCode="General">
                        <c:v>-6.858393939393939</c:v>
                      </c:pt>
                      <c:pt idx="92" formatCode="General">
                        <c:v>-6.9072424242424235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EDA-4C12-8154-2CB8D6548BB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-21.633423423423423</c:v>
                      </c:pt>
                      <c:pt idx="1">
                        <c:v>-20.938528528528529</c:v>
                      </c:pt>
                      <c:pt idx="2" formatCode="General">
                        <c:v>-20.243633633633632</c:v>
                      </c:pt>
                      <c:pt idx="3" formatCode="General">
                        <c:v>-20.065988023952094</c:v>
                      </c:pt>
                      <c:pt idx="4" formatCode="General">
                        <c:v>-20.011497005988023</c:v>
                      </c:pt>
                      <c:pt idx="5" formatCode="General">
                        <c:v>-20.01640718562874</c:v>
                      </c:pt>
                      <c:pt idx="6" formatCode="General">
                        <c:v>-20.211017964071857</c:v>
                      </c:pt>
                      <c:pt idx="7" formatCode="General">
                        <c:v>-20.40562874251497</c:v>
                      </c:pt>
                      <c:pt idx="8" formatCode="General">
                        <c:v>-20.602844311377243</c:v>
                      </c:pt>
                      <c:pt idx="9" formatCode="General">
                        <c:v>-20.801347305389221</c:v>
                      </c:pt>
                      <c:pt idx="10" formatCode="General">
                        <c:v>-20.999850299401199</c:v>
                      </c:pt>
                      <c:pt idx="11" formatCode="General">
                        <c:v>-21.198353293413174</c:v>
                      </c:pt>
                      <c:pt idx="12" formatCode="General">
                        <c:v>-21.396856287425148</c:v>
                      </c:pt>
                      <c:pt idx="13" formatCode="General">
                        <c:v>-21.597425149700598</c:v>
                      </c:pt>
                      <c:pt idx="14" formatCode="General">
                        <c:v>-21.799820359281437</c:v>
                      </c:pt>
                      <c:pt idx="15" formatCode="General">
                        <c:v>-22.002215568862276</c:v>
                      </c:pt>
                      <c:pt idx="16" formatCode="General">
                        <c:v>-22.19768768768769</c:v>
                      </c:pt>
                      <c:pt idx="17" formatCode="General">
                        <c:v>-22.392882882882883</c:v>
                      </c:pt>
                      <c:pt idx="18" formatCode="General">
                        <c:v>-22.589401197604793</c:v>
                      </c:pt>
                      <c:pt idx="19" formatCode="General">
                        <c:v>-22.787904191616768</c:v>
                      </c:pt>
                      <c:pt idx="20" formatCode="General">
                        <c:v>-22.986407185628742</c:v>
                      </c:pt>
                      <c:pt idx="21" formatCode="General">
                        <c:v>-23.17682634730539</c:v>
                      </c:pt>
                      <c:pt idx="22" formatCode="General">
                        <c:v>-23.365598802395208</c:v>
                      </c:pt>
                      <c:pt idx="23" formatCode="General">
                        <c:v>-23.55437125748503</c:v>
                      </c:pt>
                      <c:pt idx="24" formatCode="General">
                        <c:v>-23.743143712574849</c:v>
                      </c:pt>
                      <c:pt idx="25" formatCode="General">
                        <c:v>-23.931916167664671</c:v>
                      </c:pt>
                      <c:pt idx="26" formatCode="General">
                        <c:v>-24.120688622754493</c:v>
                      </c:pt>
                      <c:pt idx="27" formatCode="General">
                        <c:v>-24.309461077844311</c:v>
                      </c:pt>
                      <c:pt idx="28" formatCode="General">
                        <c:v>-24.498233532934133</c:v>
                      </c:pt>
                      <c:pt idx="29" formatCode="General">
                        <c:v>-24.687005988023952</c:v>
                      </c:pt>
                      <c:pt idx="30" formatCode="General">
                        <c:v>-24.875778443113774</c:v>
                      </c:pt>
                      <c:pt idx="31" formatCode="General">
                        <c:v>-25.057617977528093</c:v>
                      </c:pt>
                      <c:pt idx="32" formatCode="General">
                        <c:v>-25.233872659176033</c:v>
                      </c:pt>
                      <c:pt idx="33" formatCode="General">
                        <c:v>-25.410127340823973</c:v>
                      </c:pt>
                      <c:pt idx="34" formatCode="General">
                        <c:v>-25.586382022471913</c:v>
                      </c:pt>
                      <c:pt idx="35" formatCode="General">
                        <c:v>-25.762636704119853</c:v>
                      </c:pt>
                      <c:pt idx="36" formatCode="General">
                        <c:v>-25.938891385767793</c:v>
                      </c:pt>
                      <c:pt idx="37" formatCode="General">
                        <c:v>-26.115146067415729</c:v>
                      </c:pt>
                      <c:pt idx="38" formatCode="General">
                        <c:v>-26.291400749063669</c:v>
                      </c:pt>
                      <c:pt idx="39" formatCode="General">
                        <c:v>-26.467655430711609</c:v>
                      </c:pt>
                      <c:pt idx="40" formatCode="General">
                        <c:v>-26.643910112359549</c:v>
                      </c:pt>
                      <c:pt idx="41" formatCode="General">
                        <c:v>-26.81767041198502</c:v>
                      </c:pt>
                      <c:pt idx="42" formatCode="General">
                        <c:v>-26.98516104868914</c:v>
                      </c:pt>
                      <c:pt idx="43" formatCode="General">
                        <c:v>-27.152651685393259</c:v>
                      </c:pt>
                      <c:pt idx="44" formatCode="General">
                        <c:v>-27.320142322097379</c:v>
                      </c:pt>
                      <c:pt idx="45" formatCode="General">
                        <c:v>-27.487632958801498</c:v>
                      </c:pt>
                      <c:pt idx="46" formatCode="General">
                        <c:v>-27.655123595505618</c:v>
                      </c:pt>
                      <c:pt idx="47" formatCode="General">
                        <c:v>-27.822614232209737</c:v>
                      </c:pt>
                      <c:pt idx="48" formatCode="General">
                        <c:v>-27.990104868913857</c:v>
                      </c:pt>
                      <c:pt idx="49" formatCode="General">
                        <c:v>-28.157595505617977</c:v>
                      </c:pt>
                      <c:pt idx="50" formatCode="General">
                        <c:v>-28.325086142322096</c:v>
                      </c:pt>
                      <c:pt idx="51" formatCode="General">
                        <c:v>-28.492455089820357</c:v>
                      </c:pt>
                      <c:pt idx="52" formatCode="General">
                        <c:v>-28.652035928143711</c:v>
                      </c:pt>
                      <c:pt idx="53" formatCode="General">
                        <c:v>-28.811616766467065</c:v>
                      </c:pt>
                      <c:pt idx="54" formatCode="General">
                        <c:v>-28.970355029585797</c:v>
                      </c:pt>
                      <c:pt idx="55" formatCode="General">
                        <c:v>-29.128047337278105</c:v>
                      </c:pt>
                      <c:pt idx="56" formatCode="General">
                        <c:v>-29.285739644970413</c:v>
                      </c:pt>
                      <c:pt idx="57" formatCode="General">
                        <c:v>-29.446666666666665</c:v>
                      </c:pt>
                      <c:pt idx="58" formatCode="General">
                        <c:v>-29.608181818181816</c:v>
                      </c:pt>
                      <c:pt idx="59" formatCode="General">
                        <c:v>-29.768484848484846</c:v>
                      </c:pt>
                      <c:pt idx="60" formatCode="General">
                        <c:v>-29.926060606060606</c:v>
                      </c:pt>
                      <c:pt idx="61" formatCode="General">
                        <c:v>-30.083636363636366</c:v>
                      </c:pt>
                      <c:pt idx="62" formatCode="General">
                        <c:v>-30.237164179104479</c:v>
                      </c:pt>
                      <c:pt idx="63" formatCode="General">
                        <c:v>-30.389477611940301</c:v>
                      </c:pt>
                      <c:pt idx="64" formatCode="General">
                        <c:v>-30.541791044776119</c:v>
                      </c:pt>
                      <c:pt idx="65" formatCode="General">
                        <c:v>-30.69410447761194</c:v>
                      </c:pt>
                      <c:pt idx="66" formatCode="General">
                        <c:v>-30.846417910447762</c:v>
                      </c:pt>
                      <c:pt idx="67" formatCode="General">
                        <c:v>-30.998731343283584</c:v>
                      </c:pt>
                      <c:pt idx="68" formatCode="General">
                        <c:v>-31.151044776119406</c:v>
                      </c:pt>
                      <c:pt idx="69" formatCode="General">
                        <c:v>-31.303358208955224</c:v>
                      </c:pt>
                      <c:pt idx="70" formatCode="General">
                        <c:v>-31.455671641791046</c:v>
                      </c:pt>
                      <c:pt idx="71" formatCode="General">
                        <c:v>-31.607985074626868</c:v>
                      </c:pt>
                      <c:pt idx="72" formatCode="General">
                        <c:v>-31.759022556390978</c:v>
                      </c:pt>
                      <c:pt idx="73" formatCode="General">
                        <c:v>-31.908571428571431</c:v>
                      </c:pt>
                      <c:pt idx="74" formatCode="General">
                        <c:v>-32.058120300751881</c:v>
                      </c:pt>
                      <c:pt idx="75" formatCode="General">
                        <c:v>-32.207669172932334</c:v>
                      </c:pt>
                      <c:pt idx="76" formatCode="General">
                        <c:v>-32.357218045112781</c:v>
                      </c:pt>
                      <c:pt idx="77" formatCode="General">
                        <c:v>-32.506766917293234</c:v>
                      </c:pt>
                      <c:pt idx="78" formatCode="General">
                        <c:v>-32.65631578947368</c:v>
                      </c:pt>
                      <c:pt idx="79" formatCode="General">
                        <c:v>-32.805864661654134</c:v>
                      </c:pt>
                      <c:pt idx="80" formatCode="General">
                        <c:v>-32.955413533834587</c:v>
                      </c:pt>
                      <c:pt idx="81" formatCode="General">
                        <c:v>-33.104962406015034</c:v>
                      </c:pt>
                      <c:pt idx="82" formatCode="General">
                        <c:v>-33.252647058823527</c:v>
                      </c:pt>
                      <c:pt idx="83" formatCode="General">
                        <c:v>-33.394117647058827</c:v>
                      </c:pt>
                      <c:pt idx="84" formatCode="General">
                        <c:v>-33.535588235294121</c:v>
                      </c:pt>
                      <c:pt idx="85" formatCode="General">
                        <c:v>-33.682121212121217</c:v>
                      </c:pt>
                      <c:pt idx="86" formatCode="General">
                        <c:v>-33.831818181818186</c:v>
                      </c:pt>
                      <c:pt idx="87" formatCode="General">
                        <c:v>-33.980882352941173</c:v>
                      </c:pt>
                      <c:pt idx="88" formatCode="General">
                        <c:v>-34.122352941176473</c:v>
                      </c:pt>
                      <c:pt idx="89" formatCode="General">
                        <c:v>-34.263823529411766</c:v>
                      </c:pt>
                      <c:pt idx="90" formatCode="General">
                        <c:v>-34.407272727272733</c:v>
                      </c:pt>
                      <c:pt idx="91" formatCode="General">
                        <c:v>-34.553030303030305</c:v>
                      </c:pt>
                      <c:pt idx="92" formatCode="General">
                        <c:v>-34.698787878787883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EDA-4C12-8154-2CB8D6548BB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EDA-4C12-8154-2CB8D6548BB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EDA-4C12-8154-2CB8D6548BB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EDA-4C12-8154-2CB8D6548BB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EDA-4C12-8154-2CB8D6548BB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EDA-4C12-8154-2CB8D6548BB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EDA-4C12-8154-2CB8D6548BB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EDA-4C12-8154-2CB8D6548BB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EDA-4C12-8154-2CB8D6548BB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EDA-4C12-8154-2CB8D6548BB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EDA-4C12-8154-2CB8D6548BB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EDA-4C12-8154-2CB8D6548BB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EDA-4C12-8154-2CB8D6548BB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EDA-4C12-8154-2CB8D6548BBE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EDA-4C12-8154-2CB8D6548BBE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EDA-4C12-8154-2CB8D6548BBE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-37.719099099099097</c:v>
                      </c:pt>
                      <c:pt idx="1">
                        <c:v>-36.579159159159161</c:v>
                      </c:pt>
                      <c:pt idx="2" formatCode="General">
                        <c:v>-35.439219219219218</c:v>
                      </c:pt>
                      <c:pt idx="3" formatCode="General">
                        <c:v>-34.500089820359278</c:v>
                      </c:pt>
                      <c:pt idx="4" formatCode="General">
                        <c:v>-33.60877245508982</c:v>
                      </c:pt>
                      <c:pt idx="5" formatCode="General">
                        <c:v>-32.764419161676642</c:v>
                      </c:pt>
                      <c:pt idx="6" formatCode="General">
                        <c:v>-32.070047904191618</c:v>
                      </c:pt>
                      <c:pt idx="7" formatCode="General">
                        <c:v>-31.375676646706587</c:v>
                      </c:pt>
                      <c:pt idx="8" formatCode="General">
                        <c:v>-30.795916167664672</c:v>
                      </c:pt>
                      <c:pt idx="9" formatCode="General">
                        <c:v>-30.272802395209581</c:v>
                      </c:pt>
                      <c:pt idx="10" formatCode="General">
                        <c:v>-29.77206886227545</c:v>
                      </c:pt>
                      <c:pt idx="11" formatCode="General">
                        <c:v>-29.472757485029941</c:v>
                      </c:pt>
                      <c:pt idx="12" formatCode="General">
                        <c:v>-29.173446107784432</c:v>
                      </c:pt>
                      <c:pt idx="13" formatCode="General">
                        <c:v>-29.019158682634732</c:v>
                      </c:pt>
                      <c:pt idx="14" formatCode="General">
                        <c:v>-28.993080838323355</c:v>
                      </c:pt>
                      <c:pt idx="15" formatCode="General">
                        <c:v>-28.967002994011978</c:v>
                      </c:pt>
                      <c:pt idx="16" formatCode="General">
                        <c:v>-29.306465465465465</c:v>
                      </c:pt>
                      <c:pt idx="17" formatCode="General">
                        <c:v>-29.66054954954955</c:v>
                      </c:pt>
                      <c:pt idx="18" formatCode="General">
                        <c:v>-29.950844311377246</c:v>
                      </c:pt>
                      <c:pt idx="19" formatCode="General">
                        <c:v>-30.145455089820359</c:v>
                      </c:pt>
                      <c:pt idx="20" formatCode="General">
                        <c:v>-30.340065868263473</c:v>
                      </c:pt>
                      <c:pt idx="21" formatCode="General">
                        <c:v>-30.55440119760479</c:v>
                      </c:pt>
                      <c:pt idx="22" formatCode="General">
                        <c:v>-30.772754491017963</c:v>
                      </c:pt>
                      <c:pt idx="23" formatCode="General">
                        <c:v>-30.990700598802395</c:v>
                      </c:pt>
                      <c:pt idx="24" formatCode="General">
                        <c:v>-31.207497005988024</c:v>
                      </c:pt>
                      <c:pt idx="25" formatCode="General">
                        <c:v>-31.424293413173654</c:v>
                      </c:pt>
                      <c:pt idx="26" formatCode="General">
                        <c:v>-31.642167664670659</c:v>
                      </c:pt>
                      <c:pt idx="27" formatCode="General">
                        <c:v>-31.860520958083832</c:v>
                      </c:pt>
                      <c:pt idx="28" formatCode="General">
                        <c:v>-32.078874251497005</c:v>
                      </c:pt>
                      <c:pt idx="29" formatCode="General">
                        <c:v>-32.297227544910179</c:v>
                      </c:pt>
                      <c:pt idx="30" formatCode="General">
                        <c:v>-32.515580838323352</c:v>
                      </c:pt>
                      <c:pt idx="31" formatCode="General">
                        <c:v>-32.727876404494381</c:v>
                      </c:pt>
                      <c:pt idx="32" formatCode="General">
                        <c:v>-32.935292134831464</c:v>
                      </c:pt>
                      <c:pt idx="33" formatCode="General">
                        <c:v>-33.142707865168539</c:v>
                      </c:pt>
                      <c:pt idx="34" formatCode="General">
                        <c:v>-33.350123595505622</c:v>
                      </c:pt>
                      <c:pt idx="35" formatCode="General">
                        <c:v>-33.557539325842697</c:v>
                      </c:pt>
                      <c:pt idx="36" formatCode="General">
                        <c:v>-33.76495505617978</c:v>
                      </c:pt>
                      <c:pt idx="37" formatCode="General">
                        <c:v>-33.972370786516855</c:v>
                      </c:pt>
                      <c:pt idx="38" formatCode="General">
                        <c:v>-34.179786516853937</c:v>
                      </c:pt>
                      <c:pt idx="39" formatCode="General">
                        <c:v>-34.387202247191013</c:v>
                      </c:pt>
                      <c:pt idx="40" formatCode="General">
                        <c:v>-34.594617977528095</c:v>
                      </c:pt>
                      <c:pt idx="41" formatCode="General">
                        <c:v>-34.799040449438202</c:v>
                      </c:pt>
                      <c:pt idx="42" formatCode="General">
                        <c:v>-34.995939325842699</c:v>
                      </c:pt>
                      <c:pt idx="43" formatCode="General">
                        <c:v>-35.192838202247195</c:v>
                      </c:pt>
                      <c:pt idx="44" formatCode="General">
                        <c:v>-35.389737078651684</c:v>
                      </c:pt>
                      <c:pt idx="45" formatCode="General">
                        <c:v>-35.586635955056181</c:v>
                      </c:pt>
                      <c:pt idx="46" formatCode="General">
                        <c:v>-35.783534831460678</c:v>
                      </c:pt>
                      <c:pt idx="47" formatCode="General">
                        <c:v>-35.980433707865167</c:v>
                      </c:pt>
                      <c:pt idx="48" formatCode="General">
                        <c:v>-36.177332584269664</c:v>
                      </c:pt>
                      <c:pt idx="49" formatCode="General">
                        <c:v>-36.37423146067416</c:v>
                      </c:pt>
                      <c:pt idx="50" formatCode="General">
                        <c:v>-36.571130337078657</c:v>
                      </c:pt>
                      <c:pt idx="51" formatCode="General">
                        <c:v>-36.767872372372373</c:v>
                      </c:pt>
                      <c:pt idx="52" formatCode="General">
                        <c:v>-36.954576576576578</c:v>
                      </c:pt>
                      <c:pt idx="53" formatCode="General">
                        <c:v>-37.141280780780782</c:v>
                      </c:pt>
                      <c:pt idx="54" formatCode="General">
                        <c:v>-37.327984984984987</c:v>
                      </c:pt>
                      <c:pt idx="55" formatCode="General">
                        <c:v>-37.514689189189191</c:v>
                      </c:pt>
                      <c:pt idx="56" formatCode="General">
                        <c:v>-37.701393393393396</c:v>
                      </c:pt>
                      <c:pt idx="57" formatCode="General">
                        <c:v>-37.888097597597593</c:v>
                      </c:pt>
                      <c:pt idx="58" formatCode="General">
                        <c:v>-38.074801801801797</c:v>
                      </c:pt>
                      <c:pt idx="59" formatCode="General">
                        <c:v>-38.261506006006002</c:v>
                      </c:pt>
                      <c:pt idx="60" formatCode="General">
                        <c:v>-38.448210210210206</c:v>
                      </c:pt>
                      <c:pt idx="61" formatCode="General">
                        <c:v>-38.634914414414411</c:v>
                      </c:pt>
                      <c:pt idx="62" formatCode="General">
                        <c:v>-38.815647058823529</c:v>
                      </c:pt>
                      <c:pt idx="63" formatCode="General">
                        <c:v>-38.994588235294117</c:v>
                      </c:pt>
                      <c:pt idx="64" formatCode="General">
                        <c:v>-39.173636363636362</c:v>
                      </c:pt>
                      <c:pt idx="65" formatCode="General">
                        <c:v>-39.353272727272731</c:v>
                      </c:pt>
                      <c:pt idx="66" formatCode="General">
                        <c:v>-39.532909090909094</c:v>
                      </c:pt>
                      <c:pt idx="67" formatCode="General">
                        <c:v>-39.709294117647062</c:v>
                      </c:pt>
                      <c:pt idx="68" formatCode="General">
                        <c:v>-39.883647058823527</c:v>
                      </c:pt>
                      <c:pt idx="69" formatCode="General">
                        <c:v>-40.058</c:v>
                      </c:pt>
                      <c:pt idx="70" formatCode="General">
                        <c:v>-40.237242424242424</c:v>
                      </c:pt>
                      <c:pt idx="71" formatCode="General">
                        <c:v>-40.416484848484849</c:v>
                      </c:pt>
                      <c:pt idx="72" formatCode="General">
                        <c:v>-40.593210526315794</c:v>
                      </c:pt>
                      <c:pt idx="73" formatCode="General">
                        <c:v>-40.767000000000003</c:v>
                      </c:pt>
                      <c:pt idx="74" formatCode="General">
                        <c:v>-40.940789473684212</c:v>
                      </c:pt>
                      <c:pt idx="75" formatCode="General">
                        <c:v>-41.114578947368422</c:v>
                      </c:pt>
                      <c:pt idx="76" formatCode="General">
                        <c:v>-41.288368421052631</c:v>
                      </c:pt>
                      <c:pt idx="77" formatCode="General">
                        <c:v>-41.462157894736841</c:v>
                      </c:pt>
                      <c:pt idx="78" formatCode="General">
                        <c:v>-41.63594736842105</c:v>
                      </c:pt>
                      <c:pt idx="79" formatCode="General">
                        <c:v>-41.809736842105259</c:v>
                      </c:pt>
                      <c:pt idx="80" formatCode="General">
                        <c:v>-41.983526315789469</c:v>
                      </c:pt>
                      <c:pt idx="81" formatCode="General">
                        <c:v>-42.157315789473685</c:v>
                      </c:pt>
                      <c:pt idx="82" formatCode="General">
                        <c:v>-42.329597014925369</c:v>
                      </c:pt>
                      <c:pt idx="83" formatCode="General">
                        <c:v>-42.496850746268656</c:v>
                      </c:pt>
                      <c:pt idx="84" formatCode="General">
                        <c:v>-42.664104477611936</c:v>
                      </c:pt>
                      <c:pt idx="85" formatCode="General">
                        <c:v>-42.831358208955223</c:v>
                      </c:pt>
                      <c:pt idx="86" formatCode="General">
                        <c:v>-42.998611940298503</c:v>
                      </c:pt>
                      <c:pt idx="87" formatCode="General">
                        <c:v>-43.165865671641789</c:v>
                      </c:pt>
                      <c:pt idx="88" formatCode="General">
                        <c:v>-43.333119402985076</c:v>
                      </c:pt>
                      <c:pt idx="89" formatCode="General">
                        <c:v>-43.500373134328356</c:v>
                      </c:pt>
                      <c:pt idx="90" formatCode="General">
                        <c:v>-43.667626865671643</c:v>
                      </c:pt>
                      <c:pt idx="91" formatCode="General">
                        <c:v>-43.834880597014923</c:v>
                      </c:pt>
                      <c:pt idx="92" formatCode="General">
                        <c:v>-44.00213432835821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EDA-4C12-8154-2CB8D6548BBE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-22.018918918918921</c:v>
                      </c:pt>
                      <c:pt idx="1">
                        <c:v>-21.69099099099099</c:v>
                      </c:pt>
                      <c:pt idx="2" formatCode="General">
                        <c:v>-21.363063063063063</c:v>
                      </c:pt>
                      <c:pt idx="3" formatCode="General">
                        <c:v>-21.328293413173654</c:v>
                      </c:pt>
                      <c:pt idx="4" formatCode="General">
                        <c:v>-21.363323353293413</c:v>
                      </c:pt>
                      <c:pt idx="5" formatCode="General">
                        <c:v>-21.428053892215569</c:v>
                      </c:pt>
                      <c:pt idx="6" formatCode="General">
                        <c:v>-21.587634730538923</c:v>
                      </c:pt>
                      <c:pt idx="7" formatCode="General">
                        <c:v>-21.747215568862277</c:v>
                      </c:pt>
                      <c:pt idx="8" formatCode="General">
                        <c:v>-21.901586826347305</c:v>
                      </c:pt>
                      <c:pt idx="9" formatCode="General">
                        <c:v>-22.053383233532934</c:v>
                      </c:pt>
                      <c:pt idx="10" formatCode="General">
                        <c:v>-22.201287425149701</c:v>
                      </c:pt>
                      <c:pt idx="11" formatCode="General">
                        <c:v>-22.314161676646709</c:v>
                      </c:pt>
                      <c:pt idx="12" formatCode="General">
                        <c:v>-22.427035928143713</c:v>
                      </c:pt>
                      <c:pt idx="13" formatCode="General">
                        <c:v>-22.544041916167664</c:v>
                      </c:pt>
                      <c:pt idx="14" formatCode="General">
                        <c:v>-22.664700598802394</c:v>
                      </c:pt>
                      <c:pt idx="15" formatCode="General">
                        <c:v>-22.785359281437124</c:v>
                      </c:pt>
                      <c:pt idx="16" formatCode="General">
                        <c:v>-22.883843843843842</c:v>
                      </c:pt>
                      <c:pt idx="17" formatCode="General">
                        <c:v>-22.98144144144144</c:v>
                      </c:pt>
                      <c:pt idx="18" formatCode="General">
                        <c:v>-23.1162874251497</c:v>
                      </c:pt>
                      <c:pt idx="19" formatCode="General">
                        <c:v>-23.307005988023953</c:v>
                      </c:pt>
                      <c:pt idx="20" formatCode="General">
                        <c:v>-23.497724550898205</c:v>
                      </c:pt>
                      <c:pt idx="21" formatCode="General">
                        <c:v>-23.691676646706586</c:v>
                      </c:pt>
                      <c:pt idx="22" formatCode="General">
                        <c:v>-23.8862874251497</c:v>
                      </c:pt>
                      <c:pt idx="23" formatCode="General">
                        <c:v>-24.078862275449104</c:v>
                      </c:pt>
                      <c:pt idx="24" formatCode="General">
                        <c:v>-24.265688622754492</c:v>
                      </c:pt>
                      <c:pt idx="25" formatCode="General">
                        <c:v>-24.45251497005988</c:v>
                      </c:pt>
                      <c:pt idx="26" formatCode="General">
                        <c:v>-24.639341317365272</c:v>
                      </c:pt>
                      <c:pt idx="27" formatCode="General">
                        <c:v>-24.82616766467066</c:v>
                      </c:pt>
                      <c:pt idx="28" formatCode="General">
                        <c:v>-25.012994011976048</c:v>
                      </c:pt>
                      <c:pt idx="29" formatCode="General">
                        <c:v>-25.199820359281436</c:v>
                      </c:pt>
                      <c:pt idx="30" formatCode="General">
                        <c:v>-25.386646706586827</c:v>
                      </c:pt>
                      <c:pt idx="31" formatCode="General">
                        <c:v>-25.567617977528091</c:v>
                      </c:pt>
                      <c:pt idx="32" formatCode="General">
                        <c:v>-25.743872659176031</c:v>
                      </c:pt>
                      <c:pt idx="33" formatCode="General">
                        <c:v>-25.920127340823971</c:v>
                      </c:pt>
                      <c:pt idx="34" formatCode="General">
                        <c:v>-26.096382022471911</c:v>
                      </c:pt>
                      <c:pt idx="35" formatCode="General">
                        <c:v>-26.272636704119851</c:v>
                      </c:pt>
                      <c:pt idx="36" formatCode="General">
                        <c:v>-26.448891385767791</c:v>
                      </c:pt>
                      <c:pt idx="37" formatCode="General">
                        <c:v>-26.625146067415731</c:v>
                      </c:pt>
                      <c:pt idx="38" formatCode="General">
                        <c:v>-26.801400749063671</c:v>
                      </c:pt>
                      <c:pt idx="39" formatCode="General">
                        <c:v>-26.977655430711611</c:v>
                      </c:pt>
                      <c:pt idx="40" formatCode="General">
                        <c:v>-27.153910112359551</c:v>
                      </c:pt>
                      <c:pt idx="41" formatCode="General">
                        <c:v>-27.327670411985022</c:v>
                      </c:pt>
                      <c:pt idx="42" formatCode="General">
                        <c:v>-27.495161048689141</c:v>
                      </c:pt>
                      <c:pt idx="43" formatCode="General">
                        <c:v>-27.662651685393261</c:v>
                      </c:pt>
                      <c:pt idx="44" formatCode="General">
                        <c:v>-27.83014232209738</c:v>
                      </c:pt>
                      <c:pt idx="45" formatCode="General">
                        <c:v>-27.9976329588015</c:v>
                      </c:pt>
                      <c:pt idx="46" formatCode="General">
                        <c:v>-28.165123595505619</c:v>
                      </c:pt>
                      <c:pt idx="47" formatCode="General">
                        <c:v>-28.332614232209739</c:v>
                      </c:pt>
                      <c:pt idx="48" formatCode="General">
                        <c:v>-28.500104868913859</c:v>
                      </c:pt>
                      <c:pt idx="49" formatCode="General">
                        <c:v>-28.667595505617978</c:v>
                      </c:pt>
                      <c:pt idx="50" formatCode="General">
                        <c:v>-28.835086142322098</c:v>
                      </c:pt>
                      <c:pt idx="51" formatCode="General">
                        <c:v>-29.002447447447448</c:v>
                      </c:pt>
                      <c:pt idx="52" formatCode="General">
                        <c:v>-29.161531531531534</c:v>
                      </c:pt>
                      <c:pt idx="53" formatCode="General">
                        <c:v>-29.320615615615615</c:v>
                      </c:pt>
                      <c:pt idx="54" formatCode="General">
                        <c:v>-29.479699699699701</c:v>
                      </c:pt>
                      <c:pt idx="55" formatCode="General">
                        <c:v>-29.638783783783783</c:v>
                      </c:pt>
                      <c:pt idx="56" formatCode="General">
                        <c:v>-29.797867867867868</c:v>
                      </c:pt>
                      <c:pt idx="57" formatCode="General">
                        <c:v>-29.95695195195195</c:v>
                      </c:pt>
                      <c:pt idx="58" formatCode="General">
                        <c:v>-30.116036036036036</c:v>
                      </c:pt>
                      <c:pt idx="59" formatCode="General">
                        <c:v>-30.275120120120121</c:v>
                      </c:pt>
                      <c:pt idx="60" formatCode="General">
                        <c:v>-30.434204204204203</c:v>
                      </c:pt>
                      <c:pt idx="61" formatCode="General">
                        <c:v>-30.593288288288289</c:v>
                      </c:pt>
                      <c:pt idx="62" formatCode="General">
                        <c:v>-30.747647058823528</c:v>
                      </c:pt>
                      <c:pt idx="63" formatCode="General">
                        <c:v>-30.900588235294119</c:v>
                      </c:pt>
                      <c:pt idx="64" formatCode="General">
                        <c:v>-31.053636363636365</c:v>
                      </c:pt>
                      <c:pt idx="65" formatCode="General">
                        <c:v>-31.207272727272727</c:v>
                      </c:pt>
                      <c:pt idx="66" formatCode="General">
                        <c:v>-31.360909090909093</c:v>
                      </c:pt>
                      <c:pt idx="67" formatCode="General">
                        <c:v>-31.511764705882353</c:v>
                      </c:pt>
                      <c:pt idx="68" formatCode="General">
                        <c:v>-31.660882352941176</c:v>
                      </c:pt>
                      <c:pt idx="69" formatCode="General">
                        <c:v>-31.81</c:v>
                      </c:pt>
                      <c:pt idx="70" formatCode="General">
                        <c:v>-31.963636363636365</c:v>
                      </c:pt>
                      <c:pt idx="71" formatCode="General">
                        <c:v>-32.117272727272727</c:v>
                      </c:pt>
                      <c:pt idx="72" formatCode="General">
                        <c:v>-32.269022556390979</c:v>
                      </c:pt>
                      <c:pt idx="73" formatCode="General">
                        <c:v>-32.418571428571433</c:v>
                      </c:pt>
                      <c:pt idx="74" formatCode="General">
                        <c:v>-32.568120300751879</c:v>
                      </c:pt>
                      <c:pt idx="75" formatCode="General">
                        <c:v>-32.717669172932332</c:v>
                      </c:pt>
                      <c:pt idx="76" formatCode="General">
                        <c:v>-32.867218045112779</c:v>
                      </c:pt>
                      <c:pt idx="77" formatCode="General">
                        <c:v>-33.016766917293232</c:v>
                      </c:pt>
                      <c:pt idx="78" formatCode="General">
                        <c:v>-33.166315789473686</c:v>
                      </c:pt>
                      <c:pt idx="79" formatCode="General">
                        <c:v>-33.315864661654132</c:v>
                      </c:pt>
                      <c:pt idx="80" formatCode="General">
                        <c:v>-33.465413533834585</c:v>
                      </c:pt>
                      <c:pt idx="81" formatCode="General">
                        <c:v>-33.614962406015032</c:v>
                      </c:pt>
                      <c:pt idx="82" formatCode="General">
                        <c:v>-33.763358208955218</c:v>
                      </c:pt>
                      <c:pt idx="83" formatCode="General">
                        <c:v>-33.907910447761189</c:v>
                      </c:pt>
                      <c:pt idx="84" formatCode="General">
                        <c:v>-34.052462686567161</c:v>
                      </c:pt>
                      <c:pt idx="85" formatCode="General">
                        <c:v>-34.197014925373132</c:v>
                      </c:pt>
                      <c:pt idx="86" formatCode="General">
                        <c:v>-34.341567164179104</c:v>
                      </c:pt>
                      <c:pt idx="87" formatCode="General">
                        <c:v>-34.486119402985075</c:v>
                      </c:pt>
                      <c:pt idx="88" formatCode="General">
                        <c:v>-34.630671641791039</c:v>
                      </c:pt>
                      <c:pt idx="89" formatCode="General">
                        <c:v>-34.775223880597011</c:v>
                      </c:pt>
                      <c:pt idx="90" formatCode="General">
                        <c:v>-34.919776119402982</c:v>
                      </c:pt>
                      <c:pt idx="91" formatCode="General">
                        <c:v>-35.064328358208954</c:v>
                      </c:pt>
                      <c:pt idx="92" formatCode="General">
                        <c:v>-35.208880597014925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EDA-4C12-8154-2CB8D6548BBE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-185.62738738738739</c:v>
                      </c:pt>
                      <c:pt idx="1">
                        <c:v>-179.20156156156156</c:v>
                      </c:pt>
                      <c:pt idx="2" formatCode="General">
                        <c:v>-172.77573573573576</c:v>
                      </c:pt>
                      <c:pt idx="3" formatCode="General">
                        <c:v>-167.34314371257486</c:v>
                      </c:pt>
                      <c:pt idx="4" formatCode="General">
                        <c:v>-162.14703592814371</c:v>
                      </c:pt>
                      <c:pt idx="5" formatCode="General">
                        <c:v>-157.16997005988023</c:v>
                      </c:pt>
                      <c:pt idx="6" formatCode="General">
                        <c:v>-152.89242514970059</c:v>
                      </c:pt>
                      <c:pt idx="7" formatCode="General">
                        <c:v>-148.61488023952094</c:v>
                      </c:pt>
                      <c:pt idx="8" formatCode="General">
                        <c:v>-144.8009880239521</c:v>
                      </c:pt>
                      <c:pt idx="9" formatCode="General">
                        <c:v>-141.21625748502993</c:v>
                      </c:pt>
                      <c:pt idx="10" formatCode="General">
                        <c:v>-137.6875748502994</c:v>
                      </c:pt>
                      <c:pt idx="11" formatCode="General">
                        <c:v>-134.66332335329341</c:v>
                      </c:pt>
                      <c:pt idx="12" formatCode="General">
                        <c:v>-131.63907185628744</c:v>
                      </c:pt>
                      <c:pt idx="13" formatCode="General">
                        <c:v>-128.87098802395209</c:v>
                      </c:pt>
                      <c:pt idx="14" formatCode="General">
                        <c:v>-126.32937125748504</c:v>
                      </c:pt>
                      <c:pt idx="15" formatCode="General">
                        <c:v>-123.78775449101796</c:v>
                      </c:pt>
                      <c:pt idx="16" formatCode="General">
                        <c:v>-123.31837837837838</c:v>
                      </c:pt>
                      <c:pt idx="17" formatCode="General">
                        <c:v>-122.93189189189189</c:v>
                      </c:pt>
                      <c:pt idx="18" formatCode="General">
                        <c:v>-123.33988023952097</c:v>
                      </c:pt>
                      <c:pt idx="19" formatCode="General">
                        <c:v>-124.93958083832335</c:v>
                      </c:pt>
                      <c:pt idx="20" formatCode="General">
                        <c:v>-126.53928143712575</c:v>
                      </c:pt>
                      <c:pt idx="21" formatCode="General">
                        <c:v>-128.13574850299401</c:v>
                      </c:pt>
                      <c:pt idx="22" formatCode="General">
                        <c:v>-129.73155688622754</c:v>
                      </c:pt>
                      <c:pt idx="23" formatCode="General">
                        <c:v>-131.31718562874252</c:v>
                      </c:pt>
                      <c:pt idx="24" formatCode="General">
                        <c:v>-132.87407185628743</c:v>
                      </c:pt>
                      <c:pt idx="25" formatCode="General">
                        <c:v>-134.43095808383234</c:v>
                      </c:pt>
                      <c:pt idx="26" formatCode="General">
                        <c:v>-135.97167664670658</c:v>
                      </c:pt>
                      <c:pt idx="27" formatCode="General">
                        <c:v>-137.50520958083831</c:v>
                      </c:pt>
                      <c:pt idx="28" formatCode="General">
                        <c:v>-139.03586826347305</c:v>
                      </c:pt>
                      <c:pt idx="29" formatCode="General">
                        <c:v>-140.54604790419162</c:v>
                      </c:pt>
                      <c:pt idx="30" formatCode="General">
                        <c:v>-142.05622754491017</c:v>
                      </c:pt>
                      <c:pt idx="31" formatCode="General">
                        <c:v>-143.50932584269663</c:v>
                      </c:pt>
                      <c:pt idx="32" formatCode="General">
                        <c:v>-144.91644194756554</c:v>
                      </c:pt>
                      <c:pt idx="33" formatCode="General">
                        <c:v>-146.32355805243446</c:v>
                      </c:pt>
                      <c:pt idx="34" formatCode="General">
                        <c:v>-147.73067415730338</c:v>
                      </c:pt>
                      <c:pt idx="35" formatCode="General">
                        <c:v>-149.13779026217227</c:v>
                      </c:pt>
                      <c:pt idx="36" formatCode="General">
                        <c:v>-150.54490636704119</c:v>
                      </c:pt>
                      <c:pt idx="37" formatCode="General">
                        <c:v>-151.95202247191011</c:v>
                      </c:pt>
                      <c:pt idx="38" formatCode="General">
                        <c:v>-153.35913857677903</c:v>
                      </c:pt>
                      <c:pt idx="39" formatCode="General">
                        <c:v>-154.76625468164795</c:v>
                      </c:pt>
                      <c:pt idx="40" formatCode="General">
                        <c:v>-156.17337078651687</c:v>
                      </c:pt>
                      <c:pt idx="41" formatCode="General">
                        <c:v>-157.53143071161051</c:v>
                      </c:pt>
                      <c:pt idx="42" formatCode="General">
                        <c:v>-158.76618726591761</c:v>
                      </c:pt>
                      <c:pt idx="43" formatCode="General">
                        <c:v>-160.00094382022473</c:v>
                      </c:pt>
                      <c:pt idx="44" formatCode="General">
                        <c:v>-161.23570037453186</c:v>
                      </c:pt>
                      <c:pt idx="45" formatCode="General">
                        <c:v>-162.47045692883896</c:v>
                      </c:pt>
                      <c:pt idx="46" formatCode="General">
                        <c:v>-163.70521348314608</c:v>
                      </c:pt>
                      <c:pt idx="47" formatCode="General">
                        <c:v>-164.93997003745321</c:v>
                      </c:pt>
                      <c:pt idx="48" formatCode="General">
                        <c:v>-166.1747265917603</c:v>
                      </c:pt>
                      <c:pt idx="49" formatCode="General">
                        <c:v>-167.40948314606743</c:v>
                      </c:pt>
                      <c:pt idx="50" formatCode="General">
                        <c:v>-168.64423970037456</c:v>
                      </c:pt>
                      <c:pt idx="51" formatCode="General">
                        <c:v>-169.87605105105106</c:v>
                      </c:pt>
                      <c:pt idx="52" formatCode="General">
                        <c:v>-170.91936936936938</c:v>
                      </c:pt>
                      <c:pt idx="53" formatCode="General">
                        <c:v>-171.96268768768769</c:v>
                      </c:pt>
                      <c:pt idx="54" formatCode="General">
                        <c:v>-173.00600600600603</c:v>
                      </c:pt>
                      <c:pt idx="55" formatCode="General">
                        <c:v>-174.04932432432435</c:v>
                      </c:pt>
                      <c:pt idx="56" formatCode="General">
                        <c:v>-175.09264264264266</c:v>
                      </c:pt>
                      <c:pt idx="57" formatCode="General">
                        <c:v>-176.13596096096097</c:v>
                      </c:pt>
                      <c:pt idx="58" formatCode="General">
                        <c:v>-177.17927927927929</c:v>
                      </c:pt>
                      <c:pt idx="59" formatCode="General">
                        <c:v>-178.2225975975976</c:v>
                      </c:pt>
                      <c:pt idx="60" formatCode="General">
                        <c:v>-179.26591591591594</c:v>
                      </c:pt>
                      <c:pt idx="61" formatCode="General">
                        <c:v>-180.30923423423425</c:v>
                      </c:pt>
                      <c:pt idx="62" formatCode="General">
                        <c:v>-181.23823529411766</c:v>
                      </c:pt>
                      <c:pt idx="63" formatCode="General">
                        <c:v>-182.13294117647058</c:v>
                      </c:pt>
                      <c:pt idx="64" formatCode="General">
                        <c:v>-183.02393939393937</c:v>
                      </c:pt>
                      <c:pt idx="65" formatCode="General">
                        <c:v>-183.89454545454547</c:v>
                      </c:pt>
                      <c:pt idx="66" formatCode="General">
                        <c:v>-184.76515151515153</c:v>
                      </c:pt>
                      <c:pt idx="67" formatCode="General">
                        <c:v>-185.58235294117648</c:v>
                      </c:pt>
                      <c:pt idx="68" formatCode="General">
                        <c:v>-186.36617647058824</c:v>
                      </c:pt>
                      <c:pt idx="69" formatCode="General">
                        <c:v>-187.14999999999998</c:v>
                      </c:pt>
                      <c:pt idx="70" formatCode="General">
                        <c:v>-187.91818181818181</c:v>
                      </c:pt>
                      <c:pt idx="71" formatCode="General">
                        <c:v>-188.68636363636364</c:v>
                      </c:pt>
                      <c:pt idx="72" formatCode="General">
                        <c:v>-189.38466165413536</c:v>
                      </c:pt>
                      <c:pt idx="73" formatCode="General">
                        <c:v>-190.00142857142859</c:v>
                      </c:pt>
                      <c:pt idx="74" formatCode="General">
                        <c:v>-190.61819548872182</c:v>
                      </c:pt>
                      <c:pt idx="75" formatCode="General">
                        <c:v>-191.23496240601506</c:v>
                      </c:pt>
                      <c:pt idx="76" formatCode="General">
                        <c:v>-191.85172932330829</c:v>
                      </c:pt>
                      <c:pt idx="77" formatCode="General">
                        <c:v>-192.46849624060152</c:v>
                      </c:pt>
                      <c:pt idx="78" formatCode="General">
                        <c:v>-193.08526315789473</c:v>
                      </c:pt>
                      <c:pt idx="79" formatCode="General">
                        <c:v>-193.70203007518796</c:v>
                      </c:pt>
                      <c:pt idx="80" formatCode="General">
                        <c:v>-194.3187969924812</c:v>
                      </c:pt>
                      <c:pt idx="81" formatCode="General">
                        <c:v>-194.93556390977443</c:v>
                      </c:pt>
                      <c:pt idx="82" formatCode="General">
                        <c:v>-195.49843283582089</c:v>
                      </c:pt>
                      <c:pt idx="83" formatCode="General">
                        <c:v>-195.88164179104479</c:v>
                      </c:pt>
                      <c:pt idx="84" formatCode="General">
                        <c:v>-196.26485074626865</c:v>
                      </c:pt>
                      <c:pt idx="85" formatCode="General">
                        <c:v>-196.64805970149254</c:v>
                      </c:pt>
                      <c:pt idx="86" formatCode="General">
                        <c:v>-197.03126865671643</c:v>
                      </c:pt>
                      <c:pt idx="87" formatCode="General">
                        <c:v>-197.4144776119403</c:v>
                      </c:pt>
                      <c:pt idx="88" formatCode="General">
                        <c:v>-197.79768656716419</c:v>
                      </c:pt>
                      <c:pt idx="89" formatCode="General">
                        <c:v>-198.18089552238806</c:v>
                      </c:pt>
                      <c:pt idx="90" formatCode="General">
                        <c:v>-198.56410447761195</c:v>
                      </c:pt>
                      <c:pt idx="91" formatCode="General">
                        <c:v>-198.94731343283584</c:v>
                      </c:pt>
                      <c:pt idx="92" formatCode="General">
                        <c:v>-199.33052238805971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EDA-4C12-8154-2CB8D6548BBE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-15.70018018018018</c:v>
                      </c:pt>
                      <c:pt idx="1">
                        <c:v>-14.888168168168168</c:v>
                      </c:pt>
                      <c:pt idx="2" formatCode="General">
                        <c:v>-14.076156156156156</c:v>
                      </c:pt>
                      <c:pt idx="3" formatCode="General">
                        <c:v>-13.171796407185628</c:v>
                      </c:pt>
                      <c:pt idx="4" formatCode="General">
                        <c:v>-12.245449101796405</c:v>
                      </c:pt>
                      <c:pt idx="5" formatCode="General">
                        <c:v>-11.336365269461076</c:v>
                      </c:pt>
                      <c:pt idx="6" formatCode="General">
                        <c:v>-10.482413173652693</c:v>
                      </c:pt>
                      <c:pt idx="7" formatCode="General">
                        <c:v>-9.628461077844312</c:v>
                      </c:pt>
                      <c:pt idx="8" formatCode="General">
                        <c:v>-8.8943293413173663</c:v>
                      </c:pt>
                      <c:pt idx="9" formatCode="General">
                        <c:v>-8.2194191616766474</c:v>
                      </c:pt>
                      <c:pt idx="10" formatCode="General">
                        <c:v>-7.5707814371257482</c:v>
                      </c:pt>
                      <c:pt idx="11" formatCode="General">
                        <c:v>-7.1585958083832333</c:v>
                      </c:pt>
                      <c:pt idx="12" formatCode="General">
                        <c:v>-6.7464101796407192</c:v>
                      </c:pt>
                      <c:pt idx="13" formatCode="General">
                        <c:v>-6.4751167664670657</c:v>
                      </c:pt>
                      <c:pt idx="14" formatCode="General">
                        <c:v>-6.3283802395209579</c:v>
                      </c:pt>
                      <c:pt idx="15" formatCode="General">
                        <c:v>-6.18164371257485</c:v>
                      </c:pt>
                      <c:pt idx="16" formatCode="General">
                        <c:v>-6.4226216216216221</c:v>
                      </c:pt>
                      <c:pt idx="17" formatCode="General">
                        <c:v>-6.6791081081081085</c:v>
                      </c:pt>
                      <c:pt idx="18" formatCode="General">
                        <c:v>-6.8345568862275448</c:v>
                      </c:pt>
                      <c:pt idx="19" formatCode="General">
                        <c:v>-6.8384491017964075</c:v>
                      </c:pt>
                      <c:pt idx="20" formatCode="General">
                        <c:v>-6.8423413173652694</c:v>
                      </c:pt>
                      <c:pt idx="21" formatCode="General">
                        <c:v>-6.8627245508982035</c:v>
                      </c:pt>
                      <c:pt idx="22" formatCode="General">
                        <c:v>-6.8864670658682634</c:v>
                      </c:pt>
                      <c:pt idx="23" formatCode="General">
                        <c:v>-6.911838323353293</c:v>
                      </c:pt>
                      <c:pt idx="24" formatCode="General">
                        <c:v>-6.9418083832335329</c:v>
                      </c:pt>
                      <c:pt idx="25" formatCode="General">
                        <c:v>-6.9717784431137719</c:v>
                      </c:pt>
                      <c:pt idx="26" formatCode="General">
                        <c:v>-7.0028263473053896</c:v>
                      </c:pt>
                      <c:pt idx="27" formatCode="General">
                        <c:v>-7.0343532934131741</c:v>
                      </c:pt>
                      <c:pt idx="28" formatCode="General">
                        <c:v>-7.0658802395209586</c:v>
                      </c:pt>
                      <c:pt idx="29" formatCode="General">
                        <c:v>-7.0974071856287431</c:v>
                      </c:pt>
                      <c:pt idx="30" formatCode="General">
                        <c:v>-7.1289341317365267</c:v>
                      </c:pt>
                      <c:pt idx="31" formatCode="General">
                        <c:v>-7.1602584269662923</c:v>
                      </c:pt>
                      <c:pt idx="32" formatCode="General">
                        <c:v>-7.1914194756554304</c:v>
                      </c:pt>
                      <c:pt idx="33" formatCode="General">
                        <c:v>-7.2225805243445693</c:v>
                      </c:pt>
                      <c:pt idx="34" formatCode="General">
                        <c:v>-7.2537415730337083</c:v>
                      </c:pt>
                      <c:pt idx="35" formatCode="General">
                        <c:v>-7.2849026217228463</c:v>
                      </c:pt>
                      <c:pt idx="36" formatCode="General">
                        <c:v>-7.3160636704119852</c:v>
                      </c:pt>
                      <c:pt idx="37" formatCode="General">
                        <c:v>-7.3472247191011233</c:v>
                      </c:pt>
                      <c:pt idx="38" formatCode="General">
                        <c:v>-7.3783857677902622</c:v>
                      </c:pt>
                      <c:pt idx="39" formatCode="General">
                        <c:v>-7.4095468164794012</c:v>
                      </c:pt>
                      <c:pt idx="40" formatCode="General">
                        <c:v>-7.4407078651685392</c:v>
                      </c:pt>
                      <c:pt idx="41" formatCode="General">
                        <c:v>-7.471370037453184</c:v>
                      </c:pt>
                      <c:pt idx="42" formatCode="General">
                        <c:v>-7.5007782771535583</c:v>
                      </c:pt>
                      <c:pt idx="43" formatCode="General">
                        <c:v>-7.5301865168539326</c:v>
                      </c:pt>
                      <c:pt idx="44" formatCode="General">
                        <c:v>-7.5595947565543069</c:v>
                      </c:pt>
                      <c:pt idx="45" formatCode="General">
                        <c:v>-7.5890029962546812</c:v>
                      </c:pt>
                      <c:pt idx="46" formatCode="General">
                        <c:v>-7.6184112359550564</c:v>
                      </c:pt>
                      <c:pt idx="47" formatCode="General">
                        <c:v>-7.6478194756554307</c:v>
                      </c:pt>
                      <c:pt idx="48" formatCode="General">
                        <c:v>-7.6772277153558051</c:v>
                      </c:pt>
                      <c:pt idx="49" formatCode="General">
                        <c:v>-7.7066359550561794</c:v>
                      </c:pt>
                      <c:pt idx="50" formatCode="General">
                        <c:v>-7.7360441947565537</c:v>
                      </c:pt>
                      <c:pt idx="51" formatCode="General">
                        <c:v>-7.7654249249249245</c:v>
                      </c:pt>
                      <c:pt idx="52" formatCode="General">
                        <c:v>-7.7930450450450452</c:v>
                      </c:pt>
                      <c:pt idx="53" formatCode="General">
                        <c:v>-7.8206651651651651</c:v>
                      </c:pt>
                      <c:pt idx="54" formatCode="General">
                        <c:v>-7.8482852852852849</c:v>
                      </c:pt>
                      <c:pt idx="55" formatCode="General">
                        <c:v>-7.8759054054054056</c:v>
                      </c:pt>
                      <c:pt idx="56" formatCode="General">
                        <c:v>-7.9035255255255255</c:v>
                      </c:pt>
                      <c:pt idx="57" formatCode="General">
                        <c:v>-7.9311456456456453</c:v>
                      </c:pt>
                      <c:pt idx="58" formatCode="General">
                        <c:v>-7.958765765765766</c:v>
                      </c:pt>
                      <c:pt idx="59" formatCode="General">
                        <c:v>-7.9863858858858858</c:v>
                      </c:pt>
                      <c:pt idx="60" formatCode="General">
                        <c:v>-8.0140060060060065</c:v>
                      </c:pt>
                      <c:pt idx="61" formatCode="General">
                        <c:v>-8.0416261261261255</c:v>
                      </c:pt>
                      <c:pt idx="62" formatCode="General">
                        <c:v>-8.0679999999999996</c:v>
                      </c:pt>
                      <c:pt idx="63" formatCode="General">
                        <c:v>-8.0939999999999994</c:v>
                      </c:pt>
                      <c:pt idx="64" formatCode="General">
                        <c:v>-8.1199999999999992</c:v>
                      </c:pt>
                      <c:pt idx="65" formatCode="General">
                        <c:v>-8.1460000000000008</c:v>
                      </c:pt>
                      <c:pt idx="66" formatCode="General">
                        <c:v>-8.1720000000000006</c:v>
                      </c:pt>
                      <c:pt idx="67" formatCode="General">
                        <c:v>-8.1975294117647053</c:v>
                      </c:pt>
                      <c:pt idx="68" formatCode="General">
                        <c:v>-8.2227647058823532</c:v>
                      </c:pt>
                      <c:pt idx="69" formatCode="General">
                        <c:v>-8.2479999999999993</c:v>
                      </c:pt>
                      <c:pt idx="70" formatCode="General">
                        <c:v>-8.2736060606060597</c:v>
                      </c:pt>
                      <c:pt idx="71" formatCode="General">
                        <c:v>-8.2992121212121219</c:v>
                      </c:pt>
                      <c:pt idx="72" formatCode="General">
                        <c:v>-8.3241879699248127</c:v>
                      </c:pt>
                      <c:pt idx="73" formatCode="General">
                        <c:v>-8.3484285714285722</c:v>
                      </c:pt>
                      <c:pt idx="74" formatCode="General">
                        <c:v>-8.3726691729323317</c:v>
                      </c:pt>
                      <c:pt idx="75" formatCode="General">
                        <c:v>-8.3969097744360912</c:v>
                      </c:pt>
                      <c:pt idx="76" formatCode="General">
                        <c:v>-8.4211503759398507</c:v>
                      </c:pt>
                      <c:pt idx="77" formatCode="General">
                        <c:v>-8.4453909774436084</c:v>
                      </c:pt>
                      <c:pt idx="78" formatCode="General">
                        <c:v>-8.469631578947368</c:v>
                      </c:pt>
                      <c:pt idx="79" formatCode="General">
                        <c:v>-8.4938721804511275</c:v>
                      </c:pt>
                      <c:pt idx="80" formatCode="General">
                        <c:v>-8.518112781954887</c:v>
                      </c:pt>
                      <c:pt idx="81" formatCode="General">
                        <c:v>-8.5423533834586465</c:v>
                      </c:pt>
                      <c:pt idx="82" formatCode="General">
                        <c:v>-8.5662388059701495</c:v>
                      </c:pt>
                      <c:pt idx="83" formatCode="General">
                        <c:v>-8.5889402985074632</c:v>
                      </c:pt>
                      <c:pt idx="84" formatCode="General">
                        <c:v>-8.6116417910447769</c:v>
                      </c:pt>
                      <c:pt idx="85" formatCode="General">
                        <c:v>-8.6343432835820888</c:v>
                      </c:pt>
                      <c:pt idx="86" formatCode="General">
                        <c:v>-8.6570447761194025</c:v>
                      </c:pt>
                      <c:pt idx="87" formatCode="General">
                        <c:v>-8.6797462686567162</c:v>
                      </c:pt>
                      <c:pt idx="88" formatCode="General">
                        <c:v>-8.7024477611940299</c:v>
                      </c:pt>
                      <c:pt idx="89" formatCode="General">
                        <c:v>-8.7251492537313435</c:v>
                      </c:pt>
                      <c:pt idx="90" formatCode="General">
                        <c:v>-8.7478507462686572</c:v>
                      </c:pt>
                      <c:pt idx="91" formatCode="General">
                        <c:v>-8.7705522388059709</c:v>
                      </c:pt>
                      <c:pt idx="92" formatCode="General">
                        <c:v>-8.7932537313432828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EDA-4C12-8154-2CB8D6548BBE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-18.878558558558559</c:v>
                      </c:pt>
                      <c:pt idx="1">
                        <c:v>-18.874654654654655</c:v>
                      </c:pt>
                      <c:pt idx="2" formatCode="General">
                        <c:v>-18.870750750750751</c:v>
                      </c:pt>
                      <c:pt idx="3" formatCode="General">
                        <c:v>-18.879431137724552</c:v>
                      </c:pt>
                      <c:pt idx="4" formatCode="General">
                        <c:v>-18.891107784431139</c:v>
                      </c:pt>
                      <c:pt idx="5" formatCode="General">
                        <c:v>-18.903712574850299</c:v>
                      </c:pt>
                      <c:pt idx="6" formatCode="General">
                        <c:v>-18.919281437125747</c:v>
                      </c:pt>
                      <c:pt idx="7" formatCode="General">
                        <c:v>-18.934850299401198</c:v>
                      </c:pt>
                      <c:pt idx="8" formatCode="General">
                        <c:v>-18.953023952095808</c:v>
                      </c:pt>
                      <c:pt idx="9" formatCode="General">
                        <c:v>-18.97248502994012</c:v>
                      </c:pt>
                      <c:pt idx="10" formatCode="General">
                        <c:v>-18.991946107784429</c:v>
                      </c:pt>
                      <c:pt idx="11" formatCode="General">
                        <c:v>-19.011407185628741</c:v>
                      </c:pt>
                      <c:pt idx="12" formatCode="General">
                        <c:v>-19.030868263473053</c:v>
                      </c:pt>
                      <c:pt idx="13" formatCode="General">
                        <c:v>-19.046197604790418</c:v>
                      </c:pt>
                      <c:pt idx="14" formatCode="General">
                        <c:v>-19.057874251497005</c:v>
                      </c:pt>
                      <c:pt idx="15" formatCode="General">
                        <c:v>-19.069550898203595</c:v>
                      </c:pt>
                      <c:pt idx="16" formatCode="General">
                        <c:v>-19.028708708708709</c:v>
                      </c:pt>
                      <c:pt idx="17" formatCode="General">
                        <c:v>-18.985765765765766</c:v>
                      </c:pt>
                      <c:pt idx="18" formatCode="General">
                        <c:v>-18.970898203592814</c:v>
                      </c:pt>
                      <c:pt idx="19" formatCode="General">
                        <c:v>-18.998143712574851</c:v>
                      </c:pt>
                      <c:pt idx="20" formatCode="General">
                        <c:v>-19.025389221556889</c:v>
                      </c:pt>
                      <c:pt idx="21" formatCode="General">
                        <c:v>-19.052634730538923</c:v>
                      </c:pt>
                      <c:pt idx="22" formatCode="General">
                        <c:v>-19.079880239520961</c:v>
                      </c:pt>
                      <c:pt idx="23" formatCode="General">
                        <c:v>-19.107125748502995</c:v>
                      </c:pt>
                      <c:pt idx="24" formatCode="General">
                        <c:v>-19.134371257485032</c:v>
                      </c:pt>
                      <c:pt idx="25" formatCode="General">
                        <c:v>-19.161616766467066</c:v>
                      </c:pt>
                      <c:pt idx="26" formatCode="General">
                        <c:v>-19.188862275449104</c:v>
                      </c:pt>
                      <c:pt idx="27" formatCode="General">
                        <c:v>-19.216107784431138</c:v>
                      </c:pt>
                      <c:pt idx="28" formatCode="General">
                        <c:v>-19.243353293413172</c:v>
                      </c:pt>
                      <c:pt idx="29" formatCode="General">
                        <c:v>-19.27059880239521</c:v>
                      </c:pt>
                      <c:pt idx="30" formatCode="General">
                        <c:v>-19.297844311377244</c:v>
                      </c:pt>
                      <c:pt idx="31" formatCode="General">
                        <c:v>-19.324022471910112</c:v>
                      </c:pt>
                      <c:pt idx="32" formatCode="General">
                        <c:v>-19.349340823970035</c:v>
                      </c:pt>
                      <c:pt idx="33" formatCode="General">
                        <c:v>-19.374659176029962</c:v>
                      </c:pt>
                      <c:pt idx="34" formatCode="General">
                        <c:v>-19.399977528089888</c:v>
                      </c:pt>
                      <c:pt idx="35" formatCode="General">
                        <c:v>-19.425295880149811</c:v>
                      </c:pt>
                      <c:pt idx="36" formatCode="General">
                        <c:v>-19.450614232209738</c:v>
                      </c:pt>
                      <c:pt idx="37" formatCode="General">
                        <c:v>-19.475932584269664</c:v>
                      </c:pt>
                      <c:pt idx="38" formatCode="General">
                        <c:v>-19.501250936329587</c:v>
                      </c:pt>
                      <c:pt idx="39" formatCode="General">
                        <c:v>-19.526569288389513</c:v>
                      </c:pt>
                      <c:pt idx="40" formatCode="General">
                        <c:v>-19.55188764044944</c:v>
                      </c:pt>
                      <c:pt idx="41" formatCode="General">
                        <c:v>-19.576928838951311</c:v>
                      </c:pt>
                      <c:pt idx="42" formatCode="General">
                        <c:v>-19.601273408239702</c:v>
                      </c:pt>
                      <c:pt idx="43" formatCode="General">
                        <c:v>-19.625617977528091</c:v>
                      </c:pt>
                      <c:pt idx="44" formatCode="General">
                        <c:v>-19.649962546816479</c:v>
                      </c:pt>
                      <c:pt idx="45" formatCode="General">
                        <c:v>-19.67430711610487</c:v>
                      </c:pt>
                      <c:pt idx="46" formatCode="General">
                        <c:v>-19.698651685393259</c:v>
                      </c:pt>
                      <c:pt idx="47" formatCode="General">
                        <c:v>-19.722996254681647</c:v>
                      </c:pt>
                      <c:pt idx="48" formatCode="General">
                        <c:v>-19.747340823970038</c:v>
                      </c:pt>
                      <c:pt idx="49" formatCode="General">
                        <c:v>-19.771685393258426</c:v>
                      </c:pt>
                      <c:pt idx="50" formatCode="General">
                        <c:v>-19.796029962546818</c:v>
                      </c:pt>
                      <c:pt idx="51" formatCode="General">
                        <c:v>-19.820345345345345</c:v>
                      </c:pt>
                      <c:pt idx="52" formatCode="General">
                        <c:v>-19.842792792792793</c:v>
                      </c:pt>
                      <c:pt idx="53" formatCode="General">
                        <c:v>-19.86524024024024</c:v>
                      </c:pt>
                      <c:pt idx="54" formatCode="General">
                        <c:v>-19.887687687687688</c:v>
                      </c:pt>
                      <c:pt idx="55" formatCode="General">
                        <c:v>-19.910135135135135</c:v>
                      </c:pt>
                      <c:pt idx="56" formatCode="General">
                        <c:v>-19.932582582582583</c:v>
                      </c:pt>
                      <c:pt idx="57" formatCode="General">
                        <c:v>-19.955030030030031</c:v>
                      </c:pt>
                      <c:pt idx="58" formatCode="General">
                        <c:v>-19.977477477477478</c:v>
                      </c:pt>
                      <c:pt idx="59" formatCode="General">
                        <c:v>-19.999924924924926</c:v>
                      </c:pt>
                      <c:pt idx="60" formatCode="General">
                        <c:v>-20.022372372372374</c:v>
                      </c:pt>
                      <c:pt idx="61" formatCode="General">
                        <c:v>-20.044819819819821</c:v>
                      </c:pt>
                      <c:pt idx="62" formatCode="General">
                        <c:v>-20.067647058823528</c:v>
                      </c:pt>
                      <c:pt idx="63" formatCode="General">
                        <c:v>-20.090588235294117</c:v>
                      </c:pt>
                      <c:pt idx="64" formatCode="General">
                        <c:v>-20.113030303030303</c:v>
                      </c:pt>
                      <c:pt idx="65" formatCode="General">
                        <c:v>-20.132727272727273</c:v>
                      </c:pt>
                      <c:pt idx="66" formatCode="General">
                        <c:v>-20.152424242424242</c:v>
                      </c:pt>
                      <c:pt idx="67" formatCode="General">
                        <c:v>-20.171764705882353</c:v>
                      </c:pt>
                      <c:pt idx="68" formatCode="General">
                        <c:v>-20.190882352941177</c:v>
                      </c:pt>
                      <c:pt idx="69" formatCode="General">
                        <c:v>-20.21</c:v>
                      </c:pt>
                      <c:pt idx="70" formatCode="General">
                        <c:v>-20.22969696969697</c:v>
                      </c:pt>
                      <c:pt idx="71" formatCode="General">
                        <c:v>-20.24939393939394</c:v>
                      </c:pt>
                      <c:pt idx="72" formatCode="General">
                        <c:v>-20.269022556390979</c:v>
                      </c:pt>
                      <c:pt idx="73" formatCode="General">
                        <c:v>-20.28857142857143</c:v>
                      </c:pt>
                      <c:pt idx="74" formatCode="General">
                        <c:v>-20.308120300751881</c:v>
                      </c:pt>
                      <c:pt idx="75" formatCode="General">
                        <c:v>-20.327669172932332</c:v>
                      </c:pt>
                      <c:pt idx="76" formatCode="General">
                        <c:v>-20.347218045112783</c:v>
                      </c:pt>
                      <c:pt idx="77" formatCode="General">
                        <c:v>-20.366766917293234</c:v>
                      </c:pt>
                      <c:pt idx="78" formatCode="General">
                        <c:v>-20.386315789473684</c:v>
                      </c:pt>
                      <c:pt idx="79" formatCode="General">
                        <c:v>-20.405864661654135</c:v>
                      </c:pt>
                      <c:pt idx="80" formatCode="General">
                        <c:v>-20.425413533834586</c:v>
                      </c:pt>
                      <c:pt idx="81" formatCode="General">
                        <c:v>-20.444962406015037</c:v>
                      </c:pt>
                      <c:pt idx="82" formatCode="General">
                        <c:v>-20.464253731343284</c:v>
                      </c:pt>
                      <c:pt idx="83" formatCode="General">
                        <c:v>-20.48268656716418</c:v>
                      </c:pt>
                      <c:pt idx="84" formatCode="General">
                        <c:v>-20.501119402985076</c:v>
                      </c:pt>
                      <c:pt idx="85" formatCode="General">
                        <c:v>-20.519552238805971</c:v>
                      </c:pt>
                      <c:pt idx="86" formatCode="General">
                        <c:v>-20.537985074626867</c:v>
                      </c:pt>
                      <c:pt idx="87" formatCode="General">
                        <c:v>-20.55641791044776</c:v>
                      </c:pt>
                      <c:pt idx="88" formatCode="General">
                        <c:v>-20.574850746268655</c:v>
                      </c:pt>
                      <c:pt idx="89" formatCode="General">
                        <c:v>-20.593283582089551</c:v>
                      </c:pt>
                      <c:pt idx="90" formatCode="General">
                        <c:v>-20.611716417910447</c:v>
                      </c:pt>
                      <c:pt idx="91" formatCode="General">
                        <c:v>-20.630149253731343</c:v>
                      </c:pt>
                      <c:pt idx="92" formatCode="General">
                        <c:v>-20.648582089552239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EDA-4C12-8154-2CB8D6548BBE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-59.738018018018018</c:v>
                      </c:pt>
                      <c:pt idx="1">
                        <c:v>-58.270150150150151</c:v>
                      </c:pt>
                      <c:pt idx="2" formatCode="General">
                        <c:v>-56.802282282282285</c:v>
                      </c:pt>
                      <c:pt idx="3" formatCode="General">
                        <c:v>-55.828383233532939</c:v>
                      </c:pt>
                      <c:pt idx="4" formatCode="General">
                        <c:v>-54.97209580838323</c:v>
                      </c:pt>
                      <c:pt idx="5" formatCode="General">
                        <c:v>-54.192473053892215</c:v>
                      </c:pt>
                      <c:pt idx="6" formatCode="General">
                        <c:v>-53.657682634730534</c:v>
                      </c:pt>
                      <c:pt idx="7" formatCode="General">
                        <c:v>-53.122892215568861</c:v>
                      </c:pt>
                      <c:pt idx="8" formatCode="General">
                        <c:v>-52.697502994011977</c:v>
                      </c:pt>
                      <c:pt idx="9" formatCode="General">
                        <c:v>-52.326185628742515</c:v>
                      </c:pt>
                      <c:pt idx="10" formatCode="General">
                        <c:v>-51.973356287425155</c:v>
                      </c:pt>
                      <c:pt idx="11" formatCode="General">
                        <c:v>-51.78691916167665</c:v>
                      </c:pt>
                      <c:pt idx="12" formatCode="General">
                        <c:v>-51.600482035928145</c:v>
                      </c:pt>
                      <c:pt idx="13" formatCode="General">
                        <c:v>-51.563200598802396</c:v>
                      </c:pt>
                      <c:pt idx="14" formatCode="General">
                        <c:v>-51.657781437125749</c:v>
                      </c:pt>
                      <c:pt idx="15" formatCode="General">
                        <c:v>-51.752362275449102</c:v>
                      </c:pt>
                      <c:pt idx="16" formatCode="General">
                        <c:v>-52.190309309309306</c:v>
                      </c:pt>
                      <c:pt idx="17" formatCode="General">
                        <c:v>-52.64199099099099</c:v>
                      </c:pt>
                      <c:pt idx="18" formatCode="General">
                        <c:v>-53.067131736526946</c:v>
                      </c:pt>
                      <c:pt idx="19" formatCode="General">
                        <c:v>-53.452461077844312</c:v>
                      </c:pt>
                      <c:pt idx="20" formatCode="General">
                        <c:v>-53.837790419161678</c:v>
                      </c:pt>
                      <c:pt idx="21" formatCode="General">
                        <c:v>-54.24607784431138</c:v>
                      </c:pt>
                      <c:pt idx="22" formatCode="General">
                        <c:v>-54.659041916167666</c:v>
                      </c:pt>
                      <c:pt idx="23" formatCode="General">
                        <c:v>-55.069562874251496</c:v>
                      </c:pt>
                      <c:pt idx="24" formatCode="General">
                        <c:v>-55.473185628742513</c:v>
                      </c:pt>
                      <c:pt idx="25" formatCode="General">
                        <c:v>-55.876808383233538</c:v>
                      </c:pt>
                      <c:pt idx="26" formatCode="General">
                        <c:v>-56.28150898203593</c:v>
                      </c:pt>
                      <c:pt idx="27" formatCode="General">
                        <c:v>-56.686688622754488</c:v>
                      </c:pt>
                      <c:pt idx="28" formatCode="General">
                        <c:v>-57.091868263473046</c:v>
                      </c:pt>
                      <c:pt idx="29" formatCode="General">
                        <c:v>-57.497047904191611</c:v>
                      </c:pt>
                      <c:pt idx="30" formatCode="General">
                        <c:v>-57.902227544910176</c:v>
                      </c:pt>
                      <c:pt idx="31" formatCode="General">
                        <c:v>-58.295494382022468</c:v>
                      </c:pt>
                      <c:pt idx="32" formatCode="General">
                        <c:v>-58.679164794007491</c:v>
                      </c:pt>
                      <c:pt idx="33" formatCode="General">
                        <c:v>-59.062835205992513</c:v>
                      </c:pt>
                      <c:pt idx="34" formatCode="General">
                        <c:v>-59.446505617977529</c:v>
                      </c:pt>
                      <c:pt idx="35" formatCode="General">
                        <c:v>-59.830176029962551</c:v>
                      </c:pt>
                      <c:pt idx="36" formatCode="General">
                        <c:v>-60.213846441947567</c:v>
                      </c:pt>
                      <c:pt idx="37" formatCode="General">
                        <c:v>-60.597516853932589</c:v>
                      </c:pt>
                      <c:pt idx="38" formatCode="General">
                        <c:v>-60.981187265917605</c:v>
                      </c:pt>
                      <c:pt idx="39" formatCode="General">
                        <c:v>-61.364857677902627</c:v>
                      </c:pt>
                      <c:pt idx="40" formatCode="General">
                        <c:v>-61.748528089887643</c:v>
                      </c:pt>
                      <c:pt idx="41" formatCode="General">
                        <c:v>-62.126710861423227</c:v>
                      </c:pt>
                      <c:pt idx="42" formatCode="General">
                        <c:v>-62.49110037453184</c:v>
                      </c:pt>
                      <c:pt idx="43" formatCode="General">
                        <c:v>-62.855489887640452</c:v>
                      </c:pt>
                      <c:pt idx="44" formatCode="General">
                        <c:v>-63.219879400749065</c:v>
                      </c:pt>
                      <c:pt idx="45" formatCode="General">
                        <c:v>-63.584268913857684</c:v>
                      </c:pt>
                      <c:pt idx="46" formatCode="General">
                        <c:v>-63.948658426966297</c:v>
                      </c:pt>
                      <c:pt idx="47" formatCode="General">
                        <c:v>-64.31304794007491</c:v>
                      </c:pt>
                      <c:pt idx="48" formatCode="General">
                        <c:v>-64.677437453183529</c:v>
                      </c:pt>
                      <c:pt idx="49" formatCode="General">
                        <c:v>-65.041826966292135</c:v>
                      </c:pt>
                      <c:pt idx="50" formatCode="General">
                        <c:v>-65.406216479400754</c:v>
                      </c:pt>
                      <c:pt idx="51" formatCode="General">
                        <c:v>-65.770319819819818</c:v>
                      </c:pt>
                      <c:pt idx="52" formatCode="General">
                        <c:v>-66.116108108108108</c:v>
                      </c:pt>
                      <c:pt idx="53" formatCode="General">
                        <c:v>-66.461896396396398</c:v>
                      </c:pt>
                      <c:pt idx="54" formatCode="General">
                        <c:v>-66.807684684684688</c:v>
                      </c:pt>
                      <c:pt idx="55" formatCode="General">
                        <c:v>-67.153472972972978</c:v>
                      </c:pt>
                      <c:pt idx="56" formatCode="General">
                        <c:v>-67.499261261261253</c:v>
                      </c:pt>
                      <c:pt idx="57" formatCode="General">
                        <c:v>-67.845049549549543</c:v>
                      </c:pt>
                      <c:pt idx="58" formatCode="General">
                        <c:v>-68.190837837837833</c:v>
                      </c:pt>
                      <c:pt idx="59" formatCode="General">
                        <c:v>-68.536626126126123</c:v>
                      </c:pt>
                      <c:pt idx="60" formatCode="General">
                        <c:v>-68.882414414414413</c:v>
                      </c:pt>
                      <c:pt idx="61" formatCode="General">
                        <c:v>-69.228202702702703</c:v>
                      </c:pt>
                      <c:pt idx="62" formatCode="General">
                        <c:v>-69.563294117647061</c:v>
                      </c:pt>
                      <c:pt idx="63" formatCode="General">
                        <c:v>-69.89517647058824</c:v>
                      </c:pt>
                      <c:pt idx="64" formatCode="General">
                        <c:v>-70.227272727272734</c:v>
                      </c:pt>
                      <c:pt idx="65" formatCode="General">
                        <c:v>-70.560545454545462</c:v>
                      </c:pt>
                      <c:pt idx="66" formatCode="General">
                        <c:v>-70.89381818181819</c:v>
                      </c:pt>
                      <c:pt idx="67" formatCode="General">
                        <c:v>-71.221058823529418</c:v>
                      </c:pt>
                      <c:pt idx="68" formatCode="General">
                        <c:v>-71.544529411764699</c:v>
                      </c:pt>
                      <c:pt idx="69" formatCode="General">
                        <c:v>-71.867999999999995</c:v>
                      </c:pt>
                      <c:pt idx="70" formatCode="General">
                        <c:v>-72.200878787878793</c:v>
                      </c:pt>
                      <c:pt idx="71" formatCode="General">
                        <c:v>-72.533757575757576</c:v>
                      </c:pt>
                      <c:pt idx="72" formatCode="General">
                        <c:v>-72.86223308270678</c:v>
                      </c:pt>
                      <c:pt idx="73" formatCode="General">
                        <c:v>-73.185571428571436</c:v>
                      </c:pt>
                      <c:pt idx="74" formatCode="General">
                        <c:v>-73.508909774436091</c:v>
                      </c:pt>
                      <c:pt idx="75" formatCode="General">
                        <c:v>-73.832248120300747</c:v>
                      </c:pt>
                      <c:pt idx="76" formatCode="General">
                        <c:v>-74.155586466165417</c:v>
                      </c:pt>
                      <c:pt idx="77" formatCode="General">
                        <c:v>-74.478924812030073</c:v>
                      </c:pt>
                      <c:pt idx="78" formatCode="General">
                        <c:v>-74.802263157894728</c:v>
                      </c:pt>
                      <c:pt idx="79" formatCode="General">
                        <c:v>-75.125601503759384</c:v>
                      </c:pt>
                      <c:pt idx="80" formatCode="General">
                        <c:v>-75.448939849624054</c:v>
                      </c:pt>
                      <c:pt idx="81" formatCode="General">
                        <c:v>-75.77227819548871</c:v>
                      </c:pt>
                      <c:pt idx="82" formatCode="General">
                        <c:v>-76.09295522388058</c:v>
                      </c:pt>
                      <c:pt idx="83" formatCode="General">
                        <c:v>-76.404761194029845</c:v>
                      </c:pt>
                      <c:pt idx="84" formatCode="General">
                        <c:v>-76.716567164179096</c:v>
                      </c:pt>
                      <c:pt idx="85" formatCode="General">
                        <c:v>-77.028373134328348</c:v>
                      </c:pt>
                      <c:pt idx="86" formatCode="General">
                        <c:v>-77.340179104477599</c:v>
                      </c:pt>
                      <c:pt idx="87" formatCode="General">
                        <c:v>-77.651985074626865</c:v>
                      </c:pt>
                      <c:pt idx="88" formatCode="General">
                        <c:v>-77.963791044776116</c:v>
                      </c:pt>
                      <c:pt idx="89" formatCode="General">
                        <c:v>-78.275597014925367</c:v>
                      </c:pt>
                      <c:pt idx="90" formatCode="General">
                        <c:v>-78.587402985074618</c:v>
                      </c:pt>
                      <c:pt idx="91" formatCode="General">
                        <c:v>-78.899208955223884</c:v>
                      </c:pt>
                      <c:pt idx="92" formatCode="General">
                        <c:v>-79.211014925373135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EDA-4C12-8154-2CB8D6548BBE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-37.719099099099097</c:v>
                      </c:pt>
                      <c:pt idx="1">
                        <c:v>-36.579159159159161</c:v>
                      </c:pt>
                      <c:pt idx="2" formatCode="General">
                        <c:v>-35.439219219219218</c:v>
                      </c:pt>
                      <c:pt idx="3" formatCode="General">
                        <c:v>-34.500089820359278</c:v>
                      </c:pt>
                      <c:pt idx="4" formatCode="General">
                        <c:v>-33.60877245508982</c:v>
                      </c:pt>
                      <c:pt idx="5" formatCode="General">
                        <c:v>-32.764419161676642</c:v>
                      </c:pt>
                      <c:pt idx="6" formatCode="General">
                        <c:v>-32.070047904191618</c:v>
                      </c:pt>
                      <c:pt idx="7" formatCode="General">
                        <c:v>-31.375676646706587</c:v>
                      </c:pt>
                      <c:pt idx="8" formatCode="General">
                        <c:v>-30.795916167664672</c:v>
                      </c:pt>
                      <c:pt idx="9" formatCode="General">
                        <c:v>-30.272802395209581</c:v>
                      </c:pt>
                      <c:pt idx="10" formatCode="General">
                        <c:v>-29.77206886227545</c:v>
                      </c:pt>
                      <c:pt idx="11" formatCode="General">
                        <c:v>-29.472757485029941</c:v>
                      </c:pt>
                      <c:pt idx="12" formatCode="General">
                        <c:v>-29.173446107784432</c:v>
                      </c:pt>
                      <c:pt idx="13" formatCode="General">
                        <c:v>-29.019158682634732</c:v>
                      </c:pt>
                      <c:pt idx="14" formatCode="General">
                        <c:v>-28.993080838323355</c:v>
                      </c:pt>
                      <c:pt idx="15" formatCode="General">
                        <c:v>-28.967002994011978</c:v>
                      </c:pt>
                      <c:pt idx="16" formatCode="General">
                        <c:v>-29.306465465465465</c:v>
                      </c:pt>
                      <c:pt idx="17" formatCode="General">
                        <c:v>-29.66054954954955</c:v>
                      </c:pt>
                      <c:pt idx="18" formatCode="General">
                        <c:v>-29.950844311377246</c:v>
                      </c:pt>
                      <c:pt idx="19" formatCode="General">
                        <c:v>-30.145455089820359</c:v>
                      </c:pt>
                      <c:pt idx="20" formatCode="General">
                        <c:v>-30.340065868263473</c:v>
                      </c:pt>
                      <c:pt idx="21" formatCode="General">
                        <c:v>-30.55440119760479</c:v>
                      </c:pt>
                      <c:pt idx="22" formatCode="General">
                        <c:v>-30.772754491017963</c:v>
                      </c:pt>
                      <c:pt idx="23" formatCode="General">
                        <c:v>-30.990700598802395</c:v>
                      </c:pt>
                      <c:pt idx="24" formatCode="General">
                        <c:v>-31.207497005988024</c:v>
                      </c:pt>
                      <c:pt idx="25" formatCode="General">
                        <c:v>-31.424293413173654</c:v>
                      </c:pt>
                      <c:pt idx="26" formatCode="General">
                        <c:v>-31.642167664670659</c:v>
                      </c:pt>
                      <c:pt idx="27" formatCode="General">
                        <c:v>-31.860520958083832</c:v>
                      </c:pt>
                      <c:pt idx="28" formatCode="General">
                        <c:v>-32.078874251497005</c:v>
                      </c:pt>
                      <c:pt idx="29" formatCode="General">
                        <c:v>-32.297227544910179</c:v>
                      </c:pt>
                      <c:pt idx="30" formatCode="General">
                        <c:v>-32.515580838323352</c:v>
                      </c:pt>
                      <c:pt idx="31" formatCode="General">
                        <c:v>-32.727876404494381</c:v>
                      </c:pt>
                      <c:pt idx="32" formatCode="General">
                        <c:v>-32.935292134831464</c:v>
                      </c:pt>
                      <c:pt idx="33" formatCode="General">
                        <c:v>-33.142707865168539</c:v>
                      </c:pt>
                      <c:pt idx="34" formatCode="General">
                        <c:v>-33.350123595505622</c:v>
                      </c:pt>
                      <c:pt idx="35" formatCode="General">
                        <c:v>-33.557539325842697</c:v>
                      </c:pt>
                      <c:pt idx="36" formatCode="General">
                        <c:v>-33.76495505617978</c:v>
                      </c:pt>
                      <c:pt idx="37" formatCode="General">
                        <c:v>-33.972370786516855</c:v>
                      </c:pt>
                      <c:pt idx="38" formatCode="General">
                        <c:v>-34.179786516853937</c:v>
                      </c:pt>
                      <c:pt idx="39" formatCode="General">
                        <c:v>-34.387202247191013</c:v>
                      </c:pt>
                      <c:pt idx="40" formatCode="General">
                        <c:v>-34.594617977528095</c:v>
                      </c:pt>
                      <c:pt idx="41" formatCode="General">
                        <c:v>-34.799040449438202</c:v>
                      </c:pt>
                      <c:pt idx="42" formatCode="General">
                        <c:v>-34.995939325842699</c:v>
                      </c:pt>
                      <c:pt idx="43" formatCode="General">
                        <c:v>-35.192838202247195</c:v>
                      </c:pt>
                      <c:pt idx="44" formatCode="General">
                        <c:v>-35.389737078651684</c:v>
                      </c:pt>
                      <c:pt idx="45" formatCode="General">
                        <c:v>-35.586635955056181</c:v>
                      </c:pt>
                      <c:pt idx="46" formatCode="General">
                        <c:v>-35.783534831460678</c:v>
                      </c:pt>
                      <c:pt idx="47" formatCode="General">
                        <c:v>-35.980433707865167</c:v>
                      </c:pt>
                      <c:pt idx="48" formatCode="General">
                        <c:v>-36.177332584269664</c:v>
                      </c:pt>
                      <c:pt idx="49" formatCode="General">
                        <c:v>-36.37423146067416</c:v>
                      </c:pt>
                      <c:pt idx="50" formatCode="General">
                        <c:v>-36.571130337078657</c:v>
                      </c:pt>
                      <c:pt idx="51" formatCode="General">
                        <c:v>-36.767872372372373</c:v>
                      </c:pt>
                      <c:pt idx="52" formatCode="General">
                        <c:v>-36.954576576576578</c:v>
                      </c:pt>
                      <c:pt idx="53" formatCode="General">
                        <c:v>-37.141280780780782</c:v>
                      </c:pt>
                      <c:pt idx="54" formatCode="General">
                        <c:v>-37.327984984984987</c:v>
                      </c:pt>
                      <c:pt idx="55" formatCode="General">
                        <c:v>-37.514689189189191</c:v>
                      </c:pt>
                      <c:pt idx="56" formatCode="General">
                        <c:v>-37.701393393393396</c:v>
                      </c:pt>
                      <c:pt idx="57" formatCode="General">
                        <c:v>-37.888097597597593</c:v>
                      </c:pt>
                      <c:pt idx="58" formatCode="General">
                        <c:v>-38.074801801801797</c:v>
                      </c:pt>
                      <c:pt idx="59" formatCode="General">
                        <c:v>-38.261506006006002</c:v>
                      </c:pt>
                      <c:pt idx="60" formatCode="General">
                        <c:v>-38.448210210210206</c:v>
                      </c:pt>
                      <c:pt idx="61" formatCode="General">
                        <c:v>-38.634914414414411</c:v>
                      </c:pt>
                      <c:pt idx="62" formatCode="General">
                        <c:v>-38.815647058823529</c:v>
                      </c:pt>
                      <c:pt idx="63" formatCode="General">
                        <c:v>-38.994588235294117</c:v>
                      </c:pt>
                      <c:pt idx="64" formatCode="General">
                        <c:v>-39.173636363636362</c:v>
                      </c:pt>
                      <c:pt idx="65" formatCode="General">
                        <c:v>-39.353272727272731</c:v>
                      </c:pt>
                      <c:pt idx="66" formatCode="General">
                        <c:v>-39.532909090909094</c:v>
                      </c:pt>
                      <c:pt idx="67" formatCode="General">
                        <c:v>-39.709294117647062</c:v>
                      </c:pt>
                      <c:pt idx="68" formatCode="General">
                        <c:v>-39.883647058823527</c:v>
                      </c:pt>
                      <c:pt idx="69" formatCode="General">
                        <c:v>-40.058</c:v>
                      </c:pt>
                      <c:pt idx="70" formatCode="General">
                        <c:v>-40.237242424242424</c:v>
                      </c:pt>
                      <c:pt idx="71" formatCode="General">
                        <c:v>-40.416484848484849</c:v>
                      </c:pt>
                      <c:pt idx="72" formatCode="General">
                        <c:v>-40.593210526315794</c:v>
                      </c:pt>
                      <c:pt idx="73" formatCode="General">
                        <c:v>-40.767000000000003</c:v>
                      </c:pt>
                      <c:pt idx="74" formatCode="General">
                        <c:v>-40.940789473684212</c:v>
                      </c:pt>
                      <c:pt idx="75" formatCode="General">
                        <c:v>-41.114578947368422</c:v>
                      </c:pt>
                      <c:pt idx="76" formatCode="General">
                        <c:v>-41.288368421052631</c:v>
                      </c:pt>
                      <c:pt idx="77" formatCode="General">
                        <c:v>-41.462157894736841</c:v>
                      </c:pt>
                      <c:pt idx="78" formatCode="General">
                        <c:v>-41.63594736842105</c:v>
                      </c:pt>
                      <c:pt idx="79" formatCode="General">
                        <c:v>-41.809736842105259</c:v>
                      </c:pt>
                      <c:pt idx="80" formatCode="General">
                        <c:v>-41.983526315789469</c:v>
                      </c:pt>
                      <c:pt idx="81" formatCode="General">
                        <c:v>-42.157315789473685</c:v>
                      </c:pt>
                      <c:pt idx="82" formatCode="General">
                        <c:v>-42.329597014925369</c:v>
                      </c:pt>
                      <c:pt idx="83" formatCode="General">
                        <c:v>-42.496850746268656</c:v>
                      </c:pt>
                      <c:pt idx="84" formatCode="General">
                        <c:v>-42.664104477611936</c:v>
                      </c:pt>
                      <c:pt idx="85" formatCode="General">
                        <c:v>-42.831358208955223</c:v>
                      </c:pt>
                      <c:pt idx="86" formatCode="General">
                        <c:v>-42.998611940298503</c:v>
                      </c:pt>
                      <c:pt idx="87" formatCode="General">
                        <c:v>-43.165865671641789</c:v>
                      </c:pt>
                      <c:pt idx="88" formatCode="General">
                        <c:v>-43.333119402985076</c:v>
                      </c:pt>
                      <c:pt idx="89" formatCode="General">
                        <c:v>-43.500373134328356</c:v>
                      </c:pt>
                      <c:pt idx="90" formatCode="General">
                        <c:v>-43.667626865671643</c:v>
                      </c:pt>
                      <c:pt idx="91" formatCode="General">
                        <c:v>-43.834880597014923</c:v>
                      </c:pt>
                      <c:pt idx="92" formatCode="General">
                        <c:v>-44.00213432835821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EDA-4C12-8154-2CB8D6548BBE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-185.62738738738739</c:v>
                      </c:pt>
                      <c:pt idx="1">
                        <c:v>-179.20156156156156</c:v>
                      </c:pt>
                      <c:pt idx="2" formatCode="General">
                        <c:v>-172.77573573573576</c:v>
                      </c:pt>
                      <c:pt idx="3" formatCode="General">
                        <c:v>-167.34314371257486</c:v>
                      </c:pt>
                      <c:pt idx="4" formatCode="General">
                        <c:v>-162.14703592814371</c:v>
                      </c:pt>
                      <c:pt idx="5" formatCode="General">
                        <c:v>-157.16997005988023</c:v>
                      </c:pt>
                      <c:pt idx="6" formatCode="General">
                        <c:v>-152.89242514970059</c:v>
                      </c:pt>
                      <c:pt idx="7" formatCode="General">
                        <c:v>-148.61488023952094</c:v>
                      </c:pt>
                      <c:pt idx="8" formatCode="General">
                        <c:v>-144.8009880239521</c:v>
                      </c:pt>
                      <c:pt idx="9" formatCode="General">
                        <c:v>-141.21625748502993</c:v>
                      </c:pt>
                      <c:pt idx="10" formatCode="General">
                        <c:v>-137.6875748502994</c:v>
                      </c:pt>
                      <c:pt idx="11" formatCode="General">
                        <c:v>-134.66332335329341</c:v>
                      </c:pt>
                      <c:pt idx="12" formatCode="General">
                        <c:v>-131.63907185628744</c:v>
                      </c:pt>
                      <c:pt idx="13" formatCode="General">
                        <c:v>-128.87098802395209</c:v>
                      </c:pt>
                      <c:pt idx="14" formatCode="General">
                        <c:v>-126.32937125748504</c:v>
                      </c:pt>
                      <c:pt idx="15" formatCode="General">
                        <c:v>-123.78775449101796</c:v>
                      </c:pt>
                      <c:pt idx="16" formatCode="General">
                        <c:v>-123.31837837837838</c:v>
                      </c:pt>
                      <c:pt idx="17" formatCode="General">
                        <c:v>-122.93189189189189</c:v>
                      </c:pt>
                      <c:pt idx="18" formatCode="General">
                        <c:v>-123.33988023952097</c:v>
                      </c:pt>
                      <c:pt idx="19" formatCode="General">
                        <c:v>-124.93958083832335</c:v>
                      </c:pt>
                      <c:pt idx="20" formatCode="General">
                        <c:v>-126.53928143712575</c:v>
                      </c:pt>
                      <c:pt idx="21" formatCode="General">
                        <c:v>-128.13574850299401</c:v>
                      </c:pt>
                      <c:pt idx="22" formatCode="General">
                        <c:v>-129.73155688622754</c:v>
                      </c:pt>
                      <c:pt idx="23" formatCode="General">
                        <c:v>-131.31718562874252</c:v>
                      </c:pt>
                      <c:pt idx="24" formatCode="General">
                        <c:v>-132.87407185628743</c:v>
                      </c:pt>
                      <c:pt idx="25" formatCode="General">
                        <c:v>-134.43095808383234</c:v>
                      </c:pt>
                      <c:pt idx="26" formatCode="General">
                        <c:v>-135.97167664670658</c:v>
                      </c:pt>
                      <c:pt idx="27" formatCode="General">
                        <c:v>-137.50520958083831</c:v>
                      </c:pt>
                      <c:pt idx="28" formatCode="General">
                        <c:v>-139.03586826347305</c:v>
                      </c:pt>
                      <c:pt idx="29" formatCode="General">
                        <c:v>-140.54604790419162</c:v>
                      </c:pt>
                      <c:pt idx="30" formatCode="General">
                        <c:v>-142.05622754491017</c:v>
                      </c:pt>
                      <c:pt idx="31" formatCode="General">
                        <c:v>-143.50932584269663</c:v>
                      </c:pt>
                      <c:pt idx="32" formatCode="General">
                        <c:v>-144.91644194756554</c:v>
                      </c:pt>
                      <c:pt idx="33" formatCode="General">
                        <c:v>-146.32355805243446</c:v>
                      </c:pt>
                      <c:pt idx="34" formatCode="General">
                        <c:v>-147.73067415730338</c:v>
                      </c:pt>
                      <c:pt idx="35" formatCode="General">
                        <c:v>-149.13779026217227</c:v>
                      </c:pt>
                      <c:pt idx="36" formatCode="General">
                        <c:v>-150.54490636704119</c:v>
                      </c:pt>
                      <c:pt idx="37" formatCode="General">
                        <c:v>-151.95202247191011</c:v>
                      </c:pt>
                      <c:pt idx="38" formatCode="General">
                        <c:v>-153.35913857677903</c:v>
                      </c:pt>
                      <c:pt idx="39" formatCode="General">
                        <c:v>-154.76625468164795</c:v>
                      </c:pt>
                      <c:pt idx="40" formatCode="General">
                        <c:v>-156.17337078651687</c:v>
                      </c:pt>
                      <c:pt idx="41" formatCode="General">
                        <c:v>-157.53143071161051</c:v>
                      </c:pt>
                      <c:pt idx="42" formatCode="General">
                        <c:v>-158.76618726591761</c:v>
                      </c:pt>
                      <c:pt idx="43" formatCode="General">
                        <c:v>-160.00094382022473</c:v>
                      </c:pt>
                      <c:pt idx="44" formatCode="General">
                        <c:v>-161.23570037453186</c:v>
                      </c:pt>
                      <c:pt idx="45" formatCode="General">
                        <c:v>-162.47045692883896</c:v>
                      </c:pt>
                      <c:pt idx="46" formatCode="General">
                        <c:v>-163.70521348314608</c:v>
                      </c:pt>
                      <c:pt idx="47" formatCode="General">
                        <c:v>-164.93997003745321</c:v>
                      </c:pt>
                      <c:pt idx="48" formatCode="General">
                        <c:v>-166.1747265917603</c:v>
                      </c:pt>
                      <c:pt idx="49" formatCode="General">
                        <c:v>-167.40948314606743</c:v>
                      </c:pt>
                      <c:pt idx="50" formatCode="General">
                        <c:v>-168.64423970037456</c:v>
                      </c:pt>
                      <c:pt idx="51" formatCode="General">
                        <c:v>-169.87605105105106</c:v>
                      </c:pt>
                      <c:pt idx="52" formatCode="General">
                        <c:v>-170.91936936936938</c:v>
                      </c:pt>
                      <c:pt idx="53" formatCode="General">
                        <c:v>-171.96268768768769</c:v>
                      </c:pt>
                      <c:pt idx="54" formatCode="General">
                        <c:v>-173.00600600600603</c:v>
                      </c:pt>
                      <c:pt idx="55" formatCode="General">
                        <c:v>-174.04932432432435</c:v>
                      </c:pt>
                      <c:pt idx="56" formatCode="General">
                        <c:v>-175.09264264264266</c:v>
                      </c:pt>
                      <c:pt idx="57" formatCode="General">
                        <c:v>-176.13596096096097</c:v>
                      </c:pt>
                      <c:pt idx="58" formatCode="General">
                        <c:v>-177.17927927927929</c:v>
                      </c:pt>
                      <c:pt idx="59" formatCode="General">
                        <c:v>-178.2225975975976</c:v>
                      </c:pt>
                      <c:pt idx="60" formatCode="General">
                        <c:v>-179.26591591591594</c:v>
                      </c:pt>
                      <c:pt idx="61" formatCode="General">
                        <c:v>-180.30923423423425</c:v>
                      </c:pt>
                      <c:pt idx="62" formatCode="General">
                        <c:v>-181.23823529411766</c:v>
                      </c:pt>
                      <c:pt idx="63" formatCode="General">
                        <c:v>-182.13294117647058</c:v>
                      </c:pt>
                      <c:pt idx="64" formatCode="General">
                        <c:v>-183.02393939393937</c:v>
                      </c:pt>
                      <c:pt idx="65" formatCode="General">
                        <c:v>-183.89454545454547</c:v>
                      </c:pt>
                      <c:pt idx="66" formatCode="General">
                        <c:v>-184.76515151515153</c:v>
                      </c:pt>
                      <c:pt idx="67" formatCode="General">
                        <c:v>-185.58235294117648</c:v>
                      </c:pt>
                      <c:pt idx="68" formatCode="General">
                        <c:v>-186.36617647058824</c:v>
                      </c:pt>
                      <c:pt idx="69" formatCode="General">
                        <c:v>-187.14999999999998</c:v>
                      </c:pt>
                      <c:pt idx="70" formatCode="General">
                        <c:v>-187.91818181818181</c:v>
                      </c:pt>
                      <c:pt idx="71" formatCode="General">
                        <c:v>-188.68636363636364</c:v>
                      </c:pt>
                      <c:pt idx="72" formatCode="General">
                        <c:v>-189.38466165413536</c:v>
                      </c:pt>
                      <c:pt idx="73" formatCode="General">
                        <c:v>-190.00142857142859</c:v>
                      </c:pt>
                      <c:pt idx="74" formatCode="General">
                        <c:v>-190.61819548872182</c:v>
                      </c:pt>
                      <c:pt idx="75" formatCode="General">
                        <c:v>-191.23496240601506</c:v>
                      </c:pt>
                      <c:pt idx="76" formatCode="General">
                        <c:v>-191.85172932330829</c:v>
                      </c:pt>
                      <c:pt idx="77" formatCode="General">
                        <c:v>-192.46849624060152</c:v>
                      </c:pt>
                      <c:pt idx="78" formatCode="General">
                        <c:v>-193.08526315789473</c:v>
                      </c:pt>
                      <c:pt idx="79" formatCode="General">
                        <c:v>-193.70203007518796</c:v>
                      </c:pt>
                      <c:pt idx="80" formatCode="General">
                        <c:v>-194.3187969924812</c:v>
                      </c:pt>
                      <c:pt idx="81" formatCode="General">
                        <c:v>-194.93556390977443</c:v>
                      </c:pt>
                      <c:pt idx="82" formatCode="General">
                        <c:v>-195.49843283582089</c:v>
                      </c:pt>
                      <c:pt idx="83" formatCode="General">
                        <c:v>-195.88164179104479</c:v>
                      </c:pt>
                      <c:pt idx="84" formatCode="General">
                        <c:v>-196.26485074626865</c:v>
                      </c:pt>
                      <c:pt idx="85" formatCode="General">
                        <c:v>-196.64805970149254</c:v>
                      </c:pt>
                      <c:pt idx="86" formatCode="General">
                        <c:v>-197.03126865671643</c:v>
                      </c:pt>
                      <c:pt idx="87" formatCode="General">
                        <c:v>-197.4144776119403</c:v>
                      </c:pt>
                      <c:pt idx="88" formatCode="General">
                        <c:v>-197.79768656716419</c:v>
                      </c:pt>
                      <c:pt idx="89" formatCode="General">
                        <c:v>-198.18089552238806</c:v>
                      </c:pt>
                      <c:pt idx="90" formatCode="General">
                        <c:v>-198.56410447761195</c:v>
                      </c:pt>
                      <c:pt idx="91" formatCode="General">
                        <c:v>-198.94731343283584</c:v>
                      </c:pt>
                      <c:pt idx="92" formatCode="General">
                        <c:v>-199.33052238805971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EDA-4C12-8154-2CB8D6548BBE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-59.785315315315316</c:v>
                      </c:pt>
                      <c:pt idx="1">
                        <c:v>-57.064294294294292</c:v>
                      </c:pt>
                      <c:pt idx="2" formatCode="General">
                        <c:v>-54.343273273273276</c:v>
                      </c:pt>
                      <c:pt idx="3" formatCode="General">
                        <c:v>-51.679131736526941</c:v>
                      </c:pt>
                      <c:pt idx="4" formatCode="General">
                        <c:v>-49.028532934131732</c:v>
                      </c:pt>
                      <c:pt idx="5" formatCode="General">
                        <c:v>-46.442904191616762</c:v>
                      </c:pt>
                      <c:pt idx="6" formatCode="General">
                        <c:v>-44.064760479041915</c:v>
                      </c:pt>
                      <c:pt idx="7" formatCode="General">
                        <c:v>-41.686616766467068</c:v>
                      </c:pt>
                      <c:pt idx="8" formatCode="General">
                        <c:v>-39.548113772455089</c:v>
                      </c:pt>
                      <c:pt idx="9" formatCode="General">
                        <c:v>-37.528053892215567</c:v>
                      </c:pt>
                      <c:pt idx="10" formatCode="General">
                        <c:v>-35.541856287425148</c:v>
                      </c:pt>
                      <c:pt idx="11" formatCode="General">
                        <c:v>-33.860419161676646</c:v>
                      </c:pt>
                      <c:pt idx="12" formatCode="General">
                        <c:v>-32.178982035928144</c:v>
                      </c:pt>
                      <c:pt idx="13" formatCode="General">
                        <c:v>-30.619431137724554</c:v>
                      </c:pt>
                      <c:pt idx="14" formatCode="General">
                        <c:v>-29.167634730538925</c:v>
                      </c:pt>
                      <c:pt idx="15" formatCode="General">
                        <c:v>-27.715838323353292</c:v>
                      </c:pt>
                      <c:pt idx="16" formatCode="General">
                        <c:v>-27.333423423423422</c:v>
                      </c:pt>
                      <c:pt idx="17" formatCode="General">
                        <c:v>-26.993783783783783</c:v>
                      </c:pt>
                      <c:pt idx="18" formatCode="General">
                        <c:v>-26.995508982035929</c:v>
                      </c:pt>
                      <c:pt idx="19" formatCode="General">
                        <c:v>-27.509281437125747</c:v>
                      </c:pt>
                      <c:pt idx="20" formatCode="General">
                        <c:v>-28.023053892215568</c:v>
                      </c:pt>
                      <c:pt idx="21" formatCode="General">
                        <c:v>-28.530359281437125</c:v>
                      </c:pt>
                      <c:pt idx="22" formatCode="General">
                        <c:v>-29.036347305389221</c:v>
                      </c:pt>
                      <c:pt idx="23" formatCode="General">
                        <c:v>-29.540299401197604</c:v>
                      </c:pt>
                      <c:pt idx="24" formatCode="General">
                        <c:v>-30.038502994011978</c:v>
                      </c:pt>
                      <c:pt idx="25" formatCode="General">
                        <c:v>-30.536706586826348</c:v>
                      </c:pt>
                      <c:pt idx="26" formatCode="General">
                        <c:v>-31.026826347305391</c:v>
                      </c:pt>
                      <c:pt idx="27" formatCode="General">
                        <c:v>-31.513353293413175</c:v>
                      </c:pt>
                      <c:pt idx="28" formatCode="General">
                        <c:v>-31.998443113772456</c:v>
                      </c:pt>
                      <c:pt idx="29" formatCode="General">
                        <c:v>-32.47329341317365</c:v>
                      </c:pt>
                      <c:pt idx="30" formatCode="General">
                        <c:v>-32.948143712574847</c:v>
                      </c:pt>
                      <c:pt idx="31" formatCode="General">
                        <c:v>-33.403235955056175</c:v>
                      </c:pt>
                      <c:pt idx="32" formatCode="General">
                        <c:v>-33.842411985018728</c:v>
                      </c:pt>
                      <c:pt idx="33" formatCode="General">
                        <c:v>-34.281588014981274</c:v>
                      </c:pt>
                      <c:pt idx="34" formatCode="General">
                        <c:v>-34.72076404494382</c:v>
                      </c:pt>
                      <c:pt idx="35" formatCode="General">
                        <c:v>-35.159940074906366</c:v>
                      </c:pt>
                      <c:pt idx="36" formatCode="General">
                        <c:v>-35.599116104868912</c:v>
                      </c:pt>
                      <c:pt idx="37" formatCode="General">
                        <c:v>-36.038292134831465</c:v>
                      </c:pt>
                      <c:pt idx="38" formatCode="General">
                        <c:v>-36.477468164794011</c:v>
                      </c:pt>
                      <c:pt idx="39" formatCode="General">
                        <c:v>-36.916644194756557</c:v>
                      </c:pt>
                      <c:pt idx="40" formatCode="General">
                        <c:v>-37.355820224719103</c:v>
                      </c:pt>
                      <c:pt idx="41" formatCode="General">
                        <c:v>-37.774209737827718</c:v>
                      </c:pt>
                      <c:pt idx="42" formatCode="General">
                        <c:v>-38.1403520599251</c:v>
                      </c:pt>
                      <c:pt idx="43" formatCode="General">
                        <c:v>-38.506494382022474</c:v>
                      </c:pt>
                      <c:pt idx="44" formatCode="General">
                        <c:v>-38.872636704119856</c:v>
                      </c:pt>
                      <c:pt idx="45" formatCode="General">
                        <c:v>-39.23877902621723</c:v>
                      </c:pt>
                      <c:pt idx="46" formatCode="General">
                        <c:v>-39.604921348314612</c:v>
                      </c:pt>
                      <c:pt idx="47" formatCode="General">
                        <c:v>-39.971063670411986</c:v>
                      </c:pt>
                      <c:pt idx="48" formatCode="General">
                        <c:v>-40.337205992509368</c:v>
                      </c:pt>
                      <c:pt idx="49" formatCode="General">
                        <c:v>-40.703348314606743</c:v>
                      </c:pt>
                      <c:pt idx="50" formatCode="General">
                        <c:v>-41.069490636704124</c:v>
                      </c:pt>
                      <c:pt idx="51" formatCode="General">
                        <c:v>-41.434354354354355</c:v>
                      </c:pt>
                      <c:pt idx="52" formatCode="General">
                        <c:v>-41.71738738738739</c:v>
                      </c:pt>
                      <c:pt idx="53" formatCode="General">
                        <c:v>-42.000420420420419</c:v>
                      </c:pt>
                      <c:pt idx="54" formatCode="General">
                        <c:v>-42.283453453453454</c:v>
                      </c:pt>
                      <c:pt idx="55" formatCode="General">
                        <c:v>-42.56648648648649</c:v>
                      </c:pt>
                      <c:pt idx="56" formatCode="General">
                        <c:v>-42.849519519519518</c:v>
                      </c:pt>
                      <c:pt idx="57" formatCode="General">
                        <c:v>-43.132552552552553</c:v>
                      </c:pt>
                      <c:pt idx="58" formatCode="General">
                        <c:v>-43.415585585585582</c:v>
                      </c:pt>
                      <c:pt idx="59" formatCode="General">
                        <c:v>-43.698618618618617</c:v>
                      </c:pt>
                      <c:pt idx="60" formatCode="General">
                        <c:v>-43.981651651651653</c:v>
                      </c:pt>
                      <c:pt idx="61" formatCode="General">
                        <c:v>-44.264684684684681</c:v>
                      </c:pt>
                      <c:pt idx="62" formatCode="General">
                        <c:v>-44.497647058823524</c:v>
                      </c:pt>
                      <c:pt idx="63" formatCode="General">
                        <c:v>-44.715588235294113</c:v>
                      </c:pt>
                      <c:pt idx="64" formatCode="General">
                        <c:v>-44.93151515151515</c:v>
                      </c:pt>
                      <c:pt idx="65" formatCode="General">
                        <c:v>-45.136363636363633</c:v>
                      </c:pt>
                      <c:pt idx="66" formatCode="General">
                        <c:v>-45.341212121212124</c:v>
                      </c:pt>
                      <c:pt idx="67" formatCode="General">
                        <c:v>-45.523529411764706</c:v>
                      </c:pt>
                      <c:pt idx="68" formatCode="General">
                        <c:v>-45.691764705882356</c:v>
                      </c:pt>
                      <c:pt idx="69" formatCode="General">
                        <c:v>-45.86</c:v>
                      </c:pt>
                      <c:pt idx="70" formatCode="General">
                        <c:v>-46.013636363636365</c:v>
                      </c:pt>
                      <c:pt idx="71" formatCode="General">
                        <c:v>-46.167272727272724</c:v>
                      </c:pt>
                      <c:pt idx="72" formatCode="General">
                        <c:v>-46.288796992481203</c:v>
                      </c:pt>
                      <c:pt idx="73" formatCode="General">
                        <c:v>-46.372857142857143</c:v>
                      </c:pt>
                      <c:pt idx="74" formatCode="General">
                        <c:v>-46.456917293233083</c:v>
                      </c:pt>
                      <c:pt idx="75" formatCode="General">
                        <c:v>-46.540977443609023</c:v>
                      </c:pt>
                      <c:pt idx="76" formatCode="General">
                        <c:v>-46.625037593984963</c:v>
                      </c:pt>
                      <c:pt idx="77" formatCode="General">
                        <c:v>-46.709097744360903</c:v>
                      </c:pt>
                      <c:pt idx="78" formatCode="General">
                        <c:v>-46.793157894736844</c:v>
                      </c:pt>
                      <c:pt idx="79" formatCode="General">
                        <c:v>-46.877218045112784</c:v>
                      </c:pt>
                      <c:pt idx="80" formatCode="General">
                        <c:v>-46.961278195488724</c:v>
                      </c:pt>
                      <c:pt idx="81" formatCode="General">
                        <c:v>-47.045338345864664</c:v>
                      </c:pt>
                      <c:pt idx="82" formatCode="General">
                        <c:v>-47.104179104477609</c:v>
                      </c:pt>
                      <c:pt idx="83" formatCode="General">
                        <c:v>-47.078955223880598</c:v>
                      </c:pt>
                      <c:pt idx="84" formatCode="General">
                        <c:v>-47.05373134328358</c:v>
                      </c:pt>
                      <c:pt idx="85" formatCode="General">
                        <c:v>-47.028507462686569</c:v>
                      </c:pt>
                      <c:pt idx="86" formatCode="General">
                        <c:v>-47.003283582089551</c:v>
                      </c:pt>
                      <c:pt idx="87" formatCode="General">
                        <c:v>-46.978059701492541</c:v>
                      </c:pt>
                      <c:pt idx="88" formatCode="General">
                        <c:v>-46.952835820895523</c:v>
                      </c:pt>
                      <c:pt idx="89" formatCode="General">
                        <c:v>-46.927611940298512</c:v>
                      </c:pt>
                      <c:pt idx="90" formatCode="General">
                        <c:v>-46.902388059701494</c:v>
                      </c:pt>
                      <c:pt idx="91" formatCode="General">
                        <c:v>-46.877164179104476</c:v>
                      </c:pt>
                      <c:pt idx="92" formatCode="General">
                        <c:v>-46.851940298507465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EDA-4C12-8154-2CB8D6548BBE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-22.018918918918921</c:v>
                      </c:pt>
                      <c:pt idx="1">
                        <c:v>-21.69099099099099</c:v>
                      </c:pt>
                      <c:pt idx="2" formatCode="General">
                        <c:v>-21.363063063063063</c:v>
                      </c:pt>
                      <c:pt idx="3" formatCode="General">
                        <c:v>-21.328293413173654</c:v>
                      </c:pt>
                      <c:pt idx="4" formatCode="General">
                        <c:v>-21.363323353293413</c:v>
                      </c:pt>
                      <c:pt idx="5" formatCode="General">
                        <c:v>-21.428053892215569</c:v>
                      </c:pt>
                      <c:pt idx="6" formatCode="General">
                        <c:v>-21.587634730538923</c:v>
                      </c:pt>
                      <c:pt idx="7" formatCode="General">
                        <c:v>-21.747215568862277</c:v>
                      </c:pt>
                      <c:pt idx="8" formatCode="General">
                        <c:v>-21.901586826347305</c:v>
                      </c:pt>
                      <c:pt idx="9" formatCode="General">
                        <c:v>-22.053383233532934</c:v>
                      </c:pt>
                      <c:pt idx="10" formatCode="General">
                        <c:v>-22.201287425149701</c:v>
                      </c:pt>
                      <c:pt idx="11" formatCode="General">
                        <c:v>-22.314161676646709</c:v>
                      </c:pt>
                      <c:pt idx="12" formatCode="General">
                        <c:v>-22.427035928143713</c:v>
                      </c:pt>
                      <c:pt idx="13" formatCode="General">
                        <c:v>-22.544041916167664</c:v>
                      </c:pt>
                      <c:pt idx="14" formatCode="General">
                        <c:v>-22.664700598802394</c:v>
                      </c:pt>
                      <c:pt idx="15" formatCode="General">
                        <c:v>-22.785359281437124</c:v>
                      </c:pt>
                      <c:pt idx="16" formatCode="General">
                        <c:v>-22.883843843843842</c:v>
                      </c:pt>
                      <c:pt idx="17" formatCode="General">
                        <c:v>-22.98144144144144</c:v>
                      </c:pt>
                      <c:pt idx="18" formatCode="General">
                        <c:v>-23.1162874251497</c:v>
                      </c:pt>
                      <c:pt idx="19" formatCode="General">
                        <c:v>-23.307005988023953</c:v>
                      </c:pt>
                      <c:pt idx="20" formatCode="General">
                        <c:v>-23.497724550898205</c:v>
                      </c:pt>
                      <c:pt idx="21" formatCode="General">
                        <c:v>-23.691676646706586</c:v>
                      </c:pt>
                      <c:pt idx="22" formatCode="General">
                        <c:v>-23.8862874251497</c:v>
                      </c:pt>
                      <c:pt idx="23" formatCode="General">
                        <c:v>-24.078862275449104</c:v>
                      </c:pt>
                      <c:pt idx="24" formatCode="General">
                        <c:v>-24.265688622754492</c:v>
                      </c:pt>
                      <c:pt idx="25" formatCode="General">
                        <c:v>-24.45251497005988</c:v>
                      </c:pt>
                      <c:pt idx="26" formatCode="General">
                        <c:v>-24.639341317365272</c:v>
                      </c:pt>
                      <c:pt idx="27" formatCode="General">
                        <c:v>-24.82616766467066</c:v>
                      </c:pt>
                      <c:pt idx="28" formatCode="General">
                        <c:v>-25.012994011976048</c:v>
                      </c:pt>
                      <c:pt idx="29" formatCode="General">
                        <c:v>-25.199820359281436</c:v>
                      </c:pt>
                      <c:pt idx="30" formatCode="General">
                        <c:v>-25.386646706586827</c:v>
                      </c:pt>
                      <c:pt idx="31" formatCode="General">
                        <c:v>-25.567617977528091</c:v>
                      </c:pt>
                      <c:pt idx="32" formatCode="General">
                        <c:v>-25.743872659176031</c:v>
                      </c:pt>
                      <c:pt idx="33" formatCode="General">
                        <c:v>-25.920127340823971</c:v>
                      </c:pt>
                      <c:pt idx="34" formatCode="General">
                        <c:v>-26.096382022471911</c:v>
                      </c:pt>
                      <c:pt idx="35" formatCode="General">
                        <c:v>-26.272636704119851</c:v>
                      </c:pt>
                      <c:pt idx="36" formatCode="General">
                        <c:v>-26.448891385767791</c:v>
                      </c:pt>
                      <c:pt idx="37" formatCode="General">
                        <c:v>-26.625146067415731</c:v>
                      </c:pt>
                      <c:pt idx="38" formatCode="General">
                        <c:v>-26.801400749063671</c:v>
                      </c:pt>
                      <c:pt idx="39" formatCode="General">
                        <c:v>-26.977655430711611</c:v>
                      </c:pt>
                      <c:pt idx="40" formatCode="General">
                        <c:v>-27.153910112359551</c:v>
                      </c:pt>
                      <c:pt idx="41" formatCode="General">
                        <c:v>-27.327670411985022</c:v>
                      </c:pt>
                      <c:pt idx="42" formatCode="General">
                        <c:v>-27.495161048689141</c:v>
                      </c:pt>
                      <c:pt idx="43" formatCode="General">
                        <c:v>-27.662651685393261</c:v>
                      </c:pt>
                      <c:pt idx="44" formatCode="General">
                        <c:v>-27.83014232209738</c:v>
                      </c:pt>
                      <c:pt idx="45" formatCode="General">
                        <c:v>-27.9976329588015</c:v>
                      </c:pt>
                      <c:pt idx="46" formatCode="General">
                        <c:v>-28.165123595505619</c:v>
                      </c:pt>
                      <c:pt idx="47" formatCode="General">
                        <c:v>-28.332614232209739</c:v>
                      </c:pt>
                      <c:pt idx="48" formatCode="General">
                        <c:v>-28.500104868913859</c:v>
                      </c:pt>
                      <c:pt idx="49" formatCode="General">
                        <c:v>-28.667595505617978</c:v>
                      </c:pt>
                      <c:pt idx="50" formatCode="General">
                        <c:v>-28.835086142322098</c:v>
                      </c:pt>
                      <c:pt idx="51" formatCode="General">
                        <c:v>-29.002447447447448</c:v>
                      </c:pt>
                      <c:pt idx="52" formatCode="General">
                        <c:v>-29.161531531531534</c:v>
                      </c:pt>
                      <c:pt idx="53" formatCode="General">
                        <c:v>-29.320615615615615</c:v>
                      </c:pt>
                      <c:pt idx="54" formatCode="General">
                        <c:v>-29.479699699699701</c:v>
                      </c:pt>
                      <c:pt idx="55" formatCode="General">
                        <c:v>-29.638783783783783</c:v>
                      </c:pt>
                      <c:pt idx="56" formatCode="General">
                        <c:v>-29.797867867867868</c:v>
                      </c:pt>
                      <c:pt idx="57" formatCode="General">
                        <c:v>-29.95695195195195</c:v>
                      </c:pt>
                      <c:pt idx="58" formatCode="General">
                        <c:v>-30.116036036036036</c:v>
                      </c:pt>
                      <c:pt idx="59" formatCode="General">
                        <c:v>-30.275120120120121</c:v>
                      </c:pt>
                      <c:pt idx="60" formatCode="General">
                        <c:v>-30.434204204204203</c:v>
                      </c:pt>
                      <c:pt idx="61" formatCode="General">
                        <c:v>-30.593288288288289</c:v>
                      </c:pt>
                      <c:pt idx="62" formatCode="General">
                        <c:v>-30.747647058823528</c:v>
                      </c:pt>
                      <c:pt idx="63" formatCode="General">
                        <c:v>-30.900588235294119</c:v>
                      </c:pt>
                      <c:pt idx="64" formatCode="General">
                        <c:v>-31.053636363636365</c:v>
                      </c:pt>
                      <c:pt idx="65" formatCode="General">
                        <c:v>-31.207272727272727</c:v>
                      </c:pt>
                      <c:pt idx="66" formatCode="General">
                        <c:v>-31.360909090909093</c:v>
                      </c:pt>
                      <c:pt idx="67" formatCode="General">
                        <c:v>-31.511764705882353</c:v>
                      </c:pt>
                      <c:pt idx="68" formatCode="General">
                        <c:v>-31.660882352941176</c:v>
                      </c:pt>
                      <c:pt idx="69" formatCode="General">
                        <c:v>-31.81</c:v>
                      </c:pt>
                      <c:pt idx="70" formatCode="General">
                        <c:v>-31.963636363636365</c:v>
                      </c:pt>
                      <c:pt idx="71" formatCode="General">
                        <c:v>-32.117272727272727</c:v>
                      </c:pt>
                      <c:pt idx="72" formatCode="General">
                        <c:v>-32.269022556390979</c:v>
                      </c:pt>
                      <c:pt idx="73" formatCode="General">
                        <c:v>-32.418571428571433</c:v>
                      </c:pt>
                      <c:pt idx="74" formatCode="General">
                        <c:v>-32.568120300751879</c:v>
                      </c:pt>
                      <c:pt idx="75" formatCode="General">
                        <c:v>-32.717669172932332</c:v>
                      </c:pt>
                      <c:pt idx="76" formatCode="General">
                        <c:v>-32.867218045112779</c:v>
                      </c:pt>
                      <c:pt idx="77" formatCode="General">
                        <c:v>-33.016766917293232</c:v>
                      </c:pt>
                      <c:pt idx="78" formatCode="General">
                        <c:v>-33.166315789473686</c:v>
                      </c:pt>
                      <c:pt idx="79" formatCode="General">
                        <c:v>-33.315864661654132</c:v>
                      </c:pt>
                      <c:pt idx="80" formatCode="General">
                        <c:v>-33.465413533834585</c:v>
                      </c:pt>
                      <c:pt idx="81" formatCode="General">
                        <c:v>-33.614962406015032</c:v>
                      </c:pt>
                      <c:pt idx="82" formatCode="General">
                        <c:v>-33.763358208955218</c:v>
                      </c:pt>
                      <c:pt idx="83" formatCode="General">
                        <c:v>-33.907910447761189</c:v>
                      </c:pt>
                      <c:pt idx="84" formatCode="General">
                        <c:v>-34.052462686567161</c:v>
                      </c:pt>
                      <c:pt idx="85" formatCode="General">
                        <c:v>-34.197014925373132</c:v>
                      </c:pt>
                      <c:pt idx="86" formatCode="General">
                        <c:v>-34.341567164179104</c:v>
                      </c:pt>
                      <c:pt idx="87" formatCode="General">
                        <c:v>-34.486119402985075</c:v>
                      </c:pt>
                      <c:pt idx="88" formatCode="General">
                        <c:v>-34.630671641791039</c:v>
                      </c:pt>
                      <c:pt idx="89" formatCode="General">
                        <c:v>-34.775223880597011</c:v>
                      </c:pt>
                      <c:pt idx="90" formatCode="General">
                        <c:v>-34.919776119402982</c:v>
                      </c:pt>
                      <c:pt idx="91" formatCode="General">
                        <c:v>-35.064328358208954</c:v>
                      </c:pt>
                      <c:pt idx="92" formatCode="General">
                        <c:v>-35.208880597014925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EDA-4C12-8154-2CB8D6548BBE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-22.018918918918921</c:v>
                      </c:pt>
                      <c:pt idx="1">
                        <c:v>-21.69099099099099</c:v>
                      </c:pt>
                      <c:pt idx="2" formatCode="General">
                        <c:v>-21.363063063063063</c:v>
                      </c:pt>
                      <c:pt idx="3" formatCode="General">
                        <c:v>-21.328293413173654</c:v>
                      </c:pt>
                      <c:pt idx="4" formatCode="General">
                        <c:v>-21.363323353293413</c:v>
                      </c:pt>
                      <c:pt idx="5" formatCode="General">
                        <c:v>-21.428053892215569</c:v>
                      </c:pt>
                      <c:pt idx="6" formatCode="General">
                        <c:v>-21.587634730538923</c:v>
                      </c:pt>
                      <c:pt idx="7" formatCode="General">
                        <c:v>-21.747215568862277</c:v>
                      </c:pt>
                      <c:pt idx="8" formatCode="General">
                        <c:v>-21.901586826347305</c:v>
                      </c:pt>
                      <c:pt idx="9" formatCode="General">
                        <c:v>-22.053383233532934</c:v>
                      </c:pt>
                      <c:pt idx="10" formatCode="General">
                        <c:v>-22.201287425149701</c:v>
                      </c:pt>
                      <c:pt idx="11" formatCode="General">
                        <c:v>-22.314161676646709</c:v>
                      </c:pt>
                      <c:pt idx="12" formatCode="General">
                        <c:v>-22.427035928143713</c:v>
                      </c:pt>
                      <c:pt idx="13" formatCode="General">
                        <c:v>-22.544041916167664</c:v>
                      </c:pt>
                      <c:pt idx="14" formatCode="General">
                        <c:v>-22.664700598802394</c:v>
                      </c:pt>
                      <c:pt idx="15" formatCode="General">
                        <c:v>-22.785359281437124</c:v>
                      </c:pt>
                      <c:pt idx="16" formatCode="General">
                        <c:v>-22.883843843843842</c:v>
                      </c:pt>
                      <c:pt idx="17" formatCode="General">
                        <c:v>-22.98144144144144</c:v>
                      </c:pt>
                      <c:pt idx="18" formatCode="General">
                        <c:v>-23.1162874251497</c:v>
                      </c:pt>
                      <c:pt idx="19" formatCode="General">
                        <c:v>-23.307005988023953</c:v>
                      </c:pt>
                      <c:pt idx="20" formatCode="General">
                        <c:v>-23.497724550898205</c:v>
                      </c:pt>
                      <c:pt idx="21" formatCode="General">
                        <c:v>-23.691676646706586</c:v>
                      </c:pt>
                      <c:pt idx="22" formatCode="General">
                        <c:v>-23.8862874251497</c:v>
                      </c:pt>
                      <c:pt idx="23" formatCode="General">
                        <c:v>-24.078862275449104</c:v>
                      </c:pt>
                      <c:pt idx="24" formatCode="General">
                        <c:v>-24.265688622754492</c:v>
                      </c:pt>
                      <c:pt idx="25" formatCode="General">
                        <c:v>-24.45251497005988</c:v>
                      </c:pt>
                      <c:pt idx="26" formatCode="General">
                        <c:v>-24.639341317365272</c:v>
                      </c:pt>
                      <c:pt idx="27" formatCode="General">
                        <c:v>-24.82616766467066</c:v>
                      </c:pt>
                      <c:pt idx="28" formatCode="General">
                        <c:v>-25.012994011976048</c:v>
                      </c:pt>
                      <c:pt idx="29" formatCode="General">
                        <c:v>-25.199820359281436</c:v>
                      </c:pt>
                      <c:pt idx="30" formatCode="General">
                        <c:v>-25.386646706586827</c:v>
                      </c:pt>
                      <c:pt idx="31" formatCode="General">
                        <c:v>-25.567617977528091</c:v>
                      </c:pt>
                      <c:pt idx="32" formatCode="General">
                        <c:v>-25.743872659176031</c:v>
                      </c:pt>
                      <c:pt idx="33" formatCode="General">
                        <c:v>-25.920127340823971</c:v>
                      </c:pt>
                      <c:pt idx="34" formatCode="General">
                        <c:v>-26.096382022471911</c:v>
                      </c:pt>
                      <c:pt idx="35" formatCode="General">
                        <c:v>-26.272636704119851</c:v>
                      </c:pt>
                      <c:pt idx="36" formatCode="General">
                        <c:v>-26.448891385767791</c:v>
                      </c:pt>
                      <c:pt idx="37" formatCode="General">
                        <c:v>-26.625146067415731</c:v>
                      </c:pt>
                      <c:pt idx="38" formatCode="General">
                        <c:v>-26.801400749063671</c:v>
                      </c:pt>
                      <c:pt idx="39" formatCode="General">
                        <c:v>-26.977655430711611</c:v>
                      </c:pt>
                      <c:pt idx="40" formatCode="General">
                        <c:v>-27.153910112359551</c:v>
                      </c:pt>
                      <c:pt idx="41" formatCode="General">
                        <c:v>-27.327670411985022</c:v>
                      </c:pt>
                      <c:pt idx="42" formatCode="General">
                        <c:v>-27.495161048689141</c:v>
                      </c:pt>
                      <c:pt idx="43" formatCode="General">
                        <c:v>-27.662651685393261</c:v>
                      </c:pt>
                      <c:pt idx="44" formatCode="General">
                        <c:v>-27.83014232209738</c:v>
                      </c:pt>
                      <c:pt idx="45" formatCode="General">
                        <c:v>-27.9976329588015</c:v>
                      </c:pt>
                      <c:pt idx="46" formatCode="General">
                        <c:v>-28.165123595505619</c:v>
                      </c:pt>
                      <c:pt idx="47" formatCode="General">
                        <c:v>-28.332614232209739</c:v>
                      </c:pt>
                      <c:pt idx="48" formatCode="General">
                        <c:v>-28.500104868913859</c:v>
                      </c:pt>
                      <c:pt idx="49" formatCode="General">
                        <c:v>-28.667595505617978</c:v>
                      </c:pt>
                      <c:pt idx="50" formatCode="General">
                        <c:v>-28.835086142322098</c:v>
                      </c:pt>
                      <c:pt idx="51" formatCode="General">
                        <c:v>-29.002447447447448</c:v>
                      </c:pt>
                      <c:pt idx="52" formatCode="General">
                        <c:v>-29.161531531531534</c:v>
                      </c:pt>
                      <c:pt idx="53" formatCode="General">
                        <c:v>-29.320615615615615</c:v>
                      </c:pt>
                      <c:pt idx="54" formatCode="General">
                        <c:v>-29.479699699699701</c:v>
                      </c:pt>
                      <c:pt idx="55" formatCode="General">
                        <c:v>-29.638783783783783</c:v>
                      </c:pt>
                      <c:pt idx="56" formatCode="General">
                        <c:v>-29.797867867867868</c:v>
                      </c:pt>
                      <c:pt idx="57" formatCode="General">
                        <c:v>-29.95695195195195</c:v>
                      </c:pt>
                      <c:pt idx="58" formatCode="General">
                        <c:v>-30.116036036036036</c:v>
                      </c:pt>
                      <c:pt idx="59" formatCode="General">
                        <c:v>-30.275120120120121</c:v>
                      </c:pt>
                      <c:pt idx="60" formatCode="General">
                        <c:v>-30.434204204204203</c:v>
                      </c:pt>
                      <c:pt idx="61" formatCode="General">
                        <c:v>-30.593288288288289</c:v>
                      </c:pt>
                      <c:pt idx="62" formatCode="General">
                        <c:v>-30.747647058823528</c:v>
                      </c:pt>
                      <c:pt idx="63" formatCode="General">
                        <c:v>-30.900588235294119</c:v>
                      </c:pt>
                      <c:pt idx="64" formatCode="General">
                        <c:v>-31.053636363636365</c:v>
                      </c:pt>
                      <c:pt idx="65" formatCode="General">
                        <c:v>-31.207272727272727</c:v>
                      </c:pt>
                      <c:pt idx="66" formatCode="General">
                        <c:v>-31.360909090909093</c:v>
                      </c:pt>
                      <c:pt idx="67" formatCode="General">
                        <c:v>-31.511764705882353</c:v>
                      </c:pt>
                      <c:pt idx="68" formatCode="General">
                        <c:v>-31.660882352941176</c:v>
                      </c:pt>
                      <c:pt idx="69" formatCode="General">
                        <c:v>-31.81</c:v>
                      </c:pt>
                      <c:pt idx="70" formatCode="General">
                        <c:v>-31.963636363636365</c:v>
                      </c:pt>
                      <c:pt idx="71" formatCode="General">
                        <c:v>-32.117272727272727</c:v>
                      </c:pt>
                      <c:pt idx="72" formatCode="General">
                        <c:v>-32.269022556390979</c:v>
                      </c:pt>
                      <c:pt idx="73" formatCode="General">
                        <c:v>-32.418571428571433</c:v>
                      </c:pt>
                      <c:pt idx="74" formatCode="General">
                        <c:v>-32.568120300751879</c:v>
                      </c:pt>
                      <c:pt idx="75" formatCode="General">
                        <c:v>-32.717669172932332</c:v>
                      </c:pt>
                      <c:pt idx="76" formatCode="General">
                        <c:v>-32.867218045112779</c:v>
                      </c:pt>
                      <c:pt idx="77" formatCode="General">
                        <c:v>-33.016766917293232</c:v>
                      </c:pt>
                      <c:pt idx="78" formatCode="General">
                        <c:v>-33.166315789473686</c:v>
                      </c:pt>
                      <c:pt idx="79" formatCode="General">
                        <c:v>-33.315864661654132</c:v>
                      </c:pt>
                      <c:pt idx="80" formatCode="General">
                        <c:v>-33.465413533834585</c:v>
                      </c:pt>
                      <c:pt idx="81" formatCode="General">
                        <c:v>-33.614962406015032</c:v>
                      </c:pt>
                      <c:pt idx="82" formatCode="General">
                        <c:v>-33.763358208955218</c:v>
                      </c:pt>
                      <c:pt idx="83" formatCode="General">
                        <c:v>-33.907910447761189</c:v>
                      </c:pt>
                      <c:pt idx="84" formatCode="General">
                        <c:v>-34.052462686567161</c:v>
                      </c:pt>
                      <c:pt idx="85" formatCode="General">
                        <c:v>-34.197014925373132</c:v>
                      </c:pt>
                      <c:pt idx="86" formatCode="General">
                        <c:v>-34.341567164179104</c:v>
                      </c:pt>
                      <c:pt idx="87" formatCode="General">
                        <c:v>-34.486119402985075</c:v>
                      </c:pt>
                      <c:pt idx="88" formatCode="General">
                        <c:v>-34.630671641791039</c:v>
                      </c:pt>
                      <c:pt idx="89" formatCode="General">
                        <c:v>-34.775223880597011</c:v>
                      </c:pt>
                      <c:pt idx="90" formatCode="General">
                        <c:v>-34.919776119402982</c:v>
                      </c:pt>
                      <c:pt idx="91" formatCode="General">
                        <c:v>-35.064328358208954</c:v>
                      </c:pt>
                      <c:pt idx="92" formatCode="General">
                        <c:v>-35.208880597014925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EDA-4C12-8154-2CB8D6548BBE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-22.018918918918921</c:v>
                      </c:pt>
                      <c:pt idx="1">
                        <c:v>-21.69099099099099</c:v>
                      </c:pt>
                      <c:pt idx="2" formatCode="General">
                        <c:v>-21.363063063063063</c:v>
                      </c:pt>
                      <c:pt idx="3" formatCode="General">
                        <c:v>-21.328293413173654</c:v>
                      </c:pt>
                      <c:pt idx="4" formatCode="General">
                        <c:v>-21.363323353293413</c:v>
                      </c:pt>
                      <c:pt idx="5" formatCode="General">
                        <c:v>-21.428053892215569</c:v>
                      </c:pt>
                      <c:pt idx="6" formatCode="General">
                        <c:v>-21.587634730538923</c:v>
                      </c:pt>
                      <c:pt idx="7" formatCode="General">
                        <c:v>-21.747215568862277</c:v>
                      </c:pt>
                      <c:pt idx="8" formatCode="General">
                        <c:v>-21.901586826347305</c:v>
                      </c:pt>
                      <c:pt idx="9" formatCode="General">
                        <c:v>-22.053383233532934</c:v>
                      </c:pt>
                      <c:pt idx="10" formatCode="General">
                        <c:v>-22.201287425149701</c:v>
                      </c:pt>
                      <c:pt idx="11" formatCode="General">
                        <c:v>-22.314161676646709</c:v>
                      </c:pt>
                      <c:pt idx="12" formatCode="General">
                        <c:v>-22.427035928143713</c:v>
                      </c:pt>
                      <c:pt idx="13" formatCode="General">
                        <c:v>-22.544041916167664</c:v>
                      </c:pt>
                      <c:pt idx="14" formatCode="General">
                        <c:v>-22.664700598802394</c:v>
                      </c:pt>
                      <c:pt idx="15" formatCode="General">
                        <c:v>-22.785359281437124</c:v>
                      </c:pt>
                      <c:pt idx="16" formatCode="General">
                        <c:v>-22.883843843843842</c:v>
                      </c:pt>
                      <c:pt idx="17" formatCode="General">
                        <c:v>-22.98144144144144</c:v>
                      </c:pt>
                      <c:pt idx="18" formatCode="General">
                        <c:v>-23.1162874251497</c:v>
                      </c:pt>
                      <c:pt idx="19" formatCode="General">
                        <c:v>-23.307005988023953</c:v>
                      </c:pt>
                      <c:pt idx="20" formatCode="General">
                        <c:v>-23.497724550898205</c:v>
                      </c:pt>
                      <c:pt idx="21" formatCode="General">
                        <c:v>-23.691676646706586</c:v>
                      </c:pt>
                      <c:pt idx="22" formatCode="General">
                        <c:v>-23.8862874251497</c:v>
                      </c:pt>
                      <c:pt idx="23" formatCode="General">
                        <c:v>-24.078862275449104</c:v>
                      </c:pt>
                      <c:pt idx="24" formatCode="General">
                        <c:v>-24.265688622754492</c:v>
                      </c:pt>
                      <c:pt idx="25" formatCode="General">
                        <c:v>-24.45251497005988</c:v>
                      </c:pt>
                      <c:pt idx="26" formatCode="General">
                        <c:v>-24.639341317365272</c:v>
                      </c:pt>
                      <c:pt idx="27" formatCode="General">
                        <c:v>-24.82616766467066</c:v>
                      </c:pt>
                      <c:pt idx="28" formatCode="General">
                        <c:v>-25.012994011976048</c:v>
                      </c:pt>
                      <c:pt idx="29" formatCode="General">
                        <c:v>-25.199820359281436</c:v>
                      </c:pt>
                      <c:pt idx="30" formatCode="General">
                        <c:v>-25.386646706586827</c:v>
                      </c:pt>
                      <c:pt idx="31" formatCode="General">
                        <c:v>-25.567617977528091</c:v>
                      </c:pt>
                      <c:pt idx="32" formatCode="General">
                        <c:v>-25.743872659176031</c:v>
                      </c:pt>
                      <c:pt idx="33" formatCode="General">
                        <c:v>-25.920127340823971</c:v>
                      </c:pt>
                      <c:pt idx="34" formatCode="General">
                        <c:v>-26.096382022471911</c:v>
                      </c:pt>
                      <c:pt idx="35" formatCode="General">
                        <c:v>-26.272636704119851</c:v>
                      </c:pt>
                      <c:pt idx="36" formatCode="General">
                        <c:v>-26.448891385767791</c:v>
                      </c:pt>
                      <c:pt idx="37" formatCode="General">
                        <c:v>-26.625146067415731</c:v>
                      </c:pt>
                      <c:pt idx="38" formatCode="General">
                        <c:v>-26.801400749063671</c:v>
                      </c:pt>
                      <c:pt idx="39" formatCode="General">
                        <c:v>-26.977655430711611</c:v>
                      </c:pt>
                      <c:pt idx="40" formatCode="General">
                        <c:v>-27.153910112359551</c:v>
                      </c:pt>
                      <c:pt idx="41" formatCode="General">
                        <c:v>-27.327670411985022</c:v>
                      </c:pt>
                      <c:pt idx="42" formatCode="General">
                        <c:v>-27.495161048689141</c:v>
                      </c:pt>
                      <c:pt idx="43" formatCode="General">
                        <c:v>-27.662651685393261</c:v>
                      </c:pt>
                      <c:pt idx="44" formatCode="General">
                        <c:v>-27.83014232209738</c:v>
                      </c:pt>
                      <c:pt idx="45" formatCode="General">
                        <c:v>-27.9976329588015</c:v>
                      </c:pt>
                      <c:pt idx="46" formatCode="General">
                        <c:v>-28.165123595505619</c:v>
                      </c:pt>
                      <c:pt idx="47" formatCode="General">
                        <c:v>-28.332614232209739</c:v>
                      </c:pt>
                      <c:pt idx="48" formatCode="General">
                        <c:v>-28.500104868913859</c:v>
                      </c:pt>
                      <c:pt idx="49" formatCode="General">
                        <c:v>-28.667595505617978</c:v>
                      </c:pt>
                      <c:pt idx="50" formatCode="General">
                        <c:v>-28.835086142322098</c:v>
                      </c:pt>
                      <c:pt idx="51" formatCode="General">
                        <c:v>-29.002447447447448</c:v>
                      </c:pt>
                      <c:pt idx="52" formatCode="General">
                        <c:v>-29.161531531531534</c:v>
                      </c:pt>
                      <c:pt idx="53" formatCode="General">
                        <c:v>-29.320615615615615</c:v>
                      </c:pt>
                      <c:pt idx="54" formatCode="General">
                        <c:v>-29.479699699699701</c:v>
                      </c:pt>
                      <c:pt idx="55" formatCode="General">
                        <c:v>-29.638783783783783</c:v>
                      </c:pt>
                      <c:pt idx="56" formatCode="General">
                        <c:v>-29.797867867867868</c:v>
                      </c:pt>
                      <c:pt idx="57" formatCode="General">
                        <c:v>-29.95695195195195</c:v>
                      </c:pt>
                      <c:pt idx="58" formatCode="General">
                        <c:v>-30.116036036036036</c:v>
                      </c:pt>
                      <c:pt idx="59" formatCode="General">
                        <c:v>-30.275120120120121</c:v>
                      </c:pt>
                      <c:pt idx="60" formatCode="General">
                        <c:v>-30.434204204204203</c:v>
                      </c:pt>
                      <c:pt idx="61" formatCode="General">
                        <c:v>-30.593288288288289</c:v>
                      </c:pt>
                      <c:pt idx="62" formatCode="General">
                        <c:v>-30.747647058823528</c:v>
                      </c:pt>
                      <c:pt idx="63" formatCode="General">
                        <c:v>-30.900588235294119</c:v>
                      </c:pt>
                      <c:pt idx="64" formatCode="General">
                        <c:v>-31.053636363636365</c:v>
                      </c:pt>
                      <c:pt idx="65" formatCode="General">
                        <c:v>-31.207272727272727</c:v>
                      </c:pt>
                      <c:pt idx="66" formatCode="General">
                        <c:v>-31.360909090909093</c:v>
                      </c:pt>
                      <c:pt idx="67" formatCode="General">
                        <c:v>-31.511764705882353</c:v>
                      </c:pt>
                      <c:pt idx="68" formatCode="General">
                        <c:v>-31.660882352941176</c:v>
                      </c:pt>
                      <c:pt idx="69" formatCode="General">
                        <c:v>-31.81</c:v>
                      </c:pt>
                      <c:pt idx="70" formatCode="General">
                        <c:v>-31.963636363636365</c:v>
                      </c:pt>
                      <c:pt idx="71" formatCode="General">
                        <c:v>-32.117272727272727</c:v>
                      </c:pt>
                      <c:pt idx="72" formatCode="General">
                        <c:v>-32.269022556390979</c:v>
                      </c:pt>
                      <c:pt idx="73" formatCode="General">
                        <c:v>-32.418571428571433</c:v>
                      </c:pt>
                      <c:pt idx="74" formatCode="General">
                        <c:v>-32.568120300751879</c:v>
                      </c:pt>
                      <c:pt idx="75" formatCode="General">
                        <c:v>-32.717669172932332</c:v>
                      </c:pt>
                      <c:pt idx="76" formatCode="General">
                        <c:v>-32.867218045112779</c:v>
                      </c:pt>
                      <c:pt idx="77" formatCode="General">
                        <c:v>-33.016766917293232</c:v>
                      </c:pt>
                      <c:pt idx="78" formatCode="General">
                        <c:v>-33.166315789473686</c:v>
                      </c:pt>
                      <c:pt idx="79" formatCode="General">
                        <c:v>-33.315864661654132</c:v>
                      </c:pt>
                      <c:pt idx="80" formatCode="General">
                        <c:v>-33.465413533834585</c:v>
                      </c:pt>
                      <c:pt idx="81" formatCode="General">
                        <c:v>-33.614962406015032</c:v>
                      </c:pt>
                      <c:pt idx="82" formatCode="General">
                        <c:v>-33.763358208955218</c:v>
                      </c:pt>
                      <c:pt idx="83" formatCode="General">
                        <c:v>-33.907910447761189</c:v>
                      </c:pt>
                      <c:pt idx="84" formatCode="General">
                        <c:v>-34.052462686567161</c:v>
                      </c:pt>
                      <c:pt idx="85" formatCode="General">
                        <c:v>-34.197014925373132</c:v>
                      </c:pt>
                      <c:pt idx="86" formatCode="General">
                        <c:v>-34.341567164179104</c:v>
                      </c:pt>
                      <c:pt idx="87" formatCode="General">
                        <c:v>-34.486119402985075</c:v>
                      </c:pt>
                      <c:pt idx="88" formatCode="General">
                        <c:v>-34.630671641791039</c:v>
                      </c:pt>
                      <c:pt idx="89" formatCode="General">
                        <c:v>-34.775223880597011</c:v>
                      </c:pt>
                      <c:pt idx="90" formatCode="General">
                        <c:v>-34.919776119402982</c:v>
                      </c:pt>
                      <c:pt idx="91" formatCode="General">
                        <c:v>-35.064328358208954</c:v>
                      </c:pt>
                      <c:pt idx="92" formatCode="General">
                        <c:v>-35.208880597014925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EDA-4C12-8154-2CB8D6548BBE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-22.018918918918921</c:v>
                      </c:pt>
                      <c:pt idx="1">
                        <c:v>-21.69099099099099</c:v>
                      </c:pt>
                      <c:pt idx="2" formatCode="General">
                        <c:v>-21.363063063063063</c:v>
                      </c:pt>
                      <c:pt idx="3" formatCode="General">
                        <c:v>-21.328293413173654</c:v>
                      </c:pt>
                      <c:pt idx="4" formatCode="General">
                        <c:v>-21.363323353293413</c:v>
                      </c:pt>
                      <c:pt idx="5" formatCode="General">
                        <c:v>-21.428053892215569</c:v>
                      </c:pt>
                      <c:pt idx="6" formatCode="General">
                        <c:v>-21.587634730538923</c:v>
                      </c:pt>
                      <c:pt idx="7" formatCode="General">
                        <c:v>-21.747215568862277</c:v>
                      </c:pt>
                      <c:pt idx="8" formatCode="General">
                        <c:v>-21.901586826347305</c:v>
                      </c:pt>
                      <c:pt idx="9" formatCode="General">
                        <c:v>-22.053383233532934</c:v>
                      </c:pt>
                      <c:pt idx="10" formatCode="General">
                        <c:v>-22.201287425149701</c:v>
                      </c:pt>
                      <c:pt idx="11" formatCode="General">
                        <c:v>-22.314161676646709</c:v>
                      </c:pt>
                      <c:pt idx="12" formatCode="General">
                        <c:v>-22.427035928143713</c:v>
                      </c:pt>
                      <c:pt idx="13" formatCode="General">
                        <c:v>-22.544041916167664</c:v>
                      </c:pt>
                      <c:pt idx="14" formatCode="General">
                        <c:v>-22.664700598802394</c:v>
                      </c:pt>
                      <c:pt idx="15" formatCode="General">
                        <c:v>-22.785359281437124</c:v>
                      </c:pt>
                      <c:pt idx="16" formatCode="General">
                        <c:v>-22.883843843843842</c:v>
                      </c:pt>
                      <c:pt idx="17" formatCode="General">
                        <c:v>-22.98144144144144</c:v>
                      </c:pt>
                      <c:pt idx="18" formatCode="General">
                        <c:v>-23.1162874251497</c:v>
                      </c:pt>
                      <c:pt idx="19" formatCode="General">
                        <c:v>-23.307005988023953</c:v>
                      </c:pt>
                      <c:pt idx="20" formatCode="General">
                        <c:v>-23.497724550898205</c:v>
                      </c:pt>
                      <c:pt idx="21" formatCode="General">
                        <c:v>-23.691676646706586</c:v>
                      </c:pt>
                      <c:pt idx="22" formatCode="General">
                        <c:v>-23.8862874251497</c:v>
                      </c:pt>
                      <c:pt idx="23" formatCode="General">
                        <c:v>-24.078862275449104</c:v>
                      </c:pt>
                      <c:pt idx="24" formatCode="General">
                        <c:v>-24.265688622754492</c:v>
                      </c:pt>
                      <c:pt idx="25" formatCode="General">
                        <c:v>-24.45251497005988</c:v>
                      </c:pt>
                      <c:pt idx="26" formatCode="General">
                        <c:v>-24.639341317365272</c:v>
                      </c:pt>
                      <c:pt idx="27" formatCode="General">
                        <c:v>-24.82616766467066</c:v>
                      </c:pt>
                      <c:pt idx="28" formatCode="General">
                        <c:v>-25.012994011976048</c:v>
                      </c:pt>
                      <c:pt idx="29" formatCode="General">
                        <c:v>-25.199820359281436</c:v>
                      </c:pt>
                      <c:pt idx="30" formatCode="General">
                        <c:v>-25.386646706586827</c:v>
                      </c:pt>
                      <c:pt idx="31" formatCode="General">
                        <c:v>-25.567617977528091</c:v>
                      </c:pt>
                      <c:pt idx="32" formatCode="General">
                        <c:v>-25.743872659176031</c:v>
                      </c:pt>
                      <c:pt idx="33" formatCode="General">
                        <c:v>-25.920127340823971</c:v>
                      </c:pt>
                      <c:pt idx="34" formatCode="General">
                        <c:v>-26.096382022471911</c:v>
                      </c:pt>
                      <c:pt idx="35" formatCode="General">
                        <c:v>-26.272636704119851</c:v>
                      </c:pt>
                      <c:pt idx="36" formatCode="General">
                        <c:v>-26.448891385767791</c:v>
                      </c:pt>
                      <c:pt idx="37" formatCode="General">
                        <c:v>-26.625146067415731</c:v>
                      </c:pt>
                      <c:pt idx="38" formatCode="General">
                        <c:v>-26.801400749063671</c:v>
                      </c:pt>
                      <c:pt idx="39" formatCode="General">
                        <c:v>-26.977655430711611</c:v>
                      </c:pt>
                      <c:pt idx="40" formatCode="General">
                        <c:v>-27.153910112359551</c:v>
                      </c:pt>
                      <c:pt idx="41" formatCode="General">
                        <c:v>-27.327670411985022</c:v>
                      </c:pt>
                      <c:pt idx="42" formatCode="General">
                        <c:v>-27.495161048689141</c:v>
                      </c:pt>
                      <c:pt idx="43" formatCode="General">
                        <c:v>-27.662651685393261</c:v>
                      </c:pt>
                      <c:pt idx="44" formatCode="General">
                        <c:v>-27.83014232209738</c:v>
                      </c:pt>
                      <c:pt idx="45" formatCode="General">
                        <c:v>-27.9976329588015</c:v>
                      </c:pt>
                      <c:pt idx="46" formatCode="General">
                        <c:v>-28.165123595505619</c:v>
                      </c:pt>
                      <c:pt idx="47" formatCode="General">
                        <c:v>-28.332614232209739</c:v>
                      </c:pt>
                      <c:pt idx="48" formatCode="General">
                        <c:v>-28.500104868913859</c:v>
                      </c:pt>
                      <c:pt idx="49" formatCode="General">
                        <c:v>-28.667595505617978</c:v>
                      </c:pt>
                      <c:pt idx="50" formatCode="General">
                        <c:v>-28.835086142322098</c:v>
                      </c:pt>
                      <c:pt idx="51" formatCode="General">
                        <c:v>-29.002447447447448</c:v>
                      </c:pt>
                      <c:pt idx="52" formatCode="General">
                        <c:v>-29.161531531531534</c:v>
                      </c:pt>
                      <c:pt idx="53" formatCode="General">
                        <c:v>-29.320615615615615</c:v>
                      </c:pt>
                      <c:pt idx="54" formatCode="General">
                        <c:v>-29.479699699699701</c:v>
                      </c:pt>
                      <c:pt idx="55" formatCode="General">
                        <c:v>-29.638783783783783</c:v>
                      </c:pt>
                      <c:pt idx="56" formatCode="General">
                        <c:v>-29.797867867867868</c:v>
                      </c:pt>
                      <c:pt idx="57" formatCode="General">
                        <c:v>-29.95695195195195</c:v>
                      </c:pt>
                      <c:pt idx="58" formatCode="General">
                        <c:v>-30.116036036036036</c:v>
                      </c:pt>
                      <c:pt idx="59" formatCode="General">
                        <c:v>-30.275120120120121</c:v>
                      </c:pt>
                      <c:pt idx="60" formatCode="General">
                        <c:v>-30.434204204204203</c:v>
                      </c:pt>
                      <c:pt idx="61" formatCode="General">
                        <c:v>-30.593288288288289</c:v>
                      </c:pt>
                      <c:pt idx="62" formatCode="General">
                        <c:v>-30.747647058823528</c:v>
                      </c:pt>
                      <c:pt idx="63" formatCode="General">
                        <c:v>-30.900588235294119</c:v>
                      </c:pt>
                      <c:pt idx="64" formatCode="General">
                        <c:v>-31.053636363636365</c:v>
                      </c:pt>
                      <c:pt idx="65" formatCode="General">
                        <c:v>-31.207272727272727</c:v>
                      </c:pt>
                      <c:pt idx="66" formatCode="General">
                        <c:v>-31.360909090909093</c:v>
                      </c:pt>
                      <c:pt idx="67" formatCode="General">
                        <c:v>-31.511764705882353</c:v>
                      </c:pt>
                      <c:pt idx="68" formatCode="General">
                        <c:v>-31.660882352941176</c:v>
                      </c:pt>
                      <c:pt idx="69" formatCode="General">
                        <c:v>-31.81</c:v>
                      </c:pt>
                      <c:pt idx="70" formatCode="General">
                        <c:v>-31.963636363636365</c:v>
                      </c:pt>
                      <c:pt idx="71" formatCode="General">
                        <c:v>-32.117272727272727</c:v>
                      </c:pt>
                      <c:pt idx="72" formatCode="General">
                        <c:v>-32.269022556390979</c:v>
                      </c:pt>
                      <c:pt idx="73" formatCode="General">
                        <c:v>-32.418571428571433</c:v>
                      </c:pt>
                      <c:pt idx="74" formatCode="General">
                        <c:v>-32.568120300751879</c:v>
                      </c:pt>
                      <c:pt idx="75" formatCode="General">
                        <c:v>-32.717669172932332</c:v>
                      </c:pt>
                      <c:pt idx="76" formatCode="General">
                        <c:v>-32.867218045112779</c:v>
                      </c:pt>
                      <c:pt idx="77" formatCode="General">
                        <c:v>-33.016766917293232</c:v>
                      </c:pt>
                      <c:pt idx="78" formatCode="General">
                        <c:v>-33.166315789473686</c:v>
                      </c:pt>
                      <c:pt idx="79" formatCode="General">
                        <c:v>-33.315864661654132</c:v>
                      </c:pt>
                      <c:pt idx="80" formatCode="General">
                        <c:v>-33.465413533834585</c:v>
                      </c:pt>
                      <c:pt idx="81" formatCode="General">
                        <c:v>-33.614962406015032</c:v>
                      </c:pt>
                      <c:pt idx="82" formatCode="General">
                        <c:v>-33.763358208955218</c:v>
                      </c:pt>
                      <c:pt idx="83" formatCode="General">
                        <c:v>-33.907910447761189</c:v>
                      </c:pt>
                      <c:pt idx="84" formatCode="General">
                        <c:v>-34.052462686567161</c:v>
                      </c:pt>
                      <c:pt idx="85" formatCode="General">
                        <c:v>-34.197014925373132</c:v>
                      </c:pt>
                      <c:pt idx="86" formatCode="General">
                        <c:v>-34.341567164179104</c:v>
                      </c:pt>
                      <c:pt idx="87" formatCode="General">
                        <c:v>-34.486119402985075</c:v>
                      </c:pt>
                      <c:pt idx="88" formatCode="General">
                        <c:v>-34.630671641791039</c:v>
                      </c:pt>
                      <c:pt idx="89" formatCode="General">
                        <c:v>-34.775223880597011</c:v>
                      </c:pt>
                      <c:pt idx="90" formatCode="General">
                        <c:v>-34.919776119402982</c:v>
                      </c:pt>
                      <c:pt idx="91" formatCode="General">
                        <c:v>-35.064328358208954</c:v>
                      </c:pt>
                      <c:pt idx="92" formatCode="General">
                        <c:v>-35.208880597014925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EDA-4C12-8154-2CB8D6548BBE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-15.70018018018018</c:v>
                      </c:pt>
                      <c:pt idx="1">
                        <c:v>-14.888168168168168</c:v>
                      </c:pt>
                      <c:pt idx="2" formatCode="General">
                        <c:v>-14.076156156156156</c:v>
                      </c:pt>
                      <c:pt idx="3" formatCode="General">
                        <c:v>-13.171796407185628</c:v>
                      </c:pt>
                      <c:pt idx="4" formatCode="General">
                        <c:v>-12.245449101796405</c:v>
                      </c:pt>
                      <c:pt idx="5" formatCode="General">
                        <c:v>-11.336365269461076</c:v>
                      </c:pt>
                      <c:pt idx="6" formatCode="General">
                        <c:v>-10.482413173652693</c:v>
                      </c:pt>
                      <c:pt idx="7" formatCode="General">
                        <c:v>-9.628461077844312</c:v>
                      </c:pt>
                      <c:pt idx="8" formatCode="General">
                        <c:v>-8.8943293413173663</c:v>
                      </c:pt>
                      <c:pt idx="9" formatCode="General">
                        <c:v>-8.2194191616766474</c:v>
                      </c:pt>
                      <c:pt idx="10" formatCode="General">
                        <c:v>-7.5707814371257482</c:v>
                      </c:pt>
                      <c:pt idx="11" formatCode="General">
                        <c:v>-7.1585958083832333</c:v>
                      </c:pt>
                      <c:pt idx="12" formatCode="General">
                        <c:v>-6.7464101796407192</c:v>
                      </c:pt>
                      <c:pt idx="13" formatCode="General">
                        <c:v>-6.4751167664670657</c:v>
                      </c:pt>
                      <c:pt idx="14" formatCode="General">
                        <c:v>-6.3283802395209579</c:v>
                      </c:pt>
                      <c:pt idx="15" formatCode="General">
                        <c:v>-6.18164371257485</c:v>
                      </c:pt>
                      <c:pt idx="16" formatCode="General">
                        <c:v>-6.4226216216216221</c:v>
                      </c:pt>
                      <c:pt idx="17" formatCode="General">
                        <c:v>-6.6791081081081085</c:v>
                      </c:pt>
                      <c:pt idx="18" formatCode="General">
                        <c:v>-6.8345568862275448</c:v>
                      </c:pt>
                      <c:pt idx="19" formatCode="General">
                        <c:v>-6.8384491017964075</c:v>
                      </c:pt>
                      <c:pt idx="20" formatCode="General">
                        <c:v>-6.8423413173652694</c:v>
                      </c:pt>
                      <c:pt idx="21" formatCode="General">
                        <c:v>-6.8627245508982035</c:v>
                      </c:pt>
                      <c:pt idx="22" formatCode="General">
                        <c:v>-6.8864670658682634</c:v>
                      </c:pt>
                      <c:pt idx="23" formatCode="General">
                        <c:v>-6.911838323353293</c:v>
                      </c:pt>
                      <c:pt idx="24" formatCode="General">
                        <c:v>-6.9418083832335329</c:v>
                      </c:pt>
                      <c:pt idx="25" formatCode="General">
                        <c:v>-6.9717784431137719</c:v>
                      </c:pt>
                      <c:pt idx="26" formatCode="General">
                        <c:v>-7.0028263473053896</c:v>
                      </c:pt>
                      <c:pt idx="27" formatCode="General">
                        <c:v>-7.0343532934131741</c:v>
                      </c:pt>
                      <c:pt idx="28" formatCode="General">
                        <c:v>-7.0658802395209586</c:v>
                      </c:pt>
                      <c:pt idx="29" formatCode="General">
                        <c:v>-7.0974071856287431</c:v>
                      </c:pt>
                      <c:pt idx="30" formatCode="General">
                        <c:v>-7.1289341317365267</c:v>
                      </c:pt>
                      <c:pt idx="31" formatCode="General">
                        <c:v>-7.1602584269662923</c:v>
                      </c:pt>
                      <c:pt idx="32" formatCode="General">
                        <c:v>-7.1914194756554304</c:v>
                      </c:pt>
                      <c:pt idx="33" formatCode="General">
                        <c:v>-7.2225805243445693</c:v>
                      </c:pt>
                      <c:pt idx="34" formatCode="General">
                        <c:v>-7.2537415730337083</c:v>
                      </c:pt>
                      <c:pt idx="35" formatCode="General">
                        <c:v>-7.2849026217228463</c:v>
                      </c:pt>
                      <c:pt idx="36" formatCode="General">
                        <c:v>-7.3160636704119852</c:v>
                      </c:pt>
                      <c:pt idx="37" formatCode="General">
                        <c:v>-7.3472247191011233</c:v>
                      </c:pt>
                      <c:pt idx="38" formatCode="General">
                        <c:v>-7.3783857677902622</c:v>
                      </c:pt>
                      <c:pt idx="39" formatCode="General">
                        <c:v>-7.4095468164794012</c:v>
                      </c:pt>
                      <c:pt idx="40" formatCode="General">
                        <c:v>-7.4407078651685392</c:v>
                      </c:pt>
                      <c:pt idx="41" formatCode="General">
                        <c:v>-7.471370037453184</c:v>
                      </c:pt>
                      <c:pt idx="42" formatCode="General">
                        <c:v>-7.5007782771535583</c:v>
                      </c:pt>
                      <c:pt idx="43" formatCode="General">
                        <c:v>-7.5301865168539326</c:v>
                      </c:pt>
                      <c:pt idx="44" formatCode="General">
                        <c:v>-7.5595947565543069</c:v>
                      </c:pt>
                      <c:pt idx="45" formatCode="General">
                        <c:v>-7.5890029962546812</c:v>
                      </c:pt>
                      <c:pt idx="46" formatCode="General">
                        <c:v>-7.6184112359550564</c:v>
                      </c:pt>
                      <c:pt idx="47" formatCode="General">
                        <c:v>-7.6478194756554307</c:v>
                      </c:pt>
                      <c:pt idx="48" formatCode="General">
                        <c:v>-7.6772277153558051</c:v>
                      </c:pt>
                      <c:pt idx="49" formatCode="General">
                        <c:v>-7.7066359550561794</c:v>
                      </c:pt>
                      <c:pt idx="50" formatCode="General">
                        <c:v>-7.7360441947565537</c:v>
                      </c:pt>
                      <c:pt idx="51" formatCode="General">
                        <c:v>-7.7654249249249245</c:v>
                      </c:pt>
                      <c:pt idx="52" formatCode="General">
                        <c:v>-7.7930450450450452</c:v>
                      </c:pt>
                      <c:pt idx="53" formatCode="General">
                        <c:v>-7.8206651651651651</c:v>
                      </c:pt>
                      <c:pt idx="54" formatCode="General">
                        <c:v>-7.8482852852852849</c:v>
                      </c:pt>
                      <c:pt idx="55" formatCode="General">
                        <c:v>-7.8759054054054056</c:v>
                      </c:pt>
                      <c:pt idx="56" formatCode="General">
                        <c:v>-7.9035255255255255</c:v>
                      </c:pt>
                      <c:pt idx="57" formatCode="General">
                        <c:v>-7.9311456456456453</c:v>
                      </c:pt>
                      <c:pt idx="58" formatCode="General">
                        <c:v>-7.958765765765766</c:v>
                      </c:pt>
                      <c:pt idx="59" formatCode="General">
                        <c:v>-7.9863858858858858</c:v>
                      </c:pt>
                      <c:pt idx="60" formatCode="General">
                        <c:v>-8.0140060060060065</c:v>
                      </c:pt>
                      <c:pt idx="61" formatCode="General">
                        <c:v>-8.0416261261261255</c:v>
                      </c:pt>
                      <c:pt idx="62" formatCode="General">
                        <c:v>-8.0679999999999996</c:v>
                      </c:pt>
                      <c:pt idx="63" formatCode="General">
                        <c:v>-8.0939999999999994</c:v>
                      </c:pt>
                      <c:pt idx="64" formatCode="General">
                        <c:v>-8.1199999999999992</c:v>
                      </c:pt>
                      <c:pt idx="65" formatCode="General">
                        <c:v>-8.1460000000000008</c:v>
                      </c:pt>
                      <c:pt idx="66" formatCode="General">
                        <c:v>-8.1720000000000006</c:v>
                      </c:pt>
                      <c:pt idx="67" formatCode="General">
                        <c:v>-8.1975294117647053</c:v>
                      </c:pt>
                      <c:pt idx="68" formatCode="General">
                        <c:v>-8.2227647058823532</c:v>
                      </c:pt>
                      <c:pt idx="69" formatCode="General">
                        <c:v>-8.2479999999999993</c:v>
                      </c:pt>
                      <c:pt idx="70" formatCode="General">
                        <c:v>-8.2736060606060597</c:v>
                      </c:pt>
                      <c:pt idx="71" formatCode="General">
                        <c:v>-8.2992121212121219</c:v>
                      </c:pt>
                      <c:pt idx="72" formatCode="General">
                        <c:v>-8.3241879699248127</c:v>
                      </c:pt>
                      <c:pt idx="73" formatCode="General">
                        <c:v>-8.3484285714285722</c:v>
                      </c:pt>
                      <c:pt idx="74" formatCode="General">
                        <c:v>-8.3726691729323317</c:v>
                      </c:pt>
                      <c:pt idx="75" formatCode="General">
                        <c:v>-8.3969097744360912</c:v>
                      </c:pt>
                      <c:pt idx="76" formatCode="General">
                        <c:v>-8.4211503759398507</c:v>
                      </c:pt>
                      <c:pt idx="77" formatCode="General">
                        <c:v>-8.4453909774436084</c:v>
                      </c:pt>
                      <c:pt idx="78" formatCode="General">
                        <c:v>-8.469631578947368</c:v>
                      </c:pt>
                      <c:pt idx="79" formatCode="General">
                        <c:v>-8.4938721804511275</c:v>
                      </c:pt>
                      <c:pt idx="80" formatCode="General">
                        <c:v>-8.518112781954887</c:v>
                      </c:pt>
                      <c:pt idx="81" formatCode="General">
                        <c:v>-8.5423533834586465</c:v>
                      </c:pt>
                      <c:pt idx="82" formatCode="General">
                        <c:v>-8.5662388059701495</c:v>
                      </c:pt>
                      <c:pt idx="83" formatCode="General">
                        <c:v>-8.5889402985074632</c:v>
                      </c:pt>
                      <c:pt idx="84" formatCode="General">
                        <c:v>-8.6116417910447769</c:v>
                      </c:pt>
                      <c:pt idx="85" formatCode="General">
                        <c:v>-8.6343432835820888</c:v>
                      </c:pt>
                      <c:pt idx="86" formatCode="General">
                        <c:v>-8.6570447761194025</c:v>
                      </c:pt>
                      <c:pt idx="87" formatCode="General">
                        <c:v>-8.6797462686567162</c:v>
                      </c:pt>
                      <c:pt idx="88" formatCode="General">
                        <c:v>-8.7024477611940299</c:v>
                      </c:pt>
                      <c:pt idx="89" formatCode="General">
                        <c:v>-8.7251492537313435</c:v>
                      </c:pt>
                      <c:pt idx="90" formatCode="General">
                        <c:v>-8.7478507462686572</c:v>
                      </c:pt>
                      <c:pt idx="91" formatCode="General">
                        <c:v>-8.7705522388059709</c:v>
                      </c:pt>
                      <c:pt idx="92" formatCode="General">
                        <c:v>-8.7932537313432828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EDA-4C12-8154-2CB8D6548BBE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-18.878558558558559</c:v>
                      </c:pt>
                      <c:pt idx="1">
                        <c:v>-18.874654654654655</c:v>
                      </c:pt>
                      <c:pt idx="2" formatCode="General">
                        <c:v>-18.870750750750751</c:v>
                      </c:pt>
                      <c:pt idx="3" formatCode="General">
                        <c:v>-18.879431137724552</c:v>
                      </c:pt>
                      <c:pt idx="4" formatCode="General">
                        <c:v>-18.891107784431139</c:v>
                      </c:pt>
                      <c:pt idx="5" formatCode="General">
                        <c:v>-18.903712574850299</c:v>
                      </c:pt>
                      <c:pt idx="6" formatCode="General">
                        <c:v>-18.919281437125747</c:v>
                      </c:pt>
                      <c:pt idx="7" formatCode="General">
                        <c:v>-18.934850299401198</c:v>
                      </c:pt>
                      <c:pt idx="8" formatCode="General">
                        <c:v>-18.953023952095808</c:v>
                      </c:pt>
                      <c:pt idx="9" formatCode="General">
                        <c:v>-18.97248502994012</c:v>
                      </c:pt>
                      <c:pt idx="10" formatCode="General">
                        <c:v>-18.991946107784429</c:v>
                      </c:pt>
                      <c:pt idx="11" formatCode="General">
                        <c:v>-19.011407185628741</c:v>
                      </c:pt>
                      <c:pt idx="12" formatCode="General">
                        <c:v>-19.030868263473053</c:v>
                      </c:pt>
                      <c:pt idx="13" formatCode="General">
                        <c:v>-19.046197604790418</c:v>
                      </c:pt>
                      <c:pt idx="14" formatCode="General">
                        <c:v>-19.057874251497005</c:v>
                      </c:pt>
                      <c:pt idx="15" formatCode="General">
                        <c:v>-19.069550898203595</c:v>
                      </c:pt>
                      <c:pt idx="16" formatCode="General">
                        <c:v>-19.028708708708709</c:v>
                      </c:pt>
                      <c:pt idx="17" formatCode="General">
                        <c:v>-18.985765765765766</c:v>
                      </c:pt>
                      <c:pt idx="18" formatCode="General">
                        <c:v>-18.970898203592814</c:v>
                      </c:pt>
                      <c:pt idx="19" formatCode="General">
                        <c:v>-18.998143712574851</c:v>
                      </c:pt>
                      <c:pt idx="20" formatCode="General">
                        <c:v>-19.025389221556889</c:v>
                      </c:pt>
                      <c:pt idx="21" formatCode="General">
                        <c:v>-19.052634730538923</c:v>
                      </c:pt>
                      <c:pt idx="22" formatCode="General">
                        <c:v>-19.079880239520961</c:v>
                      </c:pt>
                      <c:pt idx="23" formatCode="General">
                        <c:v>-19.107125748502995</c:v>
                      </c:pt>
                      <c:pt idx="24" formatCode="General">
                        <c:v>-19.134371257485032</c:v>
                      </c:pt>
                      <c:pt idx="25" formatCode="General">
                        <c:v>-19.161616766467066</c:v>
                      </c:pt>
                      <c:pt idx="26" formatCode="General">
                        <c:v>-19.188862275449104</c:v>
                      </c:pt>
                      <c:pt idx="27" formatCode="General">
                        <c:v>-19.216107784431138</c:v>
                      </c:pt>
                      <c:pt idx="28" formatCode="General">
                        <c:v>-19.243353293413172</c:v>
                      </c:pt>
                      <c:pt idx="29" formatCode="General">
                        <c:v>-19.27059880239521</c:v>
                      </c:pt>
                      <c:pt idx="30" formatCode="General">
                        <c:v>-19.297844311377244</c:v>
                      </c:pt>
                      <c:pt idx="31" formatCode="General">
                        <c:v>-19.324022471910112</c:v>
                      </c:pt>
                      <c:pt idx="32" formatCode="General">
                        <c:v>-19.349340823970035</c:v>
                      </c:pt>
                      <c:pt idx="33" formatCode="General">
                        <c:v>-19.374659176029962</c:v>
                      </c:pt>
                      <c:pt idx="34" formatCode="General">
                        <c:v>-19.399977528089888</c:v>
                      </c:pt>
                      <c:pt idx="35" formatCode="General">
                        <c:v>-19.425295880149811</c:v>
                      </c:pt>
                      <c:pt idx="36" formatCode="General">
                        <c:v>-19.450614232209738</c:v>
                      </c:pt>
                      <c:pt idx="37" formatCode="General">
                        <c:v>-19.475932584269664</c:v>
                      </c:pt>
                      <c:pt idx="38" formatCode="General">
                        <c:v>-19.501250936329587</c:v>
                      </c:pt>
                      <c:pt idx="39" formatCode="General">
                        <c:v>-19.526569288389513</c:v>
                      </c:pt>
                      <c:pt idx="40" formatCode="General">
                        <c:v>-19.55188764044944</c:v>
                      </c:pt>
                      <c:pt idx="41" formatCode="General">
                        <c:v>-19.576928838951311</c:v>
                      </c:pt>
                      <c:pt idx="42" formatCode="General">
                        <c:v>-19.601273408239702</c:v>
                      </c:pt>
                      <c:pt idx="43" formatCode="General">
                        <c:v>-19.625617977528091</c:v>
                      </c:pt>
                      <c:pt idx="44" formatCode="General">
                        <c:v>-19.649962546816479</c:v>
                      </c:pt>
                      <c:pt idx="45" formatCode="General">
                        <c:v>-19.67430711610487</c:v>
                      </c:pt>
                      <c:pt idx="46" formatCode="General">
                        <c:v>-19.698651685393259</c:v>
                      </c:pt>
                      <c:pt idx="47" formatCode="General">
                        <c:v>-19.722996254681647</c:v>
                      </c:pt>
                      <c:pt idx="48" formatCode="General">
                        <c:v>-19.747340823970038</c:v>
                      </c:pt>
                      <c:pt idx="49" formatCode="General">
                        <c:v>-19.771685393258426</c:v>
                      </c:pt>
                      <c:pt idx="50" formatCode="General">
                        <c:v>-19.796029962546818</c:v>
                      </c:pt>
                      <c:pt idx="51" formatCode="General">
                        <c:v>-19.820345345345345</c:v>
                      </c:pt>
                      <c:pt idx="52" formatCode="General">
                        <c:v>-19.842792792792793</c:v>
                      </c:pt>
                      <c:pt idx="53" formatCode="General">
                        <c:v>-19.86524024024024</c:v>
                      </c:pt>
                      <c:pt idx="54" formatCode="General">
                        <c:v>-19.887687687687688</c:v>
                      </c:pt>
                      <c:pt idx="55" formatCode="General">
                        <c:v>-19.910135135135135</c:v>
                      </c:pt>
                      <c:pt idx="56" formatCode="General">
                        <c:v>-19.932582582582583</c:v>
                      </c:pt>
                      <c:pt idx="57" formatCode="General">
                        <c:v>-19.955030030030031</c:v>
                      </c:pt>
                      <c:pt idx="58" formatCode="General">
                        <c:v>-19.977477477477478</c:v>
                      </c:pt>
                      <c:pt idx="59" formatCode="General">
                        <c:v>-19.999924924924926</c:v>
                      </c:pt>
                      <c:pt idx="60" formatCode="General">
                        <c:v>-20.022372372372374</c:v>
                      </c:pt>
                      <c:pt idx="61" formatCode="General">
                        <c:v>-20.044819819819821</c:v>
                      </c:pt>
                      <c:pt idx="62" formatCode="General">
                        <c:v>-20.067647058823528</c:v>
                      </c:pt>
                      <c:pt idx="63" formatCode="General">
                        <c:v>-20.090588235294117</c:v>
                      </c:pt>
                      <c:pt idx="64" formatCode="General">
                        <c:v>-20.113030303030303</c:v>
                      </c:pt>
                      <c:pt idx="65" formatCode="General">
                        <c:v>-20.132727272727273</c:v>
                      </c:pt>
                      <c:pt idx="66" formatCode="General">
                        <c:v>-20.152424242424242</c:v>
                      </c:pt>
                      <c:pt idx="67" formatCode="General">
                        <c:v>-20.171764705882353</c:v>
                      </c:pt>
                      <c:pt idx="68" formatCode="General">
                        <c:v>-20.190882352941177</c:v>
                      </c:pt>
                      <c:pt idx="69" formatCode="General">
                        <c:v>-20.21</c:v>
                      </c:pt>
                      <c:pt idx="70" formatCode="General">
                        <c:v>-20.22969696969697</c:v>
                      </c:pt>
                      <c:pt idx="71" formatCode="General">
                        <c:v>-20.24939393939394</c:v>
                      </c:pt>
                      <c:pt idx="72" formatCode="General">
                        <c:v>-20.269022556390979</c:v>
                      </c:pt>
                      <c:pt idx="73" formatCode="General">
                        <c:v>-20.28857142857143</c:v>
                      </c:pt>
                      <c:pt idx="74" formatCode="General">
                        <c:v>-20.308120300751881</c:v>
                      </c:pt>
                      <c:pt idx="75" formatCode="General">
                        <c:v>-20.327669172932332</c:v>
                      </c:pt>
                      <c:pt idx="76" formatCode="General">
                        <c:v>-20.347218045112783</c:v>
                      </c:pt>
                      <c:pt idx="77" formatCode="General">
                        <c:v>-20.366766917293234</c:v>
                      </c:pt>
                      <c:pt idx="78" formatCode="General">
                        <c:v>-20.386315789473684</c:v>
                      </c:pt>
                      <c:pt idx="79" formatCode="General">
                        <c:v>-20.405864661654135</c:v>
                      </c:pt>
                      <c:pt idx="80" formatCode="General">
                        <c:v>-20.425413533834586</c:v>
                      </c:pt>
                      <c:pt idx="81" formatCode="General">
                        <c:v>-20.444962406015037</c:v>
                      </c:pt>
                      <c:pt idx="82" formatCode="General">
                        <c:v>-20.464253731343284</c:v>
                      </c:pt>
                      <c:pt idx="83" formatCode="General">
                        <c:v>-20.48268656716418</c:v>
                      </c:pt>
                      <c:pt idx="84" formatCode="General">
                        <c:v>-20.501119402985076</c:v>
                      </c:pt>
                      <c:pt idx="85" formatCode="General">
                        <c:v>-20.519552238805971</c:v>
                      </c:pt>
                      <c:pt idx="86" formatCode="General">
                        <c:v>-20.537985074626867</c:v>
                      </c:pt>
                      <c:pt idx="87" formatCode="General">
                        <c:v>-20.55641791044776</c:v>
                      </c:pt>
                      <c:pt idx="88" formatCode="General">
                        <c:v>-20.574850746268655</c:v>
                      </c:pt>
                      <c:pt idx="89" formatCode="General">
                        <c:v>-20.593283582089551</c:v>
                      </c:pt>
                      <c:pt idx="90" formatCode="General">
                        <c:v>-20.611716417910447</c:v>
                      </c:pt>
                      <c:pt idx="91" formatCode="General">
                        <c:v>-20.630149253731343</c:v>
                      </c:pt>
                      <c:pt idx="92" formatCode="General">
                        <c:v>-20.648582089552239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EDA-4C12-8154-2CB8D6548BBE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-59.785315315315316</c:v>
                      </c:pt>
                      <c:pt idx="1">
                        <c:v>-57.064294294294292</c:v>
                      </c:pt>
                      <c:pt idx="2" formatCode="General">
                        <c:v>-54.343273273273276</c:v>
                      </c:pt>
                      <c:pt idx="3" formatCode="General">
                        <c:v>-51.679131736526941</c:v>
                      </c:pt>
                      <c:pt idx="4" formatCode="General">
                        <c:v>-49.028532934131732</c:v>
                      </c:pt>
                      <c:pt idx="5" formatCode="General">
                        <c:v>-46.442904191616762</c:v>
                      </c:pt>
                      <c:pt idx="6" formatCode="General">
                        <c:v>-44.064760479041915</c:v>
                      </c:pt>
                      <c:pt idx="7" formatCode="General">
                        <c:v>-41.686616766467068</c:v>
                      </c:pt>
                      <c:pt idx="8" formatCode="General">
                        <c:v>-39.548113772455089</c:v>
                      </c:pt>
                      <c:pt idx="9" formatCode="General">
                        <c:v>-37.528053892215567</c:v>
                      </c:pt>
                      <c:pt idx="10" formatCode="General">
                        <c:v>-35.541856287425148</c:v>
                      </c:pt>
                      <c:pt idx="11" formatCode="General">
                        <c:v>-33.860419161676646</c:v>
                      </c:pt>
                      <c:pt idx="12" formatCode="General">
                        <c:v>-32.178982035928144</c:v>
                      </c:pt>
                      <c:pt idx="13" formatCode="General">
                        <c:v>-30.619431137724554</c:v>
                      </c:pt>
                      <c:pt idx="14" formatCode="General">
                        <c:v>-29.167634730538925</c:v>
                      </c:pt>
                      <c:pt idx="15" formatCode="General">
                        <c:v>-27.715838323353292</c:v>
                      </c:pt>
                      <c:pt idx="16" formatCode="General">
                        <c:v>-27.333423423423422</c:v>
                      </c:pt>
                      <c:pt idx="17" formatCode="General">
                        <c:v>-26.993783783783783</c:v>
                      </c:pt>
                      <c:pt idx="18" formatCode="General">
                        <c:v>-26.995508982035929</c:v>
                      </c:pt>
                      <c:pt idx="19" formatCode="General">
                        <c:v>-27.509281437125747</c:v>
                      </c:pt>
                      <c:pt idx="20" formatCode="General">
                        <c:v>-28.023053892215568</c:v>
                      </c:pt>
                      <c:pt idx="21" formatCode="General">
                        <c:v>-28.530359281437125</c:v>
                      </c:pt>
                      <c:pt idx="22" formatCode="General">
                        <c:v>-29.036347305389221</c:v>
                      </c:pt>
                      <c:pt idx="23" formatCode="General">
                        <c:v>-29.540299401197604</c:v>
                      </c:pt>
                      <c:pt idx="24" formatCode="General">
                        <c:v>-30.038502994011978</c:v>
                      </c:pt>
                      <c:pt idx="25" formatCode="General">
                        <c:v>-30.536706586826348</c:v>
                      </c:pt>
                      <c:pt idx="26" formatCode="General">
                        <c:v>-31.026826347305391</c:v>
                      </c:pt>
                      <c:pt idx="27" formatCode="General">
                        <c:v>-31.513353293413175</c:v>
                      </c:pt>
                      <c:pt idx="28" formatCode="General">
                        <c:v>-31.998443113772456</c:v>
                      </c:pt>
                      <c:pt idx="29" formatCode="General">
                        <c:v>-32.47329341317365</c:v>
                      </c:pt>
                      <c:pt idx="30" formatCode="General">
                        <c:v>-32.948143712574847</c:v>
                      </c:pt>
                      <c:pt idx="31" formatCode="General">
                        <c:v>-33.403235955056175</c:v>
                      </c:pt>
                      <c:pt idx="32" formatCode="General">
                        <c:v>-33.842411985018728</c:v>
                      </c:pt>
                      <c:pt idx="33" formatCode="General">
                        <c:v>-34.281588014981274</c:v>
                      </c:pt>
                      <c:pt idx="34" formatCode="General">
                        <c:v>-34.72076404494382</c:v>
                      </c:pt>
                      <c:pt idx="35" formatCode="General">
                        <c:v>-35.159940074906366</c:v>
                      </c:pt>
                      <c:pt idx="36" formatCode="General">
                        <c:v>-35.599116104868912</c:v>
                      </c:pt>
                      <c:pt idx="37" formatCode="General">
                        <c:v>-36.038292134831465</c:v>
                      </c:pt>
                      <c:pt idx="38" formatCode="General">
                        <c:v>-36.477468164794011</c:v>
                      </c:pt>
                      <c:pt idx="39" formatCode="General">
                        <c:v>-36.916644194756557</c:v>
                      </c:pt>
                      <c:pt idx="40" formatCode="General">
                        <c:v>-37.355820224719103</c:v>
                      </c:pt>
                      <c:pt idx="41" formatCode="General">
                        <c:v>-37.774209737827718</c:v>
                      </c:pt>
                      <c:pt idx="42" formatCode="General">
                        <c:v>-38.1403520599251</c:v>
                      </c:pt>
                      <c:pt idx="43" formatCode="General">
                        <c:v>-38.506494382022474</c:v>
                      </c:pt>
                      <c:pt idx="44" formatCode="General">
                        <c:v>-38.872636704119856</c:v>
                      </c:pt>
                      <c:pt idx="45" formatCode="General">
                        <c:v>-39.23877902621723</c:v>
                      </c:pt>
                      <c:pt idx="46" formatCode="General">
                        <c:v>-39.604921348314612</c:v>
                      </c:pt>
                      <c:pt idx="47" formatCode="General">
                        <c:v>-39.971063670411986</c:v>
                      </c:pt>
                      <c:pt idx="48" formatCode="General">
                        <c:v>-40.337205992509368</c:v>
                      </c:pt>
                      <c:pt idx="49" formatCode="General">
                        <c:v>-40.703348314606743</c:v>
                      </c:pt>
                      <c:pt idx="50" formatCode="General">
                        <c:v>-41.069490636704124</c:v>
                      </c:pt>
                      <c:pt idx="51" formatCode="General">
                        <c:v>-41.434354354354355</c:v>
                      </c:pt>
                      <c:pt idx="52" formatCode="General">
                        <c:v>-41.71738738738739</c:v>
                      </c:pt>
                      <c:pt idx="53" formatCode="General">
                        <c:v>-42.000420420420419</c:v>
                      </c:pt>
                      <c:pt idx="54" formatCode="General">
                        <c:v>-42.283453453453454</c:v>
                      </c:pt>
                      <c:pt idx="55" formatCode="General">
                        <c:v>-42.56648648648649</c:v>
                      </c:pt>
                      <c:pt idx="56" formatCode="General">
                        <c:v>-42.849519519519518</c:v>
                      </c:pt>
                      <c:pt idx="57" formatCode="General">
                        <c:v>-43.132552552552553</c:v>
                      </c:pt>
                      <c:pt idx="58" formatCode="General">
                        <c:v>-43.415585585585582</c:v>
                      </c:pt>
                      <c:pt idx="59" formatCode="General">
                        <c:v>-43.698618618618617</c:v>
                      </c:pt>
                      <c:pt idx="60" formatCode="General">
                        <c:v>-43.981651651651653</c:v>
                      </c:pt>
                      <c:pt idx="61" formatCode="General">
                        <c:v>-44.264684684684681</c:v>
                      </c:pt>
                      <c:pt idx="62" formatCode="General">
                        <c:v>-44.497647058823524</c:v>
                      </c:pt>
                      <c:pt idx="63" formatCode="General">
                        <c:v>-44.715588235294113</c:v>
                      </c:pt>
                      <c:pt idx="64" formatCode="General">
                        <c:v>-44.93151515151515</c:v>
                      </c:pt>
                      <c:pt idx="65" formatCode="General">
                        <c:v>-45.136363636363633</c:v>
                      </c:pt>
                      <c:pt idx="66" formatCode="General">
                        <c:v>-45.341212121212124</c:v>
                      </c:pt>
                      <c:pt idx="67" formatCode="General">
                        <c:v>-45.523529411764706</c:v>
                      </c:pt>
                      <c:pt idx="68" formatCode="General">
                        <c:v>-45.691764705882356</c:v>
                      </c:pt>
                      <c:pt idx="69" formatCode="General">
                        <c:v>-45.86</c:v>
                      </c:pt>
                      <c:pt idx="70" formatCode="General">
                        <c:v>-46.013636363636365</c:v>
                      </c:pt>
                      <c:pt idx="71" formatCode="General">
                        <c:v>-46.167272727272724</c:v>
                      </c:pt>
                      <c:pt idx="72" formatCode="General">
                        <c:v>-46.288796992481203</c:v>
                      </c:pt>
                      <c:pt idx="73" formatCode="General">
                        <c:v>-46.372857142857143</c:v>
                      </c:pt>
                      <c:pt idx="74" formatCode="General">
                        <c:v>-46.456917293233083</c:v>
                      </c:pt>
                      <c:pt idx="75" formatCode="General">
                        <c:v>-46.540977443609023</c:v>
                      </c:pt>
                      <c:pt idx="76" formatCode="General">
                        <c:v>-46.625037593984963</c:v>
                      </c:pt>
                      <c:pt idx="77" formatCode="General">
                        <c:v>-46.709097744360903</c:v>
                      </c:pt>
                      <c:pt idx="78" formatCode="General">
                        <c:v>-46.793157894736844</c:v>
                      </c:pt>
                      <c:pt idx="79" formatCode="General">
                        <c:v>-46.877218045112784</c:v>
                      </c:pt>
                      <c:pt idx="80" formatCode="General">
                        <c:v>-46.961278195488724</c:v>
                      </c:pt>
                      <c:pt idx="81" formatCode="General">
                        <c:v>-47.045338345864664</c:v>
                      </c:pt>
                      <c:pt idx="82" formatCode="General">
                        <c:v>-47.104179104477609</c:v>
                      </c:pt>
                      <c:pt idx="83" formatCode="General">
                        <c:v>-47.078955223880598</c:v>
                      </c:pt>
                      <c:pt idx="84" formatCode="General">
                        <c:v>-47.05373134328358</c:v>
                      </c:pt>
                      <c:pt idx="85" formatCode="General">
                        <c:v>-47.028507462686569</c:v>
                      </c:pt>
                      <c:pt idx="86" formatCode="General">
                        <c:v>-47.003283582089551</c:v>
                      </c:pt>
                      <c:pt idx="87" formatCode="General">
                        <c:v>-46.978059701492541</c:v>
                      </c:pt>
                      <c:pt idx="88" formatCode="General">
                        <c:v>-46.952835820895523</c:v>
                      </c:pt>
                      <c:pt idx="89" formatCode="General">
                        <c:v>-46.927611940298512</c:v>
                      </c:pt>
                      <c:pt idx="90" formatCode="General">
                        <c:v>-46.902388059701494</c:v>
                      </c:pt>
                      <c:pt idx="91" formatCode="General">
                        <c:v>-46.877164179104476</c:v>
                      </c:pt>
                      <c:pt idx="92" formatCode="General">
                        <c:v>-46.851940298507465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EDA-4C12-8154-2CB8D6548BBE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-15.70018018018018</c:v>
                      </c:pt>
                      <c:pt idx="1">
                        <c:v>-14.888168168168168</c:v>
                      </c:pt>
                      <c:pt idx="2" formatCode="General">
                        <c:v>-14.076156156156156</c:v>
                      </c:pt>
                      <c:pt idx="3" formatCode="General">
                        <c:v>-13.171796407185628</c:v>
                      </c:pt>
                      <c:pt idx="4" formatCode="General">
                        <c:v>-12.245449101796405</c:v>
                      </c:pt>
                      <c:pt idx="5" formatCode="General">
                        <c:v>-11.336365269461076</c:v>
                      </c:pt>
                      <c:pt idx="6" formatCode="General">
                        <c:v>-10.482413173652693</c:v>
                      </c:pt>
                      <c:pt idx="7" formatCode="General">
                        <c:v>-9.628461077844312</c:v>
                      </c:pt>
                      <c:pt idx="8" formatCode="General">
                        <c:v>-8.8943293413173663</c:v>
                      </c:pt>
                      <c:pt idx="9" formatCode="General">
                        <c:v>-8.2194191616766474</c:v>
                      </c:pt>
                      <c:pt idx="10" formatCode="General">
                        <c:v>-7.5707814371257482</c:v>
                      </c:pt>
                      <c:pt idx="11" formatCode="General">
                        <c:v>-7.1585958083832333</c:v>
                      </c:pt>
                      <c:pt idx="12" formatCode="General">
                        <c:v>-6.7464101796407192</c:v>
                      </c:pt>
                      <c:pt idx="13" formatCode="General">
                        <c:v>-6.4751167664670657</c:v>
                      </c:pt>
                      <c:pt idx="14" formatCode="General">
                        <c:v>-6.3283802395209579</c:v>
                      </c:pt>
                      <c:pt idx="15" formatCode="General">
                        <c:v>-6.18164371257485</c:v>
                      </c:pt>
                      <c:pt idx="16" formatCode="General">
                        <c:v>-6.4226216216216221</c:v>
                      </c:pt>
                      <c:pt idx="17" formatCode="General">
                        <c:v>-6.6791081081081085</c:v>
                      </c:pt>
                      <c:pt idx="18" formatCode="General">
                        <c:v>-6.8345568862275448</c:v>
                      </c:pt>
                      <c:pt idx="19" formatCode="General">
                        <c:v>-6.8384491017964075</c:v>
                      </c:pt>
                      <c:pt idx="20" formatCode="General">
                        <c:v>-6.8423413173652694</c:v>
                      </c:pt>
                      <c:pt idx="21" formatCode="General">
                        <c:v>-6.8627245508982035</c:v>
                      </c:pt>
                      <c:pt idx="22" formatCode="General">
                        <c:v>-6.8864670658682634</c:v>
                      </c:pt>
                      <c:pt idx="23" formatCode="General">
                        <c:v>-6.911838323353293</c:v>
                      </c:pt>
                      <c:pt idx="24" formatCode="General">
                        <c:v>-6.9418083832335329</c:v>
                      </c:pt>
                      <c:pt idx="25" formatCode="General">
                        <c:v>-6.9717784431137719</c:v>
                      </c:pt>
                      <c:pt idx="26" formatCode="General">
                        <c:v>-7.0028263473053896</c:v>
                      </c:pt>
                      <c:pt idx="27" formatCode="General">
                        <c:v>-7.0343532934131741</c:v>
                      </c:pt>
                      <c:pt idx="28" formatCode="General">
                        <c:v>-7.0658802395209586</c:v>
                      </c:pt>
                      <c:pt idx="29" formatCode="General">
                        <c:v>-7.0974071856287431</c:v>
                      </c:pt>
                      <c:pt idx="30" formatCode="General">
                        <c:v>-7.1289341317365267</c:v>
                      </c:pt>
                      <c:pt idx="31" formatCode="General">
                        <c:v>-7.1602584269662923</c:v>
                      </c:pt>
                      <c:pt idx="32" formatCode="General">
                        <c:v>-7.1914194756554304</c:v>
                      </c:pt>
                      <c:pt idx="33" formatCode="General">
                        <c:v>-7.2225805243445693</c:v>
                      </c:pt>
                      <c:pt idx="34" formatCode="General">
                        <c:v>-7.2537415730337083</c:v>
                      </c:pt>
                      <c:pt idx="35" formatCode="General">
                        <c:v>-7.2849026217228463</c:v>
                      </c:pt>
                      <c:pt idx="36" formatCode="General">
                        <c:v>-7.3160636704119852</c:v>
                      </c:pt>
                      <c:pt idx="37" formatCode="General">
                        <c:v>-7.3472247191011233</c:v>
                      </c:pt>
                      <c:pt idx="38" formatCode="General">
                        <c:v>-7.3783857677902622</c:v>
                      </c:pt>
                      <c:pt idx="39" formatCode="General">
                        <c:v>-7.4095468164794012</c:v>
                      </c:pt>
                      <c:pt idx="40" formatCode="General">
                        <c:v>-7.4407078651685392</c:v>
                      </c:pt>
                      <c:pt idx="41" formatCode="General">
                        <c:v>-7.471370037453184</c:v>
                      </c:pt>
                      <c:pt idx="42" formatCode="General">
                        <c:v>-7.5007782771535583</c:v>
                      </c:pt>
                      <c:pt idx="43" formatCode="General">
                        <c:v>-7.5301865168539326</c:v>
                      </c:pt>
                      <c:pt idx="44" formatCode="General">
                        <c:v>-7.5595947565543069</c:v>
                      </c:pt>
                      <c:pt idx="45" formatCode="General">
                        <c:v>-7.5890029962546812</c:v>
                      </c:pt>
                      <c:pt idx="46" formatCode="General">
                        <c:v>-7.6184112359550564</c:v>
                      </c:pt>
                      <c:pt idx="47" formatCode="General">
                        <c:v>-7.6478194756554307</c:v>
                      </c:pt>
                      <c:pt idx="48" formatCode="General">
                        <c:v>-7.6772277153558051</c:v>
                      </c:pt>
                      <c:pt idx="49" formatCode="General">
                        <c:v>-7.7066359550561794</c:v>
                      </c:pt>
                      <c:pt idx="50" formatCode="General">
                        <c:v>-7.7360441947565537</c:v>
                      </c:pt>
                      <c:pt idx="51" formatCode="General">
                        <c:v>-7.7654249249249245</c:v>
                      </c:pt>
                      <c:pt idx="52" formatCode="General">
                        <c:v>-7.7930450450450452</c:v>
                      </c:pt>
                      <c:pt idx="53" formatCode="General">
                        <c:v>-7.8206651651651651</c:v>
                      </c:pt>
                      <c:pt idx="54" formatCode="General">
                        <c:v>-7.8482852852852849</c:v>
                      </c:pt>
                      <c:pt idx="55" formatCode="General">
                        <c:v>-7.8759054054054056</c:v>
                      </c:pt>
                      <c:pt idx="56" formatCode="General">
                        <c:v>-7.9035255255255255</c:v>
                      </c:pt>
                      <c:pt idx="57" formatCode="General">
                        <c:v>-7.9311456456456453</c:v>
                      </c:pt>
                      <c:pt idx="58" formatCode="General">
                        <c:v>-7.958765765765766</c:v>
                      </c:pt>
                      <c:pt idx="59" formatCode="General">
                        <c:v>-7.9863858858858858</c:v>
                      </c:pt>
                      <c:pt idx="60" formatCode="General">
                        <c:v>-8.0140060060060065</c:v>
                      </c:pt>
                      <c:pt idx="61" formatCode="General">
                        <c:v>-8.0416261261261255</c:v>
                      </c:pt>
                      <c:pt idx="62" formatCode="General">
                        <c:v>-8.0679999999999996</c:v>
                      </c:pt>
                      <c:pt idx="63" formatCode="General">
                        <c:v>-8.0939999999999994</c:v>
                      </c:pt>
                      <c:pt idx="64" formatCode="General">
                        <c:v>-8.1199999999999992</c:v>
                      </c:pt>
                      <c:pt idx="65" formatCode="General">
                        <c:v>-8.1460000000000008</c:v>
                      </c:pt>
                      <c:pt idx="66" formatCode="General">
                        <c:v>-8.1720000000000006</c:v>
                      </c:pt>
                      <c:pt idx="67" formatCode="General">
                        <c:v>-8.1975294117647053</c:v>
                      </c:pt>
                      <c:pt idx="68" formatCode="General">
                        <c:v>-8.2227647058823532</c:v>
                      </c:pt>
                      <c:pt idx="69" formatCode="General">
                        <c:v>-8.2479999999999993</c:v>
                      </c:pt>
                      <c:pt idx="70" formatCode="General">
                        <c:v>-8.2736060606060597</c:v>
                      </c:pt>
                      <c:pt idx="71" formatCode="General">
                        <c:v>-8.2992121212121219</c:v>
                      </c:pt>
                      <c:pt idx="72" formatCode="General">
                        <c:v>-8.3241879699248127</c:v>
                      </c:pt>
                      <c:pt idx="73" formatCode="General">
                        <c:v>-8.3484285714285722</c:v>
                      </c:pt>
                      <c:pt idx="74" formatCode="General">
                        <c:v>-8.3726691729323317</c:v>
                      </c:pt>
                      <c:pt idx="75" formatCode="General">
                        <c:v>-8.3969097744360912</c:v>
                      </c:pt>
                      <c:pt idx="76" formatCode="General">
                        <c:v>-8.4211503759398507</c:v>
                      </c:pt>
                      <c:pt idx="77" formatCode="General">
                        <c:v>-8.4453909774436084</c:v>
                      </c:pt>
                      <c:pt idx="78" formatCode="General">
                        <c:v>-8.469631578947368</c:v>
                      </c:pt>
                      <c:pt idx="79" formatCode="General">
                        <c:v>-8.4938721804511275</c:v>
                      </c:pt>
                      <c:pt idx="80" formatCode="General">
                        <c:v>-8.518112781954887</c:v>
                      </c:pt>
                      <c:pt idx="81" formatCode="General">
                        <c:v>-8.5423533834586465</c:v>
                      </c:pt>
                      <c:pt idx="82" formatCode="General">
                        <c:v>-8.5662388059701495</c:v>
                      </c:pt>
                      <c:pt idx="83" formatCode="General">
                        <c:v>-8.5889402985074632</c:v>
                      </c:pt>
                      <c:pt idx="84" formatCode="General">
                        <c:v>-8.6116417910447769</c:v>
                      </c:pt>
                      <c:pt idx="85" formatCode="General">
                        <c:v>-8.6343432835820888</c:v>
                      </c:pt>
                      <c:pt idx="86" formatCode="General">
                        <c:v>-8.6570447761194025</c:v>
                      </c:pt>
                      <c:pt idx="87" formatCode="General">
                        <c:v>-8.6797462686567162</c:v>
                      </c:pt>
                      <c:pt idx="88" formatCode="General">
                        <c:v>-8.7024477611940299</c:v>
                      </c:pt>
                      <c:pt idx="89" formatCode="General">
                        <c:v>-8.7251492537313435</c:v>
                      </c:pt>
                      <c:pt idx="90" formatCode="General">
                        <c:v>-8.7478507462686572</c:v>
                      </c:pt>
                      <c:pt idx="91" formatCode="General">
                        <c:v>-8.7705522388059709</c:v>
                      </c:pt>
                      <c:pt idx="92" formatCode="General">
                        <c:v>-8.7932537313432828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EDA-4C12-8154-2CB8D6548BBE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-22.018918918918921</c:v>
                      </c:pt>
                      <c:pt idx="1">
                        <c:v>-21.69099099099099</c:v>
                      </c:pt>
                      <c:pt idx="2" formatCode="General">
                        <c:v>-21.363063063063063</c:v>
                      </c:pt>
                      <c:pt idx="3" formatCode="General">
                        <c:v>-21.328293413173654</c:v>
                      </c:pt>
                      <c:pt idx="4" formatCode="General">
                        <c:v>-21.363323353293413</c:v>
                      </c:pt>
                      <c:pt idx="5" formatCode="General">
                        <c:v>-21.428053892215569</c:v>
                      </c:pt>
                      <c:pt idx="6" formatCode="General">
                        <c:v>-21.587634730538923</c:v>
                      </c:pt>
                      <c:pt idx="7" formatCode="General">
                        <c:v>-21.747215568862277</c:v>
                      </c:pt>
                      <c:pt idx="8" formatCode="General">
                        <c:v>-21.901586826347305</c:v>
                      </c:pt>
                      <c:pt idx="9" formatCode="General">
                        <c:v>-22.053383233532934</c:v>
                      </c:pt>
                      <c:pt idx="10" formatCode="General">
                        <c:v>-22.201287425149701</c:v>
                      </c:pt>
                      <c:pt idx="11" formatCode="General">
                        <c:v>-22.314161676646709</c:v>
                      </c:pt>
                      <c:pt idx="12" formatCode="General">
                        <c:v>-22.427035928143713</c:v>
                      </c:pt>
                      <c:pt idx="13" formatCode="General">
                        <c:v>-22.544041916167664</c:v>
                      </c:pt>
                      <c:pt idx="14" formatCode="General">
                        <c:v>-22.664700598802394</c:v>
                      </c:pt>
                      <c:pt idx="15" formatCode="General">
                        <c:v>-22.785359281437124</c:v>
                      </c:pt>
                      <c:pt idx="16" formatCode="General">
                        <c:v>-22.883843843843842</c:v>
                      </c:pt>
                      <c:pt idx="17" formatCode="General">
                        <c:v>-22.98144144144144</c:v>
                      </c:pt>
                      <c:pt idx="18" formatCode="General">
                        <c:v>-23.1162874251497</c:v>
                      </c:pt>
                      <c:pt idx="19" formatCode="General">
                        <c:v>-23.307005988023953</c:v>
                      </c:pt>
                      <c:pt idx="20" formatCode="General">
                        <c:v>-23.497724550898205</c:v>
                      </c:pt>
                      <c:pt idx="21" formatCode="General">
                        <c:v>-23.691676646706586</c:v>
                      </c:pt>
                      <c:pt idx="22" formatCode="General">
                        <c:v>-23.8862874251497</c:v>
                      </c:pt>
                      <c:pt idx="23" formatCode="General">
                        <c:v>-24.078862275449104</c:v>
                      </c:pt>
                      <c:pt idx="24" formatCode="General">
                        <c:v>-24.265688622754492</c:v>
                      </c:pt>
                      <c:pt idx="25" formatCode="General">
                        <c:v>-24.45251497005988</c:v>
                      </c:pt>
                      <c:pt idx="26" formatCode="General">
                        <c:v>-24.639341317365272</c:v>
                      </c:pt>
                      <c:pt idx="27" formatCode="General">
                        <c:v>-24.82616766467066</c:v>
                      </c:pt>
                      <c:pt idx="28" formatCode="General">
                        <c:v>-25.012994011976048</c:v>
                      </c:pt>
                      <c:pt idx="29" formatCode="General">
                        <c:v>-25.199820359281436</c:v>
                      </c:pt>
                      <c:pt idx="30" formatCode="General">
                        <c:v>-25.386646706586827</c:v>
                      </c:pt>
                      <c:pt idx="31" formatCode="General">
                        <c:v>-25.567617977528091</c:v>
                      </c:pt>
                      <c:pt idx="32" formatCode="General">
                        <c:v>-25.743872659176031</c:v>
                      </c:pt>
                      <c:pt idx="33" formatCode="General">
                        <c:v>-25.920127340823971</c:v>
                      </c:pt>
                      <c:pt idx="34" formatCode="General">
                        <c:v>-26.096382022471911</c:v>
                      </c:pt>
                      <c:pt idx="35" formatCode="General">
                        <c:v>-26.272636704119851</c:v>
                      </c:pt>
                      <c:pt idx="36" formatCode="General">
                        <c:v>-26.448891385767791</c:v>
                      </c:pt>
                      <c:pt idx="37" formatCode="General">
                        <c:v>-26.625146067415731</c:v>
                      </c:pt>
                      <c:pt idx="38" formatCode="General">
                        <c:v>-26.801400749063671</c:v>
                      </c:pt>
                      <c:pt idx="39" formatCode="General">
                        <c:v>-26.977655430711611</c:v>
                      </c:pt>
                      <c:pt idx="40" formatCode="General">
                        <c:v>-27.153910112359551</c:v>
                      </c:pt>
                      <c:pt idx="41" formatCode="General">
                        <c:v>-27.327670411985022</c:v>
                      </c:pt>
                      <c:pt idx="42" formatCode="General">
                        <c:v>-27.495161048689141</c:v>
                      </c:pt>
                      <c:pt idx="43" formatCode="General">
                        <c:v>-27.662651685393261</c:v>
                      </c:pt>
                      <c:pt idx="44" formatCode="General">
                        <c:v>-27.83014232209738</c:v>
                      </c:pt>
                      <c:pt idx="45" formatCode="General">
                        <c:v>-27.9976329588015</c:v>
                      </c:pt>
                      <c:pt idx="46" formatCode="General">
                        <c:v>-28.165123595505619</c:v>
                      </c:pt>
                      <c:pt idx="47" formatCode="General">
                        <c:v>-28.332614232209739</c:v>
                      </c:pt>
                      <c:pt idx="48" formatCode="General">
                        <c:v>-28.500104868913859</c:v>
                      </c:pt>
                      <c:pt idx="49" formatCode="General">
                        <c:v>-28.667595505617978</c:v>
                      </c:pt>
                      <c:pt idx="50" formatCode="General">
                        <c:v>-28.835086142322098</c:v>
                      </c:pt>
                      <c:pt idx="51" formatCode="General">
                        <c:v>-29.002447447447448</c:v>
                      </c:pt>
                      <c:pt idx="52" formatCode="General">
                        <c:v>-29.161531531531534</c:v>
                      </c:pt>
                      <c:pt idx="53" formatCode="General">
                        <c:v>-29.320615615615615</c:v>
                      </c:pt>
                      <c:pt idx="54" formatCode="General">
                        <c:v>-29.479699699699701</c:v>
                      </c:pt>
                      <c:pt idx="55" formatCode="General">
                        <c:v>-29.638783783783783</c:v>
                      </c:pt>
                      <c:pt idx="56" formatCode="General">
                        <c:v>-29.797867867867868</c:v>
                      </c:pt>
                      <c:pt idx="57" formatCode="General">
                        <c:v>-29.95695195195195</c:v>
                      </c:pt>
                      <c:pt idx="58" formatCode="General">
                        <c:v>-30.116036036036036</c:v>
                      </c:pt>
                      <c:pt idx="59" formatCode="General">
                        <c:v>-30.275120120120121</c:v>
                      </c:pt>
                      <c:pt idx="60" formatCode="General">
                        <c:v>-30.434204204204203</c:v>
                      </c:pt>
                      <c:pt idx="61" formatCode="General">
                        <c:v>-30.593288288288289</c:v>
                      </c:pt>
                      <c:pt idx="62" formatCode="General">
                        <c:v>-30.747647058823528</c:v>
                      </c:pt>
                      <c:pt idx="63" formatCode="General">
                        <c:v>-30.900588235294119</c:v>
                      </c:pt>
                      <c:pt idx="64" formatCode="General">
                        <c:v>-31.053636363636365</c:v>
                      </c:pt>
                      <c:pt idx="65" formatCode="General">
                        <c:v>-31.207272727272727</c:v>
                      </c:pt>
                      <c:pt idx="66" formatCode="General">
                        <c:v>-31.360909090909093</c:v>
                      </c:pt>
                      <c:pt idx="67" formatCode="General">
                        <c:v>-31.511764705882353</c:v>
                      </c:pt>
                      <c:pt idx="68" formatCode="General">
                        <c:v>-31.660882352941176</c:v>
                      </c:pt>
                      <c:pt idx="69" formatCode="General">
                        <c:v>-31.81</c:v>
                      </c:pt>
                      <c:pt idx="70" formatCode="General">
                        <c:v>-31.963636363636365</c:v>
                      </c:pt>
                      <c:pt idx="71" formatCode="General">
                        <c:v>-32.117272727272727</c:v>
                      </c:pt>
                      <c:pt idx="72" formatCode="General">
                        <c:v>-32.269022556390979</c:v>
                      </c:pt>
                      <c:pt idx="73" formatCode="General">
                        <c:v>-32.418571428571433</c:v>
                      </c:pt>
                      <c:pt idx="74" formatCode="General">
                        <c:v>-32.568120300751879</c:v>
                      </c:pt>
                      <c:pt idx="75" formatCode="General">
                        <c:v>-32.717669172932332</c:v>
                      </c:pt>
                      <c:pt idx="76" formatCode="General">
                        <c:v>-32.867218045112779</c:v>
                      </c:pt>
                      <c:pt idx="77" formatCode="General">
                        <c:v>-33.016766917293232</c:v>
                      </c:pt>
                      <c:pt idx="78" formatCode="General">
                        <c:v>-33.166315789473686</c:v>
                      </c:pt>
                      <c:pt idx="79" formatCode="General">
                        <c:v>-33.315864661654132</c:v>
                      </c:pt>
                      <c:pt idx="80" formatCode="General">
                        <c:v>-33.465413533834585</c:v>
                      </c:pt>
                      <c:pt idx="81" formatCode="General">
                        <c:v>-33.614962406015032</c:v>
                      </c:pt>
                      <c:pt idx="82" formatCode="General">
                        <c:v>-33.763358208955218</c:v>
                      </c:pt>
                      <c:pt idx="83" formatCode="General">
                        <c:v>-33.907910447761189</c:v>
                      </c:pt>
                      <c:pt idx="84" formatCode="General">
                        <c:v>-34.052462686567161</c:v>
                      </c:pt>
                      <c:pt idx="85" formatCode="General">
                        <c:v>-34.197014925373132</c:v>
                      </c:pt>
                      <c:pt idx="86" formatCode="General">
                        <c:v>-34.341567164179104</c:v>
                      </c:pt>
                      <c:pt idx="87" formatCode="General">
                        <c:v>-34.486119402985075</c:v>
                      </c:pt>
                      <c:pt idx="88" formatCode="General">
                        <c:v>-34.630671641791039</c:v>
                      </c:pt>
                      <c:pt idx="89" formatCode="General">
                        <c:v>-34.775223880597011</c:v>
                      </c:pt>
                      <c:pt idx="90" formatCode="General">
                        <c:v>-34.919776119402982</c:v>
                      </c:pt>
                      <c:pt idx="91" formatCode="General">
                        <c:v>-35.064328358208954</c:v>
                      </c:pt>
                      <c:pt idx="92" formatCode="General">
                        <c:v>-35.208880597014925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EDA-4C12-8154-2CB8D6548BBE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EDA-4C12-8154-2CB8D6548BBE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EDA-4C12-8154-2CB8D6548BBE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EDA-4C12-8154-2CB8D6548BBE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EDA-4C12-8154-2CB8D6548BB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</c:valAx>
      <c:valAx>
        <c:axId val="938775583"/>
        <c:scaling>
          <c:orientation val="minMax"/>
          <c:max val="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2"/>
          <c:spPr>
            <a:ln w="1905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303</c:v>
                </c:pt>
                <c:pt idx="1">
                  <c:v>316</c:v>
                </c:pt>
                <c:pt idx="2">
                  <c:v>329</c:v>
                </c:pt>
                <c:pt idx="3">
                  <c:v>342</c:v>
                </c:pt>
                <c:pt idx="4">
                  <c:v>355</c:v>
                </c:pt>
                <c:pt idx="5">
                  <c:v>368</c:v>
                </c:pt>
                <c:pt idx="6">
                  <c:v>381</c:v>
                </c:pt>
                <c:pt idx="7">
                  <c:v>394</c:v>
                </c:pt>
                <c:pt idx="8">
                  <c:v>407</c:v>
                </c:pt>
                <c:pt idx="9">
                  <c:v>420</c:v>
                </c:pt>
                <c:pt idx="10">
                  <c:v>433</c:v>
                </c:pt>
                <c:pt idx="11">
                  <c:v>446</c:v>
                </c:pt>
                <c:pt idx="12">
                  <c:v>459</c:v>
                </c:pt>
                <c:pt idx="13">
                  <c:v>472</c:v>
                </c:pt>
                <c:pt idx="14">
                  <c:v>485</c:v>
                </c:pt>
                <c:pt idx="15">
                  <c:v>498</c:v>
                </c:pt>
                <c:pt idx="16">
                  <c:v>511</c:v>
                </c:pt>
                <c:pt idx="17">
                  <c:v>524</c:v>
                </c:pt>
                <c:pt idx="18">
                  <c:v>537</c:v>
                </c:pt>
                <c:pt idx="19">
                  <c:v>550</c:v>
                </c:pt>
                <c:pt idx="20">
                  <c:v>563</c:v>
                </c:pt>
                <c:pt idx="21">
                  <c:v>576</c:v>
                </c:pt>
                <c:pt idx="22">
                  <c:v>589</c:v>
                </c:pt>
                <c:pt idx="23">
                  <c:v>602</c:v>
                </c:pt>
                <c:pt idx="24">
                  <c:v>615</c:v>
                </c:pt>
                <c:pt idx="25">
                  <c:v>628</c:v>
                </c:pt>
                <c:pt idx="26">
                  <c:v>641</c:v>
                </c:pt>
                <c:pt idx="27">
                  <c:v>654</c:v>
                </c:pt>
                <c:pt idx="28">
                  <c:v>667</c:v>
                </c:pt>
                <c:pt idx="29">
                  <c:v>680</c:v>
                </c:pt>
                <c:pt idx="30">
                  <c:v>693</c:v>
                </c:pt>
                <c:pt idx="31">
                  <c:v>706</c:v>
                </c:pt>
                <c:pt idx="32">
                  <c:v>719</c:v>
                </c:pt>
                <c:pt idx="33">
                  <c:v>732</c:v>
                </c:pt>
                <c:pt idx="34">
                  <c:v>745</c:v>
                </c:pt>
                <c:pt idx="35">
                  <c:v>758</c:v>
                </c:pt>
                <c:pt idx="36">
                  <c:v>771</c:v>
                </c:pt>
                <c:pt idx="37">
                  <c:v>784</c:v>
                </c:pt>
                <c:pt idx="38">
                  <c:v>797</c:v>
                </c:pt>
                <c:pt idx="39">
                  <c:v>810</c:v>
                </c:pt>
                <c:pt idx="40">
                  <c:v>823</c:v>
                </c:pt>
                <c:pt idx="41">
                  <c:v>836</c:v>
                </c:pt>
                <c:pt idx="42">
                  <c:v>849</c:v>
                </c:pt>
                <c:pt idx="43">
                  <c:v>862</c:v>
                </c:pt>
                <c:pt idx="44">
                  <c:v>875</c:v>
                </c:pt>
                <c:pt idx="45">
                  <c:v>888</c:v>
                </c:pt>
                <c:pt idx="46">
                  <c:v>901</c:v>
                </c:pt>
                <c:pt idx="47">
                  <c:v>914</c:v>
                </c:pt>
                <c:pt idx="48">
                  <c:v>927</c:v>
                </c:pt>
                <c:pt idx="49">
                  <c:v>940</c:v>
                </c:pt>
                <c:pt idx="50">
                  <c:v>953</c:v>
                </c:pt>
                <c:pt idx="51">
                  <c:v>966</c:v>
                </c:pt>
                <c:pt idx="52">
                  <c:v>979</c:v>
                </c:pt>
                <c:pt idx="53">
                  <c:v>992</c:v>
                </c:pt>
                <c:pt idx="54">
                  <c:v>1005</c:v>
                </c:pt>
                <c:pt idx="55">
                  <c:v>1018</c:v>
                </c:pt>
                <c:pt idx="56">
                  <c:v>1031</c:v>
                </c:pt>
                <c:pt idx="57">
                  <c:v>1044</c:v>
                </c:pt>
                <c:pt idx="58">
                  <c:v>1057</c:v>
                </c:pt>
                <c:pt idx="59">
                  <c:v>1070</c:v>
                </c:pt>
                <c:pt idx="60">
                  <c:v>1083</c:v>
                </c:pt>
                <c:pt idx="61">
                  <c:v>1096</c:v>
                </c:pt>
                <c:pt idx="62">
                  <c:v>1109</c:v>
                </c:pt>
                <c:pt idx="63">
                  <c:v>1122</c:v>
                </c:pt>
                <c:pt idx="64">
                  <c:v>1135</c:v>
                </c:pt>
                <c:pt idx="65">
                  <c:v>1148</c:v>
                </c:pt>
                <c:pt idx="66">
                  <c:v>1161</c:v>
                </c:pt>
                <c:pt idx="67">
                  <c:v>1174</c:v>
                </c:pt>
                <c:pt idx="68">
                  <c:v>1187</c:v>
                </c:pt>
                <c:pt idx="69">
                  <c:v>1200</c:v>
                </c:pt>
                <c:pt idx="70">
                  <c:v>1213</c:v>
                </c:pt>
                <c:pt idx="71">
                  <c:v>1226</c:v>
                </c:pt>
                <c:pt idx="72">
                  <c:v>1239</c:v>
                </c:pt>
                <c:pt idx="73">
                  <c:v>1252</c:v>
                </c:pt>
                <c:pt idx="74">
                  <c:v>1265</c:v>
                </c:pt>
                <c:pt idx="75">
                  <c:v>1278</c:v>
                </c:pt>
                <c:pt idx="76">
                  <c:v>1291</c:v>
                </c:pt>
                <c:pt idx="77">
                  <c:v>1304</c:v>
                </c:pt>
                <c:pt idx="78">
                  <c:v>1317</c:v>
                </c:pt>
                <c:pt idx="79">
                  <c:v>1330</c:v>
                </c:pt>
                <c:pt idx="80">
                  <c:v>1343</c:v>
                </c:pt>
                <c:pt idx="81">
                  <c:v>1356</c:v>
                </c:pt>
                <c:pt idx="82">
                  <c:v>1369</c:v>
                </c:pt>
                <c:pt idx="83">
                  <c:v>1382</c:v>
                </c:pt>
                <c:pt idx="84">
                  <c:v>1395</c:v>
                </c:pt>
                <c:pt idx="85">
                  <c:v>1408</c:v>
                </c:pt>
                <c:pt idx="86">
                  <c:v>1421</c:v>
                </c:pt>
                <c:pt idx="87">
                  <c:v>1434</c:v>
                </c:pt>
                <c:pt idx="88">
                  <c:v>1447</c:v>
                </c:pt>
                <c:pt idx="89">
                  <c:v>1460</c:v>
                </c:pt>
                <c:pt idx="90">
                  <c:v>1473</c:v>
                </c:pt>
                <c:pt idx="91">
                  <c:v>1486</c:v>
                </c:pt>
                <c:pt idx="92">
                  <c:v>1499</c:v>
                </c:pt>
              </c:numCache>
              <c:extLst xmlns:c15="http://schemas.microsoft.com/office/drawing/2012/chart"/>
            </c:numRef>
          </c:xVal>
          <c:yVal>
            <c:numRef>
              <c:f>EVALUATION!$B$103:$CP$103</c:f>
              <c:numCache>
                <c:formatCode>0</c:formatCode>
                <c:ptCount val="93"/>
                <c:pt idx="0">
                  <c:v>-36.840720720720718</c:v>
                </c:pt>
                <c:pt idx="1">
                  <c:v>-35.759339339339341</c:v>
                </c:pt>
                <c:pt idx="2" formatCode="General">
                  <c:v>-34.677957957957958</c:v>
                </c:pt>
                <c:pt idx="3" formatCode="General">
                  <c:v>-33.778383233532935</c:v>
                </c:pt>
                <c:pt idx="4" formatCode="General">
                  <c:v>-32.922095808383233</c:v>
                </c:pt>
                <c:pt idx="5" formatCode="General">
                  <c:v>-32.103862275449096</c:v>
                </c:pt>
                <c:pt idx="6" formatCode="General">
                  <c:v>-31.407155688622751</c:v>
                </c:pt>
                <c:pt idx="7" formatCode="General">
                  <c:v>-30.710449101796403</c:v>
                </c:pt>
                <c:pt idx="8" formatCode="General">
                  <c:v>-30.094751497005987</c:v>
                </c:pt>
                <c:pt idx="9" formatCode="General">
                  <c:v>-29.519092814371255</c:v>
                </c:pt>
                <c:pt idx="10" formatCode="General">
                  <c:v>-28.953086826347306</c:v>
                </c:pt>
                <c:pt idx="11" formatCode="General">
                  <c:v>-28.473955089820361</c:v>
                </c:pt>
                <c:pt idx="12" formatCode="General">
                  <c:v>-27.994823353293413</c:v>
                </c:pt>
                <c:pt idx="13" formatCode="General">
                  <c:v>-27.55845508982036</c:v>
                </c:pt>
                <c:pt idx="14" formatCode="General">
                  <c:v>-27.159892215568863</c:v>
                </c:pt>
                <c:pt idx="15" formatCode="General">
                  <c:v>-26.761329341317367</c:v>
                </c:pt>
                <c:pt idx="16" formatCode="General">
                  <c:v>-26.710339339339342</c:v>
                </c:pt>
                <c:pt idx="17" formatCode="General">
                  <c:v>-26.673252252252254</c:v>
                </c:pt>
                <c:pt idx="18" formatCode="General">
                  <c:v>-26.743167664670661</c:v>
                </c:pt>
                <c:pt idx="19" formatCode="General">
                  <c:v>-26.973586826347304</c:v>
                </c:pt>
                <c:pt idx="20" formatCode="General">
                  <c:v>-27.204005988023951</c:v>
                </c:pt>
                <c:pt idx="21" formatCode="General">
                  <c:v>-27.426502994011976</c:v>
                </c:pt>
                <c:pt idx="22" formatCode="General">
                  <c:v>-27.64738622754491</c:v>
                </c:pt>
                <c:pt idx="23" formatCode="General">
                  <c:v>-27.868269461077844</c:v>
                </c:pt>
                <c:pt idx="24" formatCode="General">
                  <c:v>-28.089152694610778</c:v>
                </c:pt>
                <c:pt idx="25" formatCode="General">
                  <c:v>-28.310035928143712</c:v>
                </c:pt>
                <c:pt idx="26" formatCode="General">
                  <c:v>-28.530919161676646</c:v>
                </c:pt>
                <c:pt idx="27" formatCode="General">
                  <c:v>-28.75180239520958</c:v>
                </c:pt>
                <c:pt idx="28" formatCode="General">
                  <c:v>-28.972685628742518</c:v>
                </c:pt>
                <c:pt idx="29" formatCode="General">
                  <c:v>-29.193568862275452</c:v>
                </c:pt>
                <c:pt idx="30" formatCode="General">
                  <c:v>-29.414452095808386</c:v>
                </c:pt>
                <c:pt idx="31" formatCode="General">
                  <c:v>-29.627876404494383</c:v>
                </c:pt>
                <c:pt idx="32" formatCode="General">
                  <c:v>-29.835292134831462</c:v>
                </c:pt>
                <c:pt idx="33" formatCode="General">
                  <c:v>-30.042707865168541</c:v>
                </c:pt>
                <c:pt idx="34" formatCode="General">
                  <c:v>-30.25012359550562</c:v>
                </c:pt>
                <c:pt idx="35" formatCode="General">
                  <c:v>-30.457539325842699</c:v>
                </c:pt>
                <c:pt idx="36" formatCode="General">
                  <c:v>-30.664955056179778</c:v>
                </c:pt>
                <c:pt idx="37" formatCode="General">
                  <c:v>-30.872370786516857</c:v>
                </c:pt>
                <c:pt idx="38" formatCode="General">
                  <c:v>-31.079786516853936</c:v>
                </c:pt>
                <c:pt idx="39" formatCode="General">
                  <c:v>-31.287202247191011</c:v>
                </c:pt>
                <c:pt idx="40" formatCode="General">
                  <c:v>-31.49461797752809</c:v>
                </c:pt>
                <c:pt idx="41" formatCode="General">
                  <c:v>-31.699040449438204</c:v>
                </c:pt>
                <c:pt idx="42" formatCode="General">
                  <c:v>-31.895939325842697</c:v>
                </c:pt>
                <c:pt idx="43" formatCode="General">
                  <c:v>-32.092838202247194</c:v>
                </c:pt>
                <c:pt idx="44" formatCode="General">
                  <c:v>-32.289737078651683</c:v>
                </c:pt>
                <c:pt idx="45" formatCode="General">
                  <c:v>-32.48663595505618</c:v>
                </c:pt>
                <c:pt idx="46" formatCode="General">
                  <c:v>-32.683534831460676</c:v>
                </c:pt>
                <c:pt idx="47" formatCode="General">
                  <c:v>-32.880433707865166</c:v>
                </c:pt>
                <c:pt idx="48" formatCode="General">
                  <c:v>-33.077332584269662</c:v>
                </c:pt>
                <c:pt idx="49" formatCode="General">
                  <c:v>-33.274231460674159</c:v>
                </c:pt>
                <c:pt idx="50" formatCode="General">
                  <c:v>-33.471130337078648</c:v>
                </c:pt>
                <c:pt idx="51" formatCode="General">
                  <c:v>-33.667886227544912</c:v>
                </c:pt>
                <c:pt idx="52" formatCode="General">
                  <c:v>-33.85549101796407</c:v>
                </c:pt>
                <c:pt idx="53" formatCode="General">
                  <c:v>-34.043095808383235</c:v>
                </c:pt>
                <c:pt idx="54" formatCode="General">
                  <c:v>-34.229538461538461</c:v>
                </c:pt>
                <c:pt idx="55" formatCode="General">
                  <c:v>-34.414538461538463</c:v>
                </c:pt>
                <c:pt idx="56" formatCode="General">
                  <c:v>-34.599538461538458</c:v>
                </c:pt>
                <c:pt idx="57" formatCode="General">
                  <c:v>-34.788333333333334</c:v>
                </c:pt>
                <c:pt idx="58" formatCode="General">
                  <c:v>-34.977818181818186</c:v>
                </c:pt>
                <c:pt idx="59" formatCode="General">
                  <c:v>-35.165848484848489</c:v>
                </c:pt>
                <c:pt idx="60" formatCode="General">
                  <c:v>-35.350606060606061</c:v>
                </c:pt>
                <c:pt idx="61" formatCode="General">
                  <c:v>-35.535363636363641</c:v>
                </c:pt>
                <c:pt idx="62" formatCode="General">
                  <c:v>-35.719716417910448</c:v>
                </c:pt>
                <c:pt idx="63" formatCode="General">
                  <c:v>-35.903947761194033</c:v>
                </c:pt>
                <c:pt idx="64" formatCode="General">
                  <c:v>-36.088179104477618</c:v>
                </c:pt>
                <c:pt idx="65" formatCode="General">
                  <c:v>-36.272410447761196</c:v>
                </c:pt>
                <c:pt idx="66" formatCode="General">
                  <c:v>-36.456641791044781</c:v>
                </c:pt>
                <c:pt idx="67" formatCode="General">
                  <c:v>-36.640873134328359</c:v>
                </c:pt>
                <c:pt idx="68" formatCode="General">
                  <c:v>-36.825104477611944</c:v>
                </c:pt>
                <c:pt idx="69" formatCode="General">
                  <c:v>-37.009335820895529</c:v>
                </c:pt>
                <c:pt idx="70" formatCode="General">
                  <c:v>-37.193567164179107</c:v>
                </c:pt>
                <c:pt idx="71" formatCode="General">
                  <c:v>-37.377798507462693</c:v>
                </c:pt>
                <c:pt idx="72" formatCode="General">
                  <c:v>-37.573135338345871</c:v>
                </c:pt>
                <c:pt idx="73" formatCode="General">
                  <c:v>-37.781428571428577</c:v>
                </c:pt>
                <c:pt idx="74" formatCode="General">
                  <c:v>-37.989721804511284</c:v>
                </c:pt>
                <c:pt idx="75" formatCode="General">
                  <c:v>-38.19801503759399</c:v>
                </c:pt>
                <c:pt idx="76" formatCode="General">
                  <c:v>-38.406308270676689</c:v>
                </c:pt>
                <c:pt idx="77" formatCode="General">
                  <c:v>-38.614601503759395</c:v>
                </c:pt>
                <c:pt idx="78" formatCode="General">
                  <c:v>-38.822894736842102</c:v>
                </c:pt>
                <c:pt idx="79" formatCode="General">
                  <c:v>-39.031187969924808</c:v>
                </c:pt>
                <c:pt idx="80" formatCode="General">
                  <c:v>-39.239481203007514</c:v>
                </c:pt>
                <c:pt idx="81" formatCode="General">
                  <c:v>-39.447774436090221</c:v>
                </c:pt>
                <c:pt idx="82" formatCode="General">
                  <c:v>-39.652735294117647</c:v>
                </c:pt>
                <c:pt idx="83" formatCode="General">
                  <c:v>-39.846588235294114</c:v>
                </c:pt>
                <c:pt idx="84" formatCode="General">
                  <c:v>-40.040441176470587</c:v>
                </c:pt>
                <c:pt idx="85" formatCode="General">
                  <c:v>-40.239363636363635</c:v>
                </c:pt>
                <c:pt idx="86" formatCode="General">
                  <c:v>-40.441454545454548</c:v>
                </c:pt>
                <c:pt idx="87" formatCode="General">
                  <c:v>-40.642676470588235</c:v>
                </c:pt>
                <c:pt idx="88" formatCode="General">
                  <c:v>-40.833470588235294</c:v>
                </c:pt>
                <c:pt idx="89" formatCode="General">
                  <c:v>-41.024264705882352</c:v>
                </c:pt>
                <c:pt idx="90" formatCode="General">
                  <c:v>-41.216818181818184</c:v>
                </c:pt>
                <c:pt idx="91" formatCode="General">
                  <c:v>-41.411424242424246</c:v>
                </c:pt>
                <c:pt idx="92" formatCode="General">
                  <c:v>-41.606030303030302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22D-49B9-B930-702E037C4575}"/>
            </c:ext>
          </c:extLst>
        </c:ser>
        <c:ser>
          <c:idx val="37"/>
          <c:order val="37"/>
          <c:spPr>
            <a:ln w="19050" cap="rnd">
              <a:solidFill>
                <a:schemeClr val="accent5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303</c:v>
                </c:pt>
                <c:pt idx="1">
                  <c:v>316</c:v>
                </c:pt>
                <c:pt idx="2">
                  <c:v>329</c:v>
                </c:pt>
                <c:pt idx="3">
                  <c:v>342</c:v>
                </c:pt>
                <c:pt idx="4">
                  <c:v>355</c:v>
                </c:pt>
                <c:pt idx="5">
                  <c:v>368</c:v>
                </c:pt>
                <c:pt idx="6">
                  <c:v>381</c:v>
                </c:pt>
                <c:pt idx="7">
                  <c:v>394</c:v>
                </c:pt>
                <c:pt idx="8">
                  <c:v>407</c:v>
                </c:pt>
                <c:pt idx="9">
                  <c:v>420</c:v>
                </c:pt>
                <c:pt idx="10">
                  <c:v>433</c:v>
                </c:pt>
                <c:pt idx="11">
                  <c:v>446</c:v>
                </c:pt>
                <c:pt idx="12">
                  <c:v>459</c:v>
                </c:pt>
                <c:pt idx="13">
                  <c:v>472</c:v>
                </c:pt>
                <c:pt idx="14">
                  <c:v>485</c:v>
                </c:pt>
                <c:pt idx="15">
                  <c:v>498</c:v>
                </c:pt>
                <c:pt idx="16">
                  <c:v>511</c:v>
                </c:pt>
                <c:pt idx="17">
                  <c:v>524</c:v>
                </c:pt>
                <c:pt idx="18">
                  <c:v>537</c:v>
                </c:pt>
                <c:pt idx="19">
                  <c:v>550</c:v>
                </c:pt>
                <c:pt idx="20">
                  <c:v>563</c:v>
                </c:pt>
                <c:pt idx="21">
                  <c:v>576</c:v>
                </c:pt>
                <c:pt idx="22">
                  <c:v>589</c:v>
                </c:pt>
                <c:pt idx="23">
                  <c:v>602</c:v>
                </c:pt>
                <c:pt idx="24">
                  <c:v>615</c:v>
                </c:pt>
                <c:pt idx="25">
                  <c:v>628</c:v>
                </c:pt>
                <c:pt idx="26">
                  <c:v>641</c:v>
                </c:pt>
                <c:pt idx="27">
                  <c:v>654</c:v>
                </c:pt>
                <c:pt idx="28">
                  <c:v>667</c:v>
                </c:pt>
                <c:pt idx="29">
                  <c:v>680</c:v>
                </c:pt>
                <c:pt idx="30">
                  <c:v>693</c:v>
                </c:pt>
                <c:pt idx="31">
                  <c:v>706</c:v>
                </c:pt>
                <c:pt idx="32">
                  <c:v>719</c:v>
                </c:pt>
                <c:pt idx="33">
                  <c:v>732</c:v>
                </c:pt>
                <c:pt idx="34">
                  <c:v>745</c:v>
                </c:pt>
                <c:pt idx="35">
                  <c:v>758</c:v>
                </c:pt>
                <c:pt idx="36">
                  <c:v>771</c:v>
                </c:pt>
                <c:pt idx="37">
                  <c:v>784</c:v>
                </c:pt>
                <c:pt idx="38">
                  <c:v>797</c:v>
                </c:pt>
                <c:pt idx="39">
                  <c:v>810</c:v>
                </c:pt>
                <c:pt idx="40">
                  <c:v>823</c:v>
                </c:pt>
                <c:pt idx="41">
                  <c:v>836</c:v>
                </c:pt>
                <c:pt idx="42">
                  <c:v>849</c:v>
                </c:pt>
                <c:pt idx="43">
                  <c:v>862</c:v>
                </c:pt>
                <c:pt idx="44">
                  <c:v>875</c:v>
                </c:pt>
                <c:pt idx="45">
                  <c:v>888</c:v>
                </c:pt>
                <c:pt idx="46">
                  <c:v>901</c:v>
                </c:pt>
                <c:pt idx="47">
                  <c:v>914</c:v>
                </c:pt>
                <c:pt idx="48">
                  <c:v>927</c:v>
                </c:pt>
                <c:pt idx="49">
                  <c:v>940</c:v>
                </c:pt>
                <c:pt idx="50">
                  <c:v>953</c:v>
                </c:pt>
                <c:pt idx="51">
                  <c:v>966</c:v>
                </c:pt>
                <c:pt idx="52">
                  <c:v>979</c:v>
                </c:pt>
                <c:pt idx="53">
                  <c:v>992</c:v>
                </c:pt>
                <c:pt idx="54">
                  <c:v>1005</c:v>
                </c:pt>
                <c:pt idx="55">
                  <c:v>1018</c:v>
                </c:pt>
                <c:pt idx="56">
                  <c:v>1031</c:v>
                </c:pt>
                <c:pt idx="57">
                  <c:v>1044</c:v>
                </c:pt>
                <c:pt idx="58">
                  <c:v>1057</c:v>
                </c:pt>
                <c:pt idx="59">
                  <c:v>1070</c:v>
                </c:pt>
                <c:pt idx="60">
                  <c:v>1083</c:v>
                </c:pt>
                <c:pt idx="61">
                  <c:v>1096</c:v>
                </c:pt>
                <c:pt idx="62">
                  <c:v>1109</c:v>
                </c:pt>
                <c:pt idx="63">
                  <c:v>1122</c:v>
                </c:pt>
                <c:pt idx="64">
                  <c:v>1135</c:v>
                </c:pt>
                <c:pt idx="65">
                  <c:v>1148</c:v>
                </c:pt>
                <c:pt idx="66">
                  <c:v>1161</c:v>
                </c:pt>
                <c:pt idx="67">
                  <c:v>1174</c:v>
                </c:pt>
                <c:pt idx="68">
                  <c:v>1187</c:v>
                </c:pt>
                <c:pt idx="69">
                  <c:v>1200</c:v>
                </c:pt>
                <c:pt idx="70">
                  <c:v>1213</c:v>
                </c:pt>
                <c:pt idx="71">
                  <c:v>1226</c:v>
                </c:pt>
                <c:pt idx="72">
                  <c:v>1239</c:v>
                </c:pt>
                <c:pt idx="73">
                  <c:v>1252</c:v>
                </c:pt>
                <c:pt idx="74">
                  <c:v>1265</c:v>
                </c:pt>
                <c:pt idx="75">
                  <c:v>1278</c:v>
                </c:pt>
                <c:pt idx="76">
                  <c:v>1291</c:v>
                </c:pt>
                <c:pt idx="77">
                  <c:v>1304</c:v>
                </c:pt>
                <c:pt idx="78">
                  <c:v>1317</c:v>
                </c:pt>
                <c:pt idx="79">
                  <c:v>1330</c:v>
                </c:pt>
                <c:pt idx="80">
                  <c:v>1343</c:v>
                </c:pt>
                <c:pt idx="81">
                  <c:v>1356</c:v>
                </c:pt>
                <c:pt idx="82">
                  <c:v>1369</c:v>
                </c:pt>
                <c:pt idx="83">
                  <c:v>1382</c:v>
                </c:pt>
                <c:pt idx="84">
                  <c:v>1395</c:v>
                </c:pt>
                <c:pt idx="85">
                  <c:v>1408</c:v>
                </c:pt>
                <c:pt idx="86">
                  <c:v>1421</c:v>
                </c:pt>
                <c:pt idx="87">
                  <c:v>1434</c:v>
                </c:pt>
                <c:pt idx="88">
                  <c:v>1447</c:v>
                </c:pt>
                <c:pt idx="89">
                  <c:v>1460</c:v>
                </c:pt>
                <c:pt idx="90">
                  <c:v>1473</c:v>
                </c:pt>
                <c:pt idx="91">
                  <c:v>1486</c:v>
                </c:pt>
                <c:pt idx="92">
                  <c:v>1499</c:v>
                </c:pt>
              </c:numCache>
              <c:extLst xmlns:c15="http://schemas.microsoft.com/office/drawing/2012/chart"/>
            </c:numRef>
          </c:xVal>
          <c:yVal>
            <c:numRef>
              <c:f>EVALUATION!$B$138:$CP$138</c:f>
              <c:numCache>
                <c:formatCode>0</c:formatCode>
                <c:ptCount val="93"/>
                <c:pt idx="0">
                  <c:v>-37.719099099099097</c:v>
                </c:pt>
                <c:pt idx="1">
                  <c:v>-36.579159159159161</c:v>
                </c:pt>
                <c:pt idx="2" formatCode="General">
                  <c:v>-35.439219219219218</c:v>
                </c:pt>
                <c:pt idx="3" formatCode="General">
                  <c:v>-34.500089820359278</c:v>
                </c:pt>
                <c:pt idx="4" formatCode="General">
                  <c:v>-33.60877245508982</c:v>
                </c:pt>
                <c:pt idx="5" formatCode="General">
                  <c:v>-32.764419161676642</c:v>
                </c:pt>
                <c:pt idx="6" formatCode="General">
                  <c:v>-32.070047904191618</c:v>
                </c:pt>
                <c:pt idx="7" formatCode="General">
                  <c:v>-31.375676646706587</c:v>
                </c:pt>
                <c:pt idx="8" formatCode="General">
                  <c:v>-30.795916167664672</c:v>
                </c:pt>
                <c:pt idx="9" formatCode="General">
                  <c:v>-30.272802395209581</c:v>
                </c:pt>
                <c:pt idx="10" formatCode="General">
                  <c:v>-29.77206886227545</c:v>
                </c:pt>
                <c:pt idx="11" formatCode="General">
                  <c:v>-29.472757485029941</c:v>
                </c:pt>
                <c:pt idx="12" formatCode="General">
                  <c:v>-29.173446107784432</c:v>
                </c:pt>
                <c:pt idx="13" formatCode="General">
                  <c:v>-29.019158682634732</c:v>
                </c:pt>
                <c:pt idx="14" formatCode="General">
                  <c:v>-28.993080838323355</c:v>
                </c:pt>
                <c:pt idx="15" formatCode="General">
                  <c:v>-28.967002994011978</c:v>
                </c:pt>
                <c:pt idx="16" formatCode="General">
                  <c:v>-29.306465465465465</c:v>
                </c:pt>
                <c:pt idx="17" formatCode="General">
                  <c:v>-29.66054954954955</c:v>
                </c:pt>
                <c:pt idx="18" formatCode="General">
                  <c:v>-29.950844311377246</c:v>
                </c:pt>
                <c:pt idx="19" formatCode="General">
                  <c:v>-30.145455089820359</c:v>
                </c:pt>
                <c:pt idx="20" formatCode="General">
                  <c:v>-30.340065868263473</c:v>
                </c:pt>
                <c:pt idx="21" formatCode="General">
                  <c:v>-30.55440119760479</c:v>
                </c:pt>
                <c:pt idx="22" formatCode="General">
                  <c:v>-30.772754491017963</c:v>
                </c:pt>
                <c:pt idx="23" formatCode="General">
                  <c:v>-30.990700598802395</c:v>
                </c:pt>
                <c:pt idx="24" formatCode="General">
                  <c:v>-31.207497005988024</c:v>
                </c:pt>
                <c:pt idx="25" formatCode="General">
                  <c:v>-31.424293413173654</c:v>
                </c:pt>
                <c:pt idx="26" formatCode="General">
                  <c:v>-31.642167664670659</c:v>
                </c:pt>
                <c:pt idx="27" formatCode="General">
                  <c:v>-31.860520958083832</c:v>
                </c:pt>
                <c:pt idx="28" formatCode="General">
                  <c:v>-32.078874251497005</c:v>
                </c:pt>
                <c:pt idx="29" formatCode="General">
                  <c:v>-32.297227544910179</c:v>
                </c:pt>
                <c:pt idx="30" formatCode="General">
                  <c:v>-32.515580838323352</c:v>
                </c:pt>
                <c:pt idx="31" formatCode="General">
                  <c:v>-32.727876404494381</c:v>
                </c:pt>
                <c:pt idx="32" formatCode="General">
                  <c:v>-32.935292134831464</c:v>
                </c:pt>
                <c:pt idx="33" formatCode="General">
                  <c:v>-33.142707865168539</c:v>
                </c:pt>
                <c:pt idx="34" formatCode="General">
                  <c:v>-33.350123595505622</c:v>
                </c:pt>
                <c:pt idx="35" formatCode="General">
                  <c:v>-33.557539325842697</c:v>
                </c:pt>
                <c:pt idx="36" formatCode="General">
                  <c:v>-33.76495505617978</c:v>
                </c:pt>
                <c:pt idx="37" formatCode="General">
                  <c:v>-33.972370786516855</c:v>
                </c:pt>
                <c:pt idx="38" formatCode="General">
                  <c:v>-34.179786516853937</c:v>
                </c:pt>
                <c:pt idx="39" formatCode="General">
                  <c:v>-34.387202247191013</c:v>
                </c:pt>
                <c:pt idx="40" formatCode="General">
                  <c:v>-34.594617977528095</c:v>
                </c:pt>
                <c:pt idx="41" formatCode="General">
                  <c:v>-34.799040449438202</c:v>
                </c:pt>
                <c:pt idx="42" formatCode="General">
                  <c:v>-34.995939325842699</c:v>
                </c:pt>
                <c:pt idx="43" formatCode="General">
                  <c:v>-35.192838202247195</c:v>
                </c:pt>
                <c:pt idx="44" formatCode="General">
                  <c:v>-35.389737078651684</c:v>
                </c:pt>
                <c:pt idx="45" formatCode="General">
                  <c:v>-35.586635955056181</c:v>
                </c:pt>
                <c:pt idx="46" formatCode="General">
                  <c:v>-35.783534831460678</c:v>
                </c:pt>
                <c:pt idx="47" formatCode="General">
                  <c:v>-35.980433707865167</c:v>
                </c:pt>
                <c:pt idx="48" formatCode="General">
                  <c:v>-36.177332584269664</c:v>
                </c:pt>
                <c:pt idx="49" formatCode="General">
                  <c:v>-36.37423146067416</c:v>
                </c:pt>
                <c:pt idx="50" formatCode="General">
                  <c:v>-36.571130337078657</c:v>
                </c:pt>
                <c:pt idx="51" formatCode="General">
                  <c:v>-36.767872372372373</c:v>
                </c:pt>
                <c:pt idx="52" formatCode="General">
                  <c:v>-36.954576576576578</c:v>
                </c:pt>
                <c:pt idx="53" formatCode="General">
                  <c:v>-37.141280780780782</c:v>
                </c:pt>
                <c:pt idx="54" formatCode="General">
                  <c:v>-37.327984984984987</c:v>
                </c:pt>
                <c:pt idx="55" formatCode="General">
                  <c:v>-37.514689189189191</c:v>
                </c:pt>
                <c:pt idx="56" formatCode="General">
                  <c:v>-37.701393393393396</c:v>
                </c:pt>
                <c:pt idx="57" formatCode="General">
                  <c:v>-37.888097597597593</c:v>
                </c:pt>
                <c:pt idx="58" formatCode="General">
                  <c:v>-38.074801801801797</c:v>
                </c:pt>
                <c:pt idx="59" formatCode="General">
                  <c:v>-38.261506006006002</c:v>
                </c:pt>
                <c:pt idx="60" formatCode="General">
                  <c:v>-38.448210210210206</c:v>
                </c:pt>
                <c:pt idx="61" formatCode="General">
                  <c:v>-38.634914414414411</c:v>
                </c:pt>
                <c:pt idx="62" formatCode="General">
                  <c:v>-38.815647058823529</c:v>
                </c:pt>
                <c:pt idx="63" formatCode="General">
                  <c:v>-38.994588235294117</c:v>
                </c:pt>
                <c:pt idx="64" formatCode="General">
                  <c:v>-39.173636363636362</c:v>
                </c:pt>
                <c:pt idx="65" formatCode="General">
                  <c:v>-39.353272727272731</c:v>
                </c:pt>
                <c:pt idx="66" formatCode="General">
                  <c:v>-39.532909090909094</c:v>
                </c:pt>
                <c:pt idx="67" formatCode="General">
                  <c:v>-39.709294117647062</c:v>
                </c:pt>
                <c:pt idx="68" formatCode="General">
                  <c:v>-39.883647058823527</c:v>
                </c:pt>
                <c:pt idx="69" formatCode="General">
                  <c:v>-40.058</c:v>
                </c:pt>
                <c:pt idx="70" formatCode="General">
                  <c:v>-40.237242424242424</c:v>
                </c:pt>
                <c:pt idx="71" formatCode="General">
                  <c:v>-40.416484848484849</c:v>
                </c:pt>
                <c:pt idx="72" formatCode="General">
                  <c:v>-40.593210526315794</c:v>
                </c:pt>
                <c:pt idx="73" formatCode="General">
                  <c:v>-40.767000000000003</c:v>
                </c:pt>
                <c:pt idx="74" formatCode="General">
                  <c:v>-40.940789473684212</c:v>
                </c:pt>
                <c:pt idx="75" formatCode="General">
                  <c:v>-41.114578947368422</c:v>
                </c:pt>
                <c:pt idx="76" formatCode="General">
                  <c:v>-41.288368421052631</c:v>
                </c:pt>
                <c:pt idx="77" formatCode="General">
                  <c:v>-41.462157894736841</c:v>
                </c:pt>
                <c:pt idx="78" formatCode="General">
                  <c:v>-41.63594736842105</c:v>
                </c:pt>
                <c:pt idx="79" formatCode="General">
                  <c:v>-41.809736842105259</c:v>
                </c:pt>
                <c:pt idx="80" formatCode="General">
                  <c:v>-41.983526315789469</c:v>
                </c:pt>
                <c:pt idx="81" formatCode="General">
                  <c:v>-42.157315789473685</c:v>
                </c:pt>
                <c:pt idx="82" formatCode="General">
                  <c:v>-42.329597014925369</c:v>
                </c:pt>
                <c:pt idx="83" formatCode="General">
                  <c:v>-42.496850746268656</c:v>
                </c:pt>
                <c:pt idx="84" formatCode="General">
                  <c:v>-42.664104477611936</c:v>
                </c:pt>
                <c:pt idx="85" formatCode="General">
                  <c:v>-42.831358208955223</c:v>
                </c:pt>
                <c:pt idx="86" formatCode="General">
                  <c:v>-42.998611940298503</c:v>
                </c:pt>
                <c:pt idx="87" formatCode="General">
                  <c:v>-43.165865671641789</c:v>
                </c:pt>
                <c:pt idx="88" formatCode="General">
                  <c:v>-43.333119402985076</c:v>
                </c:pt>
                <c:pt idx="89" formatCode="General">
                  <c:v>-43.500373134328356</c:v>
                </c:pt>
                <c:pt idx="90" formatCode="General">
                  <c:v>-43.667626865671643</c:v>
                </c:pt>
                <c:pt idx="91" formatCode="General">
                  <c:v>-43.834880597014923</c:v>
                </c:pt>
                <c:pt idx="92" formatCode="General">
                  <c:v>-44.00213432835821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222D-49B9-B930-702E037C4575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2D-49B9-B930-702E037C4575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731</c:v>
                </c:pt>
                <c:pt idx="1">
                  <c:v>731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-199.33052238805971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2D-49B9-B930-702E037C45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-15.207297297297297</c:v>
                      </c:pt>
                      <c:pt idx="1">
                        <c:v>-14.82081081081081</c:v>
                      </c:pt>
                      <c:pt idx="2" formatCode="General">
                        <c:v>-14.434324324324324</c:v>
                      </c:pt>
                      <c:pt idx="3" formatCode="General">
                        <c:v>-13.712395209580837</c:v>
                      </c:pt>
                      <c:pt idx="4" formatCode="General">
                        <c:v>-12.910598802395208</c:v>
                      </c:pt>
                      <c:pt idx="5" formatCode="General">
                        <c:v>-12.087455089820359</c:v>
                      </c:pt>
                      <c:pt idx="6" formatCode="General">
                        <c:v>-11.196137724550898</c:v>
                      </c:pt>
                      <c:pt idx="7" formatCode="General">
                        <c:v>-10.304820359281438</c:v>
                      </c:pt>
                      <c:pt idx="8" formatCode="General">
                        <c:v>-9.491907185628742</c:v>
                      </c:pt>
                      <c:pt idx="9" formatCode="General">
                        <c:v>-8.7177455089820359</c:v>
                      </c:pt>
                      <c:pt idx="10" formatCode="General">
                        <c:v>-7.9532365269461076</c:v>
                      </c:pt>
                      <c:pt idx="11" formatCode="General">
                        <c:v>-7.2756017964071864</c:v>
                      </c:pt>
                      <c:pt idx="12" formatCode="General">
                        <c:v>-6.5979670658682643</c:v>
                      </c:pt>
                      <c:pt idx="13" formatCode="General">
                        <c:v>-5.9610299401197615</c:v>
                      </c:pt>
                      <c:pt idx="14" formatCode="General">
                        <c:v>-5.3600718562874254</c:v>
                      </c:pt>
                      <c:pt idx="15" formatCode="General">
                        <c:v>-4.7591137724550894</c:v>
                      </c:pt>
                      <c:pt idx="16" formatCode="General">
                        <c:v>-4.5126516516516508</c:v>
                      </c:pt>
                      <c:pt idx="17" formatCode="General">
                        <c:v>-4.2803693693693692</c:v>
                      </c:pt>
                      <c:pt idx="18" formatCode="General">
                        <c:v>-4.1537664670658687</c:v>
                      </c:pt>
                      <c:pt idx="19" formatCode="General">
                        <c:v>-4.1856826347305391</c:v>
                      </c:pt>
                      <c:pt idx="20" formatCode="General">
                        <c:v>-4.2175988023952096</c:v>
                      </c:pt>
                      <c:pt idx="21" formatCode="General">
                        <c:v>-4.249676646706587</c:v>
                      </c:pt>
                      <c:pt idx="22" formatCode="General">
                        <c:v>-4.2817874251497008</c:v>
                      </c:pt>
                      <c:pt idx="23" formatCode="General">
                        <c:v>-4.3138982035928146</c:v>
                      </c:pt>
                      <c:pt idx="24" formatCode="General">
                        <c:v>-4.3460089820359284</c:v>
                      </c:pt>
                      <c:pt idx="25" formatCode="General">
                        <c:v>-4.3781197604790414</c:v>
                      </c:pt>
                      <c:pt idx="26" formatCode="General">
                        <c:v>-4.4102305389221552</c:v>
                      </c:pt>
                      <c:pt idx="27" formatCode="General">
                        <c:v>-4.442341317365269</c:v>
                      </c:pt>
                      <c:pt idx="28" formatCode="General">
                        <c:v>-4.4744520958083829</c:v>
                      </c:pt>
                      <c:pt idx="29" formatCode="General">
                        <c:v>-4.5065628742514967</c:v>
                      </c:pt>
                      <c:pt idx="30" formatCode="General">
                        <c:v>-4.5386736526946105</c:v>
                      </c:pt>
                      <c:pt idx="31" formatCode="General">
                        <c:v>-4.5702584269662925</c:v>
                      </c:pt>
                      <c:pt idx="32" formatCode="General">
                        <c:v>-4.6014194756554305</c:v>
                      </c:pt>
                      <c:pt idx="33" formatCode="General">
                        <c:v>-4.6325805243445695</c:v>
                      </c:pt>
                      <c:pt idx="34" formatCode="General">
                        <c:v>-4.6637415730337084</c:v>
                      </c:pt>
                      <c:pt idx="35" formatCode="General">
                        <c:v>-4.6949026217228464</c:v>
                      </c:pt>
                      <c:pt idx="36" formatCode="General">
                        <c:v>-4.7260636704119854</c:v>
                      </c:pt>
                      <c:pt idx="37" formatCode="General">
                        <c:v>-4.7572247191011234</c:v>
                      </c:pt>
                      <c:pt idx="38" formatCode="General">
                        <c:v>-4.7883857677902624</c:v>
                      </c:pt>
                      <c:pt idx="39" formatCode="General">
                        <c:v>-4.8195468164794013</c:v>
                      </c:pt>
                      <c:pt idx="40" formatCode="General">
                        <c:v>-4.8507078651685394</c:v>
                      </c:pt>
                      <c:pt idx="41" formatCode="General">
                        <c:v>-4.8813700374531841</c:v>
                      </c:pt>
                      <c:pt idx="42" formatCode="General">
                        <c:v>-4.9107782771535584</c:v>
                      </c:pt>
                      <c:pt idx="43" formatCode="General">
                        <c:v>-4.9401865168539327</c:v>
                      </c:pt>
                      <c:pt idx="44" formatCode="General">
                        <c:v>-4.969594756554307</c:v>
                      </c:pt>
                      <c:pt idx="45" formatCode="General">
                        <c:v>-4.9990029962546814</c:v>
                      </c:pt>
                      <c:pt idx="46" formatCode="General">
                        <c:v>-5.0284112359550566</c:v>
                      </c:pt>
                      <c:pt idx="47" formatCode="General">
                        <c:v>-5.0578194756554309</c:v>
                      </c:pt>
                      <c:pt idx="48" formatCode="General">
                        <c:v>-5.0872277153558052</c:v>
                      </c:pt>
                      <c:pt idx="49" formatCode="General">
                        <c:v>-5.1166359550561795</c:v>
                      </c:pt>
                      <c:pt idx="50" formatCode="General">
                        <c:v>-5.1460441947565538</c:v>
                      </c:pt>
                      <c:pt idx="51" formatCode="General">
                        <c:v>-5.1754311377245505</c:v>
                      </c:pt>
                      <c:pt idx="52" formatCode="General">
                        <c:v>-5.2034550898203591</c:v>
                      </c:pt>
                      <c:pt idx="53" formatCode="General">
                        <c:v>-5.2314790419161676</c:v>
                      </c:pt>
                      <c:pt idx="54" formatCode="General">
                        <c:v>-5.2591834319526622</c:v>
                      </c:pt>
                      <c:pt idx="55" formatCode="General">
                        <c:v>-5.2864911242603547</c:v>
                      </c:pt>
                      <c:pt idx="56" formatCode="General">
                        <c:v>-5.3137988165680472</c:v>
                      </c:pt>
                      <c:pt idx="57" formatCode="General">
                        <c:v>-5.3416666666666668</c:v>
                      </c:pt>
                      <c:pt idx="58" formatCode="General">
                        <c:v>-5.3696363636363635</c:v>
                      </c:pt>
                      <c:pt idx="59" formatCode="General">
                        <c:v>-5.3973636363636368</c:v>
                      </c:pt>
                      <c:pt idx="60" formatCode="General">
                        <c:v>-5.4245454545454548</c:v>
                      </c:pt>
                      <c:pt idx="61" formatCode="General">
                        <c:v>-5.4517272727272728</c:v>
                      </c:pt>
                      <c:pt idx="62" formatCode="General">
                        <c:v>-5.4825522388059706</c:v>
                      </c:pt>
                      <c:pt idx="63" formatCode="General">
                        <c:v>-5.5144701492537314</c:v>
                      </c:pt>
                      <c:pt idx="64" formatCode="General">
                        <c:v>-5.546388059701493</c:v>
                      </c:pt>
                      <c:pt idx="65" formatCode="General">
                        <c:v>-5.5783059701492537</c:v>
                      </c:pt>
                      <c:pt idx="66" formatCode="General">
                        <c:v>-5.6102238805970153</c:v>
                      </c:pt>
                      <c:pt idx="67" formatCode="General">
                        <c:v>-5.642141791044776</c:v>
                      </c:pt>
                      <c:pt idx="68" formatCode="General">
                        <c:v>-5.6740597014925376</c:v>
                      </c:pt>
                      <c:pt idx="69" formatCode="General">
                        <c:v>-5.7059776119402983</c:v>
                      </c:pt>
                      <c:pt idx="70" formatCode="General">
                        <c:v>-5.7378955223880599</c:v>
                      </c:pt>
                      <c:pt idx="71" formatCode="General">
                        <c:v>-5.7698134328358206</c:v>
                      </c:pt>
                      <c:pt idx="72" formatCode="General">
                        <c:v>-5.8141127819548872</c:v>
                      </c:pt>
                      <c:pt idx="73" formatCode="General">
                        <c:v>-5.8728571428571428</c:v>
                      </c:pt>
                      <c:pt idx="74" formatCode="General">
                        <c:v>-5.9316015037593983</c:v>
                      </c:pt>
                      <c:pt idx="75" formatCode="General">
                        <c:v>-5.9903458646616539</c:v>
                      </c:pt>
                      <c:pt idx="76" formatCode="General">
                        <c:v>-6.0490902255639094</c:v>
                      </c:pt>
                      <c:pt idx="77" formatCode="General">
                        <c:v>-6.107834586466165</c:v>
                      </c:pt>
                      <c:pt idx="78" formatCode="General">
                        <c:v>-6.1665789473684214</c:v>
                      </c:pt>
                      <c:pt idx="79" formatCode="General">
                        <c:v>-6.2253233082706769</c:v>
                      </c:pt>
                      <c:pt idx="80" formatCode="General">
                        <c:v>-6.2840676691729325</c:v>
                      </c:pt>
                      <c:pt idx="81" formatCode="General">
                        <c:v>-6.342812030075188</c:v>
                      </c:pt>
                      <c:pt idx="82" formatCode="General">
                        <c:v>-6.4000882352941177</c:v>
                      </c:pt>
                      <c:pt idx="83" formatCode="General">
                        <c:v>-6.4524705882352942</c:v>
                      </c:pt>
                      <c:pt idx="84" formatCode="General">
                        <c:v>-6.5048529411764706</c:v>
                      </c:pt>
                      <c:pt idx="85" formatCode="General">
                        <c:v>-6.5572424242424248</c:v>
                      </c:pt>
                      <c:pt idx="86" formatCode="General">
                        <c:v>-6.6096363636363638</c:v>
                      </c:pt>
                      <c:pt idx="87" formatCode="General">
                        <c:v>-6.6617941176470588</c:v>
                      </c:pt>
                      <c:pt idx="88" formatCode="General">
                        <c:v>-6.7111176470588241</c:v>
                      </c:pt>
                      <c:pt idx="89" formatCode="General">
                        <c:v>-6.7604411764705885</c:v>
                      </c:pt>
                      <c:pt idx="90" formatCode="General">
                        <c:v>-6.8095454545454546</c:v>
                      </c:pt>
                      <c:pt idx="91" formatCode="General">
                        <c:v>-6.858393939393939</c:v>
                      </c:pt>
                      <c:pt idx="92" formatCode="General">
                        <c:v>-6.9072424242424235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222D-49B9-B930-702E037C4575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-15.207297297297297</c:v>
                      </c:pt>
                      <c:pt idx="1">
                        <c:v>-14.82081081081081</c:v>
                      </c:pt>
                      <c:pt idx="2" formatCode="General">
                        <c:v>-14.434324324324324</c:v>
                      </c:pt>
                      <c:pt idx="3" formatCode="General">
                        <c:v>-13.712395209580837</c:v>
                      </c:pt>
                      <c:pt idx="4" formatCode="General">
                        <c:v>-12.910598802395208</c:v>
                      </c:pt>
                      <c:pt idx="5" formatCode="General">
                        <c:v>-12.087455089820359</c:v>
                      </c:pt>
                      <c:pt idx="6" formatCode="General">
                        <c:v>-11.196137724550898</c:v>
                      </c:pt>
                      <c:pt idx="7" formatCode="General">
                        <c:v>-10.304820359281438</c:v>
                      </c:pt>
                      <c:pt idx="8" formatCode="General">
                        <c:v>-9.491907185628742</c:v>
                      </c:pt>
                      <c:pt idx="9" formatCode="General">
                        <c:v>-8.7177455089820359</c:v>
                      </c:pt>
                      <c:pt idx="10" formatCode="General">
                        <c:v>-7.9532365269461076</c:v>
                      </c:pt>
                      <c:pt idx="11" formatCode="General">
                        <c:v>-7.2756017964071864</c:v>
                      </c:pt>
                      <c:pt idx="12" formatCode="General">
                        <c:v>-6.5979670658682643</c:v>
                      </c:pt>
                      <c:pt idx="13" formatCode="General">
                        <c:v>-5.9610299401197615</c:v>
                      </c:pt>
                      <c:pt idx="14" formatCode="General">
                        <c:v>-5.3600718562874254</c:v>
                      </c:pt>
                      <c:pt idx="15" formatCode="General">
                        <c:v>-4.7591137724550894</c:v>
                      </c:pt>
                      <c:pt idx="16" formatCode="General">
                        <c:v>-4.5126516516516508</c:v>
                      </c:pt>
                      <c:pt idx="17" formatCode="General">
                        <c:v>-4.2803693693693692</c:v>
                      </c:pt>
                      <c:pt idx="18" formatCode="General">
                        <c:v>-4.1537664670658687</c:v>
                      </c:pt>
                      <c:pt idx="19" formatCode="General">
                        <c:v>-4.1856826347305391</c:v>
                      </c:pt>
                      <c:pt idx="20" formatCode="General">
                        <c:v>-4.2175988023952096</c:v>
                      </c:pt>
                      <c:pt idx="21" formatCode="General">
                        <c:v>-4.249676646706587</c:v>
                      </c:pt>
                      <c:pt idx="22" formatCode="General">
                        <c:v>-4.2817874251497008</c:v>
                      </c:pt>
                      <c:pt idx="23" formatCode="General">
                        <c:v>-4.3138982035928146</c:v>
                      </c:pt>
                      <c:pt idx="24" formatCode="General">
                        <c:v>-4.3460089820359284</c:v>
                      </c:pt>
                      <c:pt idx="25" formatCode="General">
                        <c:v>-4.3781197604790414</c:v>
                      </c:pt>
                      <c:pt idx="26" formatCode="General">
                        <c:v>-4.4102305389221552</c:v>
                      </c:pt>
                      <c:pt idx="27" formatCode="General">
                        <c:v>-4.442341317365269</c:v>
                      </c:pt>
                      <c:pt idx="28" formatCode="General">
                        <c:v>-4.4744520958083829</c:v>
                      </c:pt>
                      <c:pt idx="29" formatCode="General">
                        <c:v>-4.5065628742514967</c:v>
                      </c:pt>
                      <c:pt idx="30" formatCode="General">
                        <c:v>-4.5386736526946105</c:v>
                      </c:pt>
                      <c:pt idx="31" formatCode="General">
                        <c:v>-4.5702584269662925</c:v>
                      </c:pt>
                      <c:pt idx="32" formatCode="General">
                        <c:v>-4.6014194756554305</c:v>
                      </c:pt>
                      <c:pt idx="33" formatCode="General">
                        <c:v>-4.6325805243445695</c:v>
                      </c:pt>
                      <c:pt idx="34" formatCode="General">
                        <c:v>-4.6637415730337084</c:v>
                      </c:pt>
                      <c:pt idx="35" formatCode="General">
                        <c:v>-4.6949026217228464</c:v>
                      </c:pt>
                      <c:pt idx="36" formatCode="General">
                        <c:v>-4.7260636704119854</c:v>
                      </c:pt>
                      <c:pt idx="37" formatCode="General">
                        <c:v>-4.7572247191011234</c:v>
                      </c:pt>
                      <c:pt idx="38" formatCode="General">
                        <c:v>-4.7883857677902624</c:v>
                      </c:pt>
                      <c:pt idx="39" formatCode="General">
                        <c:v>-4.8195468164794013</c:v>
                      </c:pt>
                      <c:pt idx="40" formatCode="General">
                        <c:v>-4.8507078651685394</c:v>
                      </c:pt>
                      <c:pt idx="41" formatCode="General">
                        <c:v>-4.8813700374531841</c:v>
                      </c:pt>
                      <c:pt idx="42" formatCode="General">
                        <c:v>-4.9107782771535584</c:v>
                      </c:pt>
                      <c:pt idx="43" formatCode="General">
                        <c:v>-4.9401865168539327</c:v>
                      </c:pt>
                      <c:pt idx="44" formatCode="General">
                        <c:v>-4.969594756554307</c:v>
                      </c:pt>
                      <c:pt idx="45" formatCode="General">
                        <c:v>-4.9990029962546814</c:v>
                      </c:pt>
                      <c:pt idx="46" formatCode="General">
                        <c:v>-5.0284112359550566</c:v>
                      </c:pt>
                      <c:pt idx="47" formatCode="General">
                        <c:v>-5.0578194756554309</c:v>
                      </c:pt>
                      <c:pt idx="48" formatCode="General">
                        <c:v>-5.0872277153558052</c:v>
                      </c:pt>
                      <c:pt idx="49" formatCode="General">
                        <c:v>-5.1166359550561795</c:v>
                      </c:pt>
                      <c:pt idx="50" formatCode="General">
                        <c:v>-5.1460441947565538</c:v>
                      </c:pt>
                      <c:pt idx="51" formatCode="General">
                        <c:v>-5.1754311377245505</c:v>
                      </c:pt>
                      <c:pt idx="52" formatCode="General">
                        <c:v>-5.2034550898203591</c:v>
                      </c:pt>
                      <c:pt idx="53" formatCode="General">
                        <c:v>-5.2314790419161676</c:v>
                      </c:pt>
                      <c:pt idx="54" formatCode="General">
                        <c:v>-5.2591834319526622</c:v>
                      </c:pt>
                      <c:pt idx="55" formatCode="General">
                        <c:v>-5.2864911242603547</c:v>
                      </c:pt>
                      <c:pt idx="56" formatCode="General">
                        <c:v>-5.3137988165680472</c:v>
                      </c:pt>
                      <c:pt idx="57" formatCode="General">
                        <c:v>-5.3416666666666668</c:v>
                      </c:pt>
                      <c:pt idx="58" formatCode="General">
                        <c:v>-5.3696363636363635</c:v>
                      </c:pt>
                      <c:pt idx="59" formatCode="General">
                        <c:v>-5.3973636363636368</c:v>
                      </c:pt>
                      <c:pt idx="60" formatCode="General">
                        <c:v>-5.4245454545454548</c:v>
                      </c:pt>
                      <c:pt idx="61" formatCode="General">
                        <c:v>-5.4517272727272728</c:v>
                      </c:pt>
                      <c:pt idx="62" formatCode="General">
                        <c:v>-5.4825522388059706</c:v>
                      </c:pt>
                      <c:pt idx="63" formatCode="General">
                        <c:v>-5.5144701492537314</c:v>
                      </c:pt>
                      <c:pt idx="64" formatCode="General">
                        <c:v>-5.546388059701493</c:v>
                      </c:pt>
                      <c:pt idx="65" formatCode="General">
                        <c:v>-5.5783059701492537</c:v>
                      </c:pt>
                      <c:pt idx="66" formatCode="General">
                        <c:v>-5.6102238805970153</c:v>
                      </c:pt>
                      <c:pt idx="67" formatCode="General">
                        <c:v>-5.642141791044776</c:v>
                      </c:pt>
                      <c:pt idx="68" formatCode="General">
                        <c:v>-5.6740597014925376</c:v>
                      </c:pt>
                      <c:pt idx="69" formatCode="General">
                        <c:v>-5.7059776119402983</c:v>
                      </c:pt>
                      <c:pt idx="70" formatCode="General">
                        <c:v>-5.7378955223880599</c:v>
                      </c:pt>
                      <c:pt idx="71" formatCode="General">
                        <c:v>-5.7698134328358206</c:v>
                      </c:pt>
                      <c:pt idx="72" formatCode="General">
                        <c:v>-5.8141127819548872</c:v>
                      </c:pt>
                      <c:pt idx="73" formatCode="General">
                        <c:v>-5.8728571428571428</c:v>
                      </c:pt>
                      <c:pt idx="74" formatCode="General">
                        <c:v>-5.9316015037593983</c:v>
                      </c:pt>
                      <c:pt idx="75" formatCode="General">
                        <c:v>-5.9903458646616539</c:v>
                      </c:pt>
                      <c:pt idx="76" formatCode="General">
                        <c:v>-6.0490902255639094</c:v>
                      </c:pt>
                      <c:pt idx="77" formatCode="General">
                        <c:v>-6.107834586466165</c:v>
                      </c:pt>
                      <c:pt idx="78" formatCode="General">
                        <c:v>-6.1665789473684214</c:v>
                      </c:pt>
                      <c:pt idx="79" formatCode="General">
                        <c:v>-6.2253233082706769</c:v>
                      </c:pt>
                      <c:pt idx="80" formatCode="General">
                        <c:v>-6.2840676691729325</c:v>
                      </c:pt>
                      <c:pt idx="81" formatCode="General">
                        <c:v>-6.342812030075188</c:v>
                      </c:pt>
                      <c:pt idx="82" formatCode="General">
                        <c:v>-6.4000882352941177</c:v>
                      </c:pt>
                      <c:pt idx="83" formatCode="General">
                        <c:v>-6.4524705882352942</c:v>
                      </c:pt>
                      <c:pt idx="84" formatCode="General">
                        <c:v>-6.5048529411764706</c:v>
                      </c:pt>
                      <c:pt idx="85" formatCode="General">
                        <c:v>-6.5572424242424248</c:v>
                      </c:pt>
                      <c:pt idx="86" formatCode="General">
                        <c:v>-6.6096363636363638</c:v>
                      </c:pt>
                      <c:pt idx="87" formatCode="General">
                        <c:v>-6.6617941176470588</c:v>
                      </c:pt>
                      <c:pt idx="88" formatCode="General">
                        <c:v>-6.7111176470588241</c:v>
                      </c:pt>
                      <c:pt idx="89" formatCode="General">
                        <c:v>-6.7604411764705885</c:v>
                      </c:pt>
                      <c:pt idx="90" formatCode="General">
                        <c:v>-6.8095454545454546</c:v>
                      </c:pt>
                      <c:pt idx="91" formatCode="General">
                        <c:v>-6.858393939393939</c:v>
                      </c:pt>
                      <c:pt idx="92" formatCode="General">
                        <c:v>-6.9072424242424235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222D-49B9-B930-702E037C4575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-60.182792792792796</c:v>
                      </c:pt>
                      <c:pt idx="1">
                        <c:v>-57.996606606606605</c:v>
                      </c:pt>
                      <c:pt idx="2" formatCode="General">
                        <c:v>-55.810420420420421</c:v>
                      </c:pt>
                      <c:pt idx="3" formatCode="General">
                        <c:v>-53.356017964071853</c:v>
                      </c:pt>
                      <c:pt idx="4" formatCode="General">
                        <c:v>-50.837754491017961</c:v>
                      </c:pt>
                      <c:pt idx="5" formatCode="General">
                        <c:v>-48.33898203592814</c:v>
                      </c:pt>
                      <c:pt idx="6" formatCode="General">
                        <c:v>-45.902455089820357</c:v>
                      </c:pt>
                      <c:pt idx="7" formatCode="General">
                        <c:v>-43.465928143712574</c:v>
                      </c:pt>
                      <c:pt idx="8" formatCode="General">
                        <c:v>-41.258622754491014</c:v>
                      </c:pt>
                      <c:pt idx="9" formatCode="General">
                        <c:v>-39.164610778443112</c:v>
                      </c:pt>
                      <c:pt idx="10" formatCode="General">
                        <c:v>-37.097844311377244</c:v>
                      </c:pt>
                      <c:pt idx="11" formatCode="General">
                        <c:v>-35.276287425149704</c:v>
                      </c:pt>
                      <c:pt idx="12" formatCode="General">
                        <c:v>-33.454730538922156</c:v>
                      </c:pt>
                      <c:pt idx="13" formatCode="General">
                        <c:v>-31.748862275449106</c:v>
                      </c:pt>
                      <c:pt idx="14" formatCode="General">
                        <c:v>-30.145269461077845</c:v>
                      </c:pt>
                      <c:pt idx="15" formatCode="General">
                        <c:v>-28.541676646706588</c:v>
                      </c:pt>
                      <c:pt idx="16" formatCode="General">
                        <c:v>-27.327597597597595</c:v>
                      </c:pt>
                      <c:pt idx="17" formatCode="General">
                        <c:v>-26.129099099099097</c:v>
                      </c:pt>
                      <c:pt idx="18" formatCode="General">
                        <c:v>-25.61550898203593</c:v>
                      </c:pt>
                      <c:pt idx="19" formatCode="General">
                        <c:v>-26.129281437125748</c:v>
                      </c:pt>
                      <c:pt idx="20" formatCode="General">
                        <c:v>-26.643053892215569</c:v>
                      </c:pt>
                      <c:pt idx="21" formatCode="General">
                        <c:v>-27.13823353293413</c:v>
                      </c:pt>
                      <c:pt idx="22" formatCode="General">
                        <c:v>-27.629625748502992</c:v>
                      </c:pt>
                      <c:pt idx="23" formatCode="General">
                        <c:v>-28.121017964071857</c:v>
                      </c:pt>
                      <c:pt idx="24" formatCode="General">
                        <c:v>-28.612410179640719</c:v>
                      </c:pt>
                      <c:pt idx="25" formatCode="General">
                        <c:v>-29.103802395209581</c:v>
                      </c:pt>
                      <c:pt idx="26" formatCode="General">
                        <c:v>-29.595194610778446</c:v>
                      </c:pt>
                      <c:pt idx="27" formatCode="General">
                        <c:v>-30.086586826347308</c:v>
                      </c:pt>
                      <c:pt idx="28" formatCode="General">
                        <c:v>-30.577979041916169</c:v>
                      </c:pt>
                      <c:pt idx="29" formatCode="General">
                        <c:v>-31.069371257485031</c:v>
                      </c:pt>
                      <c:pt idx="30" formatCode="General">
                        <c:v>-31.560763473053896</c:v>
                      </c:pt>
                      <c:pt idx="31" formatCode="General">
                        <c:v>-32.022696629213485</c:v>
                      </c:pt>
                      <c:pt idx="32" formatCode="General">
                        <c:v>-32.460898876404499</c:v>
                      </c:pt>
                      <c:pt idx="33" formatCode="General">
                        <c:v>-32.899101123595507</c:v>
                      </c:pt>
                      <c:pt idx="34" formatCode="General">
                        <c:v>-33.337303370786522</c:v>
                      </c:pt>
                      <c:pt idx="35" formatCode="General">
                        <c:v>-33.775505617977529</c:v>
                      </c:pt>
                      <c:pt idx="36" formatCode="General">
                        <c:v>-34.213707865168544</c:v>
                      </c:pt>
                      <c:pt idx="37" formatCode="General">
                        <c:v>-34.651910112359552</c:v>
                      </c:pt>
                      <c:pt idx="38" formatCode="General">
                        <c:v>-35.090112359550567</c:v>
                      </c:pt>
                      <c:pt idx="39" formatCode="General">
                        <c:v>-35.528314606741574</c:v>
                      </c:pt>
                      <c:pt idx="40" formatCode="General">
                        <c:v>-35.966516853932589</c:v>
                      </c:pt>
                      <c:pt idx="41" formatCode="General">
                        <c:v>-36.38448689138577</c:v>
                      </c:pt>
                      <c:pt idx="42" formatCode="General">
                        <c:v>-36.751602996254682</c:v>
                      </c:pt>
                      <c:pt idx="43" formatCode="General">
                        <c:v>-37.118719101123595</c:v>
                      </c:pt>
                      <c:pt idx="44" formatCode="General">
                        <c:v>-37.485835205992508</c:v>
                      </c:pt>
                      <c:pt idx="45" formatCode="General">
                        <c:v>-37.852951310861421</c:v>
                      </c:pt>
                      <c:pt idx="46" formatCode="General">
                        <c:v>-38.220067415730334</c:v>
                      </c:pt>
                      <c:pt idx="47" formatCode="General">
                        <c:v>-38.587183520599254</c:v>
                      </c:pt>
                      <c:pt idx="48" formatCode="General">
                        <c:v>-38.954299625468167</c:v>
                      </c:pt>
                      <c:pt idx="49" formatCode="General">
                        <c:v>-39.32141573033708</c:v>
                      </c:pt>
                      <c:pt idx="50" formatCode="General">
                        <c:v>-39.688531835205993</c:v>
                      </c:pt>
                      <c:pt idx="51" formatCode="General">
                        <c:v>-40.054850299401195</c:v>
                      </c:pt>
                      <c:pt idx="52" formatCode="General">
                        <c:v>-40.370119760479042</c:v>
                      </c:pt>
                      <c:pt idx="53" formatCode="General">
                        <c:v>-40.685389221556882</c:v>
                      </c:pt>
                      <c:pt idx="54" formatCode="General">
                        <c:v>-40.988698224852072</c:v>
                      </c:pt>
                      <c:pt idx="55" formatCode="General">
                        <c:v>-41.277159763313605</c:v>
                      </c:pt>
                      <c:pt idx="56" formatCode="General">
                        <c:v>-41.565621301775145</c:v>
                      </c:pt>
                      <c:pt idx="57" formatCode="General">
                        <c:v>-41.843333333333334</c:v>
                      </c:pt>
                      <c:pt idx="58" formatCode="General">
                        <c:v>-42.119090909090907</c:v>
                      </c:pt>
                      <c:pt idx="59" formatCode="General">
                        <c:v>-42.38636363636364</c:v>
                      </c:pt>
                      <c:pt idx="60" formatCode="General">
                        <c:v>-42.634545454545453</c:v>
                      </c:pt>
                      <c:pt idx="61" formatCode="General">
                        <c:v>-42.882727272727273</c:v>
                      </c:pt>
                      <c:pt idx="62" formatCode="General">
                        <c:v>-43.08328358208955</c:v>
                      </c:pt>
                      <c:pt idx="63" formatCode="General">
                        <c:v>-43.269552238805971</c:v>
                      </c:pt>
                      <c:pt idx="64" formatCode="General">
                        <c:v>-43.455820895522386</c:v>
                      </c:pt>
                      <c:pt idx="65" formatCode="General">
                        <c:v>-43.642089552238801</c:v>
                      </c:pt>
                      <c:pt idx="66" formatCode="General">
                        <c:v>-43.828358208955223</c:v>
                      </c:pt>
                      <c:pt idx="67" formatCode="General">
                        <c:v>-44.014626865671637</c:v>
                      </c:pt>
                      <c:pt idx="68" formatCode="General">
                        <c:v>-44.200895522388059</c:v>
                      </c:pt>
                      <c:pt idx="69" formatCode="General">
                        <c:v>-44.387164179104474</c:v>
                      </c:pt>
                      <c:pt idx="70" formatCode="General">
                        <c:v>-44.573432835820896</c:v>
                      </c:pt>
                      <c:pt idx="71" formatCode="General">
                        <c:v>-44.75970149253731</c:v>
                      </c:pt>
                      <c:pt idx="72" formatCode="General">
                        <c:v>-44.898796992481202</c:v>
                      </c:pt>
                      <c:pt idx="73" formatCode="General">
                        <c:v>-44.982857142857142</c:v>
                      </c:pt>
                      <c:pt idx="74" formatCode="General">
                        <c:v>-45.066917293233082</c:v>
                      </c:pt>
                      <c:pt idx="75" formatCode="General">
                        <c:v>-45.150977443609023</c:v>
                      </c:pt>
                      <c:pt idx="76" formatCode="General">
                        <c:v>-45.235037593984963</c:v>
                      </c:pt>
                      <c:pt idx="77" formatCode="General">
                        <c:v>-45.319097744360903</c:v>
                      </c:pt>
                      <c:pt idx="78" formatCode="General">
                        <c:v>-45.403157894736843</c:v>
                      </c:pt>
                      <c:pt idx="79" formatCode="General">
                        <c:v>-45.487218045112783</c:v>
                      </c:pt>
                      <c:pt idx="80" formatCode="General">
                        <c:v>-45.571278195488723</c:v>
                      </c:pt>
                      <c:pt idx="81" formatCode="General">
                        <c:v>-45.655338345864664</c:v>
                      </c:pt>
                      <c:pt idx="82" formatCode="General">
                        <c:v>-45.723529411764702</c:v>
                      </c:pt>
                      <c:pt idx="83" formatCode="General">
                        <c:v>-45.738823529411761</c:v>
                      </c:pt>
                      <c:pt idx="84" formatCode="General">
                        <c:v>-45.75411764705882</c:v>
                      </c:pt>
                      <c:pt idx="85" formatCode="General">
                        <c:v>-45.755151515151518</c:v>
                      </c:pt>
                      <c:pt idx="86" formatCode="General">
                        <c:v>-45.74727272727273</c:v>
                      </c:pt>
                      <c:pt idx="87" formatCode="General">
                        <c:v>-45.737058823529416</c:v>
                      </c:pt>
                      <c:pt idx="88" formatCode="General">
                        <c:v>-45.698823529411769</c:v>
                      </c:pt>
                      <c:pt idx="89" formatCode="General">
                        <c:v>-45.660588235294121</c:v>
                      </c:pt>
                      <c:pt idx="90" formatCode="General">
                        <c:v>-45.609090909090909</c:v>
                      </c:pt>
                      <c:pt idx="91" formatCode="General">
                        <c:v>-45.542121212121209</c:v>
                      </c:pt>
                      <c:pt idx="92" formatCode="General">
                        <c:v>-45.475151515151516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22D-49B9-B930-702E037C457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-15.207297297297297</c:v>
                      </c:pt>
                      <c:pt idx="1">
                        <c:v>-14.82081081081081</c:v>
                      </c:pt>
                      <c:pt idx="2" formatCode="General">
                        <c:v>-14.434324324324324</c:v>
                      </c:pt>
                      <c:pt idx="3" formatCode="General">
                        <c:v>-13.712395209580837</c:v>
                      </c:pt>
                      <c:pt idx="4" formatCode="General">
                        <c:v>-12.910598802395208</c:v>
                      </c:pt>
                      <c:pt idx="5" formatCode="General">
                        <c:v>-12.087455089820359</c:v>
                      </c:pt>
                      <c:pt idx="6" formatCode="General">
                        <c:v>-11.196137724550898</c:v>
                      </c:pt>
                      <c:pt idx="7" formatCode="General">
                        <c:v>-10.304820359281438</c:v>
                      </c:pt>
                      <c:pt idx="8" formatCode="General">
                        <c:v>-9.491907185628742</c:v>
                      </c:pt>
                      <c:pt idx="9" formatCode="General">
                        <c:v>-8.7177455089820359</c:v>
                      </c:pt>
                      <c:pt idx="10" formatCode="General">
                        <c:v>-7.9532365269461076</c:v>
                      </c:pt>
                      <c:pt idx="11" formatCode="General">
                        <c:v>-7.2756017964071864</c:v>
                      </c:pt>
                      <c:pt idx="12" formatCode="General">
                        <c:v>-6.5979670658682643</c:v>
                      </c:pt>
                      <c:pt idx="13" formatCode="General">
                        <c:v>-5.9610299401197615</c:v>
                      </c:pt>
                      <c:pt idx="14" formatCode="General">
                        <c:v>-5.3600718562874254</c:v>
                      </c:pt>
                      <c:pt idx="15" formatCode="General">
                        <c:v>-4.7591137724550894</c:v>
                      </c:pt>
                      <c:pt idx="16" formatCode="General">
                        <c:v>-4.5126516516516508</c:v>
                      </c:pt>
                      <c:pt idx="17" formatCode="General">
                        <c:v>-4.2803693693693692</c:v>
                      </c:pt>
                      <c:pt idx="18" formatCode="General">
                        <c:v>-4.1537664670658687</c:v>
                      </c:pt>
                      <c:pt idx="19" formatCode="General">
                        <c:v>-4.1856826347305391</c:v>
                      </c:pt>
                      <c:pt idx="20" formatCode="General">
                        <c:v>-4.2175988023952096</c:v>
                      </c:pt>
                      <c:pt idx="21" formatCode="General">
                        <c:v>-4.249676646706587</c:v>
                      </c:pt>
                      <c:pt idx="22" formatCode="General">
                        <c:v>-4.2817874251497008</c:v>
                      </c:pt>
                      <c:pt idx="23" formatCode="General">
                        <c:v>-4.3138982035928146</c:v>
                      </c:pt>
                      <c:pt idx="24" formatCode="General">
                        <c:v>-4.3460089820359284</c:v>
                      </c:pt>
                      <c:pt idx="25" formatCode="General">
                        <c:v>-4.3781197604790414</c:v>
                      </c:pt>
                      <c:pt idx="26" formatCode="General">
                        <c:v>-4.4102305389221552</c:v>
                      </c:pt>
                      <c:pt idx="27" formatCode="General">
                        <c:v>-4.442341317365269</c:v>
                      </c:pt>
                      <c:pt idx="28" formatCode="General">
                        <c:v>-4.4744520958083829</c:v>
                      </c:pt>
                      <c:pt idx="29" formatCode="General">
                        <c:v>-4.5065628742514967</c:v>
                      </c:pt>
                      <c:pt idx="30" formatCode="General">
                        <c:v>-4.5386736526946105</c:v>
                      </c:pt>
                      <c:pt idx="31" formatCode="General">
                        <c:v>-4.5702584269662925</c:v>
                      </c:pt>
                      <c:pt idx="32" formatCode="General">
                        <c:v>-4.6014194756554305</c:v>
                      </c:pt>
                      <c:pt idx="33" formatCode="General">
                        <c:v>-4.6325805243445695</c:v>
                      </c:pt>
                      <c:pt idx="34" formatCode="General">
                        <c:v>-4.6637415730337084</c:v>
                      </c:pt>
                      <c:pt idx="35" formatCode="General">
                        <c:v>-4.6949026217228464</c:v>
                      </c:pt>
                      <c:pt idx="36" formatCode="General">
                        <c:v>-4.7260636704119854</c:v>
                      </c:pt>
                      <c:pt idx="37" formatCode="General">
                        <c:v>-4.7572247191011234</c:v>
                      </c:pt>
                      <c:pt idx="38" formatCode="General">
                        <c:v>-4.7883857677902624</c:v>
                      </c:pt>
                      <c:pt idx="39" formatCode="General">
                        <c:v>-4.8195468164794013</c:v>
                      </c:pt>
                      <c:pt idx="40" formatCode="General">
                        <c:v>-4.8507078651685394</c:v>
                      </c:pt>
                      <c:pt idx="41" formatCode="General">
                        <c:v>-4.8813700374531841</c:v>
                      </c:pt>
                      <c:pt idx="42" formatCode="General">
                        <c:v>-4.9107782771535584</c:v>
                      </c:pt>
                      <c:pt idx="43" formatCode="General">
                        <c:v>-4.9401865168539327</c:v>
                      </c:pt>
                      <c:pt idx="44" formatCode="General">
                        <c:v>-4.969594756554307</c:v>
                      </c:pt>
                      <c:pt idx="45" formatCode="General">
                        <c:v>-4.9990029962546814</c:v>
                      </c:pt>
                      <c:pt idx="46" formatCode="General">
                        <c:v>-5.0284112359550566</c:v>
                      </c:pt>
                      <c:pt idx="47" formatCode="General">
                        <c:v>-5.0578194756554309</c:v>
                      </c:pt>
                      <c:pt idx="48" formatCode="General">
                        <c:v>-5.0872277153558052</c:v>
                      </c:pt>
                      <c:pt idx="49" formatCode="General">
                        <c:v>-5.1166359550561795</c:v>
                      </c:pt>
                      <c:pt idx="50" formatCode="General">
                        <c:v>-5.1460441947565538</c:v>
                      </c:pt>
                      <c:pt idx="51" formatCode="General">
                        <c:v>-5.1754311377245505</c:v>
                      </c:pt>
                      <c:pt idx="52" formatCode="General">
                        <c:v>-5.2034550898203591</c:v>
                      </c:pt>
                      <c:pt idx="53" formatCode="General">
                        <c:v>-5.2314790419161676</c:v>
                      </c:pt>
                      <c:pt idx="54" formatCode="General">
                        <c:v>-5.2591834319526622</c:v>
                      </c:pt>
                      <c:pt idx="55" formatCode="General">
                        <c:v>-5.2864911242603547</c:v>
                      </c:pt>
                      <c:pt idx="56" formatCode="General">
                        <c:v>-5.3137988165680472</c:v>
                      </c:pt>
                      <c:pt idx="57" formatCode="General">
                        <c:v>-5.3416666666666668</c:v>
                      </c:pt>
                      <c:pt idx="58" formatCode="General">
                        <c:v>-5.3696363636363635</c:v>
                      </c:pt>
                      <c:pt idx="59" formatCode="General">
                        <c:v>-5.3973636363636368</c:v>
                      </c:pt>
                      <c:pt idx="60" formatCode="General">
                        <c:v>-5.4245454545454548</c:v>
                      </c:pt>
                      <c:pt idx="61" formatCode="General">
                        <c:v>-5.4517272727272728</c:v>
                      </c:pt>
                      <c:pt idx="62" formatCode="General">
                        <c:v>-5.4825522388059706</c:v>
                      </c:pt>
                      <c:pt idx="63" formatCode="General">
                        <c:v>-5.5144701492537314</c:v>
                      </c:pt>
                      <c:pt idx="64" formatCode="General">
                        <c:v>-5.546388059701493</c:v>
                      </c:pt>
                      <c:pt idx="65" formatCode="General">
                        <c:v>-5.5783059701492537</c:v>
                      </c:pt>
                      <c:pt idx="66" formatCode="General">
                        <c:v>-5.6102238805970153</c:v>
                      </c:pt>
                      <c:pt idx="67" formatCode="General">
                        <c:v>-5.642141791044776</c:v>
                      </c:pt>
                      <c:pt idx="68" formatCode="General">
                        <c:v>-5.6740597014925376</c:v>
                      </c:pt>
                      <c:pt idx="69" formatCode="General">
                        <c:v>-5.7059776119402983</c:v>
                      </c:pt>
                      <c:pt idx="70" formatCode="General">
                        <c:v>-5.7378955223880599</c:v>
                      </c:pt>
                      <c:pt idx="71" formatCode="General">
                        <c:v>-5.7698134328358206</c:v>
                      </c:pt>
                      <c:pt idx="72" formatCode="General">
                        <c:v>-5.8141127819548872</c:v>
                      </c:pt>
                      <c:pt idx="73" formatCode="General">
                        <c:v>-5.8728571428571428</c:v>
                      </c:pt>
                      <c:pt idx="74" formatCode="General">
                        <c:v>-5.9316015037593983</c:v>
                      </c:pt>
                      <c:pt idx="75" formatCode="General">
                        <c:v>-5.9903458646616539</c:v>
                      </c:pt>
                      <c:pt idx="76" formatCode="General">
                        <c:v>-6.0490902255639094</c:v>
                      </c:pt>
                      <c:pt idx="77" formatCode="General">
                        <c:v>-6.107834586466165</c:v>
                      </c:pt>
                      <c:pt idx="78" formatCode="General">
                        <c:v>-6.1665789473684214</c:v>
                      </c:pt>
                      <c:pt idx="79" formatCode="General">
                        <c:v>-6.2253233082706769</c:v>
                      </c:pt>
                      <c:pt idx="80" formatCode="General">
                        <c:v>-6.2840676691729325</c:v>
                      </c:pt>
                      <c:pt idx="81" formatCode="General">
                        <c:v>-6.342812030075188</c:v>
                      </c:pt>
                      <c:pt idx="82" formatCode="General">
                        <c:v>-6.4000882352941177</c:v>
                      </c:pt>
                      <c:pt idx="83" formatCode="General">
                        <c:v>-6.4524705882352942</c:v>
                      </c:pt>
                      <c:pt idx="84" formatCode="General">
                        <c:v>-6.5048529411764706</c:v>
                      </c:pt>
                      <c:pt idx="85" formatCode="General">
                        <c:v>-6.5572424242424248</c:v>
                      </c:pt>
                      <c:pt idx="86" formatCode="General">
                        <c:v>-6.6096363636363638</c:v>
                      </c:pt>
                      <c:pt idx="87" formatCode="General">
                        <c:v>-6.6617941176470588</c:v>
                      </c:pt>
                      <c:pt idx="88" formatCode="General">
                        <c:v>-6.7111176470588241</c:v>
                      </c:pt>
                      <c:pt idx="89" formatCode="General">
                        <c:v>-6.7604411764705885</c:v>
                      </c:pt>
                      <c:pt idx="90" formatCode="General">
                        <c:v>-6.8095454545454546</c:v>
                      </c:pt>
                      <c:pt idx="91" formatCode="General">
                        <c:v>-6.858393939393939</c:v>
                      </c:pt>
                      <c:pt idx="92" formatCode="General">
                        <c:v>-6.9072424242424235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22D-49B9-B930-702E037C4575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-21.633423423423423</c:v>
                      </c:pt>
                      <c:pt idx="1">
                        <c:v>-20.938528528528529</c:v>
                      </c:pt>
                      <c:pt idx="2" formatCode="General">
                        <c:v>-20.243633633633632</c:v>
                      </c:pt>
                      <c:pt idx="3" formatCode="General">
                        <c:v>-20.065988023952094</c:v>
                      </c:pt>
                      <c:pt idx="4" formatCode="General">
                        <c:v>-20.011497005988023</c:v>
                      </c:pt>
                      <c:pt idx="5" formatCode="General">
                        <c:v>-20.01640718562874</c:v>
                      </c:pt>
                      <c:pt idx="6" formatCode="General">
                        <c:v>-20.211017964071857</c:v>
                      </c:pt>
                      <c:pt idx="7" formatCode="General">
                        <c:v>-20.40562874251497</c:v>
                      </c:pt>
                      <c:pt idx="8" formatCode="General">
                        <c:v>-20.602844311377243</c:v>
                      </c:pt>
                      <c:pt idx="9" formatCode="General">
                        <c:v>-20.801347305389221</c:v>
                      </c:pt>
                      <c:pt idx="10" formatCode="General">
                        <c:v>-20.999850299401199</c:v>
                      </c:pt>
                      <c:pt idx="11" formatCode="General">
                        <c:v>-21.198353293413174</c:v>
                      </c:pt>
                      <c:pt idx="12" formatCode="General">
                        <c:v>-21.396856287425148</c:v>
                      </c:pt>
                      <c:pt idx="13" formatCode="General">
                        <c:v>-21.597425149700598</c:v>
                      </c:pt>
                      <c:pt idx="14" formatCode="General">
                        <c:v>-21.799820359281437</c:v>
                      </c:pt>
                      <c:pt idx="15" formatCode="General">
                        <c:v>-22.002215568862276</c:v>
                      </c:pt>
                      <c:pt idx="16" formatCode="General">
                        <c:v>-22.19768768768769</c:v>
                      </c:pt>
                      <c:pt idx="17" formatCode="General">
                        <c:v>-22.392882882882883</c:v>
                      </c:pt>
                      <c:pt idx="18" formatCode="General">
                        <c:v>-22.589401197604793</c:v>
                      </c:pt>
                      <c:pt idx="19" formatCode="General">
                        <c:v>-22.787904191616768</c:v>
                      </c:pt>
                      <c:pt idx="20" formatCode="General">
                        <c:v>-22.986407185628742</c:v>
                      </c:pt>
                      <c:pt idx="21" formatCode="General">
                        <c:v>-23.17682634730539</c:v>
                      </c:pt>
                      <c:pt idx="22" formatCode="General">
                        <c:v>-23.365598802395208</c:v>
                      </c:pt>
                      <c:pt idx="23" formatCode="General">
                        <c:v>-23.55437125748503</c:v>
                      </c:pt>
                      <c:pt idx="24" formatCode="General">
                        <c:v>-23.743143712574849</c:v>
                      </c:pt>
                      <c:pt idx="25" formatCode="General">
                        <c:v>-23.931916167664671</c:v>
                      </c:pt>
                      <c:pt idx="26" formatCode="General">
                        <c:v>-24.120688622754493</c:v>
                      </c:pt>
                      <c:pt idx="27" formatCode="General">
                        <c:v>-24.309461077844311</c:v>
                      </c:pt>
                      <c:pt idx="28" formatCode="General">
                        <c:v>-24.498233532934133</c:v>
                      </c:pt>
                      <c:pt idx="29" formatCode="General">
                        <c:v>-24.687005988023952</c:v>
                      </c:pt>
                      <c:pt idx="30" formatCode="General">
                        <c:v>-24.875778443113774</c:v>
                      </c:pt>
                      <c:pt idx="31" formatCode="General">
                        <c:v>-25.057617977528093</c:v>
                      </c:pt>
                      <c:pt idx="32" formatCode="General">
                        <c:v>-25.233872659176033</c:v>
                      </c:pt>
                      <c:pt idx="33" formatCode="General">
                        <c:v>-25.410127340823973</c:v>
                      </c:pt>
                      <c:pt idx="34" formatCode="General">
                        <c:v>-25.586382022471913</c:v>
                      </c:pt>
                      <c:pt idx="35" formatCode="General">
                        <c:v>-25.762636704119853</c:v>
                      </c:pt>
                      <c:pt idx="36" formatCode="General">
                        <c:v>-25.938891385767793</c:v>
                      </c:pt>
                      <c:pt idx="37" formatCode="General">
                        <c:v>-26.115146067415729</c:v>
                      </c:pt>
                      <c:pt idx="38" formatCode="General">
                        <c:v>-26.291400749063669</c:v>
                      </c:pt>
                      <c:pt idx="39" formatCode="General">
                        <c:v>-26.467655430711609</c:v>
                      </c:pt>
                      <c:pt idx="40" formatCode="General">
                        <c:v>-26.643910112359549</c:v>
                      </c:pt>
                      <c:pt idx="41" formatCode="General">
                        <c:v>-26.81767041198502</c:v>
                      </c:pt>
                      <c:pt idx="42" formatCode="General">
                        <c:v>-26.98516104868914</c:v>
                      </c:pt>
                      <c:pt idx="43" formatCode="General">
                        <c:v>-27.152651685393259</c:v>
                      </c:pt>
                      <c:pt idx="44" formatCode="General">
                        <c:v>-27.320142322097379</c:v>
                      </c:pt>
                      <c:pt idx="45" formatCode="General">
                        <c:v>-27.487632958801498</c:v>
                      </c:pt>
                      <c:pt idx="46" formatCode="General">
                        <c:v>-27.655123595505618</c:v>
                      </c:pt>
                      <c:pt idx="47" formatCode="General">
                        <c:v>-27.822614232209737</c:v>
                      </c:pt>
                      <c:pt idx="48" formatCode="General">
                        <c:v>-27.990104868913857</c:v>
                      </c:pt>
                      <c:pt idx="49" formatCode="General">
                        <c:v>-28.157595505617977</c:v>
                      </c:pt>
                      <c:pt idx="50" formatCode="General">
                        <c:v>-28.325086142322096</c:v>
                      </c:pt>
                      <c:pt idx="51" formatCode="General">
                        <c:v>-28.492455089820357</c:v>
                      </c:pt>
                      <c:pt idx="52" formatCode="General">
                        <c:v>-28.652035928143711</c:v>
                      </c:pt>
                      <c:pt idx="53" formatCode="General">
                        <c:v>-28.811616766467065</c:v>
                      </c:pt>
                      <c:pt idx="54" formatCode="General">
                        <c:v>-28.970355029585797</c:v>
                      </c:pt>
                      <c:pt idx="55" formatCode="General">
                        <c:v>-29.128047337278105</c:v>
                      </c:pt>
                      <c:pt idx="56" formatCode="General">
                        <c:v>-29.285739644970413</c:v>
                      </c:pt>
                      <c:pt idx="57" formatCode="General">
                        <c:v>-29.446666666666665</c:v>
                      </c:pt>
                      <c:pt idx="58" formatCode="General">
                        <c:v>-29.608181818181816</c:v>
                      </c:pt>
                      <c:pt idx="59" formatCode="General">
                        <c:v>-29.768484848484846</c:v>
                      </c:pt>
                      <c:pt idx="60" formatCode="General">
                        <c:v>-29.926060606060606</c:v>
                      </c:pt>
                      <c:pt idx="61" formatCode="General">
                        <c:v>-30.083636363636366</c:v>
                      </c:pt>
                      <c:pt idx="62" formatCode="General">
                        <c:v>-30.237164179104479</c:v>
                      </c:pt>
                      <c:pt idx="63" formatCode="General">
                        <c:v>-30.389477611940301</c:v>
                      </c:pt>
                      <c:pt idx="64" formatCode="General">
                        <c:v>-30.541791044776119</c:v>
                      </c:pt>
                      <c:pt idx="65" formatCode="General">
                        <c:v>-30.69410447761194</c:v>
                      </c:pt>
                      <c:pt idx="66" formatCode="General">
                        <c:v>-30.846417910447762</c:v>
                      </c:pt>
                      <c:pt idx="67" formatCode="General">
                        <c:v>-30.998731343283584</c:v>
                      </c:pt>
                      <c:pt idx="68" formatCode="General">
                        <c:v>-31.151044776119406</c:v>
                      </c:pt>
                      <c:pt idx="69" formatCode="General">
                        <c:v>-31.303358208955224</c:v>
                      </c:pt>
                      <c:pt idx="70" formatCode="General">
                        <c:v>-31.455671641791046</c:v>
                      </c:pt>
                      <c:pt idx="71" formatCode="General">
                        <c:v>-31.607985074626868</c:v>
                      </c:pt>
                      <c:pt idx="72" formatCode="General">
                        <c:v>-31.759022556390978</c:v>
                      </c:pt>
                      <c:pt idx="73" formatCode="General">
                        <c:v>-31.908571428571431</c:v>
                      </c:pt>
                      <c:pt idx="74" formatCode="General">
                        <c:v>-32.058120300751881</c:v>
                      </c:pt>
                      <c:pt idx="75" formatCode="General">
                        <c:v>-32.207669172932334</c:v>
                      </c:pt>
                      <c:pt idx="76" formatCode="General">
                        <c:v>-32.357218045112781</c:v>
                      </c:pt>
                      <c:pt idx="77" formatCode="General">
                        <c:v>-32.506766917293234</c:v>
                      </c:pt>
                      <c:pt idx="78" formatCode="General">
                        <c:v>-32.65631578947368</c:v>
                      </c:pt>
                      <c:pt idx="79" formatCode="General">
                        <c:v>-32.805864661654134</c:v>
                      </c:pt>
                      <c:pt idx="80" formatCode="General">
                        <c:v>-32.955413533834587</c:v>
                      </c:pt>
                      <c:pt idx="81" formatCode="General">
                        <c:v>-33.104962406015034</c:v>
                      </c:pt>
                      <c:pt idx="82" formatCode="General">
                        <c:v>-33.252647058823527</c:v>
                      </c:pt>
                      <c:pt idx="83" formatCode="General">
                        <c:v>-33.394117647058827</c:v>
                      </c:pt>
                      <c:pt idx="84" formatCode="General">
                        <c:v>-33.535588235294121</c:v>
                      </c:pt>
                      <c:pt idx="85" formatCode="General">
                        <c:v>-33.682121212121217</c:v>
                      </c:pt>
                      <c:pt idx="86" formatCode="General">
                        <c:v>-33.831818181818186</c:v>
                      </c:pt>
                      <c:pt idx="87" formatCode="General">
                        <c:v>-33.980882352941173</c:v>
                      </c:pt>
                      <c:pt idx="88" formatCode="General">
                        <c:v>-34.122352941176473</c:v>
                      </c:pt>
                      <c:pt idx="89" formatCode="General">
                        <c:v>-34.263823529411766</c:v>
                      </c:pt>
                      <c:pt idx="90" formatCode="General">
                        <c:v>-34.407272727272733</c:v>
                      </c:pt>
                      <c:pt idx="91" formatCode="General">
                        <c:v>-34.553030303030305</c:v>
                      </c:pt>
                      <c:pt idx="92" formatCode="General">
                        <c:v>-34.698787878787883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22D-49B9-B930-702E037C457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-58.474144144144148</c:v>
                      </c:pt>
                      <c:pt idx="1">
                        <c:v>-56.69786786786787</c:v>
                      </c:pt>
                      <c:pt idx="2" formatCode="General">
                        <c:v>-54.921591591591593</c:v>
                      </c:pt>
                      <c:pt idx="3" formatCode="General">
                        <c:v>-53.84437125748503</c:v>
                      </c:pt>
                      <c:pt idx="4" formatCode="General">
                        <c:v>-52.933592814371252</c:v>
                      </c:pt>
                      <c:pt idx="5" formatCode="General">
                        <c:v>-52.120269461077839</c:v>
                      </c:pt>
                      <c:pt idx="6" formatCode="General">
                        <c:v>-51.618173652694608</c:v>
                      </c:pt>
                      <c:pt idx="7" formatCode="General">
                        <c:v>-51.11607784431137</c:v>
                      </c:pt>
                      <c:pt idx="8" formatCode="General">
                        <c:v>-50.697595808383234</c:v>
                      </c:pt>
                      <c:pt idx="9" formatCode="General">
                        <c:v>-50.320440119760477</c:v>
                      </c:pt>
                      <c:pt idx="10" formatCode="General">
                        <c:v>-49.952937125748505</c:v>
                      </c:pt>
                      <c:pt idx="11" formatCode="General">
                        <c:v>-49.672308383233535</c:v>
                      </c:pt>
                      <c:pt idx="12" formatCode="General">
                        <c:v>-49.391679640718564</c:v>
                      </c:pt>
                      <c:pt idx="13" formatCode="General">
                        <c:v>-49.155880239520954</c:v>
                      </c:pt>
                      <c:pt idx="14" formatCode="General">
                        <c:v>-48.9597125748503</c:v>
                      </c:pt>
                      <c:pt idx="15" formatCode="General">
                        <c:v>-48.76354491017964</c:v>
                      </c:pt>
                      <c:pt idx="16" formatCode="General">
                        <c:v>-48.908027027027025</c:v>
                      </c:pt>
                      <c:pt idx="17" formatCode="General">
                        <c:v>-49.066135135135134</c:v>
                      </c:pt>
                      <c:pt idx="18" formatCode="General">
                        <c:v>-49.332568862275451</c:v>
                      </c:pt>
                      <c:pt idx="19" formatCode="General">
                        <c:v>-49.761491017964069</c:v>
                      </c:pt>
                      <c:pt idx="20" formatCode="General">
                        <c:v>-50.190413173652694</c:v>
                      </c:pt>
                      <c:pt idx="21" formatCode="General">
                        <c:v>-50.603329341317362</c:v>
                      </c:pt>
                      <c:pt idx="22" formatCode="General">
                        <c:v>-51.012985029940118</c:v>
                      </c:pt>
                      <c:pt idx="23" formatCode="General">
                        <c:v>-51.422640718562874</c:v>
                      </c:pt>
                      <c:pt idx="24" formatCode="General">
                        <c:v>-51.832296407185623</c:v>
                      </c:pt>
                      <c:pt idx="25" formatCode="General">
                        <c:v>-52.241952095808379</c:v>
                      </c:pt>
                      <c:pt idx="26" formatCode="General">
                        <c:v>-52.651607784431135</c:v>
                      </c:pt>
                      <c:pt idx="27" formatCode="General">
                        <c:v>-53.061263473053891</c:v>
                      </c:pt>
                      <c:pt idx="28" formatCode="General">
                        <c:v>-53.470919161676647</c:v>
                      </c:pt>
                      <c:pt idx="29" formatCode="General">
                        <c:v>-53.880574850299404</c:v>
                      </c:pt>
                      <c:pt idx="30" formatCode="General">
                        <c:v>-54.29023053892216</c:v>
                      </c:pt>
                      <c:pt idx="31" formatCode="General">
                        <c:v>-54.685494382022469</c:v>
                      </c:pt>
                      <c:pt idx="32" formatCode="General">
                        <c:v>-55.069164794007492</c:v>
                      </c:pt>
                      <c:pt idx="33" formatCode="General">
                        <c:v>-55.452835205992507</c:v>
                      </c:pt>
                      <c:pt idx="34" formatCode="General">
                        <c:v>-55.836505617977529</c:v>
                      </c:pt>
                      <c:pt idx="35" formatCode="General">
                        <c:v>-56.220176029962545</c:v>
                      </c:pt>
                      <c:pt idx="36" formatCode="General">
                        <c:v>-56.603846441947567</c:v>
                      </c:pt>
                      <c:pt idx="37" formatCode="General">
                        <c:v>-56.987516853932583</c:v>
                      </c:pt>
                      <c:pt idx="38" formatCode="General">
                        <c:v>-57.371187265917598</c:v>
                      </c:pt>
                      <c:pt idx="39" formatCode="General">
                        <c:v>-57.754857677902621</c:v>
                      </c:pt>
                      <c:pt idx="40" formatCode="General">
                        <c:v>-58.138528089887636</c:v>
                      </c:pt>
                      <c:pt idx="41" formatCode="General">
                        <c:v>-58.516710861423221</c:v>
                      </c:pt>
                      <c:pt idx="42" formatCode="General">
                        <c:v>-58.881100374531833</c:v>
                      </c:pt>
                      <c:pt idx="43" formatCode="General">
                        <c:v>-59.245489887640446</c:v>
                      </c:pt>
                      <c:pt idx="44" formatCode="General">
                        <c:v>-59.609879400749058</c:v>
                      </c:pt>
                      <c:pt idx="45" formatCode="General">
                        <c:v>-59.974268913857678</c:v>
                      </c:pt>
                      <c:pt idx="46" formatCode="General">
                        <c:v>-60.33865842696629</c:v>
                      </c:pt>
                      <c:pt idx="47" formatCode="General">
                        <c:v>-60.703047940074903</c:v>
                      </c:pt>
                      <c:pt idx="48" formatCode="General">
                        <c:v>-61.067437453183516</c:v>
                      </c:pt>
                      <c:pt idx="49" formatCode="General">
                        <c:v>-61.431826966292128</c:v>
                      </c:pt>
                      <c:pt idx="50" formatCode="General">
                        <c:v>-61.796216479400748</c:v>
                      </c:pt>
                      <c:pt idx="51" formatCode="General">
                        <c:v>-62.160341317365265</c:v>
                      </c:pt>
                      <c:pt idx="52" formatCode="General">
                        <c:v>-62.507526946107781</c:v>
                      </c:pt>
                      <c:pt idx="53" formatCode="General">
                        <c:v>-62.854712574850296</c:v>
                      </c:pt>
                      <c:pt idx="54" formatCode="General">
                        <c:v>-63.199893491124257</c:v>
                      </c:pt>
                      <c:pt idx="55" formatCode="General">
                        <c:v>-63.54258579881656</c:v>
                      </c:pt>
                      <c:pt idx="56" formatCode="General">
                        <c:v>-63.885278106508871</c:v>
                      </c:pt>
                      <c:pt idx="57" formatCode="General">
                        <c:v>-64.234999999999999</c:v>
                      </c:pt>
                      <c:pt idx="58" formatCode="General">
                        <c:v>-64.585999999999999</c:v>
                      </c:pt>
                      <c:pt idx="59" formatCode="General">
                        <c:v>-64.934333333333328</c:v>
                      </c:pt>
                      <c:pt idx="60" formatCode="General">
                        <c:v>-65.276666666666671</c:v>
                      </c:pt>
                      <c:pt idx="61" formatCode="General">
                        <c:v>-65.619</c:v>
                      </c:pt>
                      <c:pt idx="62" formatCode="General">
                        <c:v>-65.95688059701493</c:v>
                      </c:pt>
                      <c:pt idx="63" formatCode="General">
                        <c:v>-66.29342537313434</c:v>
                      </c:pt>
                      <c:pt idx="64" formatCode="General">
                        <c:v>-66.629970149253737</c:v>
                      </c:pt>
                      <c:pt idx="65" formatCode="General">
                        <c:v>-66.966514925373133</c:v>
                      </c:pt>
                      <c:pt idx="66" formatCode="General">
                        <c:v>-67.303059701492543</c:v>
                      </c:pt>
                      <c:pt idx="67" formatCode="General">
                        <c:v>-67.63960447761194</c:v>
                      </c:pt>
                      <c:pt idx="68" formatCode="General">
                        <c:v>-67.97614925373135</c:v>
                      </c:pt>
                      <c:pt idx="69" formatCode="General">
                        <c:v>-68.312694029850746</c:v>
                      </c:pt>
                      <c:pt idx="70" formatCode="General">
                        <c:v>-68.649238805970157</c:v>
                      </c:pt>
                      <c:pt idx="71" formatCode="General">
                        <c:v>-68.985783582089553</c:v>
                      </c:pt>
                      <c:pt idx="72" formatCode="General">
                        <c:v>-69.332157894736838</c:v>
                      </c:pt>
                      <c:pt idx="73" formatCode="General">
                        <c:v>-69.69</c:v>
                      </c:pt>
                      <c:pt idx="74" formatCode="General">
                        <c:v>-70.047842105263157</c:v>
                      </c:pt>
                      <c:pt idx="75" formatCode="General">
                        <c:v>-70.405684210526317</c:v>
                      </c:pt>
                      <c:pt idx="76" formatCode="General">
                        <c:v>-70.763526315789477</c:v>
                      </c:pt>
                      <c:pt idx="77" formatCode="General">
                        <c:v>-71.121368421052637</c:v>
                      </c:pt>
                      <c:pt idx="78" formatCode="General">
                        <c:v>-71.479210526315796</c:v>
                      </c:pt>
                      <c:pt idx="79" formatCode="General">
                        <c:v>-71.837052631578956</c:v>
                      </c:pt>
                      <c:pt idx="80" formatCode="General">
                        <c:v>-72.194894736842102</c:v>
                      </c:pt>
                      <c:pt idx="81" formatCode="General">
                        <c:v>-72.552736842105261</c:v>
                      </c:pt>
                      <c:pt idx="82" formatCode="General">
                        <c:v>-72.905382352941174</c:v>
                      </c:pt>
                      <c:pt idx="83" formatCode="General">
                        <c:v>-73.240705882352955</c:v>
                      </c:pt>
                      <c:pt idx="84" formatCode="General">
                        <c:v>-73.576029411764722</c:v>
                      </c:pt>
                      <c:pt idx="85" formatCode="General">
                        <c:v>-73.921484848484852</c:v>
                      </c:pt>
                      <c:pt idx="86" formatCode="General">
                        <c:v>-74.273272727272726</c:v>
                      </c:pt>
                      <c:pt idx="87" formatCode="General">
                        <c:v>-74.623558823529407</c:v>
                      </c:pt>
                      <c:pt idx="88" formatCode="General">
                        <c:v>-74.955823529411774</c:v>
                      </c:pt>
                      <c:pt idx="89" formatCode="General">
                        <c:v>-75.288088235294126</c:v>
                      </c:pt>
                      <c:pt idx="90" formatCode="General">
                        <c:v>-75.624090909090924</c:v>
                      </c:pt>
                      <c:pt idx="91" formatCode="General">
                        <c:v>-75.964454545454558</c:v>
                      </c:pt>
                      <c:pt idx="92" formatCode="General">
                        <c:v>-76.304818181818192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22D-49B9-B930-702E037C457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-185.26585585585585</c:v>
                      </c:pt>
                      <c:pt idx="1">
                        <c:v>-178.80879879879882</c:v>
                      </c:pt>
                      <c:pt idx="2" formatCode="General">
                        <c:v>-172.35174174174176</c:v>
                      </c:pt>
                      <c:pt idx="3" formatCode="General">
                        <c:v>-166.91</c:v>
                      </c:pt>
                      <c:pt idx="4" formatCode="General">
                        <c:v>-161.71</c:v>
                      </c:pt>
                      <c:pt idx="5" formatCode="General">
                        <c:v>-156.72718562874252</c:v>
                      </c:pt>
                      <c:pt idx="6" formatCode="General">
                        <c:v>-152.43796407185627</c:v>
                      </c:pt>
                      <c:pt idx="7" formatCode="General">
                        <c:v>-148.14874251497005</c:v>
                      </c:pt>
                      <c:pt idx="8" formatCode="General">
                        <c:v>-144.32577844311376</c:v>
                      </c:pt>
                      <c:pt idx="9" formatCode="General">
                        <c:v>-140.73326347305388</c:v>
                      </c:pt>
                      <c:pt idx="10" formatCode="General">
                        <c:v>-137.19523952095807</c:v>
                      </c:pt>
                      <c:pt idx="11" formatCode="General">
                        <c:v>-134.14763473053893</c:v>
                      </c:pt>
                      <c:pt idx="12" formatCode="General">
                        <c:v>-131.10002994011978</c:v>
                      </c:pt>
                      <c:pt idx="13" formatCode="General">
                        <c:v>-128.29000000000002</c:v>
                      </c:pt>
                      <c:pt idx="14" formatCode="General">
                        <c:v>-125.69000000000001</c:v>
                      </c:pt>
                      <c:pt idx="15" formatCode="General">
                        <c:v>-123.09</c:v>
                      </c:pt>
                      <c:pt idx="16" formatCode="General">
                        <c:v>-121.24825825825826</c:v>
                      </c:pt>
                      <c:pt idx="17" formatCode="General">
                        <c:v>-119.43684684684683</c:v>
                      </c:pt>
                      <c:pt idx="18" formatCode="General">
                        <c:v>-118.99922155688623</c:v>
                      </c:pt>
                      <c:pt idx="19" formatCode="General">
                        <c:v>-120.62227544910179</c:v>
                      </c:pt>
                      <c:pt idx="20" formatCode="General">
                        <c:v>-122.24532934131737</c:v>
                      </c:pt>
                      <c:pt idx="21" formatCode="General">
                        <c:v>-123.80694610778444</c:v>
                      </c:pt>
                      <c:pt idx="22" formatCode="General">
                        <c:v>-125.35604790419163</c:v>
                      </c:pt>
                      <c:pt idx="23" formatCode="General">
                        <c:v>-126.90514970059881</c:v>
                      </c:pt>
                      <c:pt idx="24" formatCode="General">
                        <c:v>-128.454251497006</c:v>
                      </c:pt>
                      <c:pt idx="25" formatCode="General">
                        <c:v>-130.00335329341317</c:v>
                      </c:pt>
                      <c:pt idx="26" formatCode="General">
                        <c:v>-131.55245508982037</c:v>
                      </c:pt>
                      <c:pt idx="27" formatCode="General">
                        <c:v>-133.10155688622754</c:v>
                      </c:pt>
                      <c:pt idx="28" formatCode="General">
                        <c:v>-134.65065868263474</c:v>
                      </c:pt>
                      <c:pt idx="29" formatCode="General">
                        <c:v>-136.19976047904191</c:v>
                      </c:pt>
                      <c:pt idx="30" formatCode="General">
                        <c:v>-137.74886227544911</c:v>
                      </c:pt>
                      <c:pt idx="31" formatCode="General">
                        <c:v>-139.21824719101124</c:v>
                      </c:pt>
                      <c:pt idx="32" formatCode="General">
                        <c:v>-140.62341573033709</c:v>
                      </c:pt>
                      <c:pt idx="33" formatCode="General">
                        <c:v>-142.02858426966293</c:v>
                      </c:pt>
                      <c:pt idx="34" formatCode="General">
                        <c:v>-143.43375280898877</c:v>
                      </c:pt>
                      <c:pt idx="35" formatCode="General">
                        <c:v>-144.83892134831461</c:v>
                      </c:pt>
                      <c:pt idx="36" formatCode="General">
                        <c:v>-146.24408988764046</c:v>
                      </c:pt>
                      <c:pt idx="37" formatCode="General">
                        <c:v>-147.6492584269663</c:v>
                      </c:pt>
                      <c:pt idx="38" formatCode="General">
                        <c:v>-149.05442696629214</c:v>
                      </c:pt>
                      <c:pt idx="39" formatCode="General">
                        <c:v>-150.45959550561798</c:v>
                      </c:pt>
                      <c:pt idx="40" formatCode="General">
                        <c:v>-151.86476404494383</c:v>
                      </c:pt>
                      <c:pt idx="41" formatCode="General">
                        <c:v>-153.2219850187266</c:v>
                      </c:pt>
                      <c:pt idx="42" formatCode="General">
                        <c:v>-154.45868913857677</c:v>
                      </c:pt>
                      <c:pt idx="43" formatCode="General">
                        <c:v>-155.69539325842698</c:v>
                      </c:pt>
                      <c:pt idx="44" formatCode="General">
                        <c:v>-156.93209737827715</c:v>
                      </c:pt>
                      <c:pt idx="45" formatCode="General">
                        <c:v>-158.16880149812735</c:v>
                      </c:pt>
                      <c:pt idx="46" formatCode="General">
                        <c:v>-159.40550561797752</c:v>
                      </c:pt>
                      <c:pt idx="47" formatCode="General">
                        <c:v>-160.64220973782773</c:v>
                      </c:pt>
                      <c:pt idx="48" formatCode="General">
                        <c:v>-161.8789138576779</c:v>
                      </c:pt>
                      <c:pt idx="49" formatCode="General">
                        <c:v>-163.1156179775281</c:v>
                      </c:pt>
                      <c:pt idx="50" formatCode="General">
                        <c:v>-164.35232209737828</c:v>
                      </c:pt>
                      <c:pt idx="51" formatCode="General">
                        <c:v>-165.58706586826347</c:v>
                      </c:pt>
                      <c:pt idx="52" formatCode="General">
                        <c:v>-166.69634730538922</c:v>
                      </c:pt>
                      <c:pt idx="53" formatCode="General">
                        <c:v>-167.80562874251495</c:v>
                      </c:pt>
                      <c:pt idx="54" formatCode="General">
                        <c:v>-168.88846153846151</c:v>
                      </c:pt>
                      <c:pt idx="55" formatCode="General">
                        <c:v>-169.93846153846152</c:v>
                      </c:pt>
                      <c:pt idx="56" formatCode="General">
                        <c:v>-170.98846153846151</c:v>
                      </c:pt>
                      <c:pt idx="57" formatCode="General">
                        <c:v>-172.02666666666664</c:v>
                      </c:pt>
                      <c:pt idx="58" formatCode="General">
                        <c:v>-173.06272727272727</c:v>
                      </c:pt>
                      <c:pt idx="59" formatCode="General">
                        <c:v>-174.07818181818183</c:v>
                      </c:pt>
                      <c:pt idx="60" formatCode="General">
                        <c:v>-175.04727272727274</c:v>
                      </c:pt>
                      <c:pt idx="61" formatCode="General">
                        <c:v>-176.01636363636365</c:v>
                      </c:pt>
                      <c:pt idx="62" formatCode="General">
                        <c:v>-176.87805970149256</c:v>
                      </c:pt>
                      <c:pt idx="63" formatCode="General">
                        <c:v>-177.70753731343285</c:v>
                      </c:pt>
                      <c:pt idx="64" formatCode="General">
                        <c:v>-178.53701492537314</c:v>
                      </c:pt>
                      <c:pt idx="65" formatCode="General">
                        <c:v>-179.36649253731343</c:v>
                      </c:pt>
                      <c:pt idx="66" formatCode="General">
                        <c:v>-180.19597014925375</c:v>
                      </c:pt>
                      <c:pt idx="67" formatCode="General">
                        <c:v>-181.02544776119404</c:v>
                      </c:pt>
                      <c:pt idx="68" formatCode="General">
                        <c:v>-181.85492537313434</c:v>
                      </c:pt>
                      <c:pt idx="69" formatCode="General">
                        <c:v>-182.68440298507466</c:v>
                      </c:pt>
                      <c:pt idx="70" formatCode="General">
                        <c:v>-183.51388059701495</c:v>
                      </c:pt>
                      <c:pt idx="71" formatCode="General">
                        <c:v>-184.34335820895524</c:v>
                      </c:pt>
                      <c:pt idx="72" formatCode="General">
                        <c:v>-185.07466165413535</c:v>
                      </c:pt>
                      <c:pt idx="73" formatCode="General">
                        <c:v>-185.69142857142859</c:v>
                      </c:pt>
                      <c:pt idx="74" formatCode="General">
                        <c:v>-186.30819548872182</c:v>
                      </c:pt>
                      <c:pt idx="75" formatCode="General">
                        <c:v>-186.92496240601506</c:v>
                      </c:pt>
                      <c:pt idx="76" formatCode="General">
                        <c:v>-187.54172932330829</c:v>
                      </c:pt>
                      <c:pt idx="77" formatCode="General">
                        <c:v>-188.15849624060152</c:v>
                      </c:pt>
                      <c:pt idx="78" formatCode="General">
                        <c:v>-188.77526315789473</c:v>
                      </c:pt>
                      <c:pt idx="79" formatCode="General">
                        <c:v>-189.39203007518796</c:v>
                      </c:pt>
                      <c:pt idx="80" formatCode="General">
                        <c:v>-190.00879699248119</c:v>
                      </c:pt>
                      <c:pt idx="81" formatCode="General">
                        <c:v>-190.62556390977443</c:v>
                      </c:pt>
                      <c:pt idx="82" formatCode="General">
                        <c:v>-191.20499999999998</c:v>
                      </c:pt>
                      <c:pt idx="83" formatCode="General">
                        <c:v>-191.66</c:v>
                      </c:pt>
                      <c:pt idx="84" formatCode="General">
                        <c:v>-192.11500000000001</c:v>
                      </c:pt>
                      <c:pt idx="85" formatCode="General">
                        <c:v>-192.55666666666667</c:v>
                      </c:pt>
                      <c:pt idx="86" formatCode="General">
                        <c:v>-192.99</c:v>
                      </c:pt>
                      <c:pt idx="87" formatCode="General">
                        <c:v>-193.41676470588234</c:v>
                      </c:pt>
                      <c:pt idx="88" formatCode="General">
                        <c:v>-193.76470588235293</c:v>
                      </c:pt>
                      <c:pt idx="89" formatCode="General">
                        <c:v>-194.11264705882354</c:v>
                      </c:pt>
                      <c:pt idx="90" formatCode="General">
                        <c:v>-194.44</c:v>
                      </c:pt>
                      <c:pt idx="91" formatCode="General">
                        <c:v>-194.74333333333334</c:v>
                      </c:pt>
                      <c:pt idx="92" formatCode="General">
                        <c:v>-195.04666666666665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22D-49B9-B930-702E037C457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-30.414594594594593</c:v>
                      </c:pt>
                      <c:pt idx="1">
                        <c:v>-29.641621621621621</c:v>
                      </c:pt>
                      <c:pt idx="2" formatCode="General">
                        <c:v>-28.868648648648648</c:v>
                      </c:pt>
                      <c:pt idx="3" formatCode="General">
                        <c:v>-27.424790419161674</c:v>
                      </c:pt>
                      <c:pt idx="4" formatCode="General">
                        <c:v>-25.821197604790417</c:v>
                      </c:pt>
                      <c:pt idx="5" formatCode="General">
                        <c:v>-24.174910179640719</c:v>
                      </c:pt>
                      <c:pt idx="6" formatCode="General">
                        <c:v>-22.392275449101795</c:v>
                      </c:pt>
                      <c:pt idx="7" formatCode="General">
                        <c:v>-20.609640718562876</c:v>
                      </c:pt>
                      <c:pt idx="8" formatCode="General">
                        <c:v>-18.983814371257484</c:v>
                      </c:pt>
                      <c:pt idx="9" formatCode="General">
                        <c:v>-17.435491017964072</c:v>
                      </c:pt>
                      <c:pt idx="10" formatCode="General">
                        <c:v>-15.906473053892215</c:v>
                      </c:pt>
                      <c:pt idx="11" formatCode="General">
                        <c:v>-14.551203592814373</c:v>
                      </c:pt>
                      <c:pt idx="12" formatCode="General">
                        <c:v>-13.195934131736529</c:v>
                      </c:pt>
                      <c:pt idx="13" formatCode="General">
                        <c:v>-11.922059880239523</c:v>
                      </c:pt>
                      <c:pt idx="14" formatCode="General">
                        <c:v>-10.720143712574851</c:v>
                      </c:pt>
                      <c:pt idx="15" formatCode="General">
                        <c:v>-9.5182275449101788</c:v>
                      </c:pt>
                      <c:pt idx="16" formatCode="General">
                        <c:v>-9.0253033033033017</c:v>
                      </c:pt>
                      <c:pt idx="17" formatCode="General">
                        <c:v>-8.5607387387387384</c:v>
                      </c:pt>
                      <c:pt idx="18" formatCode="General">
                        <c:v>-8.3075329341317374</c:v>
                      </c:pt>
                      <c:pt idx="19" formatCode="General">
                        <c:v>-8.3713652694610783</c:v>
                      </c:pt>
                      <c:pt idx="20" formatCode="General">
                        <c:v>-8.4351976047904191</c:v>
                      </c:pt>
                      <c:pt idx="21" formatCode="General">
                        <c:v>-8.4993532934131739</c:v>
                      </c:pt>
                      <c:pt idx="22" formatCode="General">
                        <c:v>-8.5635748502994016</c:v>
                      </c:pt>
                      <c:pt idx="23" formatCode="General">
                        <c:v>-8.6277964071856292</c:v>
                      </c:pt>
                      <c:pt idx="24" formatCode="General">
                        <c:v>-8.6920179640718569</c:v>
                      </c:pt>
                      <c:pt idx="25" formatCode="General">
                        <c:v>-8.7562395209580828</c:v>
                      </c:pt>
                      <c:pt idx="26" formatCode="General">
                        <c:v>-8.8204610778443104</c:v>
                      </c:pt>
                      <c:pt idx="27" formatCode="General">
                        <c:v>-8.8846826347305381</c:v>
                      </c:pt>
                      <c:pt idx="28" formatCode="General">
                        <c:v>-8.9489041916167658</c:v>
                      </c:pt>
                      <c:pt idx="29" formatCode="General">
                        <c:v>-9.0131257485029934</c:v>
                      </c:pt>
                      <c:pt idx="30" formatCode="General">
                        <c:v>-9.0773473053892211</c:v>
                      </c:pt>
                      <c:pt idx="31" formatCode="General">
                        <c:v>-9.140516853932585</c:v>
                      </c:pt>
                      <c:pt idx="32" formatCode="General">
                        <c:v>-9.202838951310861</c:v>
                      </c:pt>
                      <c:pt idx="33" formatCode="General">
                        <c:v>-9.2651610486891389</c:v>
                      </c:pt>
                      <c:pt idx="34" formatCode="General">
                        <c:v>-9.3274831460674168</c:v>
                      </c:pt>
                      <c:pt idx="35" formatCode="General">
                        <c:v>-9.3898052434456929</c:v>
                      </c:pt>
                      <c:pt idx="36" formatCode="General">
                        <c:v>-9.4521273408239708</c:v>
                      </c:pt>
                      <c:pt idx="37" formatCode="General">
                        <c:v>-9.5144494382022469</c:v>
                      </c:pt>
                      <c:pt idx="38" formatCode="General">
                        <c:v>-9.5767715355805247</c:v>
                      </c:pt>
                      <c:pt idx="39" formatCode="General">
                        <c:v>-9.6390936329588026</c:v>
                      </c:pt>
                      <c:pt idx="40" formatCode="General">
                        <c:v>-9.7014157303370787</c:v>
                      </c:pt>
                      <c:pt idx="41" formatCode="General">
                        <c:v>-9.7627400749063682</c:v>
                      </c:pt>
                      <c:pt idx="42" formatCode="General">
                        <c:v>-9.8215565543071168</c:v>
                      </c:pt>
                      <c:pt idx="43" formatCode="General">
                        <c:v>-9.8803730337078655</c:v>
                      </c:pt>
                      <c:pt idx="44" formatCode="General">
                        <c:v>-9.9391895131086141</c:v>
                      </c:pt>
                      <c:pt idx="45" formatCode="General">
                        <c:v>-9.9980059925093627</c:v>
                      </c:pt>
                      <c:pt idx="46" formatCode="General">
                        <c:v>-10.056822471910113</c:v>
                      </c:pt>
                      <c:pt idx="47" formatCode="General">
                        <c:v>-10.115638951310862</c:v>
                      </c:pt>
                      <c:pt idx="48" formatCode="General">
                        <c:v>-10.17445543071161</c:v>
                      </c:pt>
                      <c:pt idx="49" formatCode="General">
                        <c:v>-10.233271910112359</c:v>
                      </c:pt>
                      <c:pt idx="50" formatCode="General">
                        <c:v>-10.292088389513108</c:v>
                      </c:pt>
                      <c:pt idx="51" formatCode="General">
                        <c:v>-10.350862275449101</c:v>
                      </c:pt>
                      <c:pt idx="52" formatCode="General">
                        <c:v>-10.406910179640718</c:v>
                      </c:pt>
                      <c:pt idx="53" formatCode="General">
                        <c:v>-10.462958083832335</c:v>
                      </c:pt>
                      <c:pt idx="54" formatCode="General">
                        <c:v>-10.518366863905324</c:v>
                      </c:pt>
                      <c:pt idx="55" formatCode="General">
                        <c:v>-10.572982248520709</c:v>
                      </c:pt>
                      <c:pt idx="56" formatCode="General">
                        <c:v>-10.627597633136094</c:v>
                      </c:pt>
                      <c:pt idx="57" formatCode="General">
                        <c:v>-10.683333333333334</c:v>
                      </c:pt>
                      <c:pt idx="58" formatCode="General">
                        <c:v>-10.739272727272727</c:v>
                      </c:pt>
                      <c:pt idx="59" formatCode="General">
                        <c:v>-10.794727272727274</c:v>
                      </c:pt>
                      <c:pt idx="60" formatCode="General">
                        <c:v>-10.84909090909091</c:v>
                      </c:pt>
                      <c:pt idx="61" formatCode="General">
                        <c:v>-10.903454545454546</c:v>
                      </c:pt>
                      <c:pt idx="62" formatCode="General">
                        <c:v>-10.965104477611941</c:v>
                      </c:pt>
                      <c:pt idx="63" formatCode="General">
                        <c:v>-11.028940298507463</c:v>
                      </c:pt>
                      <c:pt idx="64" formatCode="General">
                        <c:v>-11.092776119402986</c:v>
                      </c:pt>
                      <c:pt idx="65" formatCode="General">
                        <c:v>-11.156611940298507</c:v>
                      </c:pt>
                      <c:pt idx="66" formatCode="General">
                        <c:v>-11.220447761194031</c:v>
                      </c:pt>
                      <c:pt idx="67" formatCode="General">
                        <c:v>-11.284283582089552</c:v>
                      </c:pt>
                      <c:pt idx="68" formatCode="General">
                        <c:v>-11.348119402985075</c:v>
                      </c:pt>
                      <c:pt idx="69" formatCode="General">
                        <c:v>-11.411955223880597</c:v>
                      </c:pt>
                      <c:pt idx="70" formatCode="General">
                        <c:v>-11.47579104477612</c:v>
                      </c:pt>
                      <c:pt idx="71" formatCode="General">
                        <c:v>-11.539626865671641</c:v>
                      </c:pt>
                      <c:pt idx="72" formatCode="General">
                        <c:v>-11.628225563909774</c:v>
                      </c:pt>
                      <c:pt idx="73" formatCode="General">
                        <c:v>-11.745714285714286</c:v>
                      </c:pt>
                      <c:pt idx="74" formatCode="General">
                        <c:v>-11.863203007518797</c:v>
                      </c:pt>
                      <c:pt idx="75" formatCode="General">
                        <c:v>-11.980691729323308</c:v>
                      </c:pt>
                      <c:pt idx="76" formatCode="General">
                        <c:v>-12.098180451127819</c:v>
                      </c:pt>
                      <c:pt idx="77" formatCode="General">
                        <c:v>-12.21566917293233</c:v>
                      </c:pt>
                      <c:pt idx="78" formatCode="General">
                        <c:v>-12.333157894736843</c:v>
                      </c:pt>
                      <c:pt idx="79" formatCode="General">
                        <c:v>-12.450646616541354</c:v>
                      </c:pt>
                      <c:pt idx="80" formatCode="General">
                        <c:v>-12.568135338345865</c:v>
                      </c:pt>
                      <c:pt idx="81" formatCode="General">
                        <c:v>-12.685624060150376</c:v>
                      </c:pt>
                      <c:pt idx="82" formatCode="General">
                        <c:v>-12.800176470588235</c:v>
                      </c:pt>
                      <c:pt idx="83" formatCode="General">
                        <c:v>-12.904941176470588</c:v>
                      </c:pt>
                      <c:pt idx="84" formatCode="General">
                        <c:v>-13.009705882352941</c:v>
                      </c:pt>
                      <c:pt idx="85" formatCode="General">
                        <c:v>-13.11448484848485</c:v>
                      </c:pt>
                      <c:pt idx="86" formatCode="General">
                        <c:v>-13.219272727272728</c:v>
                      </c:pt>
                      <c:pt idx="87" formatCode="General">
                        <c:v>-13.323588235294118</c:v>
                      </c:pt>
                      <c:pt idx="88" formatCode="General">
                        <c:v>-13.422235294117648</c:v>
                      </c:pt>
                      <c:pt idx="89" formatCode="General">
                        <c:v>-13.520882352941177</c:v>
                      </c:pt>
                      <c:pt idx="90" formatCode="General">
                        <c:v>-13.619090909090909</c:v>
                      </c:pt>
                      <c:pt idx="91" formatCode="General">
                        <c:v>-13.716787878787878</c:v>
                      </c:pt>
                      <c:pt idx="92" formatCode="General">
                        <c:v>-13.814484848484847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222D-49B9-B930-702E037C457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-15.207297297297297</c:v>
                      </c:pt>
                      <c:pt idx="1">
                        <c:v>-14.82081081081081</c:v>
                      </c:pt>
                      <c:pt idx="2" formatCode="General">
                        <c:v>-14.434324324324324</c:v>
                      </c:pt>
                      <c:pt idx="3" formatCode="General">
                        <c:v>-13.712395209580837</c:v>
                      </c:pt>
                      <c:pt idx="4" formatCode="General">
                        <c:v>-12.910598802395208</c:v>
                      </c:pt>
                      <c:pt idx="5" formatCode="General">
                        <c:v>-12.087455089820359</c:v>
                      </c:pt>
                      <c:pt idx="6" formatCode="General">
                        <c:v>-11.196137724550898</c:v>
                      </c:pt>
                      <c:pt idx="7" formatCode="General">
                        <c:v>-10.304820359281438</c:v>
                      </c:pt>
                      <c:pt idx="8" formatCode="General">
                        <c:v>-9.491907185628742</c:v>
                      </c:pt>
                      <c:pt idx="9" formatCode="General">
                        <c:v>-8.7177455089820359</c:v>
                      </c:pt>
                      <c:pt idx="10" formatCode="General">
                        <c:v>-7.9532365269461076</c:v>
                      </c:pt>
                      <c:pt idx="11" formatCode="General">
                        <c:v>-7.2756017964071864</c:v>
                      </c:pt>
                      <c:pt idx="12" formatCode="General">
                        <c:v>-6.5979670658682643</c:v>
                      </c:pt>
                      <c:pt idx="13" formatCode="General">
                        <c:v>-5.9610299401197615</c:v>
                      </c:pt>
                      <c:pt idx="14" formatCode="General">
                        <c:v>-5.3600718562874254</c:v>
                      </c:pt>
                      <c:pt idx="15" formatCode="General">
                        <c:v>-4.7591137724550894</c:v>
                      </c:pt>
                      <c:pt idx="16" formatCode="General">
                        <c:v>-4.5126516516516508</c:v>
                      </c:pt>
                      <c:pt idx="17" formatCode="General">
                        <c:v>-4.2803693693693692</c:v>
                      </c:pt>
                      <c:pt idx="18" formatCode="General">
                        <c:v>-4.1537664670658687</c:v>
                      </c:pt>
                      <c:pt idx="19" formatCode="General">
                        <c:v>-4.1856826347305391</c:v>
                      </c:pt>
                      <c:pt idx="20" formatCode="General">
                        <c:v>-4.2175988023952096</c:v>
                      </c:pt>
                      <c:pt idx="21" formatCode="General">
                        <c:v>-4.249676646706587</c:v>
                      </c:pt>
                      <c:pt idx="22" formatCode="General">
                        <c:v>-4.2817874251497008</c:v>
                      </c:pt>
                      <c:pt idx="23" formatCode="General">
                        <c:v>-4.3138982035928146</c:v>
                      </c:pt>
                      <c:pt idx="24" formatCode="General">
                        <c:v>-4.3460089820359284</c:v>
                      </c:pt>
                      <c:pt idx="25" formatCode="General">
                        <c:v>-4.3781197604790414</c:v>
                      </c:pt>
                      <c:pt idx="26" formatCode="General">
                        <c:v>-4.4102305389221552</c:v>
                      </c:pt>
                      <c:pt idx="27" formatCode="General">
                        <c:v>-4.442341317365269</c:v>
                      </c:pt>
                      <c:pt idx="28" formatCode="General">
                        <c:v>-4.4744520958083829</c:v>
                      </c:pt>
                      <c:pt idx="29" formatCode="General">
                        <c:v>-4.5065628742514967</c:v>
                      </c:pt>
                      <c:pt idx="30" formatCode="General">
                        <c:v>-4.5386736526946105</c:v>
                      </c:pt>
                      <c:pt idx="31" formatCode="General">
                        <c:v>-4.5702584269662925</c:v>
                      </c:pt>
                      <c:pt idx="32" formatCode="General">
                        <c:v>-4.6014194756554305</c:v>
                      </c:pt>
                      <c:pt idx="33" formatCode="General">
                        <c:v>-4.6325805243445695</c:v>
                      </c:pt>
                      <c:pt idx="34" formatCode="General">
                        <c:v>-4.6637415730337084</c:v>
                      </c:pt>
                      <c:pt idx="35" formatCode="General">
                        <c:v>-4.6949026217228464</c:v>
                      </c:pt>
                      <c:pt idx="36" formatCode="General">
                        <c:v>-4.7260636704119854</c:v>
                      </c:pt>
                      <c:pt idx="37" formatCode="General">
                        <c:v>-4.7572247191011234</c:v>
                      </c:pt>
                      <c:pt idx="38" formatCode="General">
                        <c:v>-4.7883857677902624</c:v>
                      </c:pt>
                      <c:pt idx="39" formatCode="General">
                        <c:v>-4.8195468164794013</c:v>
                      </c:pt>
                      <c:pt idx="40" formatCode="General">
                        <c:v>-4.8507078651685394</c:v>
                      </c:pt>
                      <c:pt idx="41" formatCode="General">
                        <c:v>-4.8813700374531841</c:v>
                      </c:pt>
                      <c:pt idx="42" formatCode="General">
                        <c:v>-4.9107782771535584</c:v>
                      </c:pt>
                      <c:pt idx="43" formatCode="General">
                        <c:v>-4.9401865168539327</c:v>
                      </c:pt>
                      <c:pt idx="44" formatCode="General">
                        <c:v>-4.969594756554307</c:v>
                      </c:pt>
                      <c:pt idx="45" formatCode="General">
                        <c:v>-4.9990029962546814</c:v>
                      </c:pt>
                      <c:pt idx="46" formatCode="General">
                        <c:v>-5.0284112359550566</c:v>
                      </c:pt>
                      <c:pt idx="47" formatCode="General">
                        <c:v>-5.0578194756554309</c:v>
                      </c:pt>
                      <c:pt idx="48" formatCode="General">
                        <c:v>-5.0872277153558052</c:v>
                      </c:pt>
                      <c:pt idx="49" formatCode="General">
                        <c:v>-5.1166359550561795</c:v>
                      </c:pt>
                      <c:pt idx="50" formatCode="General">
                        <c:v>-5.1460441947565538</c:v>
                      </c:pt>
                      <c:pt idx="51" formatCode="General">
                        <c:v>-5.1754311377245505</c:v>
                      </c:pt>
                      <c:pt idx="52" formatCode="General">
                        <c:v>-5.2034550898203591</c:v>
                      </c:pt>
                      <c:pt idx="53" formatCode="General">
                        <c:v>-5.2314790419161676</c:v>
                      </c:pt>
                      <c:pt idx="54" formatCode="General">
                        <c:v>-5.2591834319526622</c:v>
                      </c:pt>
                      <c:pt idx="55" formatCode="General">
                        <c:v>-5.2864911242603547</c:v>
                      </c:pt>
                      <c:pt idx="56" formatCode="General">
                        <c:v>-5.3137988165680472</c:v>
                      </c:pt>
                      <c:pt idx="57" formatCode="General">
                        <c:v>-5.3416666666666668</c:v>
                      </c:pt>
                      <c:pt idx="58" formatCode="General">
                        <c:v>-5.3696363636363635</c:v>
                      </c:pt>
                      <c:pt idx="59" formatCode="General">
                        <c:v>-5.3973636363636368</c:v>
                      </c:pt>
                      <c:pt idx="60" formatCode="General">
                        <c:v>-5.4245454545454548</c:v>
                      </c:pt>
                      <c:pt idx="61" formatCode="General">
                        <c:v>-5.4517272727272728</c:v>
                      </c:pt>
                      <c:pt idx="62" formatCode="General">
                        <c:v>-5.4825522388059706</c:v>
                      </c:pt>
                      <c:pt idx="63" formatCode="General">
                        <c:v>-5.5144701492537314</c:v>
                      </c:pt>
                      <c:pt idx="64" formatCode="General">
                        <c:v>-5.546388059701493</c:v>
                      </c:pt>
                      <c:pt idx="65" formatCode="General">
                        <c:v>-5.5783059701492537</c:v>
                      </c:pt>
                      <c:pt idx="66" formatCode="General">
                        <c:v>-5.6102238805970153</c:v>
                      </c:pt>
                      <c:pt idx="67" formatCode="General">
                        <c:v>-5.642141791044776</c:v>
                      </c:pt>
                      <c:pt idx="68" formatCode="General">
                        <c:v>-5.6740597014925376</c:v>
                      </c:pt>
                      <c:pt idx="69" formatCode="General">
                        <c:v>-5.7059776119402983</c:v>
                      </c:pt>
                      <c:pt idx="70" formatCode="General">
                        <c:v>-5.7378955223880599</c:v>
                      </c:pt>
                      <c:pt idx="71" formatCode="General">
                        <c:v>-5.7698134328358206</c:v>
                      </c:pt>
                      <c:pt idx="72" formatCode="General">
                        <c:v>-5.8141127819548872</c:v>
                      </c:pt>
                      <c:pt idx="73" formatCode="General">
                        <c:v>-5.8728571428571428</c:v>
                      </c:pt>
                      <c:pt idx="74" formatCode="General">
                        <c:v>-5.9316015037593983</c:v>
                      </c:pt>
                      <c:pt idx="75" formatCode="General">
                        <c:v>-5.9903458646616539</c:v>
                      </c:pt>
                      <c:pt idx="76" formatCode="General">
                        <c:v>-6.0490902255639094</c:v>
                      </c:pt>
                      <c:pt idx="77" formatCode="General">
                        <c:v>-6.107834586466165</c:v>
                      </c:pt>
                      <c:pt idx="78" formatCode="General">
                        <c:v>-6.1665789473684214</c:v>
                      </c:pt>
                      <c:pt idx="79" formatCode="General">
                        <c:v>-6.2253233082706769</c:v>
                      </c:pt>
                      <c:pt idx="80" formatCode="General">
                        <c:v>-6.2840676691729325</c:v>
                      </c:pt>
                      <c:pt idx="81" formatCode="General">
                        <c:v>-6.342812030075188</c:v>
                      </c:pt>
                      <c:pt idx="82" formatCode="General">
                        <c:v>-6.4000882352941177</c:v>
                      </c:pt>
                      <c:pt idx="83" formatCode="General">
                        <c:v>-6.4524705882352942</c:v>
                      </c:pt>
                      <c:pt idx="84" formatCode="General">
                        <c:v>-6.5048529411764706</c:v>
                      </c:pt>
                      <c:pt idx="85" formatCode="General">
                        <c:v>-6.5572424242424248</c:v>
                      </c:pt>
                      <c:pt idx="86" formatCode="General">
                        <c:v>-6.6096363636363638</c:v>
                      </c:pt>
                      <c:pt idx="87" formatCode="General">
                        <c:v>-6.6617941176470588</c:v>
                      </c:pt>
                      <c:pt idx="88" formatCode="General">
                        <c:v>-6.7111176470588241</c:v>
                      </c:pt>
                      <c:pt idx="89" formatCode="General">
                        <c:v>-6.7604411764705885</c:v>
                      </c:pt>
                      <c:pt idx="90" formatCode="General">
                        <c:v>-6.8095454545454546</c:v>
                      </c:pt>
                      <c:pt idx="91" formatCode="General">
                        <c:v>-6.858393939393939</c:v>
                      </c:pt>
                      <c:pt idx="92" formatCode="General">
                        <c:v>-6.9072424242424235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222D-49B9-B930-702E037C457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-19.021441441441443</c:v>
                      </c:pt>
                      <c:pt idx="1">
                        <c:v>-19.025345345345347</c:v>
                      </c:pt>
                      <c:pt idx="2" formatCode="General">
                        <c:v>-19.029249249249251</c:v>
                      </c:pt>
                      <c:pt idx="3" formatCode="General">
                        <c:v>-19.039431137724552</c:v>
                      </c:pt>
                      <c:pt idx="4" formatCode="General">
                        <c:v>-19.051107784431139</c:v>
                      </c:pt>
                      <c:pt idx="5" formatCode="General">
                        <c:v>-19.064640718562874</c:v>
                      </c:pt>
                      <c:pt idx="6" formatCode="General">
                        <c:v>-19.084101796407186</c:v>
                      </c:pt>
                      <c:pt idx="7" formatCode="General">
                        <c:v>-19.103562874251498</c:v>
                      </c:pt>
                      <c:pt idx="8" formatCode="General">
                        <c:v>-19.125628742514969</c:v>
                      </c:pt>
                      <c:pt idx="9" formatCode="General">
                        <c:v>-19.148982035928146</c:v>
                      </c:pt>
                      <c:pt idx="10" formatCode="General">
                        <c:v>-19.172335329341319</c:v>
                      </c:pt>
                      <c:pt idx="11" formatCode="General">
                        <c:v>-19.195688622754492</c:v>
                      </c:pt>
                      <c:pt idx="12" formatCode="General">
                        <c:v>-19.219041916167665</c:v>
                      </c:pt>
                      <c:pt idx="13" formatCode="General">
                        <c:v>-19.244461077844313</c:v>
                      </c:pt>
                      <c:pt idx="14" formatCode="General">
                        <c:v>-19.271706586826348</c:v>
                      </c:pt>
                      <c:pt idx="15" formatCode="General">
                        <c:v>-19.298952095808385</c:v>
                      </c:pt>
                      <c:pt idx="16" formatCode="General">
                        <c:v>-19.213663663663663</c:v>
                      </c:pt>
                      <c:pt idx="17" formatCode="General">
                        <c:v>-19.123873873873872</c:v>
                      </c:pt>
                      <c:pt idx="18" formatCode="General">
                        <c:v>-19.063772455089822</c:v>
                      </c:pt>
                      <c:pt idx="19" formatCode="General">
                        <c:v>-19.048203592814371</c:v>
                      </c:pt>
                      <c:pt idx="20" formatCode="General">
                        <c:v>-19.032634730538923</c:v>
                      </c:pt>
                      <c:pt idx="21" formatCode="General">
                        <c:v>-19.052634730538923</c:v>
                      </c:pt>
                      <c:pt idx="22" formatCode="General">
                        <c:v>-19.079880239520957</c:v>
                      </c:pt>
                      <c:pt idx="23" formatCode="General">
                        <c:v>-19.107125748502995</c:v>
                      </c:pt>
                      <c:pt idx="24" formatCode="General">
                        <c:v>-19.134371257485029</c:v>
                      </c:pt>
                      <c:pt idx="25" formatCode="General">
                        <c:v>-19.161616766467066</c:v>
                      </c:pt>
                      <c:pt idx="26" formatCode="General">
                        <c:v>-19.1888622754491</c:v>
                      </c:pt>
                      <c:pt idx="27" formatCode="General">
                        <c:v>-19.216107784431138</c:v>
                      </c:pt>
                      <c:pt idx="28" formatCode="General">
                        <c:v>-19.243353293413172</c:v>
                      </c:pt>
                      <c:pt idx="29" formatCode="General">
                        <c:v>-19.27059880239521</c:v>
                      </c:pt>
                      <c:pt idx="30" formatCode="General">
                        <c:v>-19.297844311377244</c:v>
                      </c:pt>
                      <c:pt idx="31" formatCode="General">
                        <c:v>-19.324022471910112</c:v>
                      </c:pt>
                      <c:pt idx="32" formatCode="General">
                        <c:v>-19.349340823970035</c:v>
                      </c:pt>
                      <c:pt idx="33" formatCode="General">
                        <c:v>-19.374659176029962</c:v>
                      </c:pt>
                      <c:pt idx="34" formatCode="General">
                        <c:v>-19.399977528089888</c:v>
                      </c:pt>
                      <c:pt idx="35" formatCode="General">
                        <c:v>-19.425295880149811</c:v>
                      </c:pt>
                      <c:pt idx="36" formatCode="General">
                        <c:v>-19.450614232209738</c:v>
                      </c:pt>
                      <c:pt idx="37" formatCode="General">
                        <c:v>-19.475932584269664</c:v>
                      </c:pt>
                      <c:pt idx="38" formatCode="General">
                        <c:v>-19.501250936329587</c:v>
                      </c:pt>
                      <c:pt idx="39" formatCode="General">
                        <c:v>-19.526569288389513</c:v>
                      </c:pt>
                      <c:pt idx="40" formatCode="General">
                        <c:v>-19.55188764044944</c:v>
                      </c:pt>
                      <c:pt idx="41" formatCode="General">
                        <c:v>-19.576928838951311</c:v>
                      </c:pt>
                      <c:pt idx="42" formatCode="General">
                        <c:v>-19.601273408239702</c:v>
                      </c:pt>
                      <c:pt idx="43" formatCode="General">
                        <c:v>-19.625617977528091</c:v>
                      </c:pt>
                      <c:pt idx="44" formatCode="General">
                        <c:v>-19.649962546816479</c:v>
                      </c:pt>
                      <c:pt idx="45" formatCode="General">
                        <c:v>-19.67430711610487</c:v>
                      </c:pt>
                      <c:pt idx="46" formatCode="General">
                        <c:v>-19.698651685393259</c:v>
                      </c:pt>
                      <c:pt idx="47" formatCode="General">
                        <c:v>-19.722996254681647</c:v>
                      </c:pt>
                      <c:pt idx="48" formatCode="General">
                        <c:v>-19.747340823970038</c:v>
                      </c:pt>
                      <c:pt idx="49" formatCode="General">
                        <c:v>-19.771685393258426</c:v>
                      </c:pt>
                      <c:pt idx="50" formatCode="General">
                        <c:v>-19.796029962546818</c:v>
                      </c:pt>
                      <c:pt idx="51" formatCode="General">
                        <c:v>-19.820359281437128</c:v>
                      </c:pt>
                      <c:pt idx="52" formatCode="General">
                        <c:v>-19.843712574850301</c:v>
                      </c:pt>
                      <c:pt idx="53" formatCode="General">
                        <c:v>-19.867065868263474</c:v>
                      </c:pt>
                      <c:pt idx="54" formatCode="General">
                        <c:v>-19.890295857988164</c:v>
                      </c:pt>
                      <c:pt idx="55" formatCode="General">
                        <c:v>-19.913372781065089</c:v>
                      </c:pt>
                      <c:pt idx="56" formatCode="General">
                        <c:v>-19.936449704142014</c:v>
                      </c:pt>
                      <c:pt idx="57" formatCode="General">
                        <c:v>-19.96</c:v>
                      </c:pt>
                      <c:pt idx="58" formatCode="General">
                        <c:v>-19.983636363636364</c:v>
                      </c:pt>
                      <c:pt idx="59" formatCode="General">
                        <c:v>-20.006060606060608</c:v>
                      </c:pt>
                      <c:pt idx="60" formatCode="General">
                        <c:v>-20.025757575757577</c:v>
                      </c:pt>
                      <c:pt idx="61" formatCode="General">
                        <c:v>-20.045454545454547</c:v>
                      </c:pt>
                      <c:pt idx="62" formatCode="General">
                        <c:v>-20.065671641791045</c:v>
                      </c:pt>
                      <c:pt idx="63" formatCode="General">
                        <c:v>-20.086044776119405</c:v>
                      </c:pt>
                      <c:pt idx="64" formatCode="General">
                        <c:v>-20.106417910447764</c:v>
                      </c:pt>
                      <c:pt idx="65" formatCode="General">
                        <c:v>-20.12679104477612</c:v>
                      </c:pt>
                      <c:pt idx="66" formatCode="General">
                        <c:v>-20.147164179104479</c:v>
                      </c:pt>
                      <c:pt idx="67" formatCode="General">
                        <c:v>-20.167537313432838</c:v>
                      </c:pt>
                      <c:pt idx="68" formatCode="General">
                        <c:v>-20.187910447761194</c:v>
                      </c:pt>
                      <c:pt idx="69" formatCode="General">
                        <c:v>-20.208283582089553</c:v>
                      </c:pt>
                      <c:pt idx="70" formatCode="General">
                        <c:v>-20.228656716417913</c:v>
                      </c:pt>
                      <c:pt idx="71" formatCode="General">
                        <c:v>-20.249029850746272</c:v>
                      </c:pt>
                      <c:pt idx="72" formatCode="General">
                        <c:v>-20.269022556390979</c:v>
                      </c:pt>
                      <c:pt idx="73" formatCode="General">
                        <c:v>-20.28857142857143</c:v>
                      </c:pt>
                      <c:pt idx="74" formatCode="General">
                        <c:v>-20.308120300751881</c:v>
                      </c:pt>
                      <c:pt idx="75" formatCode="General">
                        <c:v>-20.327669172932332</c:v>
                      </c:pt>
                      <c:pt idx="76" formatCode="General">
                        <c:v>-20.347218045112783</c:v>
                      </c:pt>
                      <c:pt idx="77" formatCode="General">
                        <c:v>-20.366766917293234</c:v>
                      </c:pt>
                      <c:pt idx="78" formatCode="General">
                        <c:v>-20.386315789473684</c:v>
                      </c:pt>
                      <c:pt idx="79" formatCode="General">
                        <c:v>-20.405864661654135</c:v>
                      </c:pt>
                      <c:pt idx="80" formatCode="General">
                        <c:v>-20.425413533834586</c:v>
                      </c:pt>
                      <c:pt idx="81" formatCode="General">
                        <c:v>-20.444962406015037</c:v>
                      </c:pt>
                      <c:pt idx="82" formatCode="General">
                        <c:v>-20.464411764705883</c:v>
                      </c:pt>
                      <c:pt idx="83" formatCode="General">
                        <c:v>-20.483529411764707</c:v>
                      </c:pt>
                      <c:pt idx="84" formatCode="General">
                        <c:v>-20.502647058823531</c:v>
                      </c:pt>
                      <c:pt idx="85" formatCode="General">
                        <c:v>-20.522121212121213</c:v>
                      </c:pt>
                      <c:pt idx="86" formatCode="General">
                        <c:v>-20.541818181818183</c:v>
                      </c:pt>
                      <c:pt idx="87" formatCode="General">
                        <c:v>-20.561176470588233</c:v>
                      </c:pt>
                      <c:pt idx="88" formatCode="General">
                        <c:v>-20.576470588235296</c:v>
                      </c:pt>
                      <c:pt idx="89" formatCode="General">
                        <c:v>-20.591764705882355</c:v>
                      </c:pt>
                      <c:pt idx="90" formatCode="General">
                        <c:v>-20.609090909090909</c:v>
                      </c:pt>
                      <c:pt idx="91" formatCode="General">
                        <c:v>-20.628787878787879</c:v>
                      </c:pt>
                      <c:pt idx="92" formatCode="General">
                        <c:v>-20.648484848484848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222D-49B9-B930-702E037C457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-15.207297297297297</c:v>
                      </c:pt>
                      <c:pt idx="1">
                        <c:v>-14.82081081081081</c:v>
                      </c:pt>
                      <c:pt idx="2" formatCode="General">
                        <c:v>-14.434324324324324</c:v>
                      </c:pt>
                      <c:pt idx="3" formatCode="General">
                        <c:v>-13.712395209580837</c:v>
                      </c:pt>
                      <c:pt idx="4" formatCode="General">
                        <c:v>-12.910598802395208</c:v>
                      </c:pt>
                      <c:pt idx="5" formatCode="General">
                        <c:v>-12.087455089820359</c:v>
                      </c:pt>
                      <c:pt idx="6" formatCode="General">
                        <c:v>-11.196137724550898</c:v>
                      </c:pt>
                      <c:pt idx="7" formatCode="General">
                        <c:v>-10.304820359281438</c:v>
                      </c:pt>
                      <c:pt idx="8" formatCode="General">
                        <c:v>-9.491907185628742</c:v>
                      </c:pt>
                      <c:pt idx="9" formatCode="General">
                        <c:v>-8.7177455089820359</c:v>
                      </c:pt>
                      <c:pt idx="10" formatCode="General">
                        <c:v>-7.9532365269461076</c:v>
                      </c:pt>
                      <c:pt idx="11" formatCode="General">
                        <c:v>-7.2756017964071864</c:v>
                      </c:pt>
                      <c:pt idx="12" formatCode="General">
                        <c:v>-6.5979670658682643</c:v>
                      </c:pt>
                      <c:pt idx="13" formatCode="General">
                        <c:v>-5.9610299401197615</c:v>
                      </c:pt>
                      <c:pt idx="14" formatCode="General">
                        <c:v>-5.3600718562874254</c:v>
                      </c:pt>
                      <c:pt idx="15" formatCode="General">
                        <c:v>-4.7591137724550894</c:v>
                      </c:pt>
                      <c:pt idx="16" formatCode="General">
                        <c:v>-4.5126516516516508</c:v>
                      </c:pt>
                      <c:pt idx="17" formatCode="General">
                        <c:v>-4.2803693693693692</c:v>
                      </c:pt>
                      <c:pt idx="18" formatCode="General">
                        <c:v>-4.1537664670658687</c:v>
                      </c:pt>
                      <c:pt idx="19" formatCode="General">
                        <c:v>-4.1856826347305391</c:v>
                      </c:pt>
                      <c:pt idx="20" formatCode="General">
                        <c:v>-4.2175988023952096</c:v>
                      </c:pt>
                      <c:pt idx="21" formatCode="General">
                        <c:v>-4.249676646706587</c:v>
                      </c:pt>
                      <c:pt idx="22" formatCode="General">
                        <c:v>-4.2817874251497008</c:v>
                      </c:pt>
                      <c:pt idx="23" formatCode="General">
                        <c:v>-4.3138982035928146</c:v>
                      </c:pt>
                      <c:pt idx="24" formatCode="General">
                        <c:v>-4.3460089820359284</c:v>
                      </c:pt>
                      <c:pt idx="25" formatCode="General">
                        <c:v>-4.3781197604790414</c:v>
                      </c:pt>
                      <c:pt idx="26" formatCode="General">
                        <c:v>-4.4102305389221552</c:v>
                      </c:pt>
                      <c:pt idx="27" formatCode="General">
                        <c:v>-4.442341317365269</c:v>
                      </c:pt>
                      <c:pt idx="28" formatCode="General">
                        <c:v>-4.4744520958083829</c:v>
                      </c:pt>
                      <c:pt idx="29" formatCode="General">
                        <c:v>-4.5065628742514967</c:v>
                      </c:pt>
                      <c:pt idx="30" formatCode="General">
                        <c:v>-4.5386736526946105</c:v>
                      </c:pt>
                      <c:pt idx="31" formatCode="General">
                        <c:v>-4.5702584269662925</c:v>
                      </c:pt>
                      <c:pt idx="32" formatCode="General">
                        <c:v>-4.6014194756554305</c:v>
                      </c:pt>
                      <c:pt idx="33" formatCode="General">
                        <c:v>-4.6325805243445695</c:v>
                      </c:pt>
                      <c:pt idx="34" formatCode="General">
                        <c:v>-4.6637415730337084</c:v>
                      </c:pt>
                      <c:pt idx="35" formatCode="General">
                        <c:v>-4.6949026217228464</c:v>
                      </c:pt>
                      <c:pt idx="36" formatCode="General">
                        <c:v>-4.7260636704119854</c:v>
                      </c:pt>
                      <c:pt idx="37" formatCode="General">
                        <c:v>-4.7572247191011234</c:v>
                      </c:pt>
                      <c:pt idx="38" formatCode="General">
                        <c:v>-4.7883857677902624</c:v>
                      </c:pt>
                      <c:pt idx="39" formatCode="General">
                        <c:v>-4.8195468164794013</c:v>
                      </c:pt>
                      <c:pt idx="40" formatCode="General">
                        <c:v>-4.8507078651685394</c:v>
                      </c:pt>
                      <c:pt idx="41" formatCode="General">
                        <c:v>-4.8813700374531841</c:v>
                      </c:pt>
                      <c:pt idx="42" formatCode="General">
                        <c:v>-4.9107782771535584</c:v>
                      </c:pt>
                      <c:pt idx="43" formatCode="General">
                        <c:v>-4.9401865168539327</c:v>
                      </c:pt>
                      <c:pt idx="44" formatCode="General">
                        <c:v>-4.969594756554307</c:v>
                      </c:pt>
                      <c:pt idx="45" formatCode="General">
                        <c:v>-4.9990029962546814</c:v>
                      </c:pt>
                      <c:pt idx="46" formatCode="General">
                        <c:v>-5.0284112359550566</c:v>
                      </c:pt>
                      <c:pt idx="47" formatCode="General">
                        <c:v>-5.0578194756554309</c:v>
                      </c:pt>
                      <c:pt idx="48" formatCode="General">
                        <c:v>-5.0872277153558052</c:v>
                      </c:pt>
                      <c:pt idx="49" formatCode="General">
                        <c:v>-5.1166359550561795</c:v>
                      </c:pt>
                      <c:pt idx="50" formatCode="General">
                        <c:v>-5.1460441947565538</c:v>
                      </c:pt>
                      <c:pt idx="51" formatCode="General">
                        <c:v>-5.1754311377245505</c:v>
                      </c:pt>
                      <c:pt idx="52" formatCode="General">
                        <c:v>-5.2034550898203591</c:v>
                      </c:pt>
                      <c:pt idx="53" formatCode="General">
                        <c:v>-5.2314790419161676</c:v>
                      </c:pt>
                      <c:pt idx="54" formatCode="General">
                        <c:v>-5.2591834319526622</c:v>
                      </c:pt>
                      <c:pt idx="55" formatCode="General">
                        <c:v>-5.2864911242603547</c:v>
                      </c:pt>
                      <c:pt idx="56" formatCode="General">
                        <c:v>-5.3137988165680472</c:v>
                      </c:pt>
                      <c:pt idx="57" formatCode="General">
                        <c:v>-5.3416666666666668</c:v>
                      </c:pt>
                      <c:pt idx="58" formatCode="General">
                        <c:v>-5.3696363636363635</c:v>
                      </c:pt>
                      <c:pt idx="59" formatCode="General">
                        <c:v>-5.3973636363636368</c:v>
                      </c:pt>
                      <c:pt idx="60" formatCode="General">
                        <c:v>-5.4245454545454548</c:v>
                      </c:pt>
                      <c:pt idx="61" formatCode="General">
                        <c:v>-5.4517272727272728</c:v>
                      </c:pt>
                      <c:pt idx="62" formatCode="General">
                        <c:v>-5.4825522388059706</c:v>
                      </c:pt>
                      <c:pt idx="63" formatCode="General">
                        <c:v>-5.5144701492537314</c:v>
                      </c:pt>
                      <c:pt idx="64" formatCode="General">
                        <c:v>-5.546388059701493</c:v>
                      </c:pt>
                      <c:pt idx="65" formatCode="General">
                        <c:v>-5.5783059701492537</c:v>
                      </c:pt>
                      <c:pt idx="66" formatCode="General">
                        <c:v>-5.6102238805970153</c:v>
                      </c:pt>
                      <c:pt idx="67" formatCode="General">
                        <c:v>-5.642141791044776</c:v>
                      </c:pt>
                      <c:pt idx="68" formatCode="General">
                        <c:v>-5.6740597014925376</c:v>
                      </c:pt>
                      <c:pt idx="69" formatCode="General">
                        <c:v>-5.7059776119402983</c:v>
                      </c:pt>
                      <c:pt idx="70" formatCode="General">
                        <c:v>-5.7378955223880599</c:v>
                      </c:pt>
                      <c:pt idx="71" formatCode="General">
                        <c:v>-5.7698134328358206</c:v>
                      </c:pt>
                      <c:pt idx="72" formatCode="General">
                        <c:v>-5.8141127819548872</c:v>
                      </c:pt>
                      <c:pt idx="73" formatCode="General">
                        <c:v>-5.8728571428571428</c:v>
                      </c:pt>
                      <c:pt idx="74" formatCode="General">
                        <c:v>-5.9316015037593983</c:v>
                      </c:pt>
                      <c:pt idx="75" formatCode="General">
                        <c:v>-5.9903458646616539</c:v>
                      </c:pt>
                      <c:pt idx="76" formatCode="General">
                        <c:v>-6.0490902255639094</c:v>
                      </c:pt>
                      <c:pt idx="77" formatCode="General">
                        <c:v>-6.107834586466165</c:v>
                      </c:pt>
                      <c:pt idx="78" formatCode="General">
                        <c:v>-6.1665789473684214</c:v>
                      </c:pt>
                      <c:pt idx="79" formatCode="General">
                        <c:v>-6.2253233082706769</c:v>
                      </c:pt>
                      <c:pt idx="80" formatCode="General">
                        <c:v>-6.2840676691729325</c:v>
                      </c:pt>
                      <c:pt idx="81" formatCode="General">
                        <c:v>-6.342812030075188</c:v>
                      </c:pt>
                      <c:pt idx="82" formatCode="General">
                        <c:v>-6.4000882352941177</c:v>
                      </c:pt>
                      <c:pt idx="83" formatCode="General">
                        <c:v>-6.4524705882352942</c:v>
                      </c:pt>
                      <c:pt idx="84" formatCode="General">
                        <c:v>-6.5048529411764706</c:v>
                      </c:pt>
                      <c:pt idx="85" formatCode="General">
                        <c:v>-6.5572424242424248</c:v>
                      </c:pt>
                      <c:pt idx="86" formatCode="General">
                        <c:v>-6.6096363636363638</c:v>
                      </c:pt>
                      <c:pt idx="87" formatCode="General">
                        <c:v>-6.6617941176470588</c:v>
                      </c:pt>
                      <c:pt idx="88" formatCode="General">
                        <c:v>-6.7111176470588241</c:v>
                      </c:pt>
                      <c:pt idx="89" formatCode="General">
                        <c:v>-6.7604411764705885</c:v>
                      </c:pt>
                      <c:pt idx="90" formatCode="General">
                        <c:v>-6.8095454545454546</c:v>
                      </c:pt>
                      <c:pt idx="91" formatCode="General">
                        <c:v>-6.858393939393939</c:v>
                      </c:pt>
                      <c:pt idx="92" formatCode="General">
                        <c:v>-6.9072424242424235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222D-49B9-B930-702E037C457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-19.021441441441443</c:v>
                      </c:pt>
                      <c:pt idx="1">
                        <c:v>-19.025345345345347</c:v>
                      </c:pt>
                      <c:pt idx="2" formatCode="General">
                        <c:v>-19.029249249249251</c:v>
                      </c:pt>
                      <c:pt idx="3" formatCode="General">
                        <c:v>-19.039431137724552</c:v>
                      </c:pt>
                      <c:pt idx="4" formatCode="General">
                        <c:v>-19.051107784431139</c:v>
                      </c:pt>
                      <c:pt idx="5" formatCode="General">
                        <c:v>-19.064640718562874</c:v>
                      </c:pt>
                      <c:pt idx="6" formatCode="General">
                        <c:v>-19.084101796407186</c:v>
                      </c:pt>
                      <c:pt idx="7" formatCode="General">
                        <c:v>-19.103562874251498</c:v>
                      </c:pt>
                      <c:pt idx="8" formatCode="General">
                        <c:v>-19.125628742514969</c:v>
                      </c:pt>
                      <c:pt idx="9" formatCode="General">
                        <c:v>-19.148982035928146</c:v>
                      </c:pt>
                      <c:pt idx="10" formatCode="General">
                        <c:v>-19.172335329341319</c:v>
                      </c:pt>
                      <c:pt idx="11" formatCode="General">
                        <c:v>-19.195688622754492</c:v>
                      </c:pt>
                      <c:pt idx="12" formatCode="General">
                        <c:v>-19.219041916167665</c:v>
                      </c:pt>
                      <c:pt idx="13" formatCode="General">
                        <c:v>-19.244461077844313</c:v>
                      </c:pt>
                      <c:pt idx="14" formatCode="General">
                        <c:v>-19.271706586826348</c:v>
                      </c:pt>
                      <c:pt idx="15" formatCode="General">
                        <c:v>-19.298952095808385</c:v>
                      </c:pt>
                      <c:pt idx="16" formatCode="General">
                        <c:v>-19.213663663663663</c:v>
                      </c:pt>
                      <c:pt idx="17" formatCode="General">
                        <c:v>-19.123873873873872</c:v>
                      </c:pt>
                      <c:pt idx="18" formatCode="General">
                        <c:v>-19.063772455089822</c:v>
                      </c:pt>
                      <c:pt idx="19" formatCode="General">
                        <c:v>-19.048203592814371</c:v>
                      </c:pt>
                      <c:pt idx="20" formatCode="General">
                        <c:v>-19.032634730538923</c:v>
                      </c:pt>
                      <c:pt idx="21" formatCode="General">
                        <c:v>-19.052634730538923</c:v>
                      </c:pt>
                      <c:pt idx="22" formatCode="General">
                        <c:v>-19.079880239520957</c:v>
                      </c:pt>
                      <c:pt idx="23" formatCode="General">
                        <c:v>-19.107125748502995</c:v>
                      </c:pt>
                      <c:pt idx="24" formatCode="General">
                        <c:v>-19.134371257485029</c:v>
                      </c:pt>
                      <c:pt idx="25" formatCode="General">
                        <c:v>-19.161616766467066</c:v>
                      </c:pt>
                      <c:pt idx="26" formatCode="General">
                        <c:v>-19.1888622754491</c:v>
                      </c:pt>
                      <c:pt idx="27" formatCode="General">
                        <c:v>-19.216107784431138</c:v>
                      </c:pt>
                      <c:pt idx="28" formatCode="General">
                        <c:v>-19.243353293413172</c:v>
                      </c:pt>
                      <c:pt idx="29" formatCode="General">
                        <c:v>-19.27059880239521</c:v>
                      </c:pt>
                      <c:pt idx="30" formatCode="General">
                        <c:v>-19.297844311377244</c:v>
                      </c:pt>
                      <c:pt idx="31" formatCode="General">
                        <c:v>-19.324022471910112</c:v>
                      </c:pt>
                      <c:pt idx="32" formatCode="General">
                        <c:v>-19.349340823970035</c:v>
                      </c:pt>
                      <c:pt idx="33" formatCode="General">
                        <c:v>-19.374659176029962</c:v>
                      </c:pt>
                      <c:pt idx="34" formatCode="General">
                        <c:v>-19.399977528089888</c:v>
                      </c:pt>
                      <c:pt idx="35" formatCode="General">
                        <c:v>-19.425295880149811</c:v>
                      </c:pt>
                      <c:pt idx="36" formatCode="General">
                        <c:v>-19.450614232209738</c:v>
                      </c:pt>
                      <c:pt idx="37" formatCode="General">
                        <c:v>-19.475932584269664</c:v>
                      </c:pt>
                      <c:pt idx="38" formatCode="General">
                        <c:v>-19.501250936329587</c:v>
                      </c:pt>
                      <c:pt idx="39" formatCode="General">
                        <c:v>-19.526569288389513</c:v>
                      </c:pt>
                      <c:pt idx="40" formatCode="General">
                        <c:v>-19.55188764044944</c:v>
                      </c:pt>
                      <c:pt idx="41" formatCode="General">
                        <c:v>-19.576928838951311</c:v>
                      </c:pt>
                      <c:pt idx="42" formatCode="General">
                        <c:v>-19.601273408239702</c:v>
                      </c:pt>
                      <c:pt idx="43" formatCode="General">
                        <c:v>-19.625617977528091</c:v>
                      </c:pt>
                      <c:pt idx="44" formatCode="General">
                        <c:v>-19.649962546816479</c:v>
                      </c:pt>
                      <c:pt idx="45" formatCode="General">
                        <c:v>-19.67430711610487</c:v>
                      </c:pt>
                      <c:pt idx="46" formatCode="General">
                        <c:v>-19.698651685393259</c:v>
                      </c:pt>
                      <c:pt idx="47" formatCode="General">
                        <c:v>-19.722996254681647</c:v>
                      </c:pt>
                      <c:pt idx="48" formatCode="General">
                        <c:v>-19.747340823970038</c:v>
                      </c:pt>
                      <c:pt idx="49" formatCode="General">
                        <c:v>-19.771685393258426</c:v>
                      </c:pt>
                      <c:pt idx="50" formatCode="General">
                        <c:v>-19.796029962546818</c:v>
                      </c:pt>
                      <c:pt idx="51" formatCode="General">
                        <c:v>-19.820359281437128</c:v>
                      </c:pt>
                      <c:pt idx="52" formatCode="General">
                        <c:v>-19.843712574850301</c:v>
                      </c:pt>
                      <c:pt idx="53" formatCode="General">
                        <c:v>-19.867065868263474</c:v>
                      </c:pt>
                      <c:pt idx="54" formatCode="General">
                        <c:v>-19.890295857988164</c:v>
                      </c:pt>
                      <c:pt idx="55" formatCode="General">
                        <c:v>-19.913372781065089</c:v>
                      </c:pt>
                      <c:pt idx="56" formatCode="General">
                        <c:v>-19.936449704142014</c:v>
                      </c:pt>
                      <c:pt idx="57" formatCode="General">
                        <c:v>-19.96</c:v>
                      </c:pt>
                      <c:pt idx="58" formatCode="General">
                        <c:v>-19.983636363636364</c:v>
                      </c:pt>
                      <c:pt idx="59" formatCode="General">
                        <c:v>-20.006060606060608</c:v>
                      </c:pt>
                      <c:pt idx="60" formatCode="General">
                        <c:v>-20.025757575757577</c:v>
                      </c:pt>
                      <c:pt idx="61" formatCode="General">
                        <c:v>-20.045454545454547</c:v>
                      </c:pt>
                      <c:pt idx="62" formatCode="General">
                        <c:v>-20.065671641791045</c:v>
                      </c:pt>
                      <c:pt idx="63" formatCode="General">
                        <c:v>-20.086044776119405</c:v>
                      </c:pt>
                      <c:pt idx="64" formatCode="General">
                        <c:v>-20.106417910447764</c:v>
                      </c:pt>
                      <c:pt idx="65" formatCode="General">
                        <c:v>-20.12679104477612</c:v>
                      </c:pt>
                      <c:pt idx="66" formatCode="General">
                        <c:v>-20.147164179104479</c:v>
                      </c:pt>
                      <c:pt idx="67" formatCode="General">
                        <c:v>-20.167537313432838</c:v>
                      </c:pt>
                      <c:pt idx="68" formatCode="General">
                        <c:v>-20.187910447761194</c:v>
                      </c:pt>
                      <c:pt idx="69" formatCode="General">
                        <c:v>-20.208283582089553</c:v>
                      </c:pt>
                      <c:pt idx="70" formatCode="General">
                        <c:v>-20.228656716417913</c:v>
                      </c:pt>
                      <c:pt idx="71" formatCode="General">
                        <c:v>-20.249029850746272</c:v>
                      </c:pt>
                      <c:pt idx="72" formatCode="General">
                        <c:v>-20.269022556390979</c:v>
                      </c:pt>
                      <c:pt idx="73" formatCode="General">
                        <c:v>-20.28857142857143</c:v>
                      </c:pt>
                      <c:pt idx="74" formatCode="General">
                        <c:v>-20.308120300751881</c:v>
                      </c:pt>
                      <c:pt idx="75" formatCode="General">
                        <c:v>-20.327669172932332</c:v>
                      </c:pt>
                      <c:pt idx="76" formatCode="General">
                        <c:v>-20.347218045112783</c:v>
                      </c:pt>
                      <c:pt idx="77" formatCode="General">
                        <c:v>-20.366766917293234</c:v>
                      </c:pt>
                      <c:pt idx="78" formatCode="General">
                        <c:v>-20.386315789473684</c:v>
                      </c:pt>
                      <c:pt idx="79" formatCode="General">
                        <c:v>-20.405864661654135</c:v>
                      </c:pt>
                      <c:pt idx="80" formatCode="General">
                        <c:v>-20.425413533834586</c:v>
                      </c:pt>
                      <c:pt idx="81" formatCode="General">
                        <c:v>-20.444962406015037</c:v>
                      </c:pt>
                      <c:pt idx="82" formatCode="General">
                        <c:v>-20.464411764705883</c:v>
                      </c:pt>
                      <c:pt idx="83" formatCode="General">
                        <c:v>-20.483529411764707</c:v>
                      </c:pt>
                      <c:pt idx="84" formatCode="General">
                        <c:v>-20.502647058823531</c:v>
                      </c:pt>
                      <c:pt idx="85" formatCode="General">
                        <c:v>-20.522121212121213</c:v>
                      </c:pt>
                      <c:pt idx="86" formatCode="General">
                        <c:v>-20.541818181818183</c:v>
                      </c:pt>
                      <c:pt idx="87" formatCode="General">
                        <c:v>-20.561176470588233</c:v>
                      </c:pt>
                      <c:pt idx="88" formatCode="General">
                        <c:v>-20.576470588235296</c:v>
                      </c:pt>
                      <c:pt idx="89" formatCode="General">
                        <c:v>-20.591764705882355</c:v>
                      </c:pt>
                      <c:pt idx="90" formatCode="General">
                        <c:v>-20.609090909090909</c:v>
                      </c:pt>
                      <c:pt idx="91" formatCode="General">
                        <c:v>-20.628787878787879</c:v>
                      </c:pt>
                      <c:pt idx="92" formatCode="General">
                        <c:v>-20.648484848484848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22D-49B9-B930-702E037C4575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-60.182792792792796</c:v>
                      </c:pt>
                      <c:pt idx="1">
                        <c:v>-57.996606606606605</c:v>
                      </c:pt>
                      <c:pt idx="2" formatCode="General">
                        <c:v>-55.810420420420421</c:v>
                      </c:pt>
                      <c:pt idx="3" formatCode="General">
                        <c:v>-53.356017964071853</c:v>
                      </c:pt>
                      <c:pt idx="4" formatCode="General">
                        <c:v>-50.837754491017961</c:v>
                      </c:pt>
                      <c:pt idx="5" formatCode="General">
                        <c:v>-48.33898203592814</c:v>
                      </c:pt>
                      <c:pt idx="6" formatCode="General">
                        <c:v>-45.902455089820357</c:v>
                      </c:pt>
                      <c:pt idx="7" formatCode="General">
                        <c:v>-43.465928143712574</c:v>
                      </c:pt>
                      <c:pt idx="8" formatCode="General">
                        <c:v>-41.258622754491014</c:v>
                      </c:pt>
                      <c:pt idx="9" formatCode="General">
                        <c:v>-39.164610778443112</c:v>
                      </c:pt>
                      <c:pt idx="10" formatCode="General">
                        <c:v>-37.097844311377244</c:v>
                      </c:pt>
                      <c:pt idx="11" formatCode="General">
                        <c:v>-35.276287425149704</c:v>
                      </c:pt>
                      <c:pt idx="12" formatCode="General">
                        <c:v>-33.454730538922156</c:v>
                      </c:pt>
                      <c:pt idx="13" formatCode="General">
                        <c:v>-31.748862275449106</c:v>
                      </c:pt>
                      <c:pt idx="14" formatCode="General">
                        <c:v>-30.145269461077845</c:v>
                      </c:pt>
                      <c:pt idx="15" formatCode="General">
                        <c:v>-28.541676646706588</c:v>
                      </c:pt>
                      <c:pt idx="16" formatCode="General">
                        <c:v>-27.327597597597595</c:v>
                      </c:pt>
                      <c:pt idx="17" formatCode="General">
                        <c:v>-26.129099099099097</c:v>
                      </c:pt>
                      <c:pt idx="18" formatCode="General">
                        <c:v>-25.61550898203593</c:v>
                      </c:pt>
                      <c:pt idx="19" formatCode="General">
                        <c:v>-26.129281437125748</c:v>
                      </c:pt>
                      <c:pt idx="20" formatCode="General">
                        <c:v>-26.643053892215569</c:v>
                      </c:pt>
                      <c:pt idx="21" formatCode="General">
                        <c:v>-27.13823353293413</c:v>
                      </c:pt>
                      <c:pt idx="22" formatCode="General">
                        <c:v>-27.629625748502992</c:v>
                      </c:pt>
                      <c:pt idx="23" formatCode="General">
                        <c:v>-28.121017964071857</c:v>
                      </c:pt>
                      <c:pt idx="24" formatCode="General">
                        <c:v>-28.612410179640719</c:v>
                      </c:pt>
                      <c:pt idx="25" formatCode="General">
                        <c:v>-29.103802395209581</c:v>
                      </c:pt>
                      <c:pt idx="26" formatCode="General">
                        <c:v>-29.595194610778446</c:v>
                      </c:pt>
                      <c:pt idx="27" formatCode="General">
                        <c:v>-30.086586826347308</c:v>
                      </c:pt>
                      <c:pt idx="28" formatCode="General">
                        <c:v>-30.577979041916169</c:v>
                      </c:pt>
                      <c:pt idx="29" formatCode="General">
                        <c:v>-31.069371257485031</c:v>
                      </c:pt>
                      <c:pt idx="30" formatCode="General">
                        <c:v>-31.560763473053896</c:v>
                      </c:pt>
                      <c:pt idx="31" formatCode="General">
                        <c:v>-32.022696629213485</c:v>
                      </c:pt>
                      <c:pt idx="32" formatCode="General">
                        <c:v>-32.460898876404499</c:v>
                      </c:pt>
                      <c:pt idx="33" formatCode="General">
                        <c:v>-32.899101123595507</c:v>
                      </c:pt>
                      <c:pt idx="34" formatCode="General">
                        <c:v>-33.337303370786522</c:v>
                      </c:pt>
                      <c:pt idx="35" formatCode="General">
                        <c:v>-33.775505617977529</c:v>
                      </c:pt>
                      <c:pt idx="36" formatCode="General">
                        <c:v>-34.213707865168544</c:v>
                      </c:pt>
                      <c:pt idx="37" formatCode="General">
                        <c:v>-34.651910112359552</c:v>
                      </c:pt>
                      <c:pt idx="38" formatCode="General">
                        <c:v>-35.090112359550567</c:v>
                      </c:pt>
                      <c:pt idx="39" formatCode="General">
                        <c:v>-35.528314606741574</c:v>
                      </c:pt>
                      <c:pt idx="40" formatCode="General">
                        <c:v>-35.966516853932589</c:v>
                      </c:pt>
                      <c:pt idx="41" formatCode="General">
                        <c:v>-36.38448689138577</c:v>
                      </c:pt>
                      <c:pt idx="42" formatCode="General">
                        <c:v>-36.751602996254682</c:v>
                      </c:pt>
                      <c:pt idx="43" formatCode="General">
                        <c:v>-37.118719101123595</c:v>
                      </c:pt>
                      <c:pt idx="44" formatCode="General">
                        <c:v>-37.485835205992508</c:v>
                      </c:pt>
                      <c:pt idx="45" formatCode="General">
                        <c:v>-37.852951310861421</c:v>
                      </c:pt>
                      <c:pt idx="46" formatCode="General">
                        <c:v>-38.220067415730334</c:v>
                      </c:pt>
                      <c:pt idx="47" formatCode="General">
                        <c:v>-38.587183520599254</c:v>
                      </c:pt>
                      <c:pt idx="48" formatCode="General">
                        <c:v>-38.954299625468167</c:v>
                      </c:pt>
                      <c:pt idx="49" formatCode="General">
                        <c:v>-39.32141573033708</c:v>
                      </c:pt>
                      <c:pt idx="50" formatCode="General">
                        <c:v>-39.688531835205993</c:v>
                      </c:pt>
                      <c:pt idx="51" formatCode="General">
                        <c:v>-40.054850299401195</c:v>
                      </c:pt>
                      <c:pt idx="52" formatCode="General">
                        <c:v>-40.370119760479042</c:v>
                      </c:pt>
                      <c:pt idx="53" formatCode="General">
                        <c:v>-40.685389221556882</c:v>
                      </c:pt>
                      <c:pt idx="54" formatCode="General">
                        <c:v>-40.988698224852072</c:v>
                      </c:pt>
                      <c:pt idx="55" formatCode="General">
                        <c:v>-41.277159763313605</c:v>
                      </c:pt>
                      <c:pt idx="56" formatCode="General">
                        <c:v>-41.565621301775145</c:v>
                      </c:pt>
                      <c:pt idx="57" formatCode="General">
                        <c:v>-41.843333333333334</c:v>
                      </c:pt>
                      <c:pt idx="58" formatCode="General">
                        <c:v>-42.119090909090907</c:v>
                      </c:pt>
                      <c:pt idx="59" formatCode="General">
                        <c:v>-42.38636363636364</c:v>
                      </c:pt>
                      <c:pt idx="60" formatCode="General">
                        <c:v>-42.634545454545453</c:v>
                      </c:pt>
                      <c:pt idx="61" formatCode="General">
                        <c:v>-42.882727272727273</c:v>
                      </c:pt>
                      <c:pt idx="62" formatCode="General">
                        <c:v>-43.08328358208955</c:v>
                      </c:pt>
                      <c:pt idx="63" formatCode="General">
                        <c:v>-43.269552238805971</c:v>
                      </c:pt>
                      <c:pt idx="64" formatCode="General">
                        <c:v>-43.455820895522386</c:v>
                      </c:pt>
                      <c:pt idx="65" formatCode="General">
                        <c:v>-43.642089552238801</c:v>
                      </c:pt>
                      <c:pt idx="66" formatCode="General">
                        <c:v>-43.828358208955223</c:v>
                      </c:pt>
                      <c:pt idx="67" formatCode="General">
                        <c:v>-44.014626865671637</c:v>
                      </c:pt>
                      <c:pt idx="68" formatCode="General">
                        <c:v>-44.200895522388059</c:v>
                      </c:pt>
                      <c:pt idx="69" formatCode="General">
                        <c:v>-44.387164179104474</c:v>
                      </c:pt>
                      <c:pt idx="70" formatCode="General">
                        <c:v>-44.573432835820896</c:v>
                      </c:pt>
                      <c:pt idx="71" formatCode="General">
                        <c:v>-44.75970149253731</c:v>
                      </c:pt>
                      <c:pt idx="72" formatCode="General">
                        <c:v>-44.898796992481202</c:v>
                      </c:pt>
                      <c:pt idx="73" formatCode="General">
                        <c:v>-44.982857142857142</c:v>
                      </c:pt>
                      <c:pt idx="74" formatCode="General">
                        <c:v>-45.066917293233082</c:v>
                      </c:pt>
                      <c:pt idx="75" formatCode="General">
                        <c:v>-45.150977443609023</c:v>
                      </c:pt>
                      <c:pt idx="76" formatCode="General">
                        <c:v>-45.235037593984963</c:v>
                      </c:pt>
                      <c:pt idx="77" formatCode="General">
                        <c:v>-45.319097744360903</c:v>
                      </c:pt>
                      <c:pt idx="78" formatCode="General">
                        <c:v>-45.403157894736843</c:v>
                      </c:pt>
                      <c:pt idx="79" formatCode="General">
                        <c:v>-45.487218045112783</c:v>
                      </c:pt>
                      <c:pt idx="80" formatCode="General">
                        <c:v>-45.571278195488723</c:v>
                      </c:pt>
                      <c:pt idx="81" formatCode="General">
                        <c:v>-45.655338345864664</c:v>
                      </c:pt>
                      <c:pt idx="82" formatCode="General">
                        <c:v>-45.723529411764702</c:v>
                      </c:pt>
                      <c:pt idx="83" formatCode="General">
                        <c:v>-45.738823529411761</c:v>
                      </c:pt>
                      <c:pt idx="84" formatCode="General">
                        <c:v>-45.75411764705882</c:v>
                      </c:pt>
                      <c:pt idx="85" formatCode="General">
                        <c:v>-45.755151515151518</c:v>
                      </c:pt>
                      <c:pt idx="86" formatCode="General">
                        <c:v>-45.74727272727273</c:v>
                      </c:pt>
                      <c:pt idx="87" formatCode="General">
                        <c:v>-45.737058823529416</c:v>
                      </c:pt>
                      <c:pt idx="88" formatCode="General">
                        <c:v>-45.698823529411769</c:v>
                      </c:pt>
                      <c:pt idx="89" formatCode="General">
                        <c:v>-45.660588235294121</c:v>
                      </c:pt>
                      <c:pt idx="90" formatCode="General">
                        <c:v>-45.609090909090909</c:v>
                      </c:pt>
                      <c:pt idx="91" formatCode="General">
                        <c:v>-45.542121212121209</c:v>
                      </c:pt>
                      <c:pt idx="92" formatCode="General">
                        <c:v>-45.475151515151516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22D-49B9-B930-702E037C4575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-15.207297297297297</c:v>
                      </c:pt>
                      <c:pt idx="1">
                        <c:v>-14.82081081081081</c:v>
                      </c:pt>
                      <c:pt idx="2" formatCode="General">
                        <c:v>-14.434324324324324</c:v>
                      </c:pt>
                      <c:pt idx="3" formatCode="General">
                        <c:v>-13.712395209580837</c:v>
                      </c:pt>
                      <c:pt idx="4" formatCode="General">
                        <c:v>-12.910598802395208</c:v>
                      </c:pt>
                      <c:pt idx="5" formatCode="General">
                        <c:v>-12.087455089820359</c:v>
                      </c:pt>
                      <c:pt idx="6" formatCode="General">
                        <c:v>-11.196137724550898</c:v>
                      </c:pt>
                      <c:pt idx="7" formatCode="General">
                        <c:v>-10.304820359281438</c:v>
                      </c:pt>
                      <c:pt idx="8" formatCode="General">
                        <c:v>-9.491907185628742</c:v>
                      </c:pt>
                      <c:pt idx="9" formatCode="General">
                        <c:v>-8.7177455089820359</c:v>
                      </c:pt>
                      <c:pt idx="10" formatCode="General">
                        <c:v>-7.9532365269461076</c:v>
                      </c:pt>
                      <c:pt idx="11" formatCode="General">
                        <c:v>-7.2756017964071864</c:v>
                      </c:pt>
                      <c:pt idx="12" formatCode="General">
                        <c:v>-6.5979670658682643</c:v>
                      </c:pt>
                      <c:pt idx="13" formatCode="General">
                        <c:v>-5.9610299401197615</c:v>
                      </c:pt>
                      <c:pt idx="14" formatCode="General">
                        <c:v>-5.3600718562874254</c:v>
                      </c:pt>
                      <c:pt idx="15" formatCode="General">
                        <c:v>-4.7591137724550894</c:v>
                      </c:pt>
                      <c:pt idx="16" formatCode="General">
                        <c:v>-4.5126516516516508</c:v>
                      </c:pt>
                      <c:pt idx="17" formatCode="General">
                        <c:v>-4.2803693693693692</c:v>
                      </c:pt>
                      <c:pt idx="18" formatCode="General">
                        <c:v>-4.1537664670658687</c:v>
                      </c:pt>
                      <c:pt idx="19" formatCode="General">
                        <c:v>-4.1856826347305391</c:v>
                      </c:pt>
                      <c:pt idx="20" formatCode="General">
                        <c:v>-4.2175988023952096</c:v>
                      </c:pt>
                      <c:pt idx="21" formatCode="General">
                        <c:v>-4.249676646706587</c:v>
                      </c:pt>
                      <c:pt idx="22" formatCode="General">
                        <c:v>-4.2817874251497008</c:v>
                      </c:pt>
                      <c:pt idx="23" formatCode="General">
                        <c:v>-4.3138982035928146</c:v>
                      </c:pt>
                      <c:pt idx="24" formatCode="General">
                        <c:v>-4.3460089820359284</c:v>
                      </c:pt>
                      <c:pt idx="25" formatCode="General">
                        <c:v>-4.3781197604790414</c:v>
                      </c:pt>
                      <c:pt idx="26" formatCode="General">
                        <c:v>-4.4102305389221552</c:v>
                      </c:pt>
                      <c:pt idx="27" formatCode="General">
                        <c:v>-4.442341317365269</c:v>
                      </c:pt>
                      <c:pt idx="28" formatCode="General">
                        <c:v>-4.4744520958083829</c:v>
                      </c:pt>
                      <c:pt idx="29" formatCode="General">
                        <c:v>-4.5065628742514967</c:v>
                      </c:pt>
                      <c:pt idx="30" formatCode="General">
                        <c:v>-4.5386736526946105</c:v>
                      </c:pt>
                      <c:pt idx="31" formatCode="General">
                        <c:v>-4.5702584269662925</c:v>
                      </c:pt>
                      <c:pt idx="32" formatCode="General">
                        <c:v>-4.6014194756554305</c:v>
                      </c:pt>
                      <c:pt idx="33" formatCode="General">
                        <c:v>-4.6325805243445695</c:v>
                      </c:pt>
                      <c:pt idx="34" formatCode="General">
                        <c:v>-4.6637415730337084</c:v>
                      </c:pt>
                      <c:pt idx="35" formatCode="General">
                        <c:v>-4.6949026217228464</c:v>
                      </c:pt>
                      <c:pt idx="36" formatCode="General">
                        <c:v>-4.7260636704119854</c:v>
                      </c:pt>
                      <c:pt idx="37" formatCode="General">
                        <c:v>-4.7572247191011234</c:v>
                      </c:pt>
                      <c:pt idx="38" formatCode="General">
                        <c:v>-4.7883857677902624</c:v>
                      </c:pt>
                      <c:pt idx="39" formatCode="General">
                        <c:v>-4.8195468164794013</c:v>
                      </c:pt>
                      <c:pt idx="40" formatCode="General">
                        <c:v>-4.8507078651685394</c:v>
                      </c:pt>
                      <c:pt idx="41" formatCode="General">
                        <c:v>-4.8813700374531841</c:v>
                      </c:pt>
                      <c:pt idx="42" formatCode="General">
                        <c:v>-4.9107782771535584</c:v>
                      </c:pt>
                      <c:pt idx="43" formatCode="General">
                        <c:v>-4.9401865168539327</c:v>
                      </c:pt>
                      <c:pt idx="44" formatCode="General">
                        <c:v>-4.969594756554307</c:v>
                      </c:pt>
                      <c:pt idx="45" formatCode="General">
                        <c:v>-4.9990029962546814</c:v>
                      </c:pt>
                      <c:pt idx="46" formatCode="General">
                        <c:v>-5.0284112359550566</c:v>
                      </c:pt>
                      <c:pt idx="47" formatCode="General">
                        <c:v>-5.0578194756554309</c:v>
                      </c:pt>
                      <c:pt idx="48" formatCode="General">
                        <c:v>-5.0872277153558052</c:v>
                      </c:pt>
                      <c:pt idx="49" formatCode="General">
                        <c:v>-5.1166359550561795</c:v>
                      </c:pt>
                      <c:pt idx="50" formatCode="General">
                        <c:v>-5.1460441947565538</c:v>
                      </c:pt>
                      <c:pt idx="51" formatCode="General">
                        <c:v>-5.1754311377245505</c:v>
                      </c:pt>
                      <c:pt idx="52" formatCode="General">
                        <c:v>-5.2034550898203591</c:v>
                      </c:pt>
                      <c:pt idx="53" formatCode="General">
                        <c:v>-5.2314790419161676</c:v>
                      </c:pt>
                      <c:pt idx="54" formatCode="General">
                        <c:v>-5.2591834319526622</c:v>
                      </c:pt>
                      <c:pt idx="55" formatCode="General">
                        <c:v>-5.2864911242603547</c:v>
                      </c:pt>
                      <c:pt idx="56" formatCode="General">
                        <c:v>-5.3137988165680472</c:v>
                      </c:pt>
                      <c:pt idx="57" formatCode="General">
                        <c:v>-5.3416666666666668</c:v>
                      </c:pt>
                      <c:pt idx="58" formatCode="General">
                        <c:v>-5.3696363636363635</c:v>
                      </c:pt>
                      <c:pt idx="59" formatCode="General">
                        <c:v>-5.3973636363636368</c:v>
                      </c:pt>
                      <c:pt idx="60" formatCode="General">
                        <c:v>-5.4245454545454548</c:v>
                      </c:pt>
                      <c:pt idx="61" formatCode="General">
                        <c:v>-5.4517272727272728</c:v>
                      </c:pt>
                      <c:pt idx="62" formatCode="General">
                        <c:v>-5.4825522388059706</c:v>
                      </c:pt>
                      <c:pt idx="63" formatCode="General">
                        <c:v>-5.5144701492537314</c:v>
                      </c:pt>
                      <c:pt idx="64" formatCode="General">
                        <c:v>-5.546388059701493</c:v>
                      </c:pt>
                      <c:pt idx="65" formatCode="General">
                        <c:v>-5.5783059701492537</c:v>
                      </c:pt>
                      <c:pt idx="66" formatCode="General">
                        <c:v>-5.6102238805970153</c:v>
                      </c:pt>
                      <c:pt idx="67" formatCode="General">
                        <c:v>-5.642141791044776</c:v>
                      </c:pt>
                      <c:pt idx="68" formatCode="General">
                        <c:v>-5.6740597014925376</c:v>
                      </c:pt>
                      <c:pt idx="69" formatCode="General">
                        <c:v>-5.7059776119402983</c:v>
                      </c:pt>
                      <c:pt idx="70" formatCode="General">
                        <c:v>-5.7378955223880599</c:v>
                      </c:pt>
                      <c:pt idx="71" formatCode="General">
                        <c:v>-5.7698134328358206</c:v>
                      </c:pt>
                      <c:pt idx="72" formatCode="General">
                        <c:v>-5.8141127819548872</c:v>
                      </c:pt>
                      <c:pt idx="73" formatCode="General">
                        <c:v>-5.8728571428571428</c:v>
                      </c:pt>
                      <c:pt idx="74" formatCode="General">
                        <c:v>-5.9316015037593983</c:v>
                      </c:pt>
                      <c:pt idx="75" formatCode="General">
                        <c:v>-5.9903458646616539</c:v>
                      </c:pt>
                      <c:pt idx="76" formatCode="General">
                        <c:v>-6.0490902255639094</c:v>
                      </c:pt>
                      <c:pt idx="77" formatCode="General">
                        <c:v>-6.107834586466165</c:v>
                      </c:pt>
                      <c:pt idx="78" formatCode="General">
                        <c:v>-6.1665789473684214</c:v>
                      </c:pt>
                      <c:pt idx="79" formatCode="General">
                        <c:v>-6.2253233082706769</c:v>
                      </c:pt>
                      <c:pt idx="80" formatCode="General">
                        <c:v>-6.2840676691729325</c:v>
                      </c:pt>
                      <c:pt idx="81" formatCode="General">
                        <c:v>-6.342812030075188</c:v>
                      </c:pt>
                      <c:pt idx="82" formatCode="General">
                        <c:v>-6.4000882352941177</c:v>
                      </c:pt>
                      <c:pt idx="83" formatCode="General">
                        <c:v>-6.4524705882352942</c:v>
                      </c:pt>
                      <c:pt idx="84" formatCode="General">
                        <c:v>-6.5048529411764706</c:v>
                      </c:pt>
                      <c:pt idx="85" formatCode="General">
                        <c:v>-6.5572424242424248</c:v>
                      </c:pt>
                      <c:pt idx="86" formatCode="General">
                        <c:v>-6.6096363636363638</c:v>
                      </c:pt>
                      <c:pt idx="87" formatCode="General">
                        <c:v>-6.6617941176470588</c:v>
                      </c:pt>
                      <c:pt idx="88" formatCode="General">
                        <c:v>-6.7111176470588241</c:v>
                      </c:pt>
                      <c:pt idx="89" formatCode="General">
                        <c:v>-6.7604411764705885</c:v>
                      </c:pt>
                      <c:pt idx="90" formatCode="General">
                        <c:v>-6.8095454545454546</c:v>
                      </c:pt>
                      <c:pt idx="91" formatCode="General">
                        <c:v>-6.858393939393939</c:v>
                      </c:pt>
                      <c:pt idx="92" formatCode="General">
                        <c:v>-6.9072424242424235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222D-49B9-B930-702E037C4575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-21.633423423423423</c:v>
                      </c:pt>
                      <c:pt idx="1">
                        <c:v>-20.938528528528529</c:v>
                      </c:pt>
                      <c:pt idx="2" formatCode="General">
                        <c:v>-20.243633633633632</c:v>
                      </c:pt>
                      <c:pt idx="3" formatCode="General">
                        <c:v>-20.065988023952094</c:v>
                      </c:pt>
                      <c:pt idx="4" formatCode="General">
                        <c:v>-20.011497005988023</c:v>
                      </c:pt>
                      <c:pt idx="5" formatCode="General">
                        <c:v>-20.01640718562874</c:v>
                      </c:pt>
                      <c:pt idx="6" formatCode="General">
                        <c:v>-20.211017964071857</c:v>
                      </c:pt>
                      <c:pt idx="7" formatCode="General">
                        <c:v>-20.40562874251497</c:v>
                      </c:pt>
                      <c:pt idx="8" formatCode="General">
                        <c:v>-20.602844311377243</c:v>
                      </c:pt>
                      <c:pt idx="9" formatCode="General">
                        <c:v>-20.801347305389221</c:v>
                      </c:pt>
                      <c:pt idx="10" formatCode="General">
                        <c:v>-20.999850299401199</c:v>
                      </c:pt>
                      <c:pt idx="11" formatCode="General">
                        <c:v>-21.198353293413174</c:v>
                      </c:pt>
                      <c:pt idx="12" formatCode="General">
                        <c:v>-21.396856287425148</c:v>
                      </c:pt>
                      <c:pt idx="13" formatCode="General">
                        <c:v>-21.597425149700598</c:v>
                      </c:pt>
                      <c:pt idx="14" formatCode="General">
                        <c:v>-21.799820359281437</c:v>
                      </c:pt>
                      <c:pt idx="15" formatCode="General">
                        <c:v>-22.002215568862276</c:v>
                      </c:pt>
                      <c:pt idx="16" formatCode="General">
                        <c:v>-22.19768768768769</c:v>
                      </c:pt>
                      <c:pt idx="17" formatCode="General">
                        <c:v>-22.392882882882883</c:v>
                      </c:pt>
                      <c:pt idx="18" formatCode="General">
                        <c:v>-22.589401197604793</c:v>
                      </c:pt>
                      <c:pt idx="19" formatCode="General">
                        <c:v>-22.787904191616768</c:v>
                      </c:pt>
                      <c:pt idx="20" formatCode="General">
                        <c:v>-22.986407185628742</c:v>
                      </c:pt>
                      <c:pt idx="21" formatCode="General">
                        <c:v>-23.17682634730539</c:v>
                      </c:pt>
                      <c:pt idx="22" formatCode="General">
                        <c:v>-23.365598802395208</c:v>
                      </c:pt>
                      <c:pt idx="23" formatCode="General">
                        <c:v>-23.55437125748503</c:v>
                      </c:pt>
                      <c:pt idx="24" formatCode="General">
                        <c:v>-23.743143712574849</c:v>
                      </c:pt>
                      <c:pt idx="25" formatCode="General">
                        <c:v>-23.931916167664671</c:v>
                      </c:pt>
                      <c:pt idx="26" formatCode="General">
                        <c:v>-24.120688622754493</c:v>
                      </c:pt>
                      <c:pt idx="27" formatCode="General">
                        <c:v>-24.309461077844311</c:v>
                      </c:pt>
                      <c:pt idx="28" formatCode="General">
                        <c:v>-24.498233532934133</c:v>
                      </c:pt>
                      <c:pt idx="29" formatCode="General">
                        <c:v>-24.687005988023952</c:v>
                      </c:pt>
                      <c:pt idx="30" formatCode="General">
                        <c:v>-24.875778443113774</c:v>
                      </c:pt>
                      <c:pt idx="31" formatCode="General">
                        <c:v>-25.057617977528093</c:v>
                      </c:pt>
                      <c:pt idx="32" formatCode="General">
                        <c:v>-25.233872659176033</c:v>
                      </c:pt>
                      <c:pt idx="33" formatCode="General">
                        <c:v>-25.410127340823973</c:v>
                      </c:pt>
                      <c:pt idx="34" formatCode="General">
                        <c:v>-25.586382022471913</c:v>
                      </c:pt>
                      <c:pt idx="35" formatCode="General">
                        <c:v>-25.762636704119853</c:v>
                      </c:pt>
                      <c:pt idx="36" formatCode="General">
                        <c:v>-25.938891385767793</c:v>
                      </c:pt>
                      <c:pt idx="37" formatCode="General">
                        <c:v>-26.115146067415729</c:v>
                      </c:pt>
                      <c:pt idx="38" formatCode="General">
                        <c:v>-26.291400749063669</c:v>
                      </c:pt>
                      <c:pt idx="39" formatCode="General">
                        <c:v>-26.467655430711609</c:v>
                      </c:pt>
                      <c:pt idx="40" formatCode="General">
                        <c:v>-26.643910112359549</c:v>
                      </c:pt>
                      <c:pt idx="41" formatCode="General">
                        <c:v>-26.81767041198502</c:v>
                      </c:pt>
                      <c:pt idx="42" formatCode="General">
                        <c:v>-26.98516104868914</c:v>
                      </c:pt>
                      <c:pt idx="43" formatCode="General">
                        <c:v>-27.152651685393259</c:v>
                      </c:pt>
                      <c:pt idx="44" formatCode="General">
                        <c:v>-27.320142322097379</c:v>
                      </c:pt>
                      <c:pt idx="45" formatCode="General">
                        <c:v>-27.487632958801498</c:v>
                      </c:pt>
                      <c:pt idx="46" formatCode="General">
                        <c:v>-27.655123595505618</c:v>
                      </c:pt>
                      <c:pt idx="47" formatCode="General">
                        <c:v>-27.822614232209737</c:v>
                      </c:pt>
                      <c:pt idx="48" formatCode="General">
                        <c:v>-27.990104868913857</c:v>
                      </c:pt>
                      <c:pt idx="49" formatCode="General">
                        <c:v>-28.157595505617977</c:v>
                      </c:pt>
                      <c:pt idx="50" formatCode="General">
                        <c:v>-28.325086142322096</c:v>
                      </c:pt>
                      <c:pt idx="51" formatCode="General">
                        <c:v>-28.492455089820357</c:v>
                      </c:pt>
                      <c:pt idx="52" formatCode="General">
                        <c:v>-28.652035928143711</c:v>
                      </c:pt>
                      <c:pt idx="53" formatCode="General">
                        <c:v>-28.811616766467065</c:v>
                      </c:pt>
                      <c:pt idx="54" formatCode="General">
                        <c:v>-28.970355029585797</c:v>
                      </c:pt>
                      <c:pt idx="55" formatCode="General">
                        <c:v>-29.128047337278105</c:v>
                      </c:pt>
                      <c:pt idx="56" formatCode="General">
                        <c:v>-29.285739644970413</c:v>
                      </c:pt>
                      <c:pt idx="57" formatCode="General">
                        <c:v>-29.446666666666665</c:v>
                      </c:pt>
                      <c:pt idx="58" formatCode="General">
                        <c:v>-29.608181818181816</c:v>
                      </c:pt>
                      <c:pt idx="59" formatCode="General">
                        <c:v>-29.768484848484846</c:v>
                      </c:pt>
                      <c:pt idx="60" formatCode="General">
                        <c:v>-29.926060606060606</c:v>
                      </c:pt>
                      <c:pt idx="61" formatCode="General">
                        <c:v>-30.083636363636366</c:v>
                      </c:pt>
                      <c:pt idx="62" formatCode="General">
                        <c:v>-30.237164179104479</c:v>
                      </c:pt>
                      <c:pt idx="63" formatCode="General">
                        <c:v>-30.389477611940301</c:v>
                      </c:pt>
                      <c:pt idx="64" formatCode="General">
                        <c:v>-30.541791044776119</c:v>
                      </c:pt>
                      <c:pt idx="65" formatCode="General">
                        <c:v>-30.69410447761194</c:v>
                      </c:pt>
                      <c:pt idx="66" formatCode="General">
                        <c:v>-30.846417910447762</c:v>
                      </c:pt>
                      <c:pt idx="67" formatCode="General">
                        <c:v>-30.998731343283584</c:v>
                      </c:pt>
                      <c:pt idx="68" formatCode="General">
                        <c:v>-31.151044776119406</c:v>
                      </c:pt>
                      <c:pt idx="69" formatCode="General">
                        <c:v>-31.303358208955224</c:v>
                      </c:pt>
                      <c:pt idx="70" formatCode="General">
                        <c:v>-31.455671641791046</c:v>
                      </c:pt>
                      <c:pt idx="71" formatCode="General">
                        <c:v>-31.607985074626868</c:v>
                      </c:pt>
                      <c:pt idx="72" formatCode="General">
                        <c:v>-31.759022556390978</c:v>
                      </c:pt>
                      <c:pt idx="73" formatCode="General">
                        <c:v>-31.908571428571431</c:v>
                      </c:pt>
                      <c:pt idx="74" formatCode="General">
                        <c:v>-32.058120300751881</c:v>
                      </c:pt>
                      <c:pt idx="75" formatCode="General">
                        <c:v>-32.207669172932334</c:v>
                      </c:pt>
                      <c:pt idx="76" formatCode="General">
                        <c:v>-32.357218045112781</c:v>
                      </c:pt>
                      <c:pt idx="77" formatCode="General">
                        <c:v>-32.506766917293234</c:v>
                      </c:pt>
                      <c:pt idx="78" formatCode="General">
                        <c:v>-32.65631578947368</c:v>
                      </c:pt>
                      <c:pt idx="79" formatCode="General">
                        <c:v>-32.805864661654134</c:v>
                      </c:pt>
                      <c:pt idx="80" formatCode="General">
                        <c:v>-32.955413533834587</c:v>
                      </c:pt>
                      <c:pt idx="81" formatCode="General">
                        <c:v>-33.104962406015034</c:v>
                      </c:pt>
                      <c:pt idx="82" formatCode="General">
                        <c:v>-33.252647058823527</c:v>
                      </c:pt>
                      <c:pt idx="83" formatCode="General">
                        <c:v>-33.394117647058827</c:v>
                      </c:pt>
                      <c:pt idx="84" formatCode="General">
                        <c:v>-33.535588235294121</c:v>
                      </c:pt>
                      <c:pt idx="85" formatCode="General">
                        <c:v>-33.682121212121217</c:v>
                      </c:pt>
                      <c:pt idx="86" formatCode="General">
                        <c:v>-33.831818181818186</c:v>
                      </c:pt>
                      <c:pt idx="87" formatCode="General">
                        <c:v>-33.980882352941173</c:v>
                      </c:pt>
                      <c:pt idx="88" formatCode="General">
                        <c:v>-34.122352941176473</c:v>
                      </c:pt>
                      <c:pt idx="89" formatCode="General">
                        <c:v>-34.263823529411766</c:v>
                      </c:pt>
                      <c:pt idx="90" formatCode="General">
                        <c:v>-34.407272727272733</c:v>
                      </c:pt>
                      <c:pt idx="91" formatCode="General">
                        <c:v>-34.553030303030305</c:v>
                      </c:pt>
                      <c:pt idx="92" formatCode="General">
                        <c:v>-34.698787878787883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222D-49B9-B930-702E037C4575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222D-49B9-B930-702E037C4575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222D-49B9-B930-702E037C4575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222D-49B9-B930-702E037C4575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222D-49B9-B930-702E037C4575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222D-49B9-B930-702E037C4575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222D-49B9-B930-702E037C4575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222D-49B9-B930-702E037C4575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222D-49B9-B930-702E037C4575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222D-49B9-B930-702E037C4575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222D-49B9-B930-702E037C4575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222D-49B9-B930-702E037C4575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222D-49B9-B930-702E037C4575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222D-49B9-B930-702E037C4575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222D-49B9-B930-702E037C4575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222D-49B9-B930-702E037C4575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-37.719099099099097</c:v>
                      </c:pt>
                      <c:pt idx="1">
                        <c:v>-36.579159159159161</c:v>
                      </c:pt>
                      <c:pt idx="2" formatCode="General">
                        <c:v>-35.439219219219218</c:v>
                      </c:pt>
                      <c:pt idx="3" formatCode="General">
                        <c:v>-34.500089820359278</c:v>
                      </c:pt>
                      <c:pt idx="4" formatCode="General">
                        <c:v>-33.60877245508982</c:v>
                      </c:pt>
                      <c:pt idx="5" formatCode="General">
                        <c:v>-32.764419161676642</c:v>
                      </c:pt>
                      <c:pt idx="6" formatCode="General">
                        <c:v>-32.070047904191618</c:v>
                      </c:pt>
                      <c:pt idx="7" formatCode="General">
                        <c:v>-31.375676646706587</c:v>
                      </c:pt>
                      <c:pt idx="8" formatCode="General">
                        <c:v>-30.795916167664672</c:v>
                      </c:pt>
                      <c:pt idx="9" formatCode="General">
                        <c:v>-30.272802395209581</c:v>
                      </c:pt>
                      <c:pt idx="10" formatCode="General">
                        <c:v>-29.77206886227545</c:v>
                      </c:pt>
                      <c:pt idx="11" formatCode="General">
                        <c:v>-29.472757485029941</c:v>
                      </c:pt>
                      <c:pt idx="12" formatCode="General">
                        <c:v>-29.173446107784432</c:v>
                      </c:pt>
                      <c:pt idx="13" formatCode="General">
                        <c:v>-29.019158682634732</c:v>
                      </c:pt>
                      <c:pt idx="14" formatCode="General">
                        <c:v>-28.993080838323355</c:v>
                      </c:pt>
                      <c:pt idx="15" formatCode="General">
                        <c:v>-28.967002994011978</c:v>
                      </c:pt>
                      <c:pt idx="16" formatCode="General">
                        <c:v>-29.306465465465465</c:v>
                      </c:pt>
                      <c:pt idx="17" formatCode="General">
                        <c:v>-29.66054954954955</c:v>
                      </c:pt>
                      <c:pt idx="18" formatCode="General">
                        <c:v>-29.950844311377246</c:v>
                      </c:pt>
                      <c:pt idx="19" formatCode="General">
                        <c:v>-30.145455089820359</c:v>
                      </c:pt>
                      <c:pt idx="20" formatCode="General">
                        <c:v>-30.340065868263473</c:v>
                      </c:pt>
                      <c:pt idx="21" formatCode="General">
                        <c:v>-30.55440119760479</c:v>
                      </c:pt>
                      <c:pt idx="22" formatCode="General">
                        <c:v>-30.772754491017963</c:v>
                      </c:pt>
                      <c:pt idx="23" formatCode="General">
                        <c:v>-30.990700598802395</c:v>
                      </c:pt>
                      <c:pt idx="24" formatCode="General">
                        <c:v>-31.207497005988024</c:v>
                      </c:pt>
                      <c:pt idx="25" formatCode="General">
                        <c:v>-31.424293413173654</c:v>
                      </c:pt>
                      <c:pt idx="26" formatCode="General">
                        <c:v>-31.642167664670659</c:v>
                      </c:pt>
                      <c:pt idx="27" formatCode="General">
                        <c:v>-31.860520958083832</c:v>
                      </c:pt>
                      <c:pt idx="28" formatCode="General">
                        <c:v>-32.078874251497005</c:v>
                      </c:pt>
                      <c:pt idx="29" formatCode="General">
                        <c:v>-32.297227544910179</c:v>
                      </c:pt>
                      <c:pt idx="30" formatCode="General">
                        <c:v>-32.515580838323352</c:v>
                      </c:pt>
                      <c:pt idx="31" formatCode="General">
                        <c:v>-32.727876404494381</c:v>
                      </c:pt>
                      <c:pt idx="32" formatCode="General">
                        <c:v>-32.935292134831464</c:v>
                      </c:pt>
                      <c:pt idx="33" formatCode="General">
                        <c:v>-33.142707865168539</c:v>
                      </c:pt>
                      <c:pt idx="34" formatCode="General">
                        <c:v>-33.350123595505622</c:v>
                      </c:pt>
                      <c:pt idx="35" formatCode="General">
                        <c:v>-33.557539325842697</c:v>
                      </c:pt>
                      <c:pt idx="36" formatCode="General">
                        <c:v>-33.76495505617978</c:v>
                      </c:pt>
                      <c:pt idx="37" formatCode="General">
                        <c:v>-33.972370786516855</c:v>
                      </c:pt>
                      <c:pt idx="38" formatCode="General">
                        <c:v>-34.179786516853937</c:v>
                      </c:pt>
                      <c:pt idx="39" formatCode="General">
                        <c:v>-34.387202247191013</c:v>
                      </c:pt>
                      <c:pt idx="40" formatCode="General">
                        <c:v>-34.594617977528095</c:v>
                      </c:pt>
                      <c:pt idx="41" formatCode="General">
                        <c:v>-34.799040449438202</c:v>
                      </c:pt>
                      <c:pt idx="42" formatCode="General">
                        <c:v>-34.995939325842699</c:v>
                      </c:pt>
                      <c:pt idx="43" formatCode="General">
                        <c:v>-35.192838202247195</c:v>
                      </c:pt>
                      <c:pt idx="44" formatCode="General">
                        <c:v>-35.389737078651684</c:v>
                      </c:pt>
                      <c:pt idx="45" formatCode="General">
                        <c:v>-35.586635955056181</c:v>
                      </c:pt>
                      <c:pt idx="46" formatCode="General">
                        <c:v>-35.783534831460678</c:v>
                      </c:pt>
                      <c:pt idx="47" formatCode="General">
                        <c:v>-35.980433707865167</c:v>
                      </c:pt>
                      <c:pt idx="48" formatCode="General">
                        <c:v>-36.177332584269664</c:v>
                      </c:pt>
                      <c:pt idx="49" formatCode="General">
                        <c:v>-36.37423146067416</c:v>
                      </c:pt>
                      <c:pt idx="50" formatCode="General">
                        <c:v>-36.571130337078657</c:v>
                      </c:pt>
                      <c:pt idx="51" formatCode="General">
                        <c:v>-36.767872372372373</c:v>
                      </c:pt>
                      <c:pt idx="52" formatCode="General">
                        <c:v>-36.954576576576578</c:v>
                      </c:pt>
                      <c:pt idx="53" formatCode="General">
                        <c:v>-37.141280780780782</c:v>
                      </c:pt>
                      <c:pt idx="54" formatCode="General">
                        <c:v>-37.327984984984987</c:v>
                      </c:pt>
                      <c:pt idx="55" formatCode="General">
                        <c:v>-37.514689189189191</c:v>
                      </c:pt>
                      <c:pt idx="56" formatCode="General">
                        <c:v>-37.701393393393396</c:v>
                      </c:pt>
                      <c:pt idx="57" formatCode="General">
                        <c:v>-37.888097597597593</c:v>
                      </c:pt>
                      <c:pt idx="58" formatCode="General">
                        <c:v>-38.074801801801797</c:v>
                      </c:pt>
                      <c:pt idx="59" formatCode="General">
                        <c:v>-38.261506006006002</c:v>
                      </c:pt>
                      <c:pt idx="60" formatCode="General">
                        <c:v>-38.448210210210206</c:v>
                      </c:pt>
                      <c:pt idx="61" formatCode="General">
                        <c:v>-38.634914414414411</c:v>
                      </c:pt>
                      <c:pt idx="62" formatCode="General">
                        <c:v>-38.815647058823529</c:v>
                      </c:pt>
                      <c:pt idx="63" formatCode="General">
                        <c:v>-38.994588235294117</c:v>
                      </c:pt>
                      <c:pt idx="64" formatCode="General">
                        <c:v>-39.173636363636362</c:v>
                      </c:pt>
                      <c:pt idx="65" formatCode="General">
                        <c:v>-39.353272727272731</c:v>
                      </c:pt>
                      <c:pt idx="66" formatCode="General">
                        <c:v>-39.532909090909094</c:v>
                      </c:pt>
                      <c:pt idx="67" formatCode="General">
                        <c:v>-39.709294117647062</c:v>
                      </c:pt>
                      <c:pt idx="68" formatCode="General">
                        <c:v>-39.883647058823527</c:v>
                      </c:pt>
                      <c:pt idx="69" formatCode="General">
                        <c:v>-40.058</c:v>
                      </c:pt>
                      <c:pt idx="70" formatCode="General">
                        <c:v>-40.237242424242424</c:v>
                      </c:pt>
                      <c:pt idx="71" formatCode="General">
                        <c:v>-40.416484848484849</c:v>
                      </c:pt>
                      <c:pt idx="72" formatCode="General">
                        <c:v>-40.593210526315794</c:v>
                      </c:pt>
                      <c:pt idx="73" formatCode="General">
                        <c:v>-40.767000000000003</c:v>
                      </c:pt>
                      <c:pt idx="74" formatCode="General">
                        <c:v>-40.940789473684212</c:v>
                      </c:pt>
                      <c:pt idx="75" formatCode="General">
                        <c:v>-41.114578947368422</c:v>
                      </c:pt>
                      <c:pt idx="76" formatCode="General">
                        <c:v>-41.288368421052631</c:v>
                      </c:pt>
                      <c:pt idx="77" formatCode="General">
                        <c:v>-41.462157894736841</c:v>
                      </c:pt>
                      <c:pt idx="78" formatCode="General">
                        <c:v>-41.63594736842105</c:v>
                      </c:pt>
                      <c:pt idx="79" formatCode="General">
                        <c:v>-41.809736842105259</c:v>
                      </c:pt>
                      <c:pt idx="80" formatCode="General">
                        <c:v>-41.983526315789469</c:v>
                      </c:pt>
                      <c:pt idx="81" formatCode="General">
                        <c:v>-42.157315789473685</c:v>
                      </c:pt>
                      <c:pt idx="82" formatCode="General">
                        <c:v>-42.329597014925369</c:v>
                      </c:pt>
                      <c:pt idx="83" formatCode="General">
                        <c:v>-42.496850746268656</c:v>
                      </c:pt>
                      <c:pt idx="84" formatCode="General">
                        <c:v>-42.664104477611936</c:v>
                      </c:pt>
                      <c:pt idx="85" formatCode="General">
                        <c:v>-42.831358208955223</c:v>
                      </c:pt>
                      <c:pt idx="86" formatCode="General">
                        <c:v>-42.998611940298503</c:v>
                      </c:pt>
                      <c:pt idx="87" formatCode="General">
                        <c:v>-43.165865671641789</c:v>
                      </c:pt>
                      <c:pt idx="88" formatCode="General">
                        <c:v>-43.333119402985076</c:v>
                      </c:pt>
                      <c:pt idx="89" formatCode="General">
                        <c:v>-43.500373134328356</c:v>
                      </c:pt>
                      <c:pt idx="90" formatCode="General">
                        <c:v>-43.667626865671643</c:v>
                      </c:pt>
                      <c:pt idx="91" formatCode="General">
                        <c:v>-43.834880597014923</c:v>
                      </c:pt>
                      <c:pt idx="92" formatCode="General">
                        <c:v>-44.00213432835821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222D-49B9-B930-702E037C4575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-22.018918918918921</c:v>
                      </c:pt>
                      <c:pt idx="1">
                        <c:v>-21.69099099099099</c:v>
                      </c:pt>
                      <c:pt idx="2" formatCode="General">
                        <c:v>-21.363063063063063</c:v>
                      </c:pt>
                      <c:pt idx="3" formatCode="General">
                        <c:v>-21.328293413173654</c:v>
                      </c:pt>
                      <c:pt idx="4" formatCode="General">
                        <c:v>-21.363323353293413</c:v>
                      </c:pt>
                      <c:pt idx="5" formatCode="General">
                        <c:v>-21.428053892215569</c:v>
                      </c:pt>
                      <c:pt idx="6" formatCode="General">
                        <c:v>-21.587634730538923</c:v>
                      </c:pt>
                      <c:pt idx="7" formatCode="General">
                        <c:v>-21.747215568862277</c:v>
                      </c:pt>
                      <c:pt idx="8" formatCode="General">
                        <c:v>-21.901586826347305</c:v>
                      </c:pt>
                      <c:pt idx="9" formatCode="General">
                        <c:v>-22.053383233532934</c:v>
                      </c:pt>
                      <c:pt idx="10" formatCode="General">
                        <c:v>-22.201287425149701</c:v>
                      </c:pt>
                      <c:pt idx="11" formatCode="General">
                        <c:v>-22.314161676646709</c:v>
                      </c:pt>
                      <c:pt idx="12" formatCode="General">
                        <c:v>-22.427035928143713</c:v>
                      </c:pt>
                      <c:pt idx="13" formatCode="General">
                        <c:v>-22.544041916167664</c:v>
                      </c:pt>
                      <c:pt idx="14" formatCode="General">
                        <c:v>-22.664700598802394</c:v>
                      </c:pt>
                      <c:pt idx="15" formatCode="General">
                        <c:v>-22.785359281437124</c:v>
                      </c:pt>
                      <c:pt idx="16" formatCode="General">
                        <c:v>-22.883843843843842</c:v>
                      </c:pt>
                      <c:pt idx="17" formatCode="General">
                        <c:v>-22.98144144144144</c:v>
                      </c:pt>
                      <c:pt idx="18" formatCode="General">
                        <c:v>-23.1162874251497</c:v>
                      </c:pt>
                      <c:pt idx="19" formatCode="General">
                        <c:v>-23.307005988023953</c:v>
                      </c:pt>
                      <c:pt idx="20" formatCode="General">
                        <c:v>-23.497724550898205</c:v>
                      </c:pt>
                      <c:pt idx="21" formatCode="General">
                        <c:v>-23.691676646706586</c:v>
                      </c:pt>
                      <c:pt idx="22" formatCode="General">
                        <c:v>-23.8862874251497</c:v>
                      </c:pt>
                      <c:pt idx="23" formatCode="General">
                        <c:v>-24.078862275449104</c:v>
                      </c:pt>
                      <c:pt idx="24" formatCode="General">
                        <c:v>-24.265688622754492</c:v>
                      </c:pt>
                      <c:pt idx="25" formatCode="General">
                        <c:v>-24.45251497005988</c:v>
                      </c:pt>
                      <c:pt idx="26" formatCode="General">
                        <c:v>-24.639341317365272</c:v>
                      </c:pt>
                      <c:pt idx="27" formatCode="General">
                        <c:v>-24.82616766467066</c:v>
                      </c:pt>
                      <c:pt idx="28" formatCode="General">
                        <c:v>-25.012994011976048</c:v>
                      </c:pt>
                      <c:pt idx="29" formatCode="General">
                        <c:v>-25.199820359281436</c:v>
                      </c:pt>
                      <c:pt idx="30" formatCode="General">
                        <c:v>-25.386646706586827</c:v>
                      </c:pt>
                      <c:pt idx="31" formatCode="General">
                        <c:v>-25.567617977528091</c:v>
                      </c:pt>
                      <c:pt idx="32" formatCode="General">
                        <c:v>-25.743872659176031</c:v>
                      </c:pt>
                      <c:pt idx="33" formatCode="General">
                        <c:v>-25.920127340823971</c:v>
                      </c:pt>
                      <c:pt idx="34" formatCode="General">
                        <c:v>-26.096382022471911</c:v>
                      </c:pt>
                      <c:pt idx="35" formatCode="General">
                        <c:v>-26.272636704119851</c:v>
                      </c:pt>
                      <c:pt idx="36" formatCode="General">
                        <c:v>-26.448891385767791</c:v>
                      </c:pt>
                      <c:pt idx="37" formatCode="General">
                        <c:v>-26.625146067415731</c:v>
                      </c:pt>
                      <c:pt idx="38" formatCode="General">
                        <c:v>-26.801400749063671</c:v>
                      </c:pt>
                      <c:pt idx="39" formatCode="General">
                        <c:v>-26.977655430711611</c:v>
                      </c:pt>
                      <c:pt idx="40" formatCode="General">
                        <c:v>-27.153910112359551</c:v>
                      </c:pt>
                      <c:pt idx="41" formatCode="General">
                        <c:v>-27.327670411985022</c:v>
                      </c:pt>
                      <c:pt idx="42" formatCode="General">
                        <c:v>-27.495161048689141</c:v>
                      </c:pt>
                      <c:pt idx="43" formatCode="General">
                        <c:v>-27.662651685393261</c:v>
                      </c:pt>
                      <c:pt idx="44" formatCode="General">
                        <c:v>-27.83014232209738</c:v>
                      </c:pt>
                      <c:pt idx="45" formatCode="General">
                        <c:v>-27.9976329588015</c:v>
                      </c:pt>
                      <c:pt idx="46" formatCode="General">
                        <c:v>-28.165123595505619</c:v>
                      </c:pt>
                      <c:pt idx="47" formatCode="General">
                        <c:v>-28.332614232209739</c:v>
                      </c:pt>
                      <c:pt idx="48" formatCode="General">
                        <c:v>-28.500104868913859</c:v>
                      </c:pt>
                      <c:pt idx="49" formatCode="General">
                        <c:v>-28.667595505617978</c:v>
                      </c:pt>
                      <c:pt idx="50" formatCode="General">
                        <c:v>-28.835086142322098</c:v>
                      </c:pt>
                      <c:pt idx="51" formatCode="General">
                        <c:v>-29.002447447447448</c:v>
                      </c:pt>
                      <c:pt idx="52" formatCode="General">
                        <c:v>-29.161531531531534</c:v>
                      </c:pt>
                      <c:pt idx="53" formatCode="General">
                        <c:v>-29.320615615615615</c:v>
                      </c:pt>
                      <c:pt idx="54" formatCode="General">
                        <c:v>-29.479699699699701</c:v>
                      </c:pt>
                      <c:pt idx="55" formatCode="General">
                        <c:v>-29.638783783783783</c:v>
                      </c:pt>
                      <c:pt idx="56" formatCode="General">
                        <c:v>-29.797867867867868</c:v>
                      </c:pt>
                      <c:pt idx="57" formatCode="General">
                        <c:v>-29.95695195195195</c:v>
                      </c:pt>
                      <c:pt idx="58" formatCode="General">
                        <c:v>-30.116036036036036</c:v>
                      </c:pt>
                      <c:pt idx="59" formatCode="General">
                        <c:v>-30.275120120120121</c:v>
                      </c:pt>
                      <c:pt idx="60" formatCode="General">
                        <c:v>-30.434204204204203</c:v>
                      </c:pt>
                      <c:pt idx="61" formatCode="General">
                        <c:v>-30.593288288288289</c:v>
                      </c:pt>
                      <c:pt idx="62" formatCode="General">
                        <c:v>-30.747647058823528</c:v>
                      </c:pt>
                      <c:pt idx="63" formatCode="General">
                        <c:v>-30.900588235294119</c:v>
                      </c:pt>
                      <c:pt idx="64" formatCode="General">
                        <c:v>-31.053636363636365</c:v>
                      </c:pt>
                      <c:pt idx="65" formatCode="General">
                        <c:v>-31.207272727272727</c:v>
                      </c:pt>
                      <c:pt idx="66" formatCode="General">
                        <c:v>-31.360909090909093</c:v>
                      </c:pt>
                      <c:pt idx="67" formatCode="General">
                        <c:v>-31.511764705882353</c:v>
                      </c:pt>
                      <c:pt idx="68" formatCode="General">
                        <c:v>-31.660882352941176</c:v>
                      </c:pt>
                      <c:pt idx="69" formatCode="General">
                        <c:v>-31.81</c:v>
                      </c:pt>
                      <c:pt idx="70" formatCode="General">
                        <c:v>-31.963636363636365</c:v>
                      </c:pt>
                      <c:pt idx="71" formatCode="General">
                        <c:v>-32.117272727272727</c:v>
                      </c:pt>
                      <c:pt idx="72" formatCode="General">
                        <c:v>-32.269022556390979</c:v>
                      </c:pt>
                      <c:pt idx="73" formatCode="General">
                        <c:v>-32.418571428571433</c:v>
                      </c:pt>
                      <c:pt idx="74" formatCode="General">
                        <c:v>-32.568120300751879</c:v>
                      </c:pt>
                      <c:pt idx="75" formatCode="General">
                        <c:v>-32.717669172932332</c:v>
                      </c:pt>
                      <c:pt idx="76" formatCode="General">
                        <c:v>-32.867218045112779</c:v>
                      </c:pt>
                      <c:pt idx="77" formatCode="General">
                        <c:v>-33.016766917293232</c:v>
                      </c:pt>
                      <c:pt idx="78" formatCode="General">
                        <c:v>-33.166315789473686</c:v>
                      </c:pt>
                      <c:pt idx="79" formatCode="General">
                        <c:v>-33.315864661654132</c:v>
                      </c:pt>
                      <c:pt idx="80" formatCode="General">
                        <c:v>-33.465413533834585</c:v>
                      </c:pt>
                      <c:pt idx="81" formatCode="General">
                        <c:v>-33.614962406015032</c:v>
                      </c:pt>
                      <c:pt idx="82" formatCode="General">
                        <c:v>-33.763358208955218</c:v>
                      </c:pt>
                      <c:pt idx="83" formatCode="General">
                        <c:v>-33.907910447761189</c:v>
                      </c:pt>
                      <c:pt idx="84" formatCode="General">
                        <c:v>-34.052462686567161</c:v>
                      </c:pt>
                      <c:pt idx="85" formatCode="General">
                        <c:v>-34.197014925373132</c:v>
                      </c:pt>
                      <c:pt idx="86" formatCode="General">
                        <c:v>-34.341567164179104</c:v>
                      </c:pt>
                      <c:pt idx="87" formatCode="General">
                        <c:v>-34.486119402985075</c:v>
                      </c:pt>
                      <c:pt idx="88" formatCode="General">
                        <c:v>-34.630671641791039</c:v>
                      </c:pt>
                      <c:pt idx="89" formatCode="General">
                        <c:v>-34.775223880597011</c:v>
                      </c:pt>
                      <c:pt idx="90" formatCode="General">
                        <c:v>-34.919776119402982</c:v>
                      </c:pt>
                      <c:pt idx="91" formatCode="General">
                        <c:v>-35.064328358208954</c:v>
                      </c:pt>
                      <c:pt idx="92" formatCode="General">
                        <c:v>-35.208880597014925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222D-49B9-B930-702E037C4575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-185.62738738738739</c:v>
                      </c:pt>
                      <c:pt idx="1">
                        <c:v>-179.20156156156156</c:v>
                      </c:pt>
                      <c:pt idx="2" formatCode="General">
                        <c:v>-172.77573573573576</c:v>
                      </c:pt>
                      <c:pt idx="3" formatCode="General">
                        <c:v>-167.34314371257486</c:v>
                      </c:pt>
                      <c:pt idx="4" formatCode="General">
                        <c:v>-162.14703592814371</c:v>
                      </c:pt>
                      <c:pt idx="5" formatCode="General">
                        <c:v>-157.16997005988023</c:v>
                      </c:pt>
                      <c:pt idx="6" formatCode="General">
                        <c:v>-152.89242514970059</c:v>
                      </c:pt>
                      <c:pt idx="7" formatCode="General">
                        <c:v>-148.61488023952094</c:v>
                      </c:pt>
                      <c:pt idx="8" formatCode="General">
                        <c:v>-144.8009880239521</c:v>
                      </c:pt>
                      <c:pt idx="9" formatCode="General">
                        <c:v>-141.21625748502993</c:v>
                      </c:pt>
                      <c:pt idx="10" formatCode="General">
                        <c:v>-137.6875748502994</c:v>
                      </c:pt>
                      <c:pt idx="11" formatCode="General">
                        <c:v>-134.66332335329341</c:v>
                      </c:pt>
                      <c:pt idx="12" formatCode="General">
                        <c:v>-131.63907185628744</c:v>
                      </c:pt>
                      <c:pt idx="13" formatCode="General">
                        <c:v>-128.87098802395209</c:v>
                      </c:pt>
                      <c:pt idx="14" formatCode="General">
                        <c:v>-126.32937125748504</c:v>
                      </c:pt>
                      <c:pt idx="15" formatCode="General">
                        <c:v>-123.78775449101796</c:v>
                      </c:pt>
                      <c:pt idx="16" formatCode="General">
                        <c:v>-123.31837837837838</c:v>
                      </c:pt>
                      <c:pt idx="17" formatCode="General">
                        <c:v>-122.93189189189189</c:v>
                      </c:pt>
                      <c:pt idx="18" formatCode="General">
                        <c:v>-123.33988023952097</c:v>
                      </c:pt>
                      <c:pt idx="19" formatCode="General">
                        <c:v>-124.93958083832335</c:v>
                      </c:pt>
                      <c:pt idx="20" formatCode="General">
                        <c:v>-126.53928143712575</c:v>
                      </c:pt>
                      <c:pt idx="21" formatCode="General">
                        <c:v>-128.13574850299401</c:v>
                      </c:pt>
                      <c:pt idx="22" formatCode="General">
                        <c:v>-129.73155688622754</c:v>
                      </c:pt>
                      <c:pt idx="23" formatCode="General">
                        <c:v>-131.31718562874252</c:v>
                      </c:pt>
                      <c:pt idx="24" formatCode="General">
                        <c:v>-132.87407185628743</c:v>
                      </c:pt>
                      <c:pt idx="25" formatCode="General">
                        <c:v>-134.43095808383234</c:v>
                      </c:pt>
                      <c:pt idx="26" formatCode="General">
                        <c:v>-135.97167664670658</c:v>
                      </c:pt>
                      <c:pt idx="27" formatCode="General">
                        <c:v>-137.50520958083831</c:v>
                      </c:pt>
                      <c:pt idx="28" formatCode="General">
                        <c:v>-139.03586826347305</c:v>
                      </c:pt>
                      <c:pt idx="29" formatCode="General">
                        <c:v>-140.54604790419162</c:v>
                      </c:pt>
                      <c:pt idx="30" formatCode="General">
                        <c:v>-142.05622754491017</c:v>
                      </c:pt>
                      <c:pt idx="31" formatCode="General">
                        <c:v>-143.50932584269663</c:v>
                      </c:pt>
                      <c:pt idx="32" formatCode="General">
                        <c:v>-144.91644194756554</c:v>
                      </c:pt>
                      <c:pt idx="33" formatCode="General">
                        <c:v>-146.32355805243446</c:v>
                      </c:pt>
                      <c:pt idx="34" formatCode="General">
                        <c:v>-147.73067415730338</c:v>
                      </c:pt>
                      <c:pt idx="35" formatCode="General">
                        <c:v>-149.13779026217227</c:v>
                      </c:pt>
                      <c:pt idx="36" formatCode="General">
                        <c:v>-150.54490636704119</c:v>
                      </c:pt>
                      <c:pt idx="37" formatCode="General">
                        <c:v>-151.95202247191011</c:v>
                      </c:pt>
                      <c:pt idx="38" formatCode="General">
                        <c:v>-153.35913857677903</c:v>
                      </c:pt>
                      <c:pt idx="39" formatCode="General">
                        <c:v>-154.76625468164795</c:v>
                      </c:pt>
                      <c:pt idx="40" formatCode="General">
                        <c:v>-156.17337078651687</c:v>
                      </c:pt>
                      <c:pt idx="41" formatCode="General">
                        <c:v>-157.53143071161051</c:v>
                      </c:pt>
                      <c:pt idx="42" formatCode="General">
                        <c:v>-158.76618726591761</c:v>
                      </c:pt>
                      <c:pt idx="43" formatCode="General">
                        <c:v>-160.00094382022473</c:v>
                      </c:pt>
                      <c:pt idx="44" formatCode="General">
                        <c:v>-161.23570037453186</c:v>
                      </c:pt>
                      <c:pt idx="45" formatCode="General">
                        <c:v>-162.47045692883896</c:v>
                      </c:pt>
                      <c:pt idx="46" formatCode="General">
                        <c:v>-163.70521348314608</c:v>
                      </c:pt>
                      <c:pt idx="47" formatCode="General">
                        <c:v>-164.93997003745321</c:v>
                      </c:pt>
                      <c:pt idx="48" formatCode="General">
                        <c:v>-166.1747265917603</c:v>
                      </c:pt>
                      <c:pt idx="49" formatCode="General">
                        <c:v>-167.40948314606743</c:v>
                      </c:pt>
                      <c:pt idx="50" formatCode="General">
                        <c:v>-168.64423970037456</c:v>
                      </c:pt>
                      <c:pt idx="51" formatCode="General">
                        <c:v>-169.87605105105106</c:v>
                      </c:pt>
                      <c:pt idx="52" formatCode="General">
                        <c:v>-170.91936936936938</c:v>
                      </c:pt>
                      <c:pt idx="53" formatCode="General">
                        <c:v>-171.96268768768769</c:v>
                      </c:pt>
                      <c:pt idx="54" formatCode="General">
                        <c:v>-173.00600600600603</c:v>
                      </c:pt>
                      <c:pt idx="55" formatCode="General">
                        <c:v>-174.04932432432435</c:v>
                      </c:pt>
                      <c:pt idx="56" formatCode="General">
                        <c:v>-175.09264264264266</c:v>
                      </c:pt>
                      <c:pt idx="57" formatCode="General">
                        <c:v>-176.13596096096097</c:v>
                      </c:pt>
                      <c:pt idx="58" formatCode="General">
                        <c:v>-177.17927927927929</c:v>
                      </c:pt>
                      <c:pt idx="59" formatCode="General">
                        <c:v>-178.2225975975976</c:v>
                      </c:pt>
                      <c:pt idx="60" formatCode="General">
                        <c:v>-179.26591591591594</c:v>
                      </c:pt>
                      <c:pt idx="61" formatCode="General">
                        <c:v>-180.30923423423425</c:v>
                      </c:pt>
                      <c:pt idx="62" formatCode="General">
                        <c:v>-181.23823529411766</c:v>
                      </c:pt>
                      <c:pt idx="63" formatCode="General">
                        <c:v>-182.13294117647058</c:v>
                      </c:pt>
                      <c:pt idx="64" formatCode="General">
                        <c:v>-183.02393939393937</c:v>
                      </c:pt>
                      <c:pt idx="65" formatCode="General">
                        <c:v>-183.89454545454547</c:v>
                      </c:pt>
                      <c:pt idx="66" formatCode="General">
                        <c:v>-184.76515151515153</c:v>
                      </c:pt>
                      <c:pt idx="67" formatCode="General">
                        <c:v>-185.58235294117648</c:v>
                      </c:pt>
                      <c:pt idx="68" formatCode="General">
                        <c:v>-186.36617647058824</c:v>
                      </c:pt>
                      <c:pt idx="69" formatCode="General">
                        <c:v>-187.14999999999998</c:v>
                      </c:pt>
                      <c:pt idx="70" formatCode="General">
                        <c:v>-187.91818181818181</c:v>
                      </c:pt>
                      <c:pt idx="71" formatCode="General">
                        <c:v>-188.68636363636364</c:v>
                      </c:pt>
                      <c:pt idx="72" formatCode="General">
                        <c:v>-189.38466165413536</c:v>
                      </c:pt>
                      <c:pt idx="73" formatCode="General">
                        <c:v>-190.00142857142859</c:v>
                      </c:pt>
                      <c:pt idx="74" formatCode="General">
                        <c:v>-190.61819548872182</c:v>
                      </c:pt>
                      <c:pt idx="75" formatCode="General">
                        <c:v>-191.23496240601506</c:v>
                      </c:pt>
                      <c:pt idx="76" formatCode="General">
                        <c:v>-191.85172932330829</c:v>
                      </c:pt>
                      <c:pt idx="77" formatCode="General">
                        <c:v>-192.46849624060152</c:v>
                      </c:pt>
                      <c:pt idx="78" formatCode="General">
                        <c:v>-193.08526315789473</c:v>
                      </c:pt>
                      <c:pt idx="79" formatCode="General">
                        <c:v>-193.70203007518796</c:v>
                      </c:pt>
                      <c:pt idx="80" formatCode="General">
                        <c:v>-194.3187969924812</c:v>
                      </c:pt>
                      <c:pt idx="81" formatCode="General">
                        <c:v>-194.93556390977443</c:v>
                      </c:pt>
                      <c:pt idx="82" formatCode="General">
                        <c:v>-195.49843283582089</c:v>
                      </c:pt>
                      <c:pt idx="83" formatCode="General">
                        <c:v>-195.88164179104479</c:v>
                      </c:pt>
                      <c:pt idx="84" formatCode="General">
                        <c:v>-196.26485074626865</c:v>
                      </c:pt>
                      <c:pt idx="85" formatCode="General">
                        <c:v>-196.64805970149254</c:v>
                      </c:pt>
                      <c:pt idx="86" formatCode="General">
                        <c:v>-197.03126865671643</c:v>
                      </c:pt>
                      <c:pt idx="87" formatCode="General">
                        <c:v>-197.4144776119403</c:v>
                      </c:pt>
                      <c:pt idx="88" formatCode="General">
                        <c:v>-197.79768656716419</c:v>
                      </c:pt>
                      <c:pt idx="89" formatCode="General">
                        <c:v>-198.18089552238806</c:v>
                      </c:pt>
                      <c:pt idx="90" formatCode="General">
                        <c:v>-198.56410447761195</c:v>
                      </c:pt>
                      <c:pt idx="91" formatCode="General">
                        <c:v>-198.94731343283584</c:v>
                      </c:pt>
                      <c:pt idx="92" formatCode="General">
                        <c:v>-199.33052238805971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222D-49B9-B930-702E037C4575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-15.70018018018018</c:v>
                      </c:pt>
                      <c:pt idx="1">
                        <c:v>-14.888168168168168</c:v>
                      </c:pt>
                      <c:pt idx="2" formatCode="General">
                        <c:v>-14.076156156156156</c:v>
                      </c:pt>
                      <c:pt idx="3" formatCode="General">
                        <c:v>-13.171796407185628</c:v>
                      </c:pt>
                      <c:pt idx="4" formatCode="General">
                        <c:v>-12.245449101796405</c:v>
                      </c:pt>
                      <c:pt idx="5" formatCode="General">
                        <c:v>-11.336365269461076</c:v>
                      </c:pt>
                      <c:pt idx="6" formatCode="General">
                        <c:v>-10.482413173652693</c:v>
                      </c:pt>
                      <c:pt idx="7" formatCode="General">
                        <c:v>-9.628461077844312</c:v>
                      </c:pt>
                      <c:pt idx="8" formatCode="General">
                        <c:v>-8.8943293413173663</c:v>
                      </c:pt>
                      <c:pt idx="9" formatCode="General">
                        <c:v>-8.2194191616766474</c:v>
                      </c:pt>
                      <c:pt idx="10" formatCode="General">
                        <c:v>-7.5707814371257482</c:v>
                      </c:pt>
                      <c:pt idx="11" formatCode="General">
                        <c:v>-7.1585958083832333</c:v>
                      </c:pt>
                      <c:pt idx="12" formatCode="General">
                        <c:v>-6.7464101796407192</c:v>
                      </c:pt>
                      <c:pt idx="13" formatCode="General">
                        <c:v>-6.4751167664670657</c:v>
                      </c:pt>
                      <c:pt idx="14" formatCode="General">
                        <c:v>-6.3283802395209579</c:v>
                      </c:pt>
                      <c:pt idx="15" formatCode="General">
                        <c:v>-6.18164371257485</c:v>
                      </c:pt>
                      <c:pt idx="16" formatCode="General">
                        <c:v>-6.4226216216216221</c:v>
                      </c:pt>
                      <c:pt idx="17" formatCode="General">
                        <c:v>-6.6791081081081085</c:v>
                      </c:pt>
                      <c:pt idx="18" formatCode="General">
                        <c:v>-6.8345568862275448</c:v>
                      </c:pt>
                      <c:pt idx="19" formatCode="General">
                        <c:v>-6.8384491017964075</c:v>
                      </c:pt>
                      <c:pt idx="20" formatCode="General">
                        <c:v>-6.8423413173652694</c:v>
                      </c:pt>
                      <c:pt idx="21" formatCode="General">
                        <c:v>-6.8627245508982035</c:v>
                      </c:pt>
                      <c:pt idx="22" formatCode="General">
                        <c:v>-6.8864670658682634</c:v>
                      </c:pt>
                      <c:pt idx="23" formatCode="General">
                        <c:v>-6.911838323353293</c:v>
                      </c:pt>
                      <c:pt idx="24" formatCode="General">
                        <c:v>-6.9418083832335329</c:v>
                      </c:pt>
                      <c:pt idx="25" formatCode="General">
                        <c:v>-6.9717784431137719</c:v>
                      </c:pt>
                      <c:pt idx="26" formatCode="General">
                        <c:v>-7.0028263473053896</c:v>
                      </c:pt>
                      <c:pt idx="27" formatCode="General">
                        <c:v>-7.0343532934131741</c:v>
                      </c:pt>
                      <c:pt idx="28" formatCode="General">
                        <c:v>-7.0658802395209586</c:v>
                      </c:pt>
                      <c:pt idx="29" formatCode="General">
                        <c:v>-7.0974071856287431</c:v>
                      </c:pt>
                      <c:pt idx="30" formatCode="General">
                        <c:v>-7.1289341317365267</c:v>
                      </c:pt>
                      <c:pt idx="31" formatCode="General">
                        <c:v>-7.1602584269662923</c:v>
                      </c:pt>
                      <c:pt idx="32" formatCode="General">
                        <c:v>-7.1914194756554304</c:v>
                      </c:pt>
                      <c:pt idx="33" formatCode="General">
                        <c:v>-7.2225805243445693</c:v>
                      </c:pt>
                      <c:pt idx="34" formatCode="General">
                        <c:v>-7.2537415730337083</c:v>
                      </c:pt>
                      <c:pt idx="35" formatCode="General">
                        <c:v>-7.2849026217228463</c:v>
                      </c:pt>
                      <c:pt idx="36" formatCode="General">
                        <c:v>-7.3160636704119852</c:v>
                      </c:pt>
                      <c:pt idx="37" formatCode="General">
                        <c:v>-7.3472247191011233</c:v>
                      </c:pt>
                      <c:pt idx="38" formatCode="General">
                        <c:v>-7.3783857677902622</c:v>
                      </c:pt>
                      <c:pt idx="39" formatCode="General">
                        <c:v>-7.4095468164794012</c:v>
                      </c:pt>
                      <c:pt idx="40" formatCode="General">
                        <c:v>-7.4407078651685392</c:v>
                      </c:pt>
                      <c:pt idx="41" formatCode="General">
                        <c:v>-7.471370037453184</c:v>
                      </c:pt>
                      <c:pt idx="42" formatCode="General">
                        <c:v>-7.5007782771535583</c:v>
                      </c:pt>
                      <c:pt idx="43" formatCode="General">
                        <c:v>-7.5301865168539326</c:v>
                      </c:pt>
                      <c:pt idx="44" formatCode="General">
                        <c:v>-7.5595947565543069</c:v>
                      </c:pt>
                      <c:pt idx="45" formatCode="General">
                        <c:v>-7.5890029962546812</c:v>
                      </c:pt>
                      <c:pt idx="46" formatCode="General">
                        <c:v>-7.6184112359550564</c:v>
                      </c:pt>
                      <c:pt idx="47" formatCode="General">
                        <c:v>-7.6478194756554307</c:v>
                      </c:pt>
                      <c:pt idx="48" formatCode="General">
                        <c:v>-7.6772277153558051</c:v>
                      </c:pt>
                      <c:pt idx="49" formatCode="General">
                        <c:v>-7.7066359550561794</c:v>
                      </c:pt>
                      <c:pt idx="50" formatCode="General">
                        <c:v>-7.7360441947565537</c:v>
                      </c:pt>
                      <c:pt idx="51" formatCode="General">
                        <c:v>-7.7654249249249245</c:v>
                      </c:pt>
                      <c:pt idx="52" formatCode="General">
                        <c:v>-7.7930450450450452</c:v>
                      </c:pt>
                      <c:pt idx="53" formatCode="General">
                        <c:v>-7.8206651651651651</c:v>
                      </c:pt>
                      <c:pt idx="54" formatCode="General">
                        <c:v>-7.8482852852852849</c:v>
                      </c:pt>
                      <c:pt idx="55" formatCode="General">
                        <c:v>-7.8759054054054056</c:v>
                      </c:pt>
                      <c:pt idx="56" formatCode="General">
                        <c:v>-7.9035255255255255</c:v>
                      </c:pt>
                      <c:pt idx="57" formatCode="General">
                        <c:v>-7.9311456456456453</c:v>
                      </c:pt>
                      <c:pt idx="58" formatCode="General">
                        <c:v>-7.958765765765766</c:v>
                      </c:pt>
                      <c:pt idx="59" formatCode="General">
                        <c:v>-7.9863858858858858</c:v>
                      </c:pt>
                      <c:pt idx="60" formatCode="General">
                        <c:v>-8.0140060060060065</c:v>
                      </c:pt>
                      <c:pt idx="61" formatCode="General">
                        <c:v>-8.0416261261261255</c:v>
                      </c:pt>
                      <c:pt idx="62" formatCode="General">
                        <c:v>-8.0679999999999996</c:v>
                      </c:pt>
                      <c:pt idx="63" formatCode="General">
                        <c:v>-8.0939999999999994</c:v>
                      </c:pt>
                      <c:pt idx="64" formatCode="General">
                        <c:v>-8.1199999999999992</c:v>
                      </c:pt>
                      <c:pt idx="65" formatCode="General">
                        <c:v>-8.1460000000000008</c:v>
                      </c:pt>
                      <c:pt idx="66" formatCode="General">
                        <c:v>-8.1720000000000006</c:v>
                      </c:pt>
                      <c:pt idx="67" formatCode="General">
                        <c:v>-8.1975294117647053</c:v>
                      </c:pt>
                      <c:pt idx="68" formatCode="General">
                        <c:v>-8.2227647058823532</c:v>
                      </c:pt>
                      <c:pt idx="69" formatCode="General">
                        <c:v>-8.2479999999999993</c:v>
                      </c:pt>
                      <c:pt idx="70" formatCode="General">
                        <c:v>-8.2736060606060597</c:v>
                      </c:pt>
                      <c:pt idx="71" formatCode="General">
                        <c:v>-8.2992121212121219</c:v>
                      </c:pt>
                      <c:pt idx="72" formatCode="General">
                        <c:v>-8.3241879699248127</c:v>
                      </c:pt>
                      <c:pt idx="73" formatCode="General">
                        <c:v>-8.3484285714285722</c:v>
                      </c:pt>
                      <c:pt idx="74" formatCode="General">
                        <c:v>-8.3726691729323317</c:v>
                      </c:pt>
                      <c:pt idx="75" formatCode="General">
                        <c:v>-8.3969097744360912</c:v>
                      </c:pt>
                      <c:pt idx="76" formatCode="General">
                        <c:v>-8.4211503759398507</c:v>
                      </c:pt>
                      <c:pt idx="77" formatCode="General">
                        <c:v>-8.4453909774436084</c:v>
                      </c:pt>
                      <c:pt idx="78" formatCode="General">
                        <c:v>-8.469631578947368</c:v>
                      </c:pt>
                      <c:pt idx="79" formatCode="General">
                        <c:v>-8.4938721804511275</c:v>
                      </c:pt>
                      <c:pt idx="80" formatCode="General">
                        <c:v>-8.518112781954887</c:v>
                      </c:pt>
                      <c:pt idx="81" formatCode="General">
                        <c:v>-8.5423533834586465</c:v>
                      </c:pt>
                      <c:pt idx="82" formatCode="General">
                        <c:v>-8.5662388059701495</c:v>
                      </c:pt>
                      <c:pt idx="83" formatCode="General">
                        <c:v>-8.5889402985074632</c:v>
                      </c:pt>
                      <c:pt idx="84" formatCode="General">
                        <c:v>-8.6116417910447769</c:v>
                      </c:pt>
                      <c:pt idx="85" formatCode="General">
                        <c:v>-8.6343432835820888</c:v>
                      </c:pt>
                      <c:pt idx="86" formatCode="General">
                        <c:v>-8.6570447761194025</c:v>
                      </c:pt>
                      <c:pt idx="87" formatCode="General">
                        <c:v>-8.6797462686567162</c:v>
                      </c:pt>
                      <c:pt idx="88" formatCode="General">
                        <c:v>-8.7024477611940299</c:v>
                      </c:pt>
                      <c:pt idx="89" formatCode="General">
                        <c:v>-8.7251492537313435</c:v>
                      </c:pt>
                      <c:pt idx="90" formatCode="General">
                        <c:v>-8.7478507462686572</c:v>
                      </c:pt>
                      <c:pt idx="91" formatCode="General">
                        <c:v>-8.7705522388059709</c:v>
                      </c:pt>
                      <c:pt idx="92" formatCode="General">
                        <c:v>-8.7932537313432828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222D-49B9-B930-702E037C4575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-18.878558558558559</c:v>
                      </c:pt>
                      <c:pt idx="1">
                        <c:v>-18.874654654654655</c:v>
                      </c:pt>
                      <c:pt idx="2" formatCode="General">
                        <c:v>-18.870750750750751</c:v>
                      </c:pt>
                      <c:pt idx="3" formatCode="General">
                        <c:v>-18.879431137724552</c:v>
                      </c:pt>
                      <c:pt idx="4" formatCode="General">
                        <c:v>-18.891107784431139</c:v>
                      </c:pt>
                      <c:pt idx="5" formatCode="General">
                        <c:v>-18.903712574850299</c:v>
                      </c:pt>
                      <c:pt idx="6" formatCode="General">
                        <c:v>-18.919281437125747</c:v>
                      </c:pt>
                      <c:pt idx="7" formatCode="General">
                        <c:v>-18.934850299401198</c:v>
                      </c:pt>
                      <c:pt idx="8" formatCode="General">
                        <c:v>-18.953023952095808</c:v>
                      </c:pt>
                      <c:pt idx="9" formatCode="General">
                        <c:v>-18.97248502994012</c:v>
                      </c:pt>
                      <c:pt idx="10" formatCode="General">
                        <c:v>-18.991946107784429</c:v>
                      </c:pt>
                      <c:pt idx="11" formatCode="General">
                        <c:v>-19.011407185628741</c:v>
                      </c:pt>
                      <c:pt idx="12" formatCode="General">
                        <c:v>-19.030868263473053</c:v>
                      </c:pt>
                      <c:pt idx="13" formatCode="General">
                        <c:v>-19.046197604790418</c:v>
                      </c:pt>
                      <c:pt idx="14" formatCode="General">
                        <c:v>-19.057874251497005</c:v>
                      </c:pt>
                      <c:pt idx="15" formatCode="General">
                        <c:v>-19.069550898203595</c:v>
                      </c:pt>
                      <c:pt idx="16" formatCode="General">
                        <c:v>-19.028708708708709</c:v>
                      </c:pt>
                      <c:pt idx="17" formatCode="General">
                        <c:v>-18.985765765765766</c:v>
                      </c:pt>
                      <c:pt idx="18" formatCode="General">
                        <c:v>-18.970898203592814</c:v>
                      </c:pt>
                      <c:pt idx="19" formatCode="General">
                        <c:v>-18.998143712574851</c:v>
                      </c:pt>
                      <c:pt idx="20" formatCode="General">
                        <c:v>-19.025389221556889</c:v>
                      </c:pt>
                      <c:pt idx="21" formatCode="General">
                        <c:v>-19.052634730538923</c:v>
                      </c:pt>
                      <c:pt idx="22" formatCode="General">
                        <c:v>-19.079880239520961</c:v>
                      </c:pt>
                      <c:pt idx="23" formatCode="General">
                        <c:v>-19.107125748502995</c:v>
                      </c:pt>
                      <c:pt idx="24" formatCode="General">
                        <c:v>-19.134371257485032</c:v>
                      </c:pt>
                      <c:pt idx="25" formatCode="General">
                        <c:v>-19.161616766467066</c:v>
                      </c:pt>
                      <c:pt idx="26" formatCode="General">
                        <c:v>-19.188862275449104</c:v>
                      </c:pt>
                      <c:pt idx="27" formatCode="General">
                        <c:v>-19.216107784431138</c:v>
                      </c:pt>
                      <c:pt idx="28" formatCode="General">
                        <c:v>-19.243353293413172</c:v>
                      </c:pt>
                      <c:pt idx="29" formatCode="General">
                        <c:v>-19.27059880239521</c:v>
                      </c:pt>
                      <c:pt idx="30" formatCode="General">
                        <c:v>-19.297844311377244</c:v>
                      </c:pt>
                      <c:pt idx="31" formatCode="General">
                        <c:v>-19.324022471910112</c:v>
                      </c:pt>
                      <c:pt idx="32" formatCode="General">
                        <c:v>-19.349340823970035</c:v>
                      </c:pt>
                      <c:pt idx="33" formatCode="General">
                        <c:v>-19.374659176029962</c:v>
                      </c:pt>
                      <c:pt idx="34" formatCode="General">
                        <c:v>-19.399977528089888</c:v>
                      </c:pt>
                      <c:pt idx="35" formatCode="General">
                        <c:v>-19.425295880149811</c:v>
                      </c:pt>
                      <c:pt idx="36" formatCode="General">
                        <c:v>-19.450614232209738</c:v>
                      </c:pt>
                      <c:pt idx="37" formatCode="General">
                        <c:v>-19.475932584269664</c:v>
                      </c:pt>
                      <c:pt idx="38" formatCode="General">
                        <c:v>-19.501250936329587</c:v>
                      </c:pt>
                      <c:pt idx="39" formatCode="General">
                        <c:v>-19.526569288389513</c:v>
                      </c:pt>
                      <c:pt idx="40" formatCode="General">
                        <c:v>-19.55188764044944</c:v>
                      </c:pt>
                      <c:pt idx="41" formatCode="General">
                        <c:v>-19.576928838951311</c:v>
                      </c:pt>
                      <c:pt idx="42" formatCode="General">
                        <c:v>-19.601273408239702</c:v>
                      </c:pt>
                      <c:pt idx="43" formatCode="General">
                        <c:v>-19.625617977528091</c:v>
                      </c:pt>
                      <c:pt idx="44" formatCode="General">
                        <c:v>-19.649962546816479</c:v>
                      </c:pt>
                      <c:pt idx="45" formatCode="General">
                        <c:v>-19.67430711610487</c:v>
                      </c:pt>
                      <c:pt idx="46" formatCode="General">
                        <c:v>-19.698651685393259</c:v>
                      </c:pt>
                      <c:pt idx="47" formatCode="General">
                        <c:v>-19.722996254681647</c:v>
                      </c:pt>
                      <c:pt idx="48" formatCode="General">
                        <c:v>-19.747340823970038</c:v>
                      </c:pt>
                      <c:pt idx="49" formatCode="General">
                        <c:v>-19.771685393258426</c:v>
                      </c:pt>
                      <c:pt idx="50" formatCode="General">
                        <c:v>-19.796029962546818</c:v>
                      </c:pt>
                      <c:pt idx="51" formatCode="General">
                        <c:v>-19.820345345345345</c:v>
                      </c:pt>
                      <c:pt idx="52" formatCode="General">
                        <c:v>-19.842792792792793</c:v>
                      </c:pt>
                      <c:pt idx="53" formatCode="General">
                        <c:v>-19.86524024024024</c:v>
                      </c:pt>
                      <c:pt idx="54" formatCode="General">
                        <c:v>-19.887687687687688</c:v>
                      </c:pt>
                      <c:pt idx="55" formatCode="General">
                        <c:v>-19.910135135135135</c:v>
                      </c:pt>
                      <c:pt idx="56" formatCode="General">
                        <c:v>-19.932582582582583</c:v>
                      </c:pt>
                      <c:pt idx="57" formatCode="General">
                        <c:v>-19.955030030030031</c:v>
                      </c:pt>
                      <c:pt idx="58" formatCode="General">
                        <c:v>-19.977477477477478</c:v>
                      </c:pt>
                      <c:pt idx="59" formatCode="General">
                        <c:v>-19.999924924924926</c:v>
                      </c:pt>
                      <c:pt idx="60" formatCode="General">
                        <c:v>-20.022372372372374</c:v>
                      </c:pt>
                      <c:pt idx="61" formatCode="General">
                        <c:v>-20.044819819819821</c:v>
                      </c:pt>
                      <c:pt idx="62" formatCode="General">
                        <c:v>-20.067647058823528</c:v>
                      </c:pt>
                      <c:pt idx="63" formatCode="General">
                        <c:v>-20.090588235294117</c:v>
                      </c:pt>
                      <c:pt idx="64" formatCode="General">
                        <c:v>-20.113030303030303</c:v>
                      </c:pt>
                      <c:pt idx="65" formatCode="General">
                        <c:v>-20.132727272727273</c:v>
                      </c:pt>
                      <c:pt idx="66" formatCode="General">
                        <c:v>-20.152424242424242</c:v>
                      </c:pt>
                      <c:pt idx="67" formatCode="General">
                        <c:v>-20.171764705882353</c:v>
                      </c:pt>
                      <c:pt idx="68" formatCode="General">
                        <c:v>-20.190882352941177</c:v>
                      </c:pt>
                      <c:pt idx="69" formatCode="General">
                        <c:v>-20.21</c:v>
                      </c:pt>
                      <c:pt idx="70" formatCode="General">
                        <c:v>-20.22969696969697</c:v>
                      </c:pt>
                      <c:pt idx="71" formatCode="General">
                        <c:v>-20.24939393939394</c:v>
                      </c:pt>
                      <c:pt idx="72" formatCode="General">
                        <c:v>-20.269022556390979</c:v>
                      </c:pt>
                      <c:pt idx="73" formatCode="General">
                        <c:v>-20.28857142857143</c:v>
                      </c:pt>
                      <c:pt idx="74" formatCode="General">
                        <c:v>-20.308120300751881</c:v>
                      </c:pt>
                      <c:pt idx="75" formatCode="General">
                        <c:v>-20.327669172932332</c:v>
                      </c:pt>
                      <c:pt idx="76" formatCode="General">
                        <c:v>-20.347218045112783</c:v>
                      </c:pt>
                      <c:pt idx="77" formatCode="General">
                        <c:v>-20.366766917293234</c:v>
                      </c:pt>
                      <c:pt idx="78" formatCode="General">
                        <c:v>-20.386315789473684</c:v>
                      </c:pt>
                      <c:pt idx="79" formatCode="General">
                        <c:v>-20.405864661654135</c:v>
                      </c:pt>
                      <c:pt idx="80" formatCode="General">
                        <c:v>-20.425413533834586</c:v>
                      </c:pt>
                      <c:pt idx="81" formatCode="General">
                        <c:v>-20.444962406015037</c:v>
                      </c:pt>
                      <c:pt idx="82" formatCode="General">
                        <c:v>-20.464253731343284</c:v>
                      </c:pt>
                      <c:pt idx="83" formatCode="General">
                        <c:v>-20.48268656716418</c:v>
                      </c:pt>
                      <c:pt idx="84" formatCode="General">
                        <c:v>-20.501119402985076</c:v>
                      </c:pt>
                      <c:pt idx="85" formatCode="General">
                        <c:v>-20.519552238805971</c:v>
                      </c:pt>
                      <c:pt idx="86" formatCode="General">
                        <c:v>-20.537985074626867</c:v>
                      </c:pt>
                      <c:pt idx="87" formatCode="General">
                        <c:v>-20.55641791044776</c:v>
                      </c:pt>
                      <c:pt idx="88" formatCode="General">
                        <c:v>-20.574850746268655</c:v>
                      </c:pt>
                      <c:pt idx="89" formatCode="General">
                        <c:v>-20.593283582089551</c:v>
                      </c:pt>
                      <c:pt idx="90" formatCode="General">
                        <c:v>-20.611716417910447</c:v>
                      </c:pt>
                      <c:pt idx="91" formatCode="General">
                        <c:v>-20.630149253731343</c:v>
                      </c:pt>
                      <c:pt idx="92" formatCode="General">
                        <c:v>-20.648582089552239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222D-49B9-B930-702E037C4575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-59.738018018018018</c:v>
                      </c:pt>
                      <c:pt idx="1">
                        <c:v>-58.270150150150151</c:v>
                      </c:pt>
                      <c:pt idx="2" formatCode="General">
                        <c:v>-56.802282282282285</c:v>
                      </c:pt>
                      <c:pt idx="3" formatCode="General">
                        <c:v>-55.828383233532939</c:v>
                      </c:pt>
                      <c:pt idx="4" formatCode="General">
                        <c:v>-54.97209580838323</c:v>
                      </c:pt>
                      <c:pt idx="5" formatCode="General">
                        <c:v>-54.192473053892215</c:v>
                      </c:pt>
                      <c:pt idx="6" formatCode="General">
                        <c:v>-53.657682634730534</c:v>
                      </c:pt>
                      <c:pt idx="7" formatCode="General">
                        <c:v>-53.122892215568861</c:v>
                      </c:pt>
                      <c:pt idx="8" formatCode="General">
                        <c:v>-52.697502994011977</c:v>
                      </c:pt>
                      <c:pt idx="9" formatCode="General">
                        <c:v>-52.326185628742515</c:v>
                      </c:pt>
                      <c:pt idx="10" formatCode="General">
                        <c:v>-51.973356287425155</c:v>
                      </c:pt>
                      <c:pt idx="11" formatCode="General">
                        <c:v>-51.78691916167665</c:v>
                      </c:pt>
                      <c:pt idx="12" formatCode="General">
                        <c:v>-51.600482035928145</c:v>
                      </c:pt>
                      <c:pt idx="13" formatCode="General">
                        <c:v>-51.563200598802396</c:v>
                      </c:pt>
                      <c:pt idx="14" formatCode="General">
                        <c:v>-51.657781437125749</c:v>
                      </c:pt>
                      <c:pt idx="15" formatCode="General">
                        <c:v>-51.752362275449102</c:v>
                      </c:pt>
                      <c:pt idx="16" formatCode="General">
                        <c:v>-52.190309309309306</c:v>
                      </c:pt>
                      <c:pt idx="17" formatCode="General">
                        <c:v>-52.64199099099099</c:v>
                      </c:pt>
                      <c:pt idx="18" formatCode="General">
                        <c:v>-53.067131736526946</c:v>
                      </c:pt>
                      <c:pt idx="19" formatCode="General">
                        <c:v>-53.452461077844312</c:v>
                      </c:pt>
                      <c:pt idx="20" formatCode="General">
                        <c:v>-53.837790419161678</c:v>
                      </c:pt>
                      <c:pt idx="21" formatCode="General">
                        <c:v>-54.24607784431138</c:v>
                      </c:pt>
                      <c:pt idx="22" formatCode="General">
                        <c:v>-54.659041916167666</c:v>
                      </c:pt>
                      <c:pt idx="23" formatCode="General">
                        <c:v>-55.069562874251496</c:v>
                      </c:pt>
                      <c:pt idx="24" formatCode="General">
                        <c:v>-55.473185628742513</c:v>
                      </c:pt>
                      <c:pt idx="25" formatCode="General">
                        <c:v>-55.876808383233538</c:v>
                      </c:pt>
                      <c:pt idx="26" formatCode="General">
                        <c:v>-56.28150898203593</c:v>
                      </c:pt>
                      <c:pt idx="27" formatCode="General">
                        <c:v>-56.686688622754488</c:v>
                      </c:pt>
                      <c:pt idx="28" formatCode="General">
                        <c:v>-57.091868263473046</c:v>
                      </c:pt>
                      <c:pt idx="29" formatCode="General">
                        <c:v>-57.497047904191611</c:v>
                      </c:pt>
                      <c:pt idx="30" formatCode="General">
                        <c:v>-57.902227544910176</c:v>
                      </c:pt>
                      <c:pt idx="31" formatCode="General">
                        <c:v>-58.295494382022468</c:v>
                      </c:pt>
                      <c:pt idx="32" formatCode="General">
                        <c:v>-58.679164794007491</c:v>
                      </c:pt>
                      <c:pt idx="33" formatCode="General">
                        <c:v>-59.062835205992513</c:v>
                      </c:pt>
                      <c:pt idx="34" formatCode="General">
                        <c:v>-59.446505617977529</c:v>
                      </c:pt>
                      <c:pt idx="35" formatCode="General">
                        <c:v>-59.830176029962551</c:v>
                      </c:pt>
                      <c:pt idx="36" formatCode="General">
                        <c:v>-60.213846441947567</c:v>
                      </c:pt>
                      <c:pt idx="37" formatCode="General">
                        <c:v>-60.597516853932589</c:v>
                      </c:pt>
                      <c:pt idx="38" formatCode="General">
                        <c:v>-60.981187265917605</c:v>
                      </c:pt>
                      <c:pt idx="39" formatCode="General">
                        <c:v>-61.364857677902627</c:v>
                      </c:pt>
                      <c:pt idx="40" formatCode="General">
                        <c:v>-61.748528089887643</c:v>
                      </c:pt>
                      <c:pt idx="41" formatCode="General">
                        <c:v>-62.126710861423227</c:v>
                      </c:pt>
                      <c:pt idx="42" formatCode="General">
                        <c:v>-62.49110037453184</c:v>
                      </c:pt>
                      <c:pt idx="43" formatCode="General">
                        <c:v>-62.855489887640452</c:v>
                      </c:pt>
                      <c:pt idx="44" formatCode="General">
                        <c:v>-63.219879400749065</c:v>
                      </c:pt>
                      <c:pt idx="45" formatCode="General">
                        <c:v>-63.584268913857684</c:v>
                      </c:pt>
                      <c:pt idx="46" formatCode="General">
                        <c:v>-63.948658426966297</c:v>
                      </c:pt>
                      <c:pt idx="47" formatCode="General">
                        <c:v>-64.31304794007491</c:v>
                      </c:pt>
                      <c:pt idx="48" formatCode="General">
                        <c:v>-64.677437453183529</c:v>
                      </c:pt>
                      <c:pt idx="49" formatCode="General">
                        <c:v>-65.041826966292135</c:v>
                      </c:pt>
                      <c:pt idx="50" formatCode="General">
                        <c:v>-65.406216479400754</c:v>
                      </c:pt>
                      <c:pt idx="51" formatCode="General">
                        <c:v>-65.770319819819818</c:v>
                      </c:pt>
                      <c:pt idx="52" formatCode="General">
                        <c:v>-66.116108108108108</c:v>
                      </c:pt>
                      <c:pt idx="53" formatCode="General">
                        <c:v>-66.461896396396398</c:v>
                      </c:pt>
                      <c:pt idx="54" formatCode="General">
                        <c:v>-66.807684684684688</c:v>
                      </c:pt>
                      <c:pt idx="55" formatCode="General">
                        <c:v>-67.153472972972978</c:v>
                      </c:pt>
                      <c:pt idx="56" formatCode="General">
                        <c:v>-67.499261261261253</c:v>
                      </c:pt>
                      <c:pt idx="57" formatCode="General">
                        <c:v>-67.845049549549543</c:v>
                      </c:pt>
                      <c:pt idx="58" formatCode="General">
                        <c:v>-68.190837837837833</c:v>
                      </c:pt>
                      <c:pt idx="59" formatCode="General">
                        <c:v>-68.536626126126123</c:v>
                      </c:pt>
                      <c:pt idx="60" formatCode="General">
                        <c:v>-68.882414414414413</c:v>
                      </c:pt>
                      <c:pt idx="61" formatCode="General">
                        <c:v>-69.228202702702703</c:v>
                      </c:pt>
                      <c:pt idx="62" formatCode="General">
                        <c:v>-69.563294117647061</c:v>
                      </c:pt>
                      <c:pt idx="63" formatCode="General">
                        <c:v>-69.89517647058824</c:v>
                      </c:pt>
                      <c:pt idx="64" formatCode="General">
                        <c:v>-70.227272727272734</c:v>
                      </c:pt>
                      <c:pt idx="65" formatCode="General">
                        <c:v>-70.560545454545462</c:v>
                      </c:pt>
                      <c:pt idx="66" formatCode="General">
                        <c:v>-70.89381818181819</c:v>
                      </c:pt>
                      <c:pt idx="67" formatCode="General">
                        <c:v>-71.221058823529418</c:v>
                      </c:pt>
                      <c:pt idx="68" formatCode="General">
                        <c:v>-71.544529411764699</c:v>
                      </c:pt>
                      <c:pt idx="69" formatCode="General">
                        <c:v>-71.867999999999995</c:v>
                      </c:pt>
                      <c:pt idx="70" formatCode="General">
                        <c:v>-72.200878787878793</c:v>
                      </c:pt>
                      <c:pt idx="71" formatCode="General">
                        <c:v>-72.533757575757576</c:v>
                      </c:pt>
                      <c:pt idx="72" formatCode="General">
                        <c:v>-72.86223308270678</c:v>
                      </c:pt>
                      <c:pt idx="73" formatCode="General">
                        <c:v>-73.185571428571436</c:v>
                      </c:pt>
                      <c:pt idx="74" formatCode="General">
                        <c:v>-73.508909774436091</c:v>
                      </c:pt>
                      <c:pt idx="75" formatCode="General">
                        <c:v>-73.832248120300747</c:v>
                      </c:pt>
                      <c:pt idx="76" formatCode="General">
                        <c:v>-74.155586466165417</c:v>
                      </c:pt>
                      <c:pt idx="77" formatCode="General">
                        <c:v>-74.478924812030073</c:v>
                      </c:pt>
                      <c:pt idx="78" formatCode="General">
                        <c:v>-74.802263157894728</c:v>
                      </c:pt>
                      <c:pt idx="79" formatCode="General">
                        <c:v>-75.125601503759384</c:v>
                      </c:pt>
                      <c:pt idx="80" formatCode="General">
                        <c:v>-75.448939849624054</c:v>
                      </c:pt>
                      <c:pt idx="81" formatCode="General">
                        <c:v>-75.77227819548871</c:v>
                      </c:pt>
                      <c:pt idx="82" formatCode="General">
                        <c:v>-76.09295522388058</c:v>
                      </c:pt>
                      <c:pt idx="83" formatCode="General">
                        <c:v>-76.404761194029845</c:v>
                      </c:pt>
                      <c:pt idx="84" formatCode="General">
                        <c:v>-76.716567164179096</c:v>
                      </c:pt>
                      <c:pt idx="85" formatCode="General">
                        <c:v>-77.028373134328348</c:v>
                      </c:pt>
                      <c:pt idx="86" formatCode="General">
                        <c:v>-77.340179104477599</c:v>
                      </c:pt>
                      <c:pt idx="87" formatCode="General">
                        <c:v>-77.651985074626865</c:v>
                      </c:pt>
                      <c:pt idx="88" formatCode="General">
                        <c:v>-77.963791044776116</c:v>
                      </c:pt>
                      <c:pt idx="89" formatCode="General">
                        <c:v>-78.275597014925367</c:v>
                      </c:pt>
                      <c:pt idx="90" formatCode="General">
                        <c:v>-78.587402985074618</c:v>
                      </c:pt>
                      <c:pt idx="91" formatCode="General">
                        <c:v>-78.899208955223884</c:v>
                      </c:pt>
                      <c:pt idx="92" formatCode="General">
                        <c:v>-79.211014925373135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222D-49B9-B930-702E037C4575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-185.62738738738739</c:v>
                      </c:pt>
                      <c:pt idx="1">
                        <c:v>-179.20156156156156</c:v>
                      </c:pt>
                      <c:pt idx="2" formatCode="General">
                        <c:v>-172.77573573573576</c:v>
                      </c:pt>
                      <c:pt idx="3" formatCode="General">
                        <c:v>-167.34314371257486</c:v>
                      </c:pt>
                      <c:pt idx="4" formatCode="General">
                        <c:v>-162.14703592814371</c:v>
                      </c:pt>
                      <c:pt idx="5" formatCode="General">
                        <c:v>-157.16997005988023</c:v>
                      </c:pt>
                      <c:pt idx="6" formatCode="General">
                        <c:v>-152.89242514970059</c:v>
                      </c:pt>
                      <c:pt idx="7" formatCode="General">
                        <c:v>-148.61488023952094</c:v>
                      </c:pt>
                      <c:pt idx="8" formatCode="General">
                        <c:v>-144.8009880239521</c:v>
                      </c:pt>
                      <c:pt idx="9" formatCode="General">
                        <c:v>-141.21625748502993</c:v>
                      </c:pt>
                      <c:pt idx="10" formatCode="General">
                        <c:v>-137.6875748502994</c:v>
                      </c:pt>
                      <c:pt idx="11" formatCode="General">
                        <c:v>-134.66332335329341</c:v>
                      </c:pt>
                      <c:pt idx="12" formatCode="General">
                        <c:v>-131.63907185628744</c:v>
                      </c:pt>
                      <c:pt idx="13" formatCode="General">
                        <c:v>-128.87098802395209</c:v>
                      </c:pt>
                      <c:pt idx="14" formatCode="General">
                        <c:v>-126.32937125748504</c:v>
                      </c:pt>
                      <c:pt idx="15" formatCode="General">
                        <c:v>-123.78775449101796</c:v>
                      </c:pt>
                      <c:pt idx="16" formatCode="General">
                        <c:v>-123.31837837837838</c:v>
                      </c:pt>
                      <c:pt idx="17" formatCode="General">
                        <c:v>-122.93189189189189</c:v>
                      </c:pt>
                      <c:pt idx="18" formatCode="General">
                        <c:v>-123.33988023952097</c:v>
                      </c:pt>
                      <c:pt idx="19" formatCode="General">
                        <c:v>-124.93958083832335</c:v>
                      </c:pt>
                      <c:pt idx="20" formatCode="General">
                        <c:v>-126.53928143712575</c:v>
                      </c:pt>
                      <c:pt idx="21" formatCode="General">
                        <c:v>-128.13574850299401</c:v>
                      </c:pt>
                      <c:pt idx="22" formatCode="General">
                        <c:v>-129.73155688622754</c:v>
                      </c:pt>
                      <c:pt idx="23" formatCode="General">
                        <c:v>-131.31718562874252</c:v>
                      </c:pt>
                      <c:pt idx="24" formatCode="General">
                        <c:v>-132.87407185628743</c:v>
                      </c:pt>
                      <c:pt idx="25" formatCode="General">
                        <c:v>-134.43095808383234</c:v>
                      </c:pt>
                      <c:pt idx="26" formatCode="General">
                        <c:v>-135.97167664670658</c:v>
                      </c:pt>
                      <c:pt idx="27" formatCode="General">
                        <c:v>-137.50520958083831</c:v>
                      </c:pt>
                      <c:pt idx="28" formatCode="General">
                        <c:v>-139.03586826347305</c:v>
                      </c:pt>
                      <c:pt idx="29" formatCode="General">
                        <c:v>-140.54604790419162</c:v>
                      </c:pt>
                      <c:pt idx="30" formatCode="General">
                        <c:v>-142.05622754491017</c:v>
                      </c:pt>
                      <c:pt idx="31" formatCode="General">
                        <c:v>-143.50932584269663</c:v>
                      </c:pt>
                      <c:pt idx="32" formatCode="General">
                        <c:v>-144.91644194756554</c:v>
                      </c:pt>
                      <c:pt idx="33" formatCode="General">
                        <c:v>-146.32355805243446</c:v>
                      </c:pt>
                      <c:pt idx="34" formatCode="General">
                        <c:v>-147.73067415730338</c:v>
                      </c:pt>
                      <c:pt idx="35" formatCode="General">
                        <c:v>-149.13779026217227</c:v>
                      </c:pt>
                      <c:pt idx="36" formatCode="General">
                        <c:v>-150.54490636704119</c:v>
                      </c:pt>
                      <c:pt idx="37" formatCode="General">
                        <c:v>-151.95202247191011</c:v>
                      </c:pt>
                      <c:pt idx="38" formatCode="General">
                        <c:v>-153.35913857677903</c:v>
                      </c:pt>
                      <c:pt idx="39" formatCode="General">
                        <c:v>-154.76625468164795</c:v>
                      </c:pt>
                      <c:pt idx="40" formatCode="General">
                        <c:v>-156.17337078651687</c:v>
                      </c:pt>
                      <c:pt idx="41" formatCode="General">
                        <c:v>-157.53143071161051</c:v>
                      </c:pt>
                      <c:pt idx="42" formatCode="General">
                        <c:v>-158.76618726591761</c:v>
                      </c:pt>
                      <c:pt idx="43" formatCode="General">
                        <c:v>-160.00094382022473</c:v>
                      </c:pt>
                      <c:pt idx="44" formatCode="General">
                        <c:v>-161.23570037453186</c:v>
                      </c:pt>
                      <c:pt idx="45" formatCode="General">
                        <c:v>-162.47045692883896</c:v>
                      </c:pt>
                      <c:pt idx="46" formatCode="General">
                        <c:v>-163.70521348314608</c:v>
                      </c:pt>
                      <c:pt idx="47" formatCode="General">
                        <c:v>-164.93997003745321</c:v>
                      </c:pt>
                      <c:pt idx="48" formatCode="General">
                        <c:v>-166.1747265917603</c:v>
                      </c:pt>
                      <c:pt idx="49" formatCode="General">
                        <c:v>-167.40948314606743</c:v>
                      </c:pt>
                      <c:pt idx="50" formatCode="General">
                        <c:v>-168.64423970037456</c:v>
                      </c:pt>
                      <c:pt idx="51" formatCode="General">
                        <c:v>-169.87605105105106</c:v>
                      </c:pt>
                      <c:pt idx="52" formatCode="General">
                        <c:v>-170.91936936936938</c:v>
                      </c:pt>
                      <c:pt idx="53" formatCode="General">
                        <c:v>-171.96268768768769</c:v>
                      </c:pt>
                      <c:pt idx="54" formatCode="General">
                        <c:v>-173.00600600600603</c:v>
                      </c:pt>
                      <c:pt idx="55" formatCode="General">
                        <c:v>-174.04932432432435</c:v>
                      </c:pt>
                      <c:pt idx="56" formatCode="General">
                        <c:v>-175.09264264264266</c:v>
                      </c:pt>
                      <c:pt idx="57" formatCode="General">
                        <c:v>-176.13596096096097</c:v>
                      </c:pt>
                      <c:pt idx="58" formatCode="General">
                        <c:v>-177.17927927927929</c:v>
                      </c:pt>
                      <c:pt idx="59" formatCode="General">
                        <c:v>-178.2225975975976</c:v>
                      </c:pt>
                      <c:pt idx="60" formatCode="General">
                        <c:v>-179.26591591591594</c:v>
                      </c:pt>
                      <c:pt idx="61" formatCode="General">
                        <c:v>-180.30923423423425</c:v>
                      </c:pt>
                      <c:pt idx="62" formatCode="General">
                        <c:v>-181.23823529411766</c:v>
                      </c:pt>
                      <c:pt idx="63" formatCode="General">
                        <c:v>-182.13294117647058</c:v>
                      </c:pt>
                      <c:pt idx="64" formatCode="General">
                        <c:v>-183.02393939393937</c:v>
                      </c:pt>
                      <c:pt idx="65" formatCode="General">
                        <c:v>-183.89454545454547</c:v>
                      </c:pt>
                      <c:pt idx="66" formatCode="General">
                        <c:v>-184.76515151515153</c:v>
                      </c:pt>
                      <c:pt idx="67" formatCode="General">
                        <c:v>-185.58235294117648</c:v>
                      </c:pt>
                      <c:pt idx="68" formatCode="General">
                        <c:v>-186.36617647058824</c:v>
                      </c:pt>
                      <c:pt idx="69" formatCode="General">
                        <c:v>-187.14999999999998</c:v>
                      </c:pt>
                      <c:pt idx="70" formatCode="General">
                        <c:v>-187.91818181818181</c:v>
                      </c:pt>
                      <c:pt idx="71" formatCode="General">
                        <c:v>-188.68636363636364</c:v>
                      </c:pt>
                      <c:pt idx="72" formatCode="General">
                        <c:v>-189.38466165413536</c:v>
                      </c:pt>
                      <c:pt idx="73" formatCode="General">
                        <c:v>-190.00142857142859</c:v>
                      </c:pt>
                      <c:pt idx="74" formatCode="General">
                        <c:v>-190.61819548872182</c:v>
                      </c:pt>
                      <c:pt idx="75" formatCode="General">
                        <c:v>-191.23496240601506</c:v>
                      </c:pt>
                      <c:pt idx="76" formatCode="General">
                        <c:v>-191.85172932330829</c:v>
                      </c:pt>
                      <c:pt idx="77" formatCode="General">
                        <c:v>-192.46849624060152</c:v>
                      </c:pt>
                      <c:pt idx="78" formatCode="General">
                        <c:v>-193.08526315789473</c:v>
                      </c:pt>
                      <c:pt idx="79" formatCode="General">
                        <c:v>-193.70203007518796</c:v>
                      </c:pt>
                      <c:pt idx="80" formatCode="General">
                        <c:v>-194.3187969924812</c:v>
                      </c:pt>
                      <c:pt idx="81" formatCode="General">
                        <c:v>-194.93556390977443</c:v>
                      </c:pt>
                      <c:pt idx="82" formatCode="General">
                        <c:v>-195.49843283582089</c:v>
                      </c:pt>
                      <c:pt idx="83" formatCode="General">
                        <c:v>-195.88164179104479</c:v>
                      </c:pt>
                      <c:pt idx="84" formatCode="General">
                        <c:v>-196.26485074626865</c:v>
                      </c:pt>
                      <c:pt idx="85" formatCode="General">
                        <c:v>-196.64805970149254</c:v>
                      </c:pt>
                      <c:pt idx="86" formatCode="General">
                        <c:v>-197.03126865671643</c:v>
                      </c:pt>
                      <c:pt idx="87" formatCode="General">
                        <c:v>-197.4144776119403</c:v>
                      </c:pt>
                      <c:pt idx="88" formatCode="General">
                        <c:v>-197.79768656716419</c:v>
                      </c:pt>
                      <c:pt idx="89" formatCode="General">
                        <c:v>-198.18089552238806</c:v>
                      </c:pt>
                      <c:pt idx="90" formatCode="General">
                        <c:v>-198.56410447761195</c:v>
                      </c:pt>
                      <c:pt idx="91" formatCode="General">
                        <c:v>-198.94731343283584</c:v>
                      </c:pt>
                      <c:pt idx="92" formatCode="General">
                        <c:v>-199.33052238805971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222D-49B9-B930-702E037C4575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-15.70018018018018</c:v>
                      </c:pt>
                      <c:pt idx="1">
                        <c:v>-14.888168168168168</c:v>
                      </c:pt>
                      <c:pt idx="2" formatCode="General">
                        <c:v>-14.076156156156156</c:v>
                      </c:pt>
                      <c:pt idx="3" formatCode="General">
                        <c:v>-13.171796407185628</c:v>
                      </c:pt>
                      <c:pt idx="4" formatCode="General">
                        <c:v>-12.245449101796405</c:v>
                      </c:pt>
                      <c:pt idx="5" formatCode="General">
                        <c:v>-11.336365269461076</c:v>
                      </c:pt>
                      <c:pt idx="6" formatCode="General">
                        <c:v>-10.482413173652693</c:v>
                      </c:pt>
                      <c:pt idx="7" formatCode="General">
                        <c:v>-9.628461077844312</c:v>
                      </c:pt>
                      <c:pt idx="8" formatCode="General">
                        <c:v>-8.8943293413173663</c:v>
                      </c:pt>
                      <c:pt idx="9" formatCode="General">
                        <c:v>-8.2194191616766474</c:v>
                      </c:pt>
                      <c:pt idx="10" formatCode="General">
                        <c:v>-7.5707814371257482</c:v>
                      </c:pt>
                      <c:pt idx="11" formatCode="General">
                        <c:v>-7.1585958083832333</c:v>
                      </c:pt>
                      <c:pt idx="12" formatCode="General">
                        <c:v>-6.7464101796407192</c:v>
                      </c:pt>
                      <c:pt idx="13" formatCode="General">
                        <c:v>-6.4751167664670657</c:v>
                      </c:pt>
                      <c:pt idx="14" formatCode="General">
                        <c:v>-6.3283802395209579</c:v>
                      </c:pt>
                      <c:pt idx="15" formatCode="General">
                        <c:v>-6.18164371257485</c:v>
                      </c:pt>
                      <c:pt idx="16" formatCode="General">
                        <c:v>-6.4226216216216221</c:v>
                      </c:pt>
                      <c:pt idx="17" formatCode="General">
                        <c:v>-6.6791081081081085</c:v>
                      </c:pt>
                      <c:pt idx="18" formatCode="General">
                        <c:v>-6.8345568862275448</c:v>
                      </c:pt>
                      <c:pt idx="19" formatCode="General">
                        <c:v>-6.8384491017964075</c:v>
                      </c:pt>
                      <c:pt idx="20" formatCode="General">
                        <c:v>-6.8423413173652694</c:v>
                      </c:pt>
                      <c:pt idx="21" formatCode="General">
                        <c:v>-6.8627245508982035</c:v>
                      </c:pt>
                      <c:pt idx="22" formatCode="General">
                        <c:v>-6.8864670658682634</c:v>
                      </c:pt>
                      <c:pt idx="23" formatCode="General">
                        <c:v>-6.911838323353293</c:v>
                      </c:pt>
                      <c:pt idx="24" formatCode="General">
                        <c:v>-6.9418083832335329</c:v>
                      </c:pt>
                      <c:pt idx="25" formatCode="General">
                        <c:v>-6.9717784431137719</c:v>
                      </c:pt>
                      <c:pt idx="26" formatCode="General">
                        <c:v>-7.0028263473053896</c:v>
                      </c:pt>
                      <c:pt idx="27" formatCode="General">
                        <c:v>-7.0343532934131741</c:v>
                      </c:pt>
                      <c:pt idx="28" formatCode="General">
                        <c:v>-7.0658802395209586</c:v>
                      </c:pt>
                      <c:pt idx="29" formatCode="General">
                        <c:v>-7.0974071856287431</c:v>
                      </c:pt>
                      <c:pt idx="30" formatCode="General">
                        <c:v>-7.1289341317365267</c:v>
                      </c:pt>
                      <c:pt idx="31" formatCode="General">
                        <c:v>-7.1602584269662923</c:v>
                      </c:pt>
                      <c:pt idx="32" formatCode="General">
                        <c:v>-7.1914194756554304</c:v>
                      </c:pt>
                      <c:pt idx="33" formatCode="General">
                        <c:v>-7.2225805243445693</c:v>
                      </c:pt>
                      <c:pt idx="34" formatCode="General">
                        <c:v>-7.2537415730337083</c:v>
                      </c:pt>
                      <c:pt idx="35" formatCode="General">
                        <c:v>-7.2849026217228463</c:v>
                      </c:pt>
                      <c:pt idx="36" formatCode="General">
                        <c:v>-7.3160636704119852</c:v>
                      </c:pt>
                      <c:pt idx="37" formatCode="General">
                        <c:v>-7.3472247191011233</c:v>
                      </c:pt>
                      <c:pt idx="38" formatCode="General">
                        <c:v>-7.3783857677902622</c:v>
                      </c:pt>
                      <c:pt idx="39" formatCode="General">
                        <c:v>-7.4095468164794012</c:v>
                      </c:pt>
                      <c:pt idx="40" formatCode="General">
                        <c:v>-7.4407078651685392</c:v>
                      </c:pt>
                      <c:pt idx="41" formatCode="General">
                        <c:v>-7.471370037453184</c:v>
                      </c:pt>
                      <c:pt idx="42" formatCode="General">
                        <c:v>-7.5007782771535583</c:v>
                      </c:pt>
                      <c:pt idx="43" formatCode="General">
                        <c:v>-7.5301865168539326</c:v>
                      </c:pt>
                      <c:pt idx="44" formatCode="General">
                        <c:v>-7.5595947565543069</c:v>
                      </c:pt>
                      <c:pt idx="45" formatCode="General">
                        <c:v>-7.5890029962546812</c:v>
                      </c:pt>
                      <c:pt idx="46" formatCode="General">
                        <c:v>-7.6184112359550564</c:v>
                      </c:pt>
                      <c:pt idx="47" formatCode="General">
                        <c:v>-7.6478194756554307</c:v>
                      </c:pt>
                      <c:pt idx="48" formatCode="General">
                        <c:v>-7.6772277153558051</c:v>
                      </c:pt>
                      <c:pt idx="49" formatCode="General">
                        <c:v>-7.7066359550561794</c:v>
                      </c:pt>
                      <c:pt idx="50" formatCode="General">
                        <c:v>-7.7360441947565537</c:v>
                      </c:pt>
                      <c:pt idx="51" formatCode="General">
                        <c:v>-7.7654249249249245</c:v>
                      </c:pt>
                      <c:pt idx="52" formatCode="General">
                        <c:v>-7.7930450450450452</c:v>
                      </c:pt>
                      <c:pt idx="53" formatCode="General">
                        <c:v>-7.8206651651651651</c:v>
                      </c:pt>
                      <c:pt idx="54" formatCode="General">
                        <c:v>-7.8482852852852849</c:v>
                      </c:pt>
                      <c:pt idx="55" formatCode="General">
                        <c:v>-7.8759054054054056</c:v>
                      </c:pt>
                      <c:pt idx="56" formatCode="General">
                        <c:v>-7.9035255255255255</c:v>
                      </c:pt>
                      <c:pt idx="57" formatCode="General">
                        <c:v>-7.9311456456456453</c:v>
                      </c:pt>
                      <c:pt idx="58" formatCode="General">
                        <c:v>-7.958765765765766</c:v>
                      </c:pt>
                      <c:pt idx="59" formatCode="General">
                        <c:v>-7.9863858858858858</c:v>
                      </c:pt>
                      <c:pt idx="60" formatCode="General">
                        <c:v>-8.0140060060060065</c:v>
                      </c:pt>
                      <c:pt idx="61" formatCode="General">
                        <c:v>-8.0416261261261255</c:v>
                      </c:pt>
                      <c:pt idx="62" formatCode="General">
                        <c:v>-8.0679999999999996</c:v>
                      </c:pt>
                      <c:pt idx="63" formatCode="General">
                        <c:v>-8.0939999999999994</c:v>
                      </c:pt>
                      <c:pt idx="64" formatCode="General">
                        <c:v>-8.1199999999999992</c:v>
                      </c:pt>
                      <c:pt idx="65" formatCode="General">
                        <c:v>-8.1460000000000008</c:v>
                      </c:pt>
                      <c:pt idx="66" formatCode="General">
                        <c:v>-8.1720000000000006</c:v>
                      </c:pt>
                      <c:pt idx="67" formatCode="General">
                        <c:v>-8.1975294117647053</c:v>
                      </c:pt>
                      <c:pt idx="68" formatCode="General">
                        <c:v>-8.2227647058823532</c:v>
                      </c:pt>
                      <c:pt idx="69" formatCode="General">
                        <c:v>-8.2479999999999993</c:v>
                      </c:pt>
                      <c:pt idx="70" formatCode="General">
                        <c:v>-8.2736060606060597</c:v>
                      </c:pt>
                      <c:pt idx="71" formatCode="General">
                        <c:v>-8.2992121212121219</c:v>
                      </c:pt>
                      <c:pt idx="72" formatCode="General">
                        <c:v>-8.3241879699248127</c:v>
                      </c:pt>
                      <c:pt idx="73" formatCode="General">
                        <c:v>-8.3484285714285722</c:v>
                      </c:pt>
                      <c:pt idx="74" formatCode="General">
                        <c:v>-8.3726691729323317</c:v>
                      </c:pt>
                      <c:pt idx="75" formatCode="General">
                        <c:v>-8.3969097744360912</c:v>
                      </c:pt>
                      <c:pt idx="76" formatCode="General">
                        <c:v>-8.4211503759398507</c:v>
                      </c:pt>
                      <c:pt idx="77" formatCode="General">
                        <c:v>-8.4453909774436084</c:v>
                      </c:pt>
                      <c:pt idx="78" formatCode="General">
                        <c:v>-8.469631578947368</c:v>
                      </c:pt>
                      <c:pt idx="79" formatCode="General">
                        <c:v>-8.4938721804511275</c:v>
                      </c:pt>
                      <c:pt idx="80" formatCode="General">
                        <c:v>-8.518112781954887</c:v>
                      </c:pt>
                      <c:pt idx="81" formatCode="General">
                        <c:v>-8.5423533834586465</c:v>
                      </c:pt>
                      <c:pt idx="82" formatCode="General">
                        <c:v>-8.5662388059701495</c:v>
                      </c:pt>
                      <c:pt idx="83" formatCode="General">
                        <c:v>-8.5889402985074632</c:v>
                      </c:pt>
                      <c:pt idx="84" formatCode="General">
                        <c:v>-8.6116417910447769</c:v>
                      </c:pt>
                      <c:pt idx="85" formatCode="General">
                        <c:v>-8.6343432835820888</c:v>
                      </c:pt>
                      <c:pt idx="86" formatCode="General">
                        <c:v>-8.6570447761194025</c:v>
                      </c:pt>
                      <c:pt idx="87" formatCode="General">
                        <c:v>-8.6797462686567162</c:v>
                      </c:pt>
                      <c:pt idx="88" formatCode="General">
                        <c:v>-8.7024477611940299</c:v>
                      </c:pt>
                      <c:pt idx="89" formatCode="General">
                        <c:v>-8.7251492537313435</c:v>
                      </c:pt>
                      <c:pt idx="90" formatCode="General">
                        <c:v>-8.7478507462686572</c:v>
                      </c:pt>
                      <c:pt idx="91" formatCode="General">
                        <c:v>-8.7705522388059709</c:v>
                      </c:pt>
                      <c:pt idx="92" formatCode="General">
                        <c:v>-8.7932537313432828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22D-49B9-B930-702E037C4575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-59.785315315315316</c:v>
                      </c:pt>
                      <c:pt idx="1">
                        <c:v>-57.064294294294292</c:v>
                      </c:pt>
                      <c:pt idx="2" formatCode="General">
                        <c:v>-54.343273273273276</c:v>
                      </c:pt>
                      <c:pt idx="3" formatCode="General">
                        <c:v>-51.679131736526941</c:v>
                      </c:pt>
                      <c:pt idx="4" formatCode="General">
                        <c:v>-49.028532934131732</c:v>
                      </c:pt>
                      <c:pt idx="5" formatCode="General">
                        <c:v>-46.442904191616762</c:v>
                      </c:pt>
                      <c:pt idx="6" formatCode="General">
                        <c:v>-44.064760479041915</c:v>
                      </c:pt>
                      <c:pt idx="7" formatCode="General">
                        <c:v>-41.686616766467068</c:v>
                      </c:pt>
                      <c:pt idx="8" formatCode="General">
                        <c:v>-39.548113772455089</c:v>
                      </c:pt>
                      <c:pt idx="9" formatCode="General">
                        <c:v>-37.528053892215567</c:v>
                      </c:pt>
                      <c:pt idx="10" formatCode="General">
                        <c:v>-35.541856287425148</c:v>
                      </c:pt>
                      <c:pt idx="11" formatCode="General">
                        <c:v>-33.860419161676646</c:v>
                      </c:pt>
                      <c:pt idx="12" formatCode="General">
                        <c:v>-32.178982035928144</c:v>
                      </c:pt>
                      <c:pt idx="13" formatCode="General">
                        <c:v>-30.619431137724554</c:v>
                      </c:pt>
                      <c:pt idx="14" formatCode="General">
                        <c:v>-29.167634730538925</c:v>
                      </c:pt>
                      <c:pt idx="15" formatCode="General">
                        <c:v>-27.715838323353292</c:v>
                      </c:pt>
                      <c:pt idx="16" formatCode="General">
                        <c:v>-27.333423423423422</c:v>
                      </c:pt>
                      <c:pt idx="17" formatCode="General">
                        <c:v>-26.993783783783783</c:v>
                      </c:pt>
                      <c:pt idx="18" formatCode="General">
                        <c:v>-26.995508982035929</c:v>
                      </c:pt>
                      <c:pt idx="19" formatCode="General">
                        <c:v>-27.509281437125747</c:v>
                      </c:pt>
                      <c:pt idx="20" formatCode="General">
                        <c:v>-28.023053892215568</c:v>
                      </c:pt>
                      <c:pt idx="21" formatCode="General">
                        <c:v>-28.530359281437125</c:v>
                      </c:pt>
                      <c:pt idx="22" formatCode="General">
                        <c:v>-29.036347305389221</c:v>
                      </c:pt>
                      <c:pt idx="23" formatCode="General">
                        <c:v>-29.540299401197604</c:v>
                      </c:pt>
                      <c:pt idx="24" formatCode="General">
                        <c:v>-30.038502994011978</c:v>
                      </c:pt>
                      <c:pt idx="25" formatCode="General">
                        <c:v>-30.536706586826348</c:v>
                      </c:pt>
                      <c:pt idx="26" formatCode="General">
                        <c:v>-31.026826347305391</c:v>
                      </c:pt>
                      <c:pt idx="27" formatCode="General">
                        <c:v>-31.513353293413175</c:v>
                      </c:pt>
                      <c:pt idx="28" formatCode="General">
                        <c:v>-31.998443113772456</c:v>
                      </c:pt>
                      <c:pt idx="29" formatCode="General">
                        <c:v>-32.47329341317365</c:v>
                      </c:pt>
                      <c:pt idx="30" formatCode="General">
                        <c:v>-32.948143712574847</c:v>
                      </c:pt>
                      <c:pt idx="31" formatCode="General">
                        <c:v>-33.403235955056175</c:v>
                      </c:pt>
                      <c:pt idx="32" formatCode="General">
                        <c:v>-33.842411985018728</c:v>
                      </c:pt>
                      <c:pt idx="33" formatCode="General">
                        <c:v>-34.281588014981274</c:v>
                      </c:pt>
                      <c:pt idx="34" formatCode="General">
                        <c:v>-34.72076404494382</c:v>
                      </c:pt>
                      <c:pt idx="35" formatCode="General">
                        <c:v>-35.159940074906366</c:v>
                      </c:pt>
                      <c:pt idx="36" formatCode="General">
                        <c:v>-35.599116104868912</c:v>
                      </c:pt>
                      <c:pt idx="37" formatCode="General">
                        <c:v>-36.038292134831465</c:v>
                      </c:pt>
                      <c:pt idx="38" formatCode="General">
                        <c:v>-36.477468164794011</c:v>
                      </c:pt>
                      <c:pt idx="39" formatCode="General">
                        <c:v>-36.916644194756557</c:v>
                      </c:pt>
                      <c:pt idx="40" formatCode="General">
                        <c:v>-37.355820224719103</c:v>
                      </c:pt>
                      <c:pt idx="41" formatCode="General">
                        <c:v>-37.774209737827718</c:v>
                      </c:pt>
                      <c:pt idx="42" formatCode="General">
                        <c:v>-38.1403520599251</c:v>
                      </c:pt>
                      <c:pt idx="43" formatCode="General">
                        <c:v>-38.506494382022474</c:v>
                      </c:pt>
                      <c:pt idx="44" formatCode="General">
                        <c:v>-38.872636704119856</c:v>
                      </c:pt>
                      <c:pt idx="45" formatCode="General">
                        <c:v>-39.23877902621723</c:v>
                      </c:pt>
                      <c:pt idx="46" formatCode="General">
                        <c:v>-39.604921348314612</c:v>
                      </c:pt>
                      <c:pt idx="47" formatCode="General">
                        <c:v>-39.971063670411986</c:v>
                      </c:pt>
                      <c:pt idx="48" formatCode="General">
                        <c:v>-40.337205992509368</c:v>
                      </c:pt>
                      <c:pt idx="49" formatCode="General">
                        <c:v>-40.703348314606743</c:v>
                      </c:pt>
                      <c:pt idx="50" formatCode="General">
                        <c:v>-41.069490636704124</c:v>
                      </c:pt>
                      <c:pt idx="51" formatCode="General">
                        <c:v>-41.434354354354355</c:v>
                      </c:pt>
                      <c:pt idx="52" formatCode="General">
                        <c:v>-41.71738738738739</c:v>
                      </c:pt>
                      <c:pt idx="53" formatCode="General">
                        <c:v>-42.000420420420419</c:v>
                      </c:pt>
                      <c:pt idx="54" formatCode="General">
                        <c:v>-42.283453453453454</c:v>
                      </c:pt>
                      <c:pt idx="55" formatCode="General">
                        <c:v>-42.56648648648649</c:v>
                      </c:pt>
                      <c:pt idx="56" formatCode="General">
                        <c:v>-42.849519519519518</c:v>
                      </c:pt>
                      <c:pt idx="57" formatCode="General">
                        <c:v>-43.132552552552553</c:v>
                      </c:pt>
                      <c:pt idx="58" formatCode="General">
                        <c:v>-43.415585585585582</c:v>
                      </c:pt>
                      <c:pt idx="59" formatCode="General">
                        <c:v>-43.698618618618617</c:v>
                      </c:pt>
                      <c:pt idx="60" formatCode="General">
                        <c:v>-43.981651651651653</c:v>
                      </c:pt>
                      <c:pt idx="61" formatCode="General">
                        <c:v>-44.264684684684681</c:v>
                      </c:pt>
                      <c:pt idx="62" formatCode="General">
                        <c:v>-44.497647058823524</c:v>
                      </c:pt>
                      <c:pt idx="63" formatCode="General">
                        <c:v>-44.715588235294113</c:v>
                      </c:pt>
                      <c:pt idx="64" formatCode="General">
                        <c:v>-44.93151515151515</c:v>
                      </c:pt>
                      <c:pt idx="65" formatCode="General">
                        <c:v>-45.136363636363633</c:v>
                      </c:pt>
                      <c:pt idx="66" formatCode="General">
                        <c:v>-45.341212121212124</c:v>
                      </c:pt>
                      <c:pt idx="67" formatCode="General">
                        <c:v>-45.523529411764706</c:v>
                      </c:pt>
                      <c:pt idx="68" formatCode="General">
                        <c:v>-45.691764705882356</c:v>
                      </c:pt>
                      <c:pt idx="69" formatCode="General">
                        <c:v>-45.86</c:v>
                      </c:pt>
                      <c:pt idx="70" formatCode="General">
                        <c:v>-46.013636363636365</c:v>
                      </c:pt>
                      <c:pt idx="71" formatCode="General">
                        <c:v>-46.167272727272724</c:v>
                      </c:pt>
                      <c:pt idx="72" formatCode="General">
                        <c:v>-46.288796992481203</c:v>
                      </c:pt>
                      <c:pt idx="73" formatCode="General">
                        <c:v>-46.372857142857143</c:v>
                      </c:pt>
                      <c:pt idx="74" formatCode="General">
                        <c:v>-46.456917293233083</c:v>
                      </c:pt>
                      <c:pt idx="75" formatCode="General">
                        <c:v>-46.540977443609023</c:v>
                      </c:pt>
                      <c:pt idx="76" formatCode="General">
                        <c:v>-46.625037593984963</c:v>
                      </c:pt>
                      <c:pt idx="77" formatCode="General">
                        <c:v>-46.709097744360903</c:v>
                      </c:pt>
                      <c:pt idx="78" formatCode="General">
                        <c:v>-46.793157894736844</c:v>
                      </c:pt>
                      <c:pt idx="79" formatCode="General">
                        <c:v>-46.877218045112784</c:v>
                      </c:pt>
                      <c:pt idx="80" formatCode="General">
                        <c:v>-46.961278195488724</c:v>
                      </c:pt>
                      <c:pt idx="81" formatCode="General">
                        <c:v>-47.045338345864664</c:v>
                      </c:pt>
                      <c:pt idx="82" formatCode="General">
                        <c:v>-47.104179104477609</c:v>
                      </c:pt>
                      <c:pt idx="83" formatCode="General">
                        <c:v>-47.078955223880598</c:v>
                      </c:pt>
                      <c:pt idx="84" formatCode="General">
                        <c:v>-47.05373134328358</c:v>
                      </c:pt>
                      <c:pt idx="85" formatCode="General">
                        <c:v>-47.028507462686569</c:v>
                      </c:pt>
                      <c:pt idx="86" formatCode="General">
                        <c:v>-47.003283582089551</c:v>
                      </c:pt>
                      <c:pt idx="87" formatCode="General">
                        <c:v>-46.978059701492541</c:v>
                      </c:pt>
                      <c:pt idx="88" formatCode="General">
                        <c:v>-46.952835820895523</c:v>
                      </c:pt>
                      <c:pt idx="89" formatCode="General">
                        <c:v>-46.927611940298512</c:v>
                      </c:pt>
                      <c:pt idx="90" formatCode="General">
                        <c:v>-46.902388059701494</c:v>
                      </c:pt>
                      <c:pt idx="91" formatCode="General">
                        <c:v>-46.877164179104476</c:v>
                      </c:pt>
                      <c:pt idx="92" formatCode="General">
                        <c:v>-46.851940298507465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222D-49B9-B930-702E037C4575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-22.018918918918921</c:v>
                      </c:pt>
                      <c:pt idx="1">
                        <c:v>-21.69099099099099</c:v>
                      </c:pt>
                      <c:pt idx="2" formatCode="General">
                        <c:v>-21.363063063063063</c:v>
                      </c:pt>
                      <c:pt idx="3" formatCode="General">
                        <c:v>-21.328293413173654</c:v>
                      </c:pt>
                      <c:pt idx="4" formatCode="General">
                        <c:v>-21.363323353293413</c:v>
                      </c:pt>
                      <c:pt idx="5" formatCode="General">
                        <c:v>-21.428053892215569</c:v>
                      </c:pt>
                      <c:pt idx="6" formatCode="General">
                        <c:v>-21.587634730538923</c:v>
                      </c:pt>
                      <c:pt idx="7" formatCode="General">
                        <c:v>-21.747215568862277</c:v>
                      </c:pt>
                      <c:pt idx="8" formatCode="General">
                        <c:v>-21.901586826347305</c:v>
                      </c:pt>
                      <c:pt idx="9" formatCode="General">
                        <c:v>-22.053383233532934</c:v>
                      </c:pt>
                      <c:pt idx="10" formatCode="General">
                        <c:v>-22.201287425149701</c:v>
                      </c:pt>
                      <c:pt idx="11" formatCode="General">
                        <c:v>-22.314161676646709</c:v>
                      </c:pt>
                      <c:pt idx="12" formatCode="General">
                        <c:v>-22.427035928143713</c:v>
                      </c:pt>
                      <c:pt idx="13" formatCode="General">
                        <c:v>-22.544041916167664</c:v>
                      </c:pt>
                      <c:pt idx="14" formatCode="General">
                        <c:v>-22.664700598802394</c:v>
                      </c:pt>
                      <c:pt idx="15" formatCode="General">
                        <c:v>-22.785359281437124</c:v>
                      </c:pt>
                      <c:pt idx="16" formatCode="General">
                        <c:v>-22.883843843843842</c:v>
                      </c:pt>
                      <c:pt idx="17" formatCode="General">
                        <c:v>-22.98144144144144</c:v>
                      </c:pt>
                      <c:pt idx="18" formatCode="General">
                        <c:v>-23.1162874251497</c:v>
                      </c:pt>
                      <c:pt idx="19" formatCode="General">
                        <c:v>-23.307005988023953</c:v>
                      </c:pt>
                      <c:pt idx="20" formatCode="General">
                        <c:v>-23.497724550898205</c:v>
                      </c:pt>
                      <c:pt idx="21" formatCode="General">
                        <c:v>-23.691676646706586</c:v>
                      </c:pt>
                      <c:pt idx="22" formatCode="General">
                        <c:v>-23.8862874251497</c:v>
                      </c:pt>
                      <c:pt idx="23" formatCode="General">
                        <c:v>-24.078862275449104</c:v>
                      </c:pt>
                      <c:pt idx="24" formatCode="General">
                        <c:v>-24.265688622754492</c:v>
                      </c:pt>
                      <c:pt idx="25" formatCode="General">
                        <c:v>-24.45251497005988</c:v>
                      </c:pt>
                      <c:pt idx="26" formatCode="General">
                        <c:v>-24.639341317365272</c:v>
                      </c:pt>
                      <c:pt idx="27" formatCode="General">
                        <c:v>-24.82616766467066</c:v>
                      </c:pt>
                      <c:pt idx="28" formatCode="General">
                        <c:v>-25.012994011976048</c:v>
                      </c:pt>
                      <c:pt idx="29" formatCode="General">
                        <c:v>-25.199820359281436</c:v>
                      </c:pt>
                      <c:pt idx="30" formatCode="General">
                        <c:v>-25.386646706586827</c:v>
                      </c:pt>
                      <c:pt idx="31" formatCode="General">
                        <c:v>-25.567617977528091</c:v>
                      </c:pt>
                      <c:pt idx="32" formatCode="General">
                        <c:v>-25.743872659176031</c:v>
                      </c:pt>
                      <c:pt idx="33" formatCode="General">
                        <c:v>-25.920127340823971</c:v>
                      </c:pt>
                      <c:pt idx="34" formatCode="General">
                        <c:v>-26.096382022471911</c:v>
                      </c:pt>
                      <c:pt idx="35" formatCode="General">
                        <c:v>-26.272636704119851</c:v>
                      </c:pt>
                      <c:pt idx="36" formatCode="General">
                        <c:v>-26.448891385767791</c:v>
                      </c:pt>
                      <c:pt idx="37" formatCode="General">
                        <c:v>-26.625146067415731</c:v>
                      </c:pt>
                      <c:pt idx="38" formatCode="General">
                        <c:v>-26.801400749063671</c:v>
                      </c:pt>
                      <c:pt idx="39" formatCode="General">
                        <c:v>-26.977655430711611</c:v>
                      </c:pt>
                      <c:pt idx="40" formatCode="General">
                        <c:v>-27.153910112359551</c:v>
                      </c:pt>
                      <c:pt idx="41" formatCode="General">
                        <c:v>-27.327670411985022</c:v>
                      </c:pt>
                      <c:pt idx="42" formatCode="General">
                        <c:v>-27.495161048689141</c:v>
                      </c:pt>
                      <c:pt idx="43" formatCode="General">
                        <c:v>-27.662651685393261</c:v>
                      </c:pt>
                      <c:pt idx="44" formatCode="General">
                        <c:v>-27.83014232209738</c:v>
                      </c:pt>
                      <c:pt idx="45" formatCode="General">
                        <c:v>-27.9976329588015</c:v>
                      </c:pt>
                      <c:pt idx="46" formatCode="General">
                        <c:v>-28.165123595505619</c:v>
                      </c:pt>
                      <c:pt idx="47" formatCode="General">
                        <c:v>-28.332614232209739</c:v>
                      </c:pt>
                      <c:pt idx="48" formatCode="General">
                        <c:v>-28.500104868913859</c:v>
                      </c:pt>
                      <c:pt idx="49" formatCode="General">
                        <c:v>-28.667595505617978</c:v>
                      </c:pt>
                      <c:pt idx="50" formatCode="General">
                        <c:v>-28.835086142322098</c:v>
                      </c:pt>
                      <c:pt idx="51" formatCode="General">
                        <c:v>-29.002447447447448</c:v>
                      </c:pt>
                      <c:pt idx="52" formatCode="General">
                        <c:v>-29.161531531531534</c:v>
                      </c:pt>
                      <c:pt idx="53" formatCode="General">
                        <c:v>-29.320615615615615</c:v>
                      </c:pt>
                      <c:pt idx="54" formatCode="General">
                        <c:v>-29.479699699699701</c:v>
                      </c:pt>
                      <c:pt idx="55" formatCode="General">
                        <c:v>-29.638783783783783</c:v>
                      </c:pt>
                      <c:pt idx="56" formatCode="General">
                        <c:v>-29.797867867867868</c:v>
                      </c:pt>
                      <c:pt idx="57" formatCode="General">
                        <c:v>-29.95695195195195</c:v>
                      </c:pt>
                      <c:pt idx="58" formatCode="General">
                        <c:v>-30.116036036036036</c:v>
                      </c:pt>
                      <c:pt idx="59" formatCode="General">
                        <c:v>-30.275120120120121</c:v>
                      </c:pt>
                      <c:pt idx="60" formatCode="General">
                        <c:v>-30.434204204204203</c:v>
                      </c:pt>
                      <c:pt idx="61" formatCode="General">
                        <c:v>-30.593288288288289</c:v>
                      </c:pt>
                      <c:pt idx="62" formatCode="General">
                        <c:v>-30.747647058823528</c:v>
                      </c:pt>
                      <c:pt idx="63" formatCode="General">
                        <c:v>-30.900588235294119</c:v>
                      </c:pt>
                      <c:pt idx="64" formatCode="General">
                        <c:v>-31.053636363636365</c:v>
                      </c:pt>
                      <c:pt idx="65" formatCode="General">
                        <c:v>-31.207272727272727</c:v>
                      </c:pt>
                      <c:pt idx="66" formatCode="General">
                        <c:v>-31.360909090909093</c:v>
                      </c:pt>
                      <c:pt idx="67" formatCode="General">
                        <c:v>-31.511764705882353</c:v>
                      </c:pt>
                      <c:pt idx="68" formatCode="General">
                        <c:v>-31.660882352941176</c:v>
                      </c:pt>
                      <c:pt idx="69" formatCode="General">
                        <c:v>-31.81</c:v>
                      </c:pt>
                      <c:pt idx="70" formatCode="General">
                        <c:v>-31.963636363636365</c:v>
                      </c:pt>
                      <c:pt idx="71" formatCode="General">
                        <c:v>-32.117272727272727</c:v>
                      </c:pt>
                      <c:pt idx="72" formatCode="General">
                        <c:v>-32.269022556390979</c:v>
                      </c:pt>
                      <c:pt idx="73" formatCode="General">
                        <c:v>-32.418571428571433</c:v>
                      </c:pt>
                      <c:pt idx="74" formatCode="General">
                        <c:v>-32.568120300751879</c:v>
                      </c:pt>
                      <c:pt idx="75" formatCode="General">
                        <c:v>-32.717669172932332</c:v>
                      </c:pt>
                      <c:pt idx="76" formatCode="General">
                        <c:v>-32.867218045112779</c:v>
                      </c:pt>
                      <c:pt idx="77" formatCode="General">
                        <c:v>-33.016766917293232</c:v>
                      </c:pt>
                      <c:pt idx="78" formatCode="General">
                        <c:v>-33.166315789473686</c:v>
                      </c:pt>
                      <c:pt idx="79" formatCode="General">
                        <c:v>-33.315864661654132</c:v>
                      </c:pt>
                      <c:pt idx="80" formatCode="General">
                        <c:v>-33.465413533834585</c:v>
                      </c:pt>
                      <c:pt idx="81" formatCode="General">
                        <c:v>-33.614962406015032</c:v>
                      </c:pt>
                      <c:pt idx="82" formatCode="General">
                        <c:v>-33.763358208955218</c:v>
                      </c:pt>
                      <c:pt idx="83" formatCode="General">
                        <c:v>-33.907910447761189</c:v>
                      </c:pt>
                      <c:pt idx="84" formatCode="General">
                        <c:v>-34.052462686567161</c:v>
                      </c:pt>
                      <c:pt idx="85" formatCode="General">
                        <c:v>-34.197014925373132</c:v>
                      </c:pt>
                      <c:pt idx="86" formatCode="General">
                        <c:v>-34.341567164179104</c:v>
                      </c:pt>
                      <c:pt idx="87" formatCode="General">
                        <c:v>-34.486119402985075</c:v>
                      </c:pt>
                      <c:pt idx="88" formatCode="General">
                        <c:v>-34.630671641791039</c:v>
                      </c:pt>
                      <c:pt idx="89" formatCode="General">
                        <c:v>-34.775223880597011</c:v>
                      </c:pt>
                      <c:pt idx="90" formatCode="General">
                        <c:v>-34.919776119402982</c:v>
                      </c:pt>
                      <c:pt idx="91" formatCode="General">
                        <c:v>-35.064328358208954</c:v>
                      </c:pt>
                      <c:pt idx="92" formatCode="General">
                        <c:v>-35.208880597014925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222D-49B9-B930-702E037C4575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-22.018918918918921</c:v>
                      </c:pt>
                      <c:pt idx="1">
                        <c:v>-21.69099099099099</c:v>
                      </c:pt>
                      <c:pt idx="2" formatCode="General">
                        <c:v>-21.363063063063063</c:v>
                      </c:pt>
                      <c:pt idx="3" formatCode="General">
                        <c:v>-21.328293413173654</c:v>
                      </c:pt>
                      <c:pt idx="4" formatCode="General">
                        <c:v>-21.363323353293413</c:v>
                      </c:pt>
                      <c:pt idx="5" formatCode="General">
                        <c:v>-21.428053892215569</c:v>
                      </c:pt>
                      <c:pt idx="6" formatCode="General">
                        <c:v>-21.587634730538923</c:v>
                      </c:pt>
                      <c:pt idx="7" formatCode="General">
                        <c:v>-21.747215568862277</c:v>
                      </c:pt>
                      <c:pt idx="8" formatCode="General">
                        <c:v>-21.901586826347305</c:v>
                      </c:pt>
                      <c:pt idx="9" formatCode="General">
                        <c:v>-22.053383233532934</c:v>
                      </c:pt>
                      <c:pt idx="10" formatCode="General">
                        <c:v>-22.201287425149701</c:v>
                      </c:pt>
                      <c:pt idx="11" formatCode="General">
                        <c:v>-22.314161676646709</c:v>
                      </c:pt>
                      <c:pt idx="12" formatCode="General">
                        <c:v>-22.427035928143713</c:v>
                      </c:pt>
                      <c:pt idx="13" formatCode="General">
                        <c:v>-22.544041916167664</c:v>
                      </c:pt>
                      <c:pt idx="14" formatCode="General">
                        <c:v>-22.664700598802394</c:v>
                      </c:pt>
                      <c:pt idx="15" formatCode="General">
                        <c:v>-22.785359281437124</c:v>
                      </c:pt>
                      <c:pt idx="16" formatCode="General">
                        <c:v>-22.883843843843842</c:v>
                      </c:pt>
                      <c:pt idx="17" formatCode="General">
                        <c:v>-22.98144144144144</c:v>
                      </c:pt>
                      <c:pt idx="18" formatCode="General">
                        <c:v>-23.1162874251497</c:v>
                      </c:pt>
                      <c:pt idx="19" formatCode="General">
                        <c:v>-23.307005988023953</c:v>
                      </c:pt>
                      <c:pt idx="20" formatCode="General">
                        <c:v>-23.497724550898205</c:v>
                      </c:pt>
                      <c:pt idx="21" formatCode="General">
                        <c:v>-23.691676646706586</c:v>
                      </c:pt>
                      <c:pt idx="22" formatCode="General">
                        <c:v>-23.8862874251497</c:v>
                      </c:pt>
                      <c:pt idx="23" formatCode="General">
                        <c:v>-24.078862275449104</c:v>
                      </c:pt>
                      <c:pt idx="24" formatCode="General">
                        <c:v>-24.265688622754492</c:v>
                      </c:pt>
                      <c:pt idx="25" formatCode="General">
                        <c:v>-24.45251497005988</c:v>
                      </c:pt>
                      <c:pt idx="26" formatCode="General">
                        <c:v>-24.639341317365272</c:v>
                      </c:pt>
                      <c:pt idx="27" formatCode="General">
                        <c:v>-24.82616766467066</c:v>
                      </c:pt>
                      <c:pt idx="28" formatCode="General">
                        <c:v>-25.012994011976048</c:v>
                      </c:pt>
                      <c:pt idx="29" formatCode="General">
                        <c:v>-25.199820359281436</c:v>
                      </c:pt>
                      <c:pt idx="30" formatCode="General">
                        <c:v>-25.386646706586827</c:v>
                      </c:pt>
                      <c:pt idx="31" formatCode="General">
                        <c:v>-25.567617977528091</c:v>
                      </c:pt>
                      <c:pt idx="32" formatCode="General">
                        <c:v>-25.743872659176031</c:v>
                      </c:pt>
                      <c:pt idx="33" formatCode="General">
                        <c:v>-25.920127340823971</c:v>
                      </c:pt>
                      <c:pt idx="34" formatCode="General">
                        <c:v>-26.096382022471911</c:v>
                      </c:pt>
                      <c:pt idx="35" formatCode="General">
                        <c:v>-26.272636704119851</c:v>
                      </c:pt>
                      <c:pt idx="36" formatCode="General">
                        <c:v>-26.448891385767791</c:v>
                      </c:pt>
                      <c:pt idx="37" formatCode="General">
                        <c:v>-26.625146067415731</c:v>
                      </c:pt>
                      <c:pt idx="38" formatCode="General">
                        <c:v>-26.801400749063671</c:v>
                      </c:pt>
                      <c:pt idx="39" formatCode="General">
                        <c:v>-26.977655430711611</c:v>
                      </c:pt>
                      <c:pt idx="40" formatCode="General">
                        <c:v>-27.153910112359551</c:v>
                      </c:pt>
                      <c:pt idx="41" formatCode="General">
                        <c:v>-27.327670411985022</c:v>
                      </c:pt>
                      <c:pt idx="42" formatCode="General">
                        <c:v>-27.495161048689141</c:v>
                      </c:pt>
                      <c:pt idx="43" formatCode="General">
                        <c:v>-27.662651685393261</c:v>
                      </c:pt>
                      <c:pt idx="44" formatCode="General">
                        <c:v>-27.83014232209738</c:v>
                      </c:pt>
                      <c:pt idx="45" formatCode="General">
                        <c:v>-27.9976329588015</c:v>
                      </c:pt>
                      <c:pt idx="46" formatCode="General">
                        <c:v>-28.165123595505619</c:v>
                      </c:pt>
                      <c:pt idx="47" formatCode="General">
                        <c:v>-28.332614232209739</c:v>
                      </c:pt>
                      <c:pt idx="48" formatCode="General">
                        <c:v>-28.500104868913859</c:v>
                      </c:pt>
                      <c:pt idx="49" formatCode="General">
                        <c:v>-28.667595505617978</c:v>
                      </c:pt>
                      <c:pt idx="50" formatCode="General">
                        <c:v>-28.835086142322098</c:v>
                      </c:pt>
                      <c:pt idx="51" formatCode="General">
                        <c:v>-29.002447447447448</c:v>
                      </c:pt>
                      <c:pt idx="52" formatCode="General">
                        <c:v>-29.161531531531534</c:v>
                      </c:pt>
                      <c:pt idx="53" formatCode="General">
                        <c:v>-29.320615615615615</c:v>
                      </c:pt>
                      <c:pt idx="54" formatCode="General">
                        <c:v>-29.479699699699701</c:v>
                      </c:pt>
                      <c:pt idx="55" formatCode="General">
                        <c:v>-29.638783783783783</c:v>
                      </c:pt>
                      <c:pt idx="56" formatCode="General">
                        <c:v>-29.797867867867868</c:v>
                      </c:pt>
                      <c:pt idx="57" formatCode="General">
                        <c:v>-29.95695195195195</c:v>
                      </c:pt>
                      <c:pt idx="58" formatCode="General">
                        <c:v>-30.116036036036036</c:v>
                      </c:pt>
                      <c:pt idx="59" formatCode="General">
                        <c:v>-30.275120120120121</c:v>
                      </c:pt>
                      <c:pt idx="60" formatCode="General">
                        <c:v>-30.434204204204203</c:v>
                      </c:pt>
                      <c:pt idx="61" formatCode="General">
                        <c:v>-30.593288288288289</c:v>
                      </c:pt>
                      <c:pt idx="62" formatCode="General">
                        <c:v>-30.747647058823528</c:v>
                      </c:pt>
                      <c:pt idx="63" formatCode="General">
                        <c:v>-30.900588235294119</c:v>
                      </c:pt>
                      <c:pt idx="64" formatCode="General">
                        <c:v>-31.053636363636365</c:v>
                      </c:pt>
                      <c:pt idx="65" formatCode="General">
                        <c:v>-31.207272727272727</c:v>
                      </c:pt>
                      <c:pt idx="66" formatCode="General">
                        <c:v>-31.360909090909093</c:v>
                      </c:pt>
                      <c:pt idx="67" formatCode="General">
                        <c:v>-31.511764705882353</c:v>
                      </c:pt>
                      <c:pt idx="68" formatCode="General">
                        <c:v>-31.660882352941176</c:v>
                      </c:pt>
                      <c:pt idx="69" formatCode="General">
                        <c:v>-31.81</c:v>
                      </c:pt>
                      <c:pt idx="70" formatCode="General">
                        <c:v>-31.963636363636365</c:v>
                      </c:pt>
                      <c:pt idx="71" formatCode="General">
                        <c:v>-32.117272727272727</c:v>
                      </c:pt>
                      <c:pt idx="72" formatCode="General">
                        <c:v>-32.269022556390979</c:v>
                      </c:pt>
                      <c:pt idx="73" formatCode="General">
                        <c:v>-32.418571428571433</c:v>
                      </c:pt>
                      <c:pt idx="74" formatCode="General">
                        <c:v>-32.568120300751879</c:v>
                      </c:pt>
                      <c:pt idx="75" formatCode="General">
                        <c:v>-32.717669172932332</c:v>
                      </c:pt>
                      <c:pt idx="76" formatCode="General">
                        <c:v>-32.867218045112779</c:v>
                      </c:pt>
                      <c:pt idx="77" formatCode="General">
                        <c:v>-33.016766917293232</c:v>
                      </c:pt>
                      <c:pt idx="78" formatCode="General">
                        <c:v>-33.166315789473686</c:v>
                      </c:pt>
                      <c:pt idx="79" formatCode="General">
                        <c:v>-33.315864661654132</c:v>
                      </c:pt>
                      <c:pt idx="80" formatCode="General">
                        <c:v>-33.465413533834585</c:v>
                      </c:pt>
                      <c:pt idx="81" formatCode="General">
                        <c:v>-33.614962406015032</c:v>
                      </c:pt>
                      <c:pt idx="82" formatCode="General">
                        <c:v>-33.763358208955218</c:v>
                      </c:pt>
                      <c:pt idx="83" formatCode="General">
                        <c:v>-33.907910447761189</c:v>
                      </c:pt>
                      <c:pt idx="84" formatCode="General">
                        <c:v>-34.052462686567161</c:v>
                      </c:pt>
                      <c:pt idx="85" formatCode="General">
                        <c:v>-34.197014925373132</c:v>
                      </c:pt>
                      <c:pt idx="86" formatCode="General">
                        <c:v>-34.341567164179104</c:v>
                      </c:pt>
                      <c:pt idx="87" formatCode="General">
                        <c:v>-34.486119402985075</c:v>
                      </c:pt>
                      <c:pt idx="88" formatCode="General">
                        <c:v>-34.630671641791039</c:v>
                      </c:pt>
                      <c:pt idx="89" formatCode="General">
                        <c:v>-34.775223880597011</c:v>
                      </c:pt>
                      <c:pt idx="90" formatCode="General">
                        <c:v>-34.919776119402982</c:v>
                      </c:pt>
                      <c:pt idx="91" formatCode="General">
                        <c:v>-35.064328358208954</c:v>
                      </c:pt>
                      <c:pt idx="92" formatCode="General">
                        <c:v>-35.208880597014925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222D-49B9-B930-702E037C4575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-22.018918918918921</c:v>
                      </c:pt>
                      <c:pt idx="1">
                        <c:v>-21.69099099099099</c:v>
                      </c:pt>
                      <c:pt idx="2" formatCode="General">
                        <c:v>-21.363063063063063</c:v>
                      </c:pt>
                      <c:pt idx="3" formatCode="General">
                        <c:v>-21.328293413173654</c:v>
                      </c:pt>
                      <c:pt idx="4" formatCode="General">
                        <c:v>-21.363323353293413</c:v>
                      </c:pt>
                      <c:pt idx="5" formatCode="General">
                        <c:v>-21.428053892215569</c:v>
                      </c:pt>
                      <c:pt idx="6" formatCode="General">
                        <c:v>-21.587634730538923</c:v>
                      </c:pt>
                      <c:pt idx="7" formatCode="General">
                        <c:v>-21.747215568862277</c:v>
                      </c:pt>
                      <c:pt idx="8" formatCode="General">
                        <c:v>-21.901586826347305</c:v>
                      </c:pt>
                      <c:pt idx="9" formatCode="General">
                        <c:v>-22.053383233532934</c:v>
                      </c:pt>
                      <c:pt idx="10" formatCode="General">
                        <c:v>-22.201287425149701</c:v>
                      </c:pt>
                      <c:pt idx="11" formatCode="General">
                        <c:v>-22.314161676646709</c:v>
                      </c:pt>
                      <c:pt idx="12" formatCode="General">
                        <c:v>-22.427035928143713</c:v>
                      </c:pt>
                      <c:pt idx="13" formatCode="General">
                        <c:v>-22.544041916167664</c:v>
                      </c:pt>
                      <c:pt idx="14" formatCode="General">
                        <c:v>-22.664700598802394</c:v>
                      </c:pt>
                      <c:pt idx="15" formatCode="General">
                        <c:v>-22.785359281437124</c:v>
                      </c:pt>
                      <c:pt idx="16" formatCode="General">
                        <c:v>-22.883843843843842</c:v>
                      </c:pt>
                      <c:pt idx="17" formatCode="General">
                        <c:v>-22.98144144144144</c:v>
                      </c:pt>
                      <c:pt idx="18" formatCode="General">
                        <c:v>-23.1162874251497</c:v>
                      </c:pt>
                      <c:pt idx="19" formatCode="General">
                        <c:v>-23.307005988023953</c:v>
                      </c:pt>
                      <c:pt idx="20" formatCode="General">
                        <c:v>-23.497724550898205</c:v>
                      </c:pt>
                      <c:pt idx="21" formatCode="General">
                        <c:v>-23.691676646706586</c:v>
                      </c:pt>
                      <c:pt idx="22" formatCode="General">
                        <c:v>-23.8862874251497</c:v>
                      </c:pt>
                      <c:pt idx="23" formatCode="General">
                        <c:v>-24.078862275449104</c:v>
                      </c:pt>
                      <c:pt idx="24" formatCode="General">
                        <c:v>-24.265688622754492</c:v>
                      </c:pt>
                      <c:pt idx="25" formatCode="General">
                        <c:v>-24.45251497005988</c:v>
                      </c:pt>
                      <c:pt idx="26" formatCode="General">
                        <c:v>-24.639341317365272</c:v>
                      </c:pt>
                      <c:pt idx="27" formatCode="General">
                        <c:v>-24.82616766467066</c:v>
                      </c:pt>
                      <c:pt idx="28" formatCode="General">
                        <c:v>-25.012994011976048</c:v>
                      </c:pt>
                      <c:pt idx="29" formatCode="General">
                        <c:v>-25.199820359281436</c:v>
                      </c:pt>
                      <c:pt idx="30" formatCode="General">
                        <c:v>-25.386646706586827</c:v>
                      </c:pt>
                      <c:pt idx="31" formatCode="General">
                        <c:v>-25.567617977528091</c:v>
                      </c:pt>
                      <c:pt idx="32" formatCode="General">
                        <c:v>-25.743872659176031</c:v>
                      </c:pt>
                      <c:pt idx="33" formatCode="General">
                        <c:v>-25.920127340823971</c:v>
                      </c:pt>
                      <c:pt idx="34" formatCode="General">
                        <c:v>-26.096382022471911</c:v>
                      </c:pt>
                      <c:pt idx="35" formatCode="General">
                        <c:v>-26.272636704119851</c:v>
                      </c:pt>
                      <c:pt idx="36" formatCode="General">
                        <c:v>-26.448891385767791</c:v>
                      </c:pt>
                      <c:pt idx="37" formatCode="General">
                        <c:v>-26.625146067415731</c:v>
                      </c:pt>
                      <c:pt idx="38" formatCode="General">
                        <c:v>-26.801400749063671</c:v>
                      </c:pt>
                      <c:pt idx="39" formatCode="General">
                        <c:v>-26.977655430711611</c:v>
                      </c:pt>
                      <c:pt idx="40" formatCode="General">
                        <c:v>-27.153910112359551</c:v>
                      </c:pt>
                      <c:pt idx="41" formatCode="General">
                        <c:v>-27.327670411985022</c:v>
                      </c:pt>
                      <c:pt idx="42" formatCode="General">
                        <c:v>-27.495161048689141</c:v>
                      </c:pt>
                      <c:pt idx="43" formatCode="General">
                        <c:v>-27.662651685393261</c:v>
                      </c:pt>
                      <c:pt idx="44" formatCode="General">
                        <c:v>-27.83014232209738</c:v>
                      </c:pt>
                      <c:pt idx="45" formatCode="General">
                        <c:v>-27.9976329588015</c:v>
                      </c:pt>
                      <c:pt idx="46" formatCode="General">
                        <c:v>-28.165123595505619</c:v>
                      </c:pt>
                      <c:pt idx="47" formatCode="General">
                        <c:v>-28.332614232209739</c:v>
                      </c:pt>
                      <c:pt idx="48" formatCode="General">
                        <c:v>-28.500104868913859</c:v>
                      </c:pt>
                      <c:pt idx="49" formatCode="General">
                        <c:v>-28.667595505617978</c:v>
                      </c:pt>
                      <c:pt idx="50" formatCode="General">
                        <c:v>-28.835086142322098</c:v>
                      </c:pt>
                      <c:pt idx="51" formatCode="General">
                        <c:v>-29.002447447447448</c:v>
                      </c:pt>
                      <c:pt idx="52" formatCode="General">
                        <c:v>-29.161531531531534</c:v>
                      </c:pt>
                      <c:pt idx="53" formatCode="General">
                        <c:v>-29.320615615615615</c:v>
                      </c:pt>
                      <c:pt idx="54" formatCode="General">
                        <c:v>-29.479699699699701</c:v>
                      </c:pt>
                      <c:pt idx="55" formatCode="General">
                        <c:v>-29.638783783783783</c:v>
                      </c:pt>
                      <c:pt idx="56" formatCode="General">
                        <c:v>-29.797867867867868</c:v>
                      </c:pt>
                      <c:pt idx="57" formatCode="General">
                        <c:v>-29.95695195195195</c:v>
                      </c:pt>
                      <c:pt idx="58" formatCode="General">
                        <c:v>-30.116036036036036</c:v>
                      </c:pt>
                      <c:pt idx="59" formatCode="General">
                        <c:v>-30.275120120120121</c:v>
                      </c:pt>
                      <c:pt idx="60" formatCode="General">
                        <c:v>-30.434204204204203</c:v>
                      </c:pt>
                      <c:pt idx="61" formatCode="General">
                        <c:v>-30.593288288288289</c:v>
                      </c:pt>
                      <c:pt idx="62" formatCode="General">
                        <c:v>-30.747647058823528</c:v>
                      </c:pt>
                      <c:pt idx="63" formatCode="General">
                        <c:v>-30.900588235294119</c:v>
                      </c:pt>
                      <c:pt idx="64" formatCode="General">
                        <c:v>-31.053636363636365</c:v>
                      </c:pt>
                      <c:pt idx="65" formatCode="General">
                        <c:v>-31.207272727272727</c:v>
                      </c:pt>
                      <c:pt idx="66" formatCode="General">
                        <c:v>-31.360909090909093</c:v>
                      </c:pt>
                      <c:pt idx="67" formatCode="General">
                        <c:v>-31.511764705882353</c:v>
                      </c:pt>
                      <c:pt idx="68" formatCode="General">
                        <c:v>-31.660882352941176</c:v>
                      </c:pt>
                      <c:pt idx="69" formatCode="General">
                        <c:v>-31.81</c:v>
                      </c:pt>
                      <c:pt idx="70" formatCode="General">
                        <c:v>-31.963636363636365</c:v>
                      </c:pt>
                      <c:pt idx="71" formatCode="General">
                        <c:v>-32.117272727272727</c:v>
                      </c:pt>
                      <c:pt idx="72" formatCode="General">
                        <c:v>-32.269022556390979</c:v>
                      </c:pt>
                      <c:pt idx="73" formatCode="General">
                        <c:v>-32.418571428571433</c:v>
                      </c:pt>
                      <c:pt idx="74" formatCode="General">
                        <c:v>-32.568120300751879</c:v>
                      </c:pt>
                      <c:pt idx="75" formatCode="General">
                        <c:v>-32.717669172932332</c:v>
                      </c:pt>
                      <c:pt idx="76" formatCode="General">
                        <c:v>-32.867218045112779</c:v>
                      </c:pt>
                      <c:pt idx="77" formatCode="General">
                        <c:v>-33.016766917293232</c:v>
                      </c:pt>
                      <c:pt idx="78" formatCode="General">
                        <c:v>-33.166315789473686</c:v>
                      </c:pt>
                      <c:pt idx="79" formatCode="General">
                        <c:v>-33.315864661654132</c:v>
                      </c:pt>
                      <c:pt idx="80" formatCode="General">
                        <c:v>-33.465413533834585</c:v>
                      </c:pt>
                      <c:pt idx="81" formatCode="General">
                        <c:v>-33.614962406015032</c:v>
                      </c:pt>
                      <c:pt idx="82" formatCode="General">
                        <c:v>-33.763358208955218</c:v>
                      </c:pt>
                      <c:pt idx="83" formatCode="General">
                        <c:v>-33.907910447761189</c:v>
                      </c:pt>
                      <c:pt idx="84" formatCode="General">
                        <c:v>-34.052462686567161</c:v>
                      </c:pt>
                      <c:pt idx="85" formatCode="General">
                        <c:v>-34.197014925373132</c:v>
                      </c:pt>
                      <c:pt idx="86" formatCode="General">
                        <c:v>-34.341567164179104</c:v>
                      </c:pt>
                      <c:pt idx="87" formatCode="General">
                        <c:v>-34.486119402985075</c:v>
                      </c:pt>
                      <c:pt idx="88" formatCode="General">
                        <c:v>-34.630671641791039</c:v>
                      </c:pt>
                      <c:pt idx="89" formatCode="General">
                        <c:v>-34.775223880597011</c:v>
                      </c:pt>
                      <c:pt idx="90" formatCode="General">
                        <c:v>-34.919776119402982</c:v>
                      </c:pt>
                      <c:pt idx="91" formatCode="General">
                        <c:v>-35.064328358208954</c:v>
                      </c:pt>
                      <c:pt idx="92" formatCode="General">
                        <c:v>-35.208880597014925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222D-49B9-B930-702E037C4575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-22.018918918918921</c:v>
                      </c:pt>
                      <c:pt idx="1">
                        <c:v>-21.69099099099099</c:v>
                      </c:pt>
                      <c:pt idx="2" formatCode="General">
                        <c:v>-21.363063063063063</c:v>
                      </c:pt>
                      <c:pt idx="3" formatCode="General">
                        <c:v>-21.328293413173654</c:v>
                      </c:pt>
                      <c:pt idx="4" formatCode="General">
                        <c:v>-21.363323353293413</c:v>
                      </c:pt>
                      <c:pt idx="5" formatCode="General">
                        <c:v>-21.428053892215569</c:v>
                      </c:pt>
                      <c:pt idx="6" formatCode="General">
                        <c:v>-21.587634730538923</c:v>
                      </c:pt>
                      <c:pt idx="7" formatCode="General">
                        <c:v>-21.747215568862277</c:v>
                      </c:pt>
                      <c:pt idx="8" formatCode="General">
                        <c:v>-21.901586826347305</c:v>
                      </c:pt>
                      <c:pt idx="9" formatCode="General">
                        <c:v>-22.053383233532934</c:v>
                      </c:pt>
                      <c:pt idx="10" formatCode="General">
                        <c:v>-22.201287425149701</c:v>
                      </c:pt>
                      <c:pt idx="11" formatCode="General">
                        <c:v>-22.314161676646709</c:v>
                      </c:pt>
                      <c:pt idx="12" formatCode="General">
                        <c:v>-22.427035928143713</c:v>
                      </c:pt>
                      <c:pt idx="13" formatCode="General">
                        <c:v>-22.544041916167664</c:v>
                      </c:pt>
                      <c:pt idx="14" formatCode="General">
                        <c:v>-22.664700598802394</c:v>
                      </c:pt>
                      <c:pt idx="15" formatCode="General">
                        <c:v>-22.785359281437124</c:v>
                      </c:pt>
                      <c:pt idx="16" formatCode="General">
                        <c:v>-22.883843843843842</c:v>
                      </c:pt>
                      <c:pt idx="17" formatCode="General">
                        <c:v>-22.98144144144144</c:v>
                      </c:pt>
                      <c:pt idx="18" formatCode="General">
                        <c:v>-23.1162874251497</c:v>
                      </c:pt>
                      <c:pt idx="19" formatCode="General">
                        <c:v>-23.307005988023953</c:v>
                      </c:pt>
                      <c:pt idx="20" formatCode="General">
                        <c:v>-23.497724550898205</c:v>
                      </c:pt>
                      <c:pt idx="21" formatCode="General">
                        <c:v>-23.691676646706586</c:v>
                      </c:pt>
                      <c:pt idx="22" formatCode="General">
                        <c:v>-23.8862874251497</c:v>
                      </c:pt>
                      <c:pt idx="23" formatCode="General">
                        <c:v>-24.078862275449104</c:v>
                      </c:pt>
                      <c:pt idx="24" formatCode="General">
                        <c:v>-24.265688622754492</c:v>
                      </c:pt>
                      <c:pt idx="25" formatCode="General">
                        <c:v>-24.45251497005988</c:v>
                      </c:pt>
                      <c:pt idx="26" formatCode="General">
                        <c:v>-24.639341317365272</c:v>
                      </c:pt>
                      <c:pt idx="27" formatCode="General">
                        <c:v>-24.82616766467066</c:v>
                      </c:pt>
                      <c:pt idx="28" formatCode="General">
                        <c:v>-25.012994011976048</c:v>
                      </c:pt>
                      <c:pt idx="29" formatCode="General">
                        <c:v>-25.199820359281436</c:v>
                      </c:pt>
                      <c:pt idx="30" formatCode="General">
                        <c:v>-25.386646706586827</c:v>
                      </c:pt>
                      <c:pt idx="31" formatCode="General">
                        <c:v>-25.567617977528091</c:v>
                      </c:pt>
                      <c:pt idx="32" formatCode="General">
                        <c:v>-25.743872659176031</c:v>
                      </c:pt>
                      <c:pt idx="33" formatCode="General">
                        <c:v>-25.920127340823971</c:v>
                      </c:pt>
                      <c:pt idx="34" formatCode="General">
                        <c:v>-26.096382022471911</c:v>
                      </c:pt>
                      <c:pt idx="35" formatCode="General">
                        <c:v>-26.272636704119851</c:v>
                      </c:pt>
                      <c:pt idx="36" formatCode="General">
                        <c:v>-26.448891385767791</c:v>
                      </c:pt>
                      <c:pt idx="37" formatCode="General">
                        <c:v>-26.625146067415731</c:v>
                      </c:pt>
                      <c:pt idx="38" formatCode="General">
                        <c:v>-26.801400749063671</c:v>
                      </c:pt>
                      <c:pt idx="39" formatCode="General">
                        <c:v>-26.977655430711611</c:v>
                      </c:pt>
                      <c:pt idx="40" formatCode="General">
                        <c:v>-27.153910112359551</c:v>
                      </c:pt>
                      <c:pt idx="41" formatCode="General">
                        <c:v>-27.327670411985022</c:v>
                      </c:pt>
                      <c:pt idx="42" formatCode="General">
                        <c:v>-27.495161048689141</c:v>
                      </c:pt>
                      <c:pt idx="43" formatCode="General">
                        <c:v>-27.662651685393261</c:v>
                      </c:pt>
                      <c:pt idx="44" formatCode="General">
                        <c:v>-27.83014232209738</c:v>
                      </c:pt>
                      <c:pt idx="45" formatCode="General">
                        <c:v>-27.9976329588015</c:v>
                      </c:pt>
                      <c:pt idx="46" formatCode="General">
                        <c:v>-28.165123595505619</c:v>
                      </c:pt>
                      <c:pt idx="47" formatCode="General">
                        <c:v>-28.332614232209739</c:v>
                      </c:pt>
                      <c:pt idx="48" formatCode="General">
                        <c:v>-28.500104868913859</c:v>
                      </c:pt>
                      <c:pt idx="49" formatCode="General">
                        <c:v>-28.667595505617978</c:v>
                      </c:pt>
                      <c:pt idx="50" formatCode="General">
                        <c:v>-28.835086142322098</c:v>
                      </c:pt>
                      <c:pt idx="51" formatCode="General">
                        <c:v>-29.002447447447448</c:v>
                      </c:pt>
                      <c:pt idx="52" formatCode="General">
                        <c:v>-29.161531531531534</c:v>
                      </c:pt>
                      <c:pt idx="53" formatCode="General">
                        <c:v>-29.320615615615615</c:v>
                      </c:pt>
                      <c:pt idx="54" formatCode="General">
                        <c:v>-29.479699699699701</c:v>
                      </c:pt>
                      <c:pt idx="55" formatCode="General">
                        <c:v>-29.638783783783783</c:v>
                      </c:pt>
                      <c:pt idx="56" formatCode="General">
                        <c:v>-29.797867867867868</c:v>
                      </c:pt>
                      <c:pt idx="57" formatCode="General">
                        <c:v>-29.95695195195195</c:v>
                      </c:pt>
                      <c:pt idx="58" formatCode="General">
                        <c:v>-30.116036036036036</c:v>
                      </c:pt>
                      <c:pt idx="59" formatCode="General">
                        <c:v>-30.275120120120121</c:v>
                      </c:pt>
                      <c:pt idx="60" formatCode="General">
                        <c:v>-30.434204204204203</c:v>
                      </c:pt>
                      <c:pt idx="61" formatCode="General">
                        <c:v>-30.593288288288289</c:v>
                      </c:pt>
                      <c:pt idx="62" formatCode="General">
                        <c:v>-30.747647058823528</c:v>
                      </c:pt>
                      <c:pt idx="63" formatCode="General">
                        <c:v>-30.900588235294119</c:v>
                      </c:pt>
                      <c:pt idx="64" formatCode="General">
                        <c:v>-31.053636363636365</c:v>
                      </c:pt>
                      <c:pt idx="65" formatCode="General">
                        <c:v>-31.207272727272727</c:v>
                      </c:pt>
                      <c:pt idx="66" formatCode="General">
                        <c:v>-31.360909090909093</c:v>
                      </c:pt>
                      <c:pt idx="67" formatCode="General">
                        <c:v>-31.511764705882353</c:v>
                      </c:pt>
                      <c:pt idx="68" formatCode="General">
                        <c:v>-31.660882352941176</c:v>
                      </c:pt>
                      <c:pt idx="69" formatCode="General">
                        <c:v>-31.81</c:v>
                      </c:pt>
                      <c:pt idx="70" formatCode="General">
                        <c:v>-31.963636363636365</c:v>
                      </c:pt>
                      <c:pt idx="71" formatCode="General">
                        <c:v>-32.117272727272727</c:v>
                      </c:pt>
                      <c:pt idx="72" formatCode="General">
                        <c:v>-32.269022556390979</c:v>
                      </c:pt>
                      <c:pt idx="73" formatCode="General">
                        <c:v>-32.418571428571433</c:v>
                      </c:pt>
                      <c:pt idx="74" formatCode="General">
                        <c:v>-32.568120300751879</c:v>
                      </c:pt>
                      <c:pt idx="75" formatCode="General">
                        <c:v>-32.717669172932332</c:v>
                      </c:pt>
                      <c:pt idx="76" formatCode="General">
                        <c:v>-32.867218045112779</c:v>
                      </c:pt>
                      <c:pt idx="77" formatCode="General">
                        <c:v>-33.016766917293232</c:v>
                      </c:pt>
                      <c:pt idx="78" formatCode="General">
                        <c:v>-33.166315789473686</c:v>
                      </c:pt>
                      <c:pt idx="79" formatCode="General">
                        <c:v>-33.315864661654132</c:v>
                      </c:pt>
                      <c:pt idx="80" formatCode="General">
                        <c:v>-33.465413533834585</c:v>
                      </c:pt>
                      <c:pt idx="81" formatCode="General">
                        <c:v>-33.614962406015032</c:v>
                      </c:pt>
                      <c:pt idx="82" formatCode="General">
                        <c:v>-33.763358208955218</c:v>
                      </c:pt>
                      <c:pt idx="83" formatCode="General">
                        <c:v>-33.907910447761189</c:v>
                      </c:pt>
                      <c:pt idx="84" formatCode="General">
                        <c:v>-34.052462686567161</c:v>
                      </c:pt>
                      <c:pt idx="85" formatCode="General">
                        <c:v>-34.197014925373132</c:v>
                      </c:pt>
                      <c:pt idx="86" formatCode="General">
                        <c:v>-34.341567164179104</c:v>
                      </c:pt>
                      <c:pt idx="87" formatCode="General">
                        <c:v>-34.486119402985075</c:v>
                      </c:pt>
                      <c:pt idx="88" formatCode="General">
                        <c:v>-34.630671641791039</c:v>
                      </c:pt>
                      <c:pt idx="89" formatCode="General">
                        <c:v>-34.775223880597011</c:v>
                      </c:pt>
                      <c:pt idx="90" formatCode="General">
                        <c:v>-34.919776119402982</c:v>
                      </c:pt>
                      <c:pt idx="91" formatCode="General">
                        <c:v>-35.064328358208954</c:v>
                      </c:pt>
                      <c:pt idx="92" formatCode="General">
                        <c:v>-35.208880597014925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222D-49B9-B930-702E037C4575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-15.70018018018018</c:v>
                      </c:pt>
                      <c:pt idx="1">
                        <c:v>-14.888168168168168</c:v>
                      </c:pt>
                      <c:pt idx="2" formatCode="General">
                        <c:v>-14.076156156156156</c:v>
                      </c:pt>
                      <c:pt idx="3" formatCode="General">
                        <c:v>-13.171796407185628</c:v>
                      </c:pt>
                      <c:pt idx="4" formatCode="General">
                        <c:v>-12.245449101796405</c:v>
                      </c:pt>
                      <c:pt idx="5" formatCode="General">
                        <c:v>-11.336365269461076</c:v>
                      </c:pt>
                      <c:pt idx="6" formatCode="General">
                        <c:v>-10.482413173652693</c:v>
                      </c:pt>
                      <c:pt idx="7" formatCode="General">
                        <c:v>-9.628461077844312</c:v>
                      </c:pt>
                      <c:pt idx="8" formatCode="General">
                        <c:v>-8.8943293413173663</c:v>
                      </c:pt>
                      <c:pt idx="9" formatCode="General">
                        <c:v>-8.2194191616766474</c:v>
                      </c:pt>
                      <c:pt idx="10" formatCode="General">
                        <c:v>-7.5707814371257482</c:v>
                      </c:pt>
                      <c:pt idx="11" formatCode="General">
                        <c:v>-7.1585958083832333</c:v>
                      </c:pt>
                      <c:pt idx="12" formatCode="General">
                        <c:v>-6.7464101796407192</c:v>
                      </c:pt>
                      <c:pt idx="13" formatCode="General">
                        <c:v>-6.4751167664670657</c:v>
                      </c:pt>
                      <c:pt idx="14" formatCode="General">
                        <c:v>-6.3283802395209579</c:v>
                      </c:pt>
                      <c:pt idx="15" formatCode="General">
                        <c:v>-6.18164371257485</c:v>
                      </c:pt>
                      <c:pt idx="16" formatCode="General">
                        <c:v>-6.4226216216216221</c:v>
                      </c:pt>
                      <c:pt idx="17" formatCode="General">
                        <c:v>-6.6791081081081085</c:v>
                      </c:pt>
                      <c:pt idx="18" formatCode="General">
                        <c:v>-6.8345568862275448</c:v>
                      </c:pt>
                      <c:pt idx="19" formatCode="General">
                        <c:v>-6.8384491017964075</c:v>
                      </c:pt>
                      <c:pt idx="20" formatCode="General">
                        <c:v>-6.8423413173652694</c:v>
                      </c:pt>
                      <c:pt idx="21" formatCode="General">
                        <c:v>-6.8627245508982035</c:v>
                      </c:pt>
                      <c:pt idx="22" formatCode="General">
                        <c:v>-6.8864670658682634</c:v>
                      </c:pt>
                      <c:pt idx="23" formatCode="General">
                        <c:v>-6.911838323353293</c:v>
                      </c:pt>
                      <c:pt idx="24" formatCode="General">
                        <c:v>-6.9418083832335329</c:v>
                      </c:pt>
                      <c:pt idx="25" formatCode="General">
                        <c:v>-6.9717784431137719</c:v>
                      </c:pt>
                      <c:pt idx="26" formatCode="General">
                        <c:v>-7.0028263473053896</c:v>
                      </c:pt>
                      <c:pt idx="27" formatCode="General">
                        <c:v>-7.0343532934131741</c:v>
                      </c:pt>
                      <c:pt idx="28" formatCode="General">
                        <c:v>-7.0658802395209586</c:v>
                      </c:pt>
                      <c:pt idx="29" formatCode="General">
                        <c:v>-7.0974071856287431</c:v>
                      </c:pt>
                      <c:pt idx="30" formatCode="General">
                        <c:v>-7.1289341317365267</c:v>
                      </c:pt>
                      <c:pt idx="31" formatCode="General">
                        <c:v>-7.1602584269662923</c:v>
                      </c:pt>
                      <c:pt idx="32" formatCode="General">
                        <c:v>-7.1914194756554304</c:v>
                      </c:pt>
                      <c:pt idx="33" formatCode="General">
                        <c:v>-7.2225805243445693</c:v>
                      </c:pt>
                      <c:pt idx="34" formatCode="General">
                        <c:v>-7.2537415730337083</c:v>
                      </c:pt>
                      <c:pt idx="35" formatCode="General">
                        <c:v>-7.2849026217228463</c:v>
                      </c:pt>
                      <c:pt idx="36" formatCode="General">
                        <c:v>-7.3160636704119852</c:v>
                      </c:pt>
                      <c:pt idx="37" formatCode="General">
                        <c:v>-7.3472247191011233</c:v>
                      </c:pt>
                      <c:pt idx="38" formatCode="General">
                        <c:v>-7.3783857677902622</c:v>
                      </c:pt>
                      <c:pt idx="39" formatCode="General">
                        <c:v>-7.4095468164794012</c:v>
                      </c:pt>
                      <c:pt idx="40" formatCode="General">
                        <c:v>-7.4407078651685392</c:v>
                      </c:pt>
                      <c:pt idx="41" formatCode="General">
                        <c:v>-7.471370037453184</c:v>
                      </c:pt>
                      <c:pt idx="42" formatCode="General">
                        <c:v>-7.5007782771535583</c:v>
                      </c:pt>
                      <c:pt idx="43" formatCode="General">
                        <c:v>-7.5301865168539326</c:v>
                      </c:pt>
                      <c:pt idx="44" formatCode="General">
                        <c:v>-7.5595947565543069</c:v>
                      </c:pt>
                      <c:pt idx="45" formatCode="General">
                        <c:v>-7.5890029962546812</c:v>
                      </c:pt>
                      <c:pt idx="46" formatCode="General">
                        <c:v>-7.6184112359550564</c:v>
                      </c:pt>
                      <c:pt idx="47" formatCode="General">
                        <c:v>-7.6478194756554307</c:v>
                      </c:pt>
                      <c:pt idx="48" formatCode="General">
                        <c:v>-7.6772277153558051</c:v>
                      </c:pt>
                      <c:pt idx="49" formatCode="General">
                        <c:v>-7.7066359550561794</c:v>
                      </c:pt>
                      <c:pt idx="50" formatCode="General">
                        <c:v>-7.7360441947565537</c:v>
                      </c:pt>
                      <c:pt idx="51" formatCode="General">
                        <c:v>-7.7654249249249245</c:v>
                      </c:pt>
                      <c:pt idx="52" formatCode="General">
                        <c:v>-7.7930450450450452</c:v>
                      </c:pt>
                      <c:pt idx="53" formatCode="General">
                        <c:v>-7.8206651651651651</c:v>
                      </c:pt>
                      <c:pt idx="54" formatCode="General">
                        <c:v>-7.8482852852852849</c:v>
                      </c:pt>
                      <c:pt idx="55" formatCode="General">
                        <c:v>-7.8759054054054056</c:v>
                      </c:pt>
                      <c:pt idx="56" formatCode="General">
                        <c:v>-7.9035255255255255</c:v>
                      </c:pt>
                      <c:pt idx="57" formatCode="General">
                        <c:v>-7.9311456456456453</c:v>
                      </c:pt>
                      <c:pt idx="58" formatCode="General">
                        <c:v>-7.958765765765766</c:v>
                      </c:pt>
                      <c:pt idx="59" formatCode="General">
                        <c:v>-7.9863858858858858</c:v>
                      </c:pt>
                      <c:pt idx="60" formatCode="General">
                        <c:v>-8.0140060060060065</c:v>
                      </c:pt>
                      <c:pt idx="61" formatCode="General">
                        <c:v>-8.0416261261261255</c:v>
                      </c:pt>
                      <c:pt idx="62" formatCode="General">
                        <c:v>-8.0679999999999996</c:v>
                      </c:pt>
                      <c:pt idx="63" formatCode="General">
                        <c:v>-8.0939999999999994</c:v>
                      </c:pt>
                      <c:pt idx="64" formatCode="General">
                        <c:v>-8.1199999999999992</c:v>
                      </c:pt>
                      <c:pt idx="65" formatCode="General">
                        <c:v>-8.1460000000000008</c:v>
                      </c:pt>
                      <c:pt idx="66" formatCode="General">
                        <c:v>-8.1720000000000006</c:v>
                      </c:pt>
                      <c:pt idx="67" formatCode="General">
                        <c:v>-8.1975294117647053</c:v>
                      </c:pt>
                      <c:pt idx="68" formatCode="General">
                        <c:v>-8.2227647058823532</c:v>
                      </c:pt>
                      <c:pt idx="69" formatCode="General">
                        <c:v>-8.2479999999999993</c:v>
                      </c:pt>
                      <c:pt idx="70" formatCode="General">
                        <c:v>-8.2736060606060597</c:v>
                      </c:pt>
                      <c:pt idx="71" formatCode="General">
                        <c:v>-8.2992121212121219</c:v>
                      </c:pt>
                      <c:pt idx="72" formatCode="General">
                        <c:v>-8.3241879699248127</c:v>
                      </c:pt>
                      <c:pt idx="73" formatCode="General">
                        <c:v>-8.3484285714285722</c:v>
                      </c:pt>
                      <c:pt idx="74" formatCode="General">
                        <c:v>-8.3726691729323317</c:v>
                      </c:pt>
                      <c:pt idx="75" formatCode="General">
                        <c:v>-8.3969097744360912</c:v>
                      </c:pt>
                      <c:pt idx="76" formatCode="General">
                        <c:v>-8.4211503759398507</c:v>
                      </c:pt>
                      <c:pt idx="77" formatCode="General">
                        <c:v>-8.4453909774436084</c:v>
                      </c:pt>
                      <c:pt idx="78" formatCode="General">
                        <c:v>-8.469631578947368</c:v>
                      </c:pt>
                      <c:pt idx="79" formatCode="General">
                        <c:v>-8.4938721804511275</c:v>
                      </c:pt>
                      <c:pt idx="80" formatCode="General">
                        <c:v>-8.518112781954887</c:v>
                      </c:pt>
                      <c:pt idx="81" formatCode="General">
                        <c:v>-8.5423533834586465</c:v>
                      </c:pt>
                      <c:pt idx="82" formatCode="General">
                        <c:v>-8.5662388059701495</c:v>
                      </c:pt>
                      <c:pt idx="83" formatCode="General">
                        <c:v>-8.5889402985074632</c:v>
                      </c:pt>
                      <c:pt idx="84" formatCode="General">
                        <c:v>-8.6116417910447769</c:v>
                      </c:pt>
                      <c:pt idx="85" formatCode="General">
                        <c:v>-8.6343432835820888</c:v>
                      </c:pt>
                      <c:pt idx="86" formatCode="General">
                        <c:v>-8.6570447761194025</c:v>
                      </c:pt>
                      <c:pt idx="87" formatCode="General">
                        <c:v>-8.6797462686567162</c:v>
                      </c:pt>
                      <c:pt idx="88" formatCode="General">
                        <c:v>-8.7024477611940299</c:v>
                      </c:pt>
                      <c:pt idx="89" formatCode="General">
                        <c:v>-8.7251492537313435</c:v>
                      </c:pt>
                      <c:pt idx="90" formatCode="General">
                        <c:v>-8.7478507462686572</c:v>
                      </c:pt>
                      <c:pt idx="91" formatCode="General">
                        <c:v>-8.7705522388059709</c:v>
                      </c:pt>
                      <c:pt idx="92" formatCode="General">
                        <c:v>-8.7932537313432828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222D-49B9-B930-702E037C4575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-18.878558558558559</c:v>
                      </c:pt>
                      <c:pt idx="1">
                        <c:v>-18.874654654654655</c:v>
                      </c:pt>
                      <c:pt idx="2" formatCode="General">
                        <c:v>-18.870750750750751</c:v>
                      </c:pt>
                      <c:pt idx="3" formatCode="General">
                        <c:v>-18.879431137724552</c:v>
                      </c:pt>
                      <c:pt idx="4" formatCode="General">
                        <c:v>-18.891107784431139</c:v>
                      </c:pt>
                      <c:pt idx="5" formatCode="General">
                        <c:v>-18.903712574850299</c:v>
                      </c:pt>
                      <c:pt idx="6" formatCode="General">
                        <c:v>-18.919281437125747</c:v>
                      </c:pt>
                      <c:pt idx="7" formatCode="General">
                        <c:v>-18.934850299401198</c:v>
                      </c:pt>
                      <c:pt idx="8" formatCode="General">
                        <c:v>-18.953023952095808</c:v>
                      </c:pt>
                      <c:pt idx="9" formatCode="General">
                        <c:v>-18.97248502994012</c:v>
                      </c:pt>
                      <c:pt idx="10" formatCode="General">
                        <c:v>-18.991946107784429</c:v>
                      </c:pt>
                      <c:pt idx="11" formatCode="General">
                        <c:v>-19.011407185628741</c:v>
                      </c:pt>
                      <c:pt idx="12" formatCode="General">
                        <c:v>-19.030868263473053</c:v>
                      </c:pt>
                      <c:pt idx="13" formatCode="General">
                        <c:v>-19.046197604790418</c:v>
                      </c:pt>
                      <c:pt idx="14" formatCode="General">
                        <c:v>-19.057874251497005</c:v>
                      </c:pt>
                      <c:pt idx="15" formatCode="General">
                        <c:v>-19.069550898203595</c:v>
                      </c:pt>
                      <c:pt idx="16" formatCode="General">
                        <c:v>-19.028708708708709</c:v>
                      </c:pt>
                      <c:pt idx="17" formatCode="General">
                        <c:v>-18.985765765765766</c:v>
                      </c:pt>
                      <c:pt idx="18" formatCode="General">
                        <c:v>-18.970898203592814</c:v>
                      </c:pt>
                      <c:pt idx="19" formatCode="General">
                        <c:v>-18.998143712574851</c:v>
                      </c:pt>
                      <c:pt idx="20" formatCode="General">
                        <c:v>-19.025389221556889</c:v>
                      </c:pt>
                      <c:pt idx="21" formatCode="General">
                        <c:v>-19.052634730538923</c:v>
                      </c:pt>
                      <c:pt idx="22" formatCode="General">
                        <c:v>-19.079880239520961</c:v>
                      </c:pt>
                      <c:pt idx="23" formatCode="General">
                        <c:v>-19.107125748502995</c:v>
                      </c:pt>
                      <c:pt idx="24" formatCode="General">
                        <c:v>-19.134371257485032</c:v>
                      </c:pt>
                      <c:pt idx="25" formatCode="General">
                        <c:v>-19.161616766467066</c:v>
                      </c:pt>
                      <c:pt idx="26" formatCode="General">
                        <c:v>-19.188862275449104</c:v>
                      </c:pt>
                      <c:pt idx="27" formatCode="General">
                        <c:v>-19.216107784431138</c:v>
                      </c:pt>
                      <c:pt idx="28" formatCode="General">
                        <c:v>-19.243353293413172</c:v>
                      </c:pt>
                      <c:pt idx="29" formatCode="General">
                        <c:v>-19.27059880239521</c:v>
                      </c:pt>
                      <c:pt idx="30" formatCode="General">
                        <c:v>-19.297844311377244</c:v>
                      </c:pt>
                      <c:pt idx="31" formatCode="General">
                        <c:v>-19.324022471910112</c:v>
                      </c:pt>
                      <c:pt idx="32" formatCode="General">
                        <c:v>-19.349340823970035</c:v>
                      </c:pt>
                      <c:pt idx="33" formatCode="General">
                        <c:v>-19.374659176029962</c:v>
                      </c:pt>
                      <c:pt idx="34" formatCode="General">
                        <c:v>-19.399977528089888</c:v>
                      </c:pt>
                      <c:pt idx="35" formatCode="General">
                        <c:v>-19.425295880149811</c:v>
                      </c:pt>
                      <c:pt idx="36" formatCode="General">
                        <c:v>-19.450614232209738</c:v>
                      </c:pt>
                      <c:pt idx="37" formatCode="General">
                        <c:v>-19.475932584269664</c:v>
                      </c:pt>
                      <c:pt idx="38" formatCode="General">
                        <c:v>-19.501250936329587</c:v>
                      </c:pt>
                      <c:pt idx="39" formatCode="General">
                        <c:v>-19.526569288389513</c:v>
                      </c:pt>
                      <c:pt idx="40" formatCode="General">
                        <c:v>-19.55188764044944</c:v>
                      </c:pt>
                      <c:pt idx="41" formatCode="General">
                        <c:v>-19.576928838951311</c:v>
                      </c:pt>
                      <c:pt idx="42" formatCode="General">
                        <c:v>-19.601273408239702</c:v>
                      </c:pt>
                      <c:pt idx="43" formatCode="General">
                        <c:v>-19.625617977528091</c:v>
                      </c:pt>
                      <c:pt idx="44" formatCode="General">
                        <c:v>-19.649962546816479</c:v>
                      </c:pt>
                      <c:pt idx="45" formatCode="General">
                        <c:v>-19.67430711610487</c:v>
                      </c:pt>
                      <c:pt idx="46" formatCode="General">
                        <c:v>-19.698651685393259</c:v>
                      </c:pt>
                      <c:pt idx="47" formatCode="General">
                        <c:v>-19.722996254681647</c:v>
                      </c:pt>
                      <c:pt idx="48" formatCode="General">
                        <c:v>-19.747340823970038</c:v>
                      </c:pt>
                      <c:pt idx="49" formatCode="General">
                        <c:v>-19.771685393258426</c:v>
                      </c:pt>
                      <c:pt idx="50" formatCode="General">
                        <c:v>-19.796029962546818</c:v>
                      </c:pt>
                      <c:pt idx="51" formatCode="General">
                        <c:v>-19.820345345345345</c:v>
                      </c:pt>
                      <c:pt idx="52" formatCode="General">
                        <c:v>-19.842792792792793</c:v>
                      </c:pt>
                      <c:pt idx="53" formatCode="General">
                        <c:v>-19.86524024024024</c:v>
                      </c:pt>
                      <c:pt idx="54" formatCode="General">
                        <c:v>-19.887687687687688</c:v>
                      </c:pt>
                      <c:pt idx="55" formatCode="General">
                        <c:v>-19.910135135135135</c:v>
                      </c:pt>
                      <c:pt idx="56" formatCode="General">
                        <c:v>-19.932582582582583</c:v>
                      </c:pt>
                      <c:pt idx="57" formatCode="General">
                        <c:v>-19.955030030030031</c:v>
                      </c:pt>
                      <c:pt idx="58" formatCode="General">
                        <c:v>-19.977477477477478</c:v>
                      </c:pt>
                      <c:pt idx="59" formatCode="General">
                        <c:v>-19.999924924924926</c:v>
                      </c:pt>
                      <c:pt idx="60" formatCode="General">
                        <c:v>-20.022372372372374</c:v>
                      </c:pt>
                      <c:pt idx="61" formatCode="General">
                        <c:v>-20.044819819819821</c:v>
                      </c:pt>
                      <c:pt idx="62" formatCode="General">
                        <c:v>-20.067647058823528</c:v>
                      </c:pt>
                      <c:pt idx="63" formatCode="General">
                        <c:v>-20.090588235294117</c:v>
                      </c:pt>
                      <c:pt idx="64" formatCode="General">
                        <c:v>-20.113030303030303</c:v>
                      </c:pt>
                      <c:pt idx="65" formatCode="General">
                        <c:v>-20.132727272727273</c:v>
                      </c:pt>
                      <c:pt idx="66" formatCode="General">
                        <c:v>-20.152424242424242</c:v>
                      </c:pt>
                      <c:pt idx="67" formatCode="General">
                        <c:v>-20.171764705882353</c:v>
                      </c:pt>
                      <c:pt idx="68" formatCode="General">
                        <c:v>-20.190882352941177</c:v>
                      </c:pt>
                      <c:pt idx="69" formatCode="General">
                        <c:v>-20.21</c:v>
                      </c:pt>
                      <c:pt idx="70" formatCode="General">
                        <c:v>-20.22969696969697</c:v>
                      </c:pt>
                      <c:pt idx="71" formatCode="General">
                        <c:v>-20.24939393939394</c:v>
                      </c:pt>
                      <c:pt idx="72" formatCode="General">
                        <c:v>-20.269022556390979</c:v>
                      </c:pt>
                      <c:pt idx="73" formatCode="General">
                        <c:v>-20.28857142857143</c:v>
                      </c:pt>
                      <c:pt idx="74" formatCode="General">
                        <c:v>-20.308120300751881</c:v>
                      </c:pt>
                      <c:pt idx="75" formatCode="General">
                        <c:v>-20.327669172932332</c:v>
                      </c:pt>
                      <c:pt idx="76" formatCode="General">
                        <c:v>-20.347218045112783</c:v>
                      </c:pt>
                      <c:pt idx="77" formatCode="General">
                        <c:v>-20.366766917293234</c:v>
                      </c:pt>
                      <c:pt idx="78" formatCode="General">
                        <c:v>-20.386315789473684</c:v>
                      </c:pt>
                      <c:pt idx="79" formatCode="General">
                        <c:v>-20.405864661654135</c:v>
                      </c:pt>
                      <c:pt idx="80" formatCode="General">
                        <c:v>-20.425413533834586</c:v>
                      </c:pt>
                      <c:pt idx="81" formatCode="General">
                        <c:v>-20.444962406015037</c:v>
                      </c:pt>
                      <c:pt idx="82" formatCode="General">
                        <c:v>-20.464253731343284</c:v>
                      </c:pt>
                      <c:pt idx="83" formatCode="General">
                        <c:v>-20.48268656716418</c:v>
                      </c:pt>
                      <c:pt idx="84" formatCode="General">
                        <c:v>-20.501119402985076</c:v>
                      </c:pt>
                      <c:pt idx="85" formatCode="General">
                        <c:v>-20.519552238805971</c:v>
                      </c:pt>
                      <c:pt idx="86" formatCode="General">
                        <c:v>-20.537985074626867</c:v>
                      </c:pt>
                      <c:pt idx="87" formatCode="General">
                        <c:v>-20.55641791044776</c:v>
                      </c:pt>
                      <c:pt idx="88" formatCode="General">
                        <c:v>-20.574850746268655</c:v>
                      </c:pt>
                      <c:pt idx="89" formatCode="General">
                        <c:v>-20.593283582089551</c:v>
                      </c:pt>
                      <c:pt idx="90" formatCode="General">
                        <c:v>-20.611716417910447</c:v>
                      </c:pt>
                      <c:pt idx="91" formatCode="General">
                        <c:v>-20.630149253731343</c:v>
                      </c:pt>
                      <c:pt idx="92" formatCode="General">
                        <c:v>-20.648582089552239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222D-49B9-B930-702E037C4575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-59.785315315315316</c:v>
                      </c:pt>
                      <c:pt idx="1">
                        <c:v>-57.064294294294292</c:v>
                      </c:pt>
                      <c:pt idx="2" formatCode="General">
                        <c:v>-54.343273273273276</c:v>
                      </c:pt>
                      <c:pt idx="3" formatCode="General">
                        <c:v>-51.679131736526941</c:v>
                      </c:pt>
                      <c:pt idx="4" formatCode="General">
                        <c:v>-49.028532934131732</c:v>
                      </c:pt>
                      <c:pt idx="5" formatCode="General">
                        <c:v>-46.442904191616762</c:v>
                      </c:pt>
                      <c:pt idx="6" formatCode="General">
                        <c:v>-44.064760479041915</c:v>
                      </c:pt>
                      <c:pt idx="7" formatCode="General">
                        <c:v>-41.686616766467068</c:v>
                      </c:pt>
                      <c:pt idx="8" formatCode="General">
                        <c:v>-39.548113772455089</c:v>
                      </c:pt>
                      <c:pt idx="9" formatCode="General">
                        <c:v>-37.528053892215567</c:v>
                      </c:pt>
                      <c:pt idx="10" formatCode="General">
                        <c:v>-35.541856287425148</c:v>
                      </c:pt>
                      <c:pt idx="11" formatCode="General">
                        <c:v>-33.860419161676646</c:v>
                      </c:pt>
                      <c:pt idx="12" formatCode="General">
                        <c:v>-32.178982035928144</c:v>
                      </c:pt>
                      <c:pt idx="13" formatCode="General">
                        <c:v>-30.619431137724554</c:v>
                      </c:pt>
                      <c:pt idx="14" formatCode="General">
                        <c:v>-29.167634730538925</c:v>
                      </c:pt>
                      <c:pt idx="15" formatCode="General">
                        <c:v>-27.715838323353292</c:v>
                      </c:pt>
                      <c:pt idx="16" formatCode="General">
                        <c:v>-27.333423423423422</c:v>
                      </c:pt>
                      <c:pt idx="17" formatCode="General">
                        <c:v>-26.993783783783783</c:v>
                      </c:pt>
                      <c:pt idx="18" formatCode="General">
                        <c:v>-26.995508982035929</c:v>
                      </c:pt>
                      <c:pt idx="19" formatCode="General">
                        <c:v>-27.509281437125747</c:v>
                      </c:pt>
                      <c:pt idx="20" formatCode="General">
                        <c:v>-28.023053892215568</c:v>
                      </c:pt>
                      <c:pt idx="21" formatCode="General">
                        <c:v>-28.530359281437125</c:v>
                      </c:pt>
                      <c:pt idx="22" formatCode="General">
                        <c:v>-29.036347305389221</c:v>
                      </c:pt>
                      <c:pt idx="23" formatCode="General">
                        <c:v>-29.540299401197604</c:v>
                      </c:pt>
                      <c:pt idx="24" formatCode="General">
                        <c:v>-30.038502994011978</c:v>
                      </c:pt>
                      <c:pt idx="25" formatCode="General">
                        <c:v>-30.536706586826348</c:v>
                      </c:pt>
                      <c:pt idx="26" formatCode="General">
                        <c:v>-31.026826347305391</c:v>
                      </c:pt>
                      <c:pt idx="27" formatCode="General">
                        <c:v>-31.513353293413175</c:v>
                      </c:pt>
                      <c:pt idx="28" formatCode="General">
                        <c:v>-31.998443113772456</c:v>
                      </c:pt>
                      <c:pt idx="29" formatCode="General">
                        <c:v>-32.47329341317365</c:v>
                      </c:pt>
                      <c:pt idx="30" formatCode="General">
                        <c:v>-32.948143712574847</c:v>
                      </c:pt>
                      <c:pt idx="31" formatCode="General">
                        <c:v>-33.403235955056175</c:v>
                      </c:pt>
                      <c:pt idx="32" formatCode="General">
                        <c:v>-33.842411985018728</c:v>
                      </c:pt>
                      <c:pt idx="33" formatCode="General">
                        <c:v>-34.281588014981274</c:v>
                      </c:pt>
                      <c:pt idx="34" formatCode="General">
                        <c:v>-34.72076404494382</c:v>
                      </c:pt>
                      <c:pt idx="35" formatCode="General">
                        <c:v>-35.159940074906366</c:v>
                      </c:pt>
                      <c:pt idx="36" formatCode="General">
                        <c:v>-35.599116104868912</c:v>
                      </c:pt>
                      <c:pt idx="37" formatCode="General">
                        <c:v>-36.038292134831465</c:v>
                      </c:pt>
                      <c:pt idx="38" formatCode="General">
                        <c:v>-36.477468164794011</c:v>
                      </c:pt>
                      <c:pt idx="39" formatCode="General">
                        <c:v>-36.916644194756557</c:v>
                      </c:pt>
                      <c:pt idx="40" formatCode="General">
                        <c:v>-37.355820224719103</c:v>
                      </c:pt>
                      <c:pt idx="41" formatCode="General">
                        <c:v>-37.774209737827718</c:v>
                      </c:pt>
                      <c:pt idx="42" formatCode="General">
                        <c:v>-38.1403520599251</c:v>
                      </c:pt>
                      <c:pt idx="43" formatCode="General">
                        <c:v>-38.506494382022474</c:v>
                      </c:pt>
                      <c:pt idx="44" formatCode="General">
                        <c:v>-38.872636704119856</c:v>
                      </c:pt>
                      <c:pt idx="45" formatCode="General">
                        <c:v>-39.23877902621723</c:v>
                      </c:pt>
                      <c:pt idx="46" formatCode="General">
                        <c:v>-39.604921348314612</c:v>
                      </c:pt>
                      <c:pt idx="47" formatCode="General">
                        <c:v>-39.971063670411986</c:v>
                      </c:pt>
                      <c:pt idx="48" formatCode="General">
                        <c:v>-40.337205992509368</c:v>
                      </c:pt>
                      <c:pt idx="49" formatCode="General">
                        <c:v>-40.703348314606743</c:v>
                      </c:pt>
                      <c:pt idx="50" formatCode="General">
                        <c:v>-41.069490636704124</c:v>
                      </c:pt>
                      <c:pt idx="51" formatCode="General">
                        <c:v>-41.434354354354355</c:v>
                      </c:pt>
                      <c:pt idx="52" formatCode="General">
                        <c:v>-41.71738738738739</c:v>
                      </c:pt>
                      <c:pt idx="53" formatCode="General">
                        <c:v>-42.000420420420419</c:v>
                      </c:pt>
                      <c:pt idx="54" formatCode="General">
                        <c:v>-42.283453453453454</c:v>
                      </c:pt>
                      <c:pt idx="55" formatCode="General">
                        <c:v>-42.56648648648649</c:v>
                      </c:pt>
                      <c:pt idx="56" formatCode="General">
                        <c:v>-42.849519519519518</c:v>
                      </c:pt>
                      <c:pt idx="57" formatCode="General">
                        <c:v>-43.132552552552553</c:v>
                      </c:pt>
                      <c:pt idx="58" formatCode="General">
                        <c:v>-43.415585585585582</c:v>
                      </c:pt>
                      <c:pt idx="59" formatCode="General">
                        <c:v>-43.698618618618617</c:v>
                      </c:pt>
                      <c:pt idx="60" formatCode="General">
                        <c:v>-43.981651651651653</c:v>
                      </c:pt>
                      <c:pt idx="61" formatCode="General">
                        <c:v>-44.264684684684681</c:v>
                      </c:pt>
                      <c:pt idx="62" formatCode="General">
                        <c:v>-44.497647058823524</c:v>
                      </c:pt>
                      <c:pt idx="63" formatCode="General">
                        <c:v>-44.715588235294113</c:v>
                      </c:pt>
                      <c:pt idx="64" formatCode="General">
                        <c:v>-44.93151515151515</c:v>
                      </c:pt>
                      <c:pt idx="65" formatCode="General">
                        <c:v>-45.136363636363633</c:v>
                      </c:pt>
                      <c:pt idx="66" formatCode="General">
                        <c:v>-45.341212121212124</c:v>
                      </c:pt>
                      <c:pt idx="67" formatCode="General">
                        <c:v>-45.523529411764706</c:v>
                      </c:pt>
                      <c:pt idx="68" formatCode="General">
                        <c:v>-45.691764705882356</c:v>
                      </c:pt>
                      <c:pt idx="69" formatCode="General">
                        <c:v>-45.86</c:v>
                      </c:pt>
                      <c:pt idx="70" formatCode="General">
                        <c:v>-46.013636363636365</c:v>
                      </c:pt>
                      <c:pt idx="71" formatCode="General">
                        <c:v>-46.167272727272724</c:v>
                      </c:pt>
                      <c:pt idx="72" formatCode="General">
                        <c:v>-46.288796992481203</c:v>
                      </c:pt>
                      <c:pt idx="73" formatCode="General">
                        <c:v>-46.372857142857143</c:v>
                      </c:pt>
                      <c:pt idx="74" formatCode="General">
                        <c:v>-46.456917293233083</c:v>
                      </c:pt>
                      <c:pt idx="75" formatCode="General">
                        <c:v>-46.540977443609023</c:v>
                      </c:pt>
                      <c:pt idx="76" formatCode="General">
                        <c:v>-46.625037593984963</c:v>
                      </c:pt>
                      <c:pt idx="77" formatCode="General">
                        <c:v>-46.709097744360903</c:v>
                      </c:pt>
                      <c:pt idx="78" formatCode="General">
                        <c:v>-46.793157894736844</c:v>
                      </c:pt>
                      <c:pt idx="79" formatCode="General">
                        <c:v>-46.877218045112784</c:v>
                      </c:pt>
                      <c:pt idx="80" formatCode="General">
                        <c:v>-46.961278195488724</c:v>
                      </c:pt>
                      <c:pt idx="81" formatCode="General">
                        <c:v>-47.045338345864664</c:v>
                      </c:pt>
                      <c:pt idx="82" formatCode="General">
                        <c:v>-47.104179104477609</c:v>
                      </c:pt>
                      <c:pt idx="83" formatCode="General">
                        <c:v>-47.078955223880598</c:v>
                      </c:pt>
                      <c:pt idx="84" formatCode="General">
                        <c:v>-47.05373134328358</c:v>
                      </c:pt>
                      <c:pt idx="85" formatCode="General">
                        <c:v>-47.028507462686569</c:v>
                      </c:pt>
                      <c:pt idx="86" formatCode="General">
                        <c:v>-47.003283582089551</c:v>
                      </c:pt>
                      <c:pt idx="87" formatCode="General">
                        <c:v>-46.978059701492541</c:v>
                      </c:pt>
                      <c:pt idx="88" formatCode="General">
                        <c:v>-46.952835820895523</c:v>
                      </c:pt>
                      <c:pt idx="89" formatCode="General">
                        <c:v>-46.927611940298512</c:v>
                      </c:pt>
                      <c:pt idx="90" formatCode="General">
                        <c:v>-46.902388059701494</c:v>
                      </c:pt>
                      <c:pt idx="91" formatCode="General">
                        <c:v>-46.877164179104476</c:v>
                      </c:pt>
                      <c:pt idx="92" formatCode="General">
                        <c:v>-46.851940298507465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222D-49B9-B930-702E037C4575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-15.70018018018018</c:v>
                      </c:pt>
                      <c:pt idx="1">
                        <c:v>-14.888168168168168</c:v>
                      </c:pt>
                      <c:pt idx="2" formatCode="General">
                        <c:v>-14.076156156156156</c:v>
                      </c:pt>
                      <c:pt idx="3" formatCode="General">
                        <c:v>-13.171796407185628</c:v>
                      </c:pt>
                      <c:pt idx="4" formatCode="General">
                        <c:v>-12.245449101796405</c:v>
                      </c:pt>
                      <c:pt idx="5" formatCode="General">
                        <c:v>-11.336365269461076</c:v>
                      </c:pt>
                      <c:pt idx="6" formatCode="General">
                        <c:v>-10.482413173652693</c:v>
                      </c:pt>
                      <c:pt idx="7" formatCode="General">
                        <c:v>-9.628461077844312</c:v>
                      </c:pt>
                      <c:pt idx="8" formatCode="General">
                        <c:v>-8.8943293413173663</c:v>
                      </c:pt>
                      <c:pt idx="9" formatCode="General">
                        <c:v>-8.2194191616766474</c:v>
                      </c:pt>
                      <c:pt idx="10" formatCode="General">
                        <c:v>-7.5707814371257482</c:v>
                      </c:pt>
                      <c:pt idx="11" formatCode="General">
                        <c:v>-7.1585958083832333</c:v>
                      </c:pt>
                      <c:pt idx="12" formatCode="General">
                        <c:v>-6.7464101796407192</c:v>
                      </c:pt>
                      <c:pt idx="13" formatCode="General">
                        <c:v>-6.4751167664670657</c:v>
                      </c:pt>
                      <c:pt idx="14" formatCode="General">
                        <c:v>-6.3283802395209579</c:v>
                      </c:pt>
                      <c:pt idx="15" formatCode="General">
                        <c:v>-6.18164371257485</c:v>
                      </c:pt>
                      <c:pt idx="16" formatCode="General">
                        <c:v>-6.4226216216216221</c:v>
                      </c:pt>
                      <c:pt idx="17" formatCode="General">
                        <c:v>-6.6791081081081085</c:v>
                      </c:pt>
                      <c:pt idx="18" formatCode="General">
                        <c:v>-6.8345568862275448</c:v>
                      </c:pt>
                      <c:pt idx="19" formatCode="General">
                        <c:v>-6.8384491017964075</c:v>
                      </c:pt>
                      <c:pt idx="20" formatCode="General">
                        <c:v>-6.8423413173652694</c:v>
                      </c:pt>
                      <c:pt idx="21" formatCode="General">
                        <c:v>-6.8627245508982035</c:v>
                      </c:pt>
                      <c:pt idx="22" formatCode="General">
                        <c:v>-6.8864670658682634</c:v>
                      </c:pt>
                      <c:pt idx="23" formatCode="General">
                        <c:v>-6.911838323353293</c:v>
                      </c:pt>
                      <c:pt idx="24" formatCode="General">
                        <c:v>-6.9418083832335329</c:v>
                      </c:pt>
                      <c:pt idx="25" formatCode="General">
                        <c:v>-6.9717784431137719</c:v>
                      </c:pt>
                      <c:pt idx="26" formatCode="General">
                        <c:v>-7.0028263473053896</c:v>
                      </c:pt>
                      <c:pt idx="27" formatCode="General">
                        <c:v>-7.0343532934131741</c:v>
                      </c:pt>
                      <c:pt idx="28" formatCode="General">
                        <c:v>-7.0658802395209586</c:v>
                      </c:pt>
                      <c:pt idx="29" formatCode="General">
                        <c:v>-7.0974071856287431</c:v>
                      </c:pt>
                      <c:pt idx="30" formatCode="General">
                        <c:v>-7.1289341317365267</c:v>
                      </c:pt>
                      <c:pt idx="31" formatCode="General">
                        <c:v>-7.1602584269662923</c:v>
                      </c:pt>
                      <c:pt idx="32" formatCode="General">
                        <c:v>-7.1914194756554304</c:v>
                      </c:pt>
                      <c:pt idx="33" formatCode="General">
                        <c:v>-7.2225805243445693</c:v>
                      </c:pt>
                      <c:pt idx="34" formatCode="General">
                        <c:v>-7.2537415730337083</c:v>
                      </c:pt>
                      <c:pt idx="35" formatCode="General">
                        <c:v>-7.2849026217228463</c:v>
                      </c:pt>
                      <c:pt idx="36" formatCode="General">
                        <c:v>-7.3160636704119852</c:v>
                      </c:pt>
                      <c:pt idx="37" formatCode="General">
                        <c:v>-7.3472247191011233</c:v>
                      </c:pt>
                      <c:pt idx="38" formatCode="General">
                        <c:v>-7.3783857677902622</c:v>
                      </c:pt>
                      <c:pt idx="39" formatCode="General">
                        <c:v>-7.4095468164794012</c:v>
                      </c:pt>
                      <c:pt idx="40" formatCode="General">
                        <c:v>-7.4407078651685392</c:v>
                      </c:pt>
                      <c:pt idx="41" formatCode="General">
                        <c:v>-7.471370037453184</c:v>
                      </c:pt>
                      <c:pt idx="42" formatCode="General">
                        <c:v>-7.5007782771535583</c:v>
                      </c:pt>
                      <c:pt idx="43" formatCode="General">
                        <c:v>-7.5301865168539326</c:v>
                      </c:pt>
                      <c:pt idx="44" formatCode="General">
                        <c:v>-7.5595947565543069</c:v>
                      </c:pt>
                      <c:pt idx="45" formatCode="General">
                        <c:v>-7.5890029962546812</c:v>
                      </c:pt>
                      <c:pt idx="46" formatCode="General">
                        <c:v>-7.6184112359550564</c:v>
                      </c:pt>
                      <c:pt idx="47" formatCode="General">
                        <c:v>-7.6478194756554307</c:v>
                      </c:pt>
                      <c:pt idx="48" formatCode="General">
                        <c:v>-7.6772277153558051</c:v>
                      </c:pt>
                      <c:pt idx="49" formatCode="General">
                        <c:v>-7.7066359550561794</c:v>
                      </c:pt>
                      <c:pt idx="50" formatCode="General">
                        <c:v>-7.7360441947565537</c:v>
                      </c:pt>
                      <c:pt idx="51" formatCode="General">
                        <c:v>-7.7654249249249245</c:v>
                      </c:pt>
                      <c:pt idx="52" formatCode="General">
                        <c:v>-7.7930450450450452</c:v>
                      </c:pt>
                      <c:pt idx="53" formatCode="General">
                        <c:v>-7.8206651651651651</c:v>
                      </c:pt>
                      <c:pt idx="54" formatCode="General">
                        <c:v>-7.8482852852852849</c:v>
                      </c:pt>
                      <c:pt idx="55" formatCode="General">
                        <c:v>-7.8759054054054056</c:v>
                      </c:pt>
                      <c:pt idx="56" formatCode="General">
                        <c:v>-7.9035255255255255</c:v>
                      </c:pt>
                      <c:pt idx="57" formatCode="General">
                        <c:v>-7.9311456456456453</c:v>
                      </c:pt>
                      <c:pt idx="58" formatCode="General">
                        <c:v>-7.958765765765766</c:v>
                      </c:pt>
                      <c:pt idx="59" formatCode="General">
                        <c:v>-7.9863858858858858</c:v>
                      </c:pt>
                      <c:pt idx="60" formatCode="General">
                        <c:v>-8.0140060060060065</c:v>
                      </c:pt>
                      <c:pt idx="61" formatCode="General">
                        <c:v>-8.0416261261261255</c:v>
                      </c:pt>
                      <c:pt idx="62" formatCode="General">
                        <c:v>-8.0679999999999996</c:v>
                      </c:pt>
                      <c:pt idx="63" formatCode="General">
                        <c:v>-8.0939999999999994</c:v>
                      </c:pt>
                      <c:pt idx="64" formatCode="General">
                        <c:v>-8.1199999999999992</c:v>
                      </c:pt>
                      <c:pt idx="65" formatCode="General">
                        <c:v>-8.1460000000000008</c:v>
                      </c:pt>
                      <c:pt idx="66" formatCode="General">
                        <c:v>-8.1720000000000006</c:v>
                      </c:pt>
                      <c:pt idx="67" formatCode="General">
                        <c:v>-8.1975294117647053</c:v>
                      </c:pt>
                      <c:pt idx="68" formatCode="General">
                        <c:v>-8.2227647058823532</c:v>
                      </c:pt>
                      <c:pt idx="69" formatCode="General">
                        <c:v>-8.2479999999999993</c:v>
                      </c:pt>
                      <c:pt idx="70" formatCode="General">
                        <c:v>-8.2736060606060597</c:v>
                      </c:pt>
                      <c:pt idx="71" formatCode="General">
                        <c:v>-8.2992121212121219</c:v>
                      </c:pt>
                      <c:pt idx="72" formatCode="General">
                        <c:v>-8.3241879699248127</c:v>
                      </c:pt>
                      <c:pt idx="73" formatCode="General">
                        <c:v>-8.3484285714285722</c:v>
                      </c:pt>
                      <c:pt idx="74" formatCode="General">
                        <c:v>-8.3726691729323317</c:v>
                      </c:pt>
                      <c:pt idx="75" formatCode="General">
                        <c:v>-8.3969097744360912</c:v>
                      </c:pt>
                      <c:pt idx="76" formatCode="General">
                        <c:v>-8.4211503759398507</c:v>
                      </c:pt>
                      <c:pt idx="77" formatCode="General">
                        <c:v>-8.4453909774436084</c:v>
                      </c:pt>
                      <c:pt idx="78" formatCode="General">
                        <c:v>-8.469631578947368</c:v>
                      </c:pt>
                      <c:pt idx="79" formatCode="General">
                        <c:v>-8.4938721804511275</c:v>
                      </c:pt>
                      <c:pt idx="80" formatCode="General">
                        <c:v>-8.518112781954887</c:v>
                      </c:pt>
                      <c:pt idx="81" formatCode="General">
                        <c:v>-8.5423533834586465</c:v>
                      </c:pt>
                      <c:pt idx="82" formatCode="General">
                        <c:v>-8.5662388059701495</c:v>
                      </c:pt>
                      <c:pt idx="83" formatCode="General">
                        <c:v>-8.5889402985074632</c:v>
                      </c:pt>
                      <c:pt idx="84" formatCode="General">
                        <c:v>-8.6116417910447769</c:v>
                      </c:pt>
                      <c:pt idx="85" formatCode="General">
                        <c:v>-8.6343432835820888</c:v>
                      </c:pt>
                      <c:pt idx="86" formatCode="General">
                        <c:v>-8.6570447761194025</c:v>
                      </c:pt>
                      <c:pt idx="87" formatCode="General">
                        <c:v>-8.6797462686567162</c:v>
                      </c:pt>
                      <c:pt idx="88" formatCode="General">
                        <c:v>-8.7024477611940299</c:v>
                      </c:pt>
                      <c:pt idx="89" formatCode="General">
                        <c:v>-8.7251492537313435</c:v>
                      </c:pt>
                      <c:pt idx="90" formatCode="General">
                        <c:v>-8.7478507462686572</c:v>
                      </c:pt>
                      <c:pt idx="91" formatCode="General">
                        <c:v>-8.7705522388059709</c:v>
                      </c:pt>
                      <c:pt idx="92" formatCode="General">
                        <c:v>-8.7932537313432828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222D-49B9-B930-702E037C4575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-22.018918918918921</c:v>
                      </c:pt>
                      <c:pt idx="1">
                        <c:v>-21.69099099099099</c:v>
                      </c:pt>
                      <c:pt idx="2" formatCode="General">
                        <c:v>-21.363063063063063</c:v>
                      </c:pt>
                      <c:pt idx="3" formatCode="General">
                        <c:v>-21.328293413173654</c:v>
                      </c:pt>
                      <c:pt idx="4" formatCode="General">
                        <c:v>-21.363323353293413</c:v>
                      </c:pt>
                      <c:pt idx="5" formatCode="General">
                        <c:v>-21.428053892215569</c:v>
                      </c:pt>
                      <c:pt idx="6" formatCode="General">
                        <c:v>-21.587634730538923</c:v>
                      </c:pt>
                      <c:pt idx="7" formatCode="General">
                        <c:v>-21.747215568862277</c:v>
                      </c:pt>
                      <c:pt idx="8" formatCode="General">
                        <c:v>-21.901586826347305</c:v>
                      </c:pt>
                      <c:pt idx="9" formatCode="General">
                        <c:v>-22.053383233532934</c:v>
                      </c:pt>
                      <c:pt idx="10" formatCode="General">
                        <c:v>-22.201287425149701</c:v>
                      </c:pt>
                      <c:pt idx="11" formatCode="General">
                        <c:v>-22.314161676646709</c:v>
                      </c:pt>
                      <c:pt idx="12" formatCode="General">
                        <c:v>-22.427035928143713</c:v>
                      </c:pt>
                      <c:pt idx="13" formatCode="General">
                        <c:v>-22.544041916167664</c:v>
                      </c:pt>
                      <c:pt idx="14" formatCode="General">
                        <c:v>-22.664700598802394</c:v>
                      </c:pt>
                      <c:pt idx="15" formatCode="General">
                        <c:v>-22.785359281437124</c:v>
                      </c:pt>
                      <c:pt idx="16" formatCode="General">
                        <c:v>-22.883843843843842</c:v>
                      </c:pt>
                      <c:pt idx="17" formatCode="General">
                        <c:v>-22.98144144144144</c:v>
                      </c:pt>
                      <c:pt idx="18" formatCode="General">
                        <c:v>-23.1162874251497</c:v>
                      </c:pt>
                      <c:pt idx="19" formatCode="General">
                        <c:v>-23.307005988023953</c:v>
                      </c:pt>
                      <c:pt idx="20" formatCode="General">
                        <c:v>-23.497724550898205</c:v>
                      </c:pt>
                      <c:pt idx="21" formatCode="General">
                        <c:v>-23.691676646706586</c:v>
                      </c:pt>
                      <c:pt idx="22" formatCode="General">
                        <c:v>-23.8862874251497</c:v>
                      </c:pt>
                      <c:pt idx="23" formatCode="General">
                        <c:v>-24.078862275449104</c:v>
                      </c:pt>
                      <c:pt idx="24" formatCode="General">
                        <c:v>-24.265688622754492</c:v>
                      </c:pt>
                      <c:pt idx="25" formatCode="General">
                        <c:v>-24.45251497005988</c:v>
                      </c:pt>
                      <c:pt idx="26" formatCode="General">
                        <c:v>-24.639341317365272</c:v>
                      </c:pt>
                      <c:pt idx="27" formatCode="General">
                        <c:v>-24.82616766467066</c:v>
                      </c:pt>
                      <c:pt idx="28" formatCode="General">
                        <c:v>-25.012994011976048</c:v>
                      </c:pt>
                      <c:pt idx="29" formatCode="General">
                        <c:v>-25.199820359281436</c:v>
                      </c:pt>
                      <c:pt idx="30" formatCode="General">
                        <c:v>-25.386646706586827</c:v>
                      </c:pt>
                      <c:pt idx="31" formatCode="General">
                        <c:v>-25.567617977528091</c:v>
                      </c:pt>
                      <c:pt idx="32" formatCode="General">
                        <c:v>-25.743872659176031</c:v>
                      </c:pt>
                      <c:pt idx="33" formatCode="General">
                        <c:v>-25.920127340823971</c:v>
                      </c:pt>
                      <c:pt idx="34" formatCode="General">
                        <c:v>-26.096382022471911</c:v>
                      </c:pt>
                      <c:pt idx="35" formatCode="General">
                        <c:v>-26.272636704119851</c:v>
                      </c:pt>
                      <c:pt idx="36" formatCode="General">
                        <c:v>-26.448891385767791</c:v>
                      </c:pt>
                      <c:pt idx="37" formatCode="General">
                        <c:v>-26.625146067415731</c:v>
                      </c:pt>
                      <c:pt idx="38" formatCode="General">
                        <c:v>-26.801400749063671</c:v>
                      </c:pt>
                      <c:pt idx="39" formatCode="General">
                        <c:v>-26.977655430711611</c:v>
                      </c:pt>
                      <c:pt idx="40" formatCode="General">
                        <c:v>-27.153910112359551</c:v>
                      </c:pt>
                      <c:pt idx="41" formatCode="General">
                        <c:v>-27.327670411985022</c:v>
                      </c:pt>
                      <c:pt idx="42" formatCode="General">
                        <c:v>-27.495161048689141</c:v>
                      </c:pt>
                      <c:pt idx="43" formatCode="General">
                        <c:v>-27.662651685393261</c:v>
                      </c:pt>
                      <c:pt idx="44" formatCode="General">
                        <c:v>-27.83014232209738</c:v>
                      </c:pt>
                      <c:pt idx="45" formatCode="General">
                        <c:v>-27.9976329588015</c:v>
                      </c:pt>
                      <c:pt idx="46" formatCode="General">
                        <c:v>-28.165123595505619</c:v>
                      </c:pt>
                      <c:pt idx="47" formatCode="General">
                        <c:v>-28.332614232209739</c:v>
                      </c:pt>
                      <c:pt idx="48" formatCode="General">
                        <c:v>-28.500104868913859</c:v>
                      </c:pt>
                      <c:pt idx="49" formatCode="General">
                        <c:v>-28.667595505617978</c:v>
                      </c:pt>
                      <c:pt idx="50" formatCode="General">
                        <c:v>-28.835086142322098</c:v>
                      </c:pt>
                      <c:pt idx="51" formatCode="General">
                        <c:v>-29.002447447447448</c:v>
                      </c:pt>
                      <c:pt idx="52" formatCode="General">
                        <c:v>-29.161531531531534</c:v>
                      </c:pt>
                      <c:pt idx="53" formatCode="General">
                        <c:v>-29.320615615615615</c:v>
                      </c:pt>
                      <c:pt idx="54" formatCode="General">
                        <c:v>-29.479699699699701</c:v>
                      </c:pt>
                      <c:pt idx="55" formatCode="General">
                        <c:v>-29.638783783783783</c:v>
                      </c:pt>
                      <c:pt idx="56" formatCode="General">
                        <c:v>-29.797867867867868</c:v>
                      </c:pt>
                      <c:pt idx="57" formatCode="General">
                        <c:v>-29.95695195195195</c:v>
                      </c:pt>
                      <c:pt idx="58" formatCode="General">
                        <c:v>-30.116036036036036</c:v>
                      </c:pt>
                      <c:pt idx="59" formatCode="General">
                        <c:v>-30.275120120120121</c:v>
                      </c:pt>
                      <c:pt idx="60" formatCode="General">
                        <c:v>-30.434204204204203</c:v>
                      </c:pt>
                      <c:pt idx="61" formatCode="General">
                        <c:v>-30.593288288288289</c:v>
                      </c:pt>
                      <c:pt idx="62" formatCode="General">
                        <c:v>-30.747647058823528</c:v>
                      </c:pt>
                      <c:pt idx="63" formatCode="General">
                        <c:v>-30.900588235294119</c:v>
                      </c:pt>
                      <c:pt idx="64" formatCode="General">
                        <c:v>-31.053636363636365</c:v>
                      </c:pt>
                      <c:pt idx="65" formatCode="General">
                        <c:v>-31.207272727272727</c:v>
                      </c:pt>
                      <c:pt idx="66" formatCode="General">
                        <c:v>-31.360909090909093</c:v>
                      </c:pt>
                      <c:pt idx="67" formatCode="General">
                        <c:v>-31.511764705882353</c:v>
                      </c:pt>
                      <c:pt idx="68" formatCode="General">
                        <c:v>-31.660882352941176</c:v>
                      </c:pt>
                      <c:pt idx="69" formatCode="General">
                        <c:v>-31.81</c:v>
                      </c:pt>
                      <c:pt idx="70" formatCode="General">
                        <c:v>-31.963636363636365</c:v>
                      </c:pt>
                      <c:pt idx="71" formatCode="General">
                        <c:v>-32.117272727272727</c:v>
                      </c:pt>
                      <c:pt idx="72" formatCode="General">
                        <c:v>-32.269022556390979</c:v>
                      </c:pt>
                      <c:pt idx="73" formatCode="General">
                        <c:v>-32.418571428571433</c:v>
                      </c:pt>
                      <c:pt idx="74" formatCode="General">
                        <c:v>-32.568120300751879</c:v>
                      </c:pt>
                      <c:pt idx="75" formatCode="General">
                        <c:v>-32.717669172932332</c:v>
                      </c:pt>
                      <c:pt idx="76" formatCode="General">
                        <c:v>-32.867218045112779</c:v>
                      </c:pt>
                      <c:pt idx="77" formatCode="General">
                        <c:v>-33.016766917293232</c:v>
                      </c:pt>
                      <c:pt idx="78" formatCode="General">
                        <c:v>-33.166315789473686</c:v>
                      </c:pt>
                      <c:pt idx="79" formatCode="General">
                        <c:v>-33.315864661654132</c:v>
                      </c:pt>
                      <c:pt idx="80" formatCode="General">
                        <c:v>-33.465413533834585</c:v>
                      </c:pt>
                      <c:pt idx="81" formatCode="General">
                        <c:v>-33.614962406015032</c:v>
                      </c:pt>
                      <c:pt idx="82" formatCode="General">
                        <c:v>-33.763358208955218</c:v>
                      </c:pt>
                      <c:pt idx="83" formatCode="General">
                        <c:v>-33.907910447761189</c:v>
                      </c:pt>
                      <c:pt idx="84" formatCode="General">
                        <c:v>-34.052462686567161</c:v>
                      </c:pt>
                      <c:pt idx="85" formatCode="General">
                        <c:v>-34.197014925373132</c:v>
                      </c:pt>
                      <c:pt idx="86" formatCode="General">
                        <c:v>-34.341567164179104</c:v>
                      </c:pt>
                      <c:pt idx="87" formatCode="General">
                        <c:v>-34.486119402985075</c:v>
                      </c:pt>
                      <c:pt idx="88" formatCode="General">
                        <c:v>-34.630671641791039</c:v>
                      </c:pt>
                      <c:pt idx="89" formatCode="General">
                        <c:v>-34.775223880597011</c:v>
                      </c:pt>
                      <c:pt idx="90" formatCode="General">
                        <c:v>-34.919776119402982</c:v>
                      </c:pt>
                      <c:pt idx="91" formatCode="General">
                        <c:v>-35.064328358208954</c:v>
                      </c:pt>
                      <c:pt idx="92" formatCode="General">
                        <c:v>-35.208880597014925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222D-49B9-B930-702E037C4575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222D-49B9-B930-702E037C4575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222D-49B9-B930-702E037C4575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222D-49B9-B930-702E037C4575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222D-49B9-B930-702E037C4575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</c:valAx>
      <c:valAx>
        <c:axId val="938775583"/>
        <c:scaling>
          <c:orientation val="minMax"/>
          <c:max val="-26"/>
          <c:min val="-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303</c:v>
                </c:pt>
                <c:pt idx="1">
                  <c:v>316</c:v>
                </c:pt>
                <c:pt idx="2">
                  <c:v>329</c:v>
                </c:pt>
                <c:pt idx="3">
                  <c:v>342</c:v>
                </c:pt>
                <c:pt idx="4">
                  <c:v>355</c:v>
                </c:pt>
                <c:pt idx="5">
                  <c:v>368</c:v>
                </c:pt>
                <c:pt idx="6">
                  <c:v>381</c:v>
                </c:pt>
                <c:pt idx="7">
                  <c:v>394</c:v>
                </c:pt>
                <c:pt idx="8">
                  <c:v>407</c:v>
                </c:pt>
                <c:pt idx="9">
                  <c:v>420</c:v>
                </c:pt>
                <c:pt idx="10">
                  <c:v>433</c:v>
                </c:pt>
                <c:pt idx="11">
                  <c:v>446</c:v>
                </c:pt>
                <c:pt idx="12">
                  <c:v>459</c:v>
                </c:pt>
                <c:pt idx="13">
                  <c:v>472</c:v>
                </c:pt>
                <c:pt idx="14">
                  <c:v>485</c:v>
                </c:pt>
                <c:pt idx="15">
                  <c:v>498</c:v>
                </c:pt>
                <c:pt idx="16">
                  <c:v>511</c:v>
                </c:pt>
                <c:pt idx="17">
                  <c:v>524</c:v>
                </c:pt>
                <c:pt idx="18">
                  <c:v>537</c:v>
                </c:pt>
                <c:pt idx="19">
                  <c:v>550</c:v>
                </c:pt>
                <c:pt idx="20">
                  <c:v>563</c:v>
                </c:pt>
                <c:pt idx="21">
                  <c:v>576</c:v>
                </c:pt>
                <c:pt idx="22">
                  <c:v>589</c:v>
                </c:pt>
                <c:pt idx="23">
                  <c:v>602</c:v>
                </c:pt>
                <c:pt idx="24">
                  <c:v>615</c:v>
                </c:pt>
                <c:pt idx="25">
                  <c:v>628</c:v>
                </c:pt>
                <c:pt idx="26">
                  <c:v>641</c:v>
                </c:pt>
                <c:pt idx="27">
                  <c:v>654</c:v>
                </c:pt>
                <c:pt idx="28">
                  <c:v>667</c:v>
                </c:pt>
                <c:pt idx="29">
                  <c:v>680</c:v>
                </c:pt>
                <c:pt idx="30">
                  <c:v>693</c:v>
                </c:pt>
                <c:pt idx="31">
                  <c:v>706</c:v>
                </c:pt>
                <c:pt idx="32">
                  <c:v>719</c:v>
                </c:pt>
                <c:pt idx="33">
                  <c:v>732</c:v>
                </c:pt>
                <c:pt idx="34">
                  <c:v>745</c:v>
                </c:pt>
                <c:pt idx="35">
                  <c:v>758</c:v>
                </c:pt>
                <c:pt idx="36">
                  <c:v>771</c:v>
                </c:pt>
                <c:pt idx="37">
                  <c:v>784</c:v>
                </c:pt>
                <c:pt idx="38">
                  <c:v>797</c:v>
                </c:pt>
                <c:pt idx="39">
                  <c:v>810</c:v>
                </c:pt>
                <c:pt idx="40">
                  <c:v>823</c:v>
                </c:pt>
                <c:pt idx="41">
                  <c:v>836</c:v>
                </c:pt>
                <c:pt idx="42">
                  <c:v>849</c:v>
                </c:pt>
                <c:pt idx="43">
                  <c:v>862</c:v>
                </c:pt>
                <c:pt idx="44">
                  <c:v>875</c:v>
                </c:pt>
                <c:pt idx="45">
                  <c:v>888</c:v>
                </c:pt>
                <c:pt idx="46">
                  <c:v>901</c:v>
                </c:pt>
                <c:pt idx="47">
                  <c:v>914</c:v>
                </c:pt>
                <c:pt idx="48">
                  <c:v>927</c:v>
                </c:pt>
                <c:pt idx="49">
                  <c:v>940</c:v>
                </c:pt>
                <c:pt idx="50">
                  <c:v>953</c:v>
                </c:pt>
                <c:pt idx="51">
                  <c:v>966</c:v>
                </c:pt>
                <c:pt idx="52">
                  <c:v>979</c:v>
                </c:pt>
                <c:pt idx="53">
                  <c:v>992</c:v>
                </c:pt>
                <c:pt idx="54">
                  <c:v>1005</c:v>
                </c:pt>
                <c:pt idx="55">
                  <c:v>1018</c:v>
                </c:pt>
                <c:pt idx="56">
                  <c:v>1031</c:v>
                </c:pt>
                <c:pt idx="57">
                  <c:v>1044</c:v>
                </c:pt>
                <c:pt idx="58">
                  <c:v>1057</c:v>
                </c:pt>
                <c:pt idx="59">
                  <c:v>1070</c:v>
                </c:pt>
                <c:pt idx="60">
                  <c:v>1083</c:v>
                </c:pt>
                <c:pt idx="61">
                  <c:v>1096</c:v>
                </c:pt>
                <c:pt idx="62">
                  <c:v>1109</c:v>
                </c:pt>
                <c:pt idx="63">
                  <c:v>1122</c:v>
                </c:pt>
                <c:pt idx="64">
                  <c:v>1135</c:v>
                </c:pt>
                <c:pt idx="65">
                  <c:v>1148</c:v>
                </c:pt>
                <c:pt idx="66">
                  <c:v>1161</c:v>
                </c:pt>
                <c:pt idx="67">
                  <c:v>1174</c:v>
                </c:pt>
                <c:pt idx="68">
                  <c:v>1187</c:v>
                </c:pt>
                <c:pt idx="69">
                  <c:v>1200</c:v>
                </c:pt>
                <c:pt idx="70">
                  <c:v>1213</c:v>
                </c:pt>
                <c:pt idx="71">
                  <c:v>1226</c:v>
                </c:pt>
                <c:pt idx="72">
                  <c:v>1239</c:v>
                </c:pt>
                <c:pt idx="73">
                  <c:v>1252</c:v>
                </c:pt>
                <c:pt idx="74">
                  <c:v>1265</c:v>
                </c:pt>
                <c:pt idx="75">
                  <c:v>1278</c:v>
                </c:pt>
                <c:pt idx="76">
                  <c:v>1291</c:v>
                </c:pt>
                <c:pt idx="77">
                  <c:v>1304</c:v>
                </c:pt>
                <c:pt idx="78">
                  <c:v>1317</c:v>
                </c:pt>
                <c:pt idx="79">
                  <c:v>1330</c:v>
                </c:pt>
                <c:pt idx="80">
                  <c:v>1343</c:v>
                </c:pt>
                <c:pt idx="81">
                  <c:v>1356</c:v>
                </c:pt>
                <c:pt idx="82">
                  <c:v>1369</c:v>
                </c:pt>
                <c:pt idx="83">
                  <c:v>1382</c:v>
                </c:pt>
                <c:pt idx="84">
                  <c:v>1395</c:v>
                </c:pt>
                <c:pt idx="85">
                  <c:v>1408</c:v>
                </c:pt>
                <c:pt idx="86">
                  <c:v>1421</c:v>
                </c:pt>
                <c:pt idx="87">
                  <c:v>1434</c:v>
                </c:pt>
                <c:pt idx="88">
                  <c:v>1447</c:v>
                </c:pt>
                <c:pt idx="89">
                  <c:v>1460</c:v>
                </c:pt>
                <c:pt idx="90">
                  <c:v>1473</c:v>
                </c:pt>
                <c:pt idx="91">
                  <c:v>1486</c:v>
                </c:pt>
                <c:pt idx="92">
                  <c:v>1499</c:v>
                </c:pt>
              </c:numCache>
              <c:extLst xmlns:c15="http://schemas.microsoft.com/office/drawing/2012/chart"/>
            </c:numRef>
          </c:xVal>
          <c:yVal>
            <c:numRef>
              <c:f>EVALUATION!$B$106:$CP$106</c:f>
              <c:numCache>
                <c:formatCode>0</c:formatCode>
                <c:ptCount val="93"/>
                <c:pt idx="0">
                  <c:v>-21.633423423423423</c:v>
                </c:pt>
                <c:pt idx="1">
                  <c:v>-20.938528528528529</c:v>
                </c:pt>
                <c:pt idx="2" formatCode="General">
                  <c:v>-20.243633633633632</c:v>
                </c:pt>
                <c:pt idx="3" formatCode="General">
                  <c:v>-20.065988023952094</c:v>
                </c:pt>
                <c:pt idx="4" formatCode="General">
                  <c:v>-20.011497005988023</c:v>
                </c:pt>
                <c:pt idx="5" formatCode="General">
                  <c:v>-20.01640718562874</c:v>
                </c:pt>
                <c:pt idx="6" formatCode="General">
                  <c:v>-20.211017964071857</c:v>
                </c:pt>
                <c:pt idx="7" formatCode="General">
                  <c:v>-20.40562874251497</c:v>
                </c:pt>
                <c:pt idx="8" formatCode="General">
                  <c:v>-20.602844311377243</c:v>
                </c:pt>
                <c:pt idx="9" formatCode="General">
                  <c:v>-20.801347305389221</c:v>
                </c:pt>
                <c:pt idx="10" formatCode="General">
                  <c:v>-20.999850299401199</c:v>
                </c:pt>
                <c:pt idx="11" formatCode="General">
                  <c:v>-21.198353293413174</c:v>
                </c:pt>
                <c:pt idx="12" formatCode="General">
                  <c:v>-21.396856287425148</c:v>
                </c:pt>
                <c:pt idx="13" formatCode="General">
                  <c:v>-21.597425149700598</c:v>
                </c:pt>
                <c:pt idx="14" formatCode="General">
                  <c:v>-21.799820359281437</c:v>
                </c:pt>
                <c:pt idx="15" formatCode="General">
                  <c:v>-22.002215568862276</c:v>
                </c:pt>
                <c:pt idx="16" formatCode="General">
                  <c:v>-22.19768768768769</c:v>
                </c:pt>
                <c:pt idx="17" formatCode="General">
                  <c:v>-22.392882882882883</c:v>
                </c:pt>
                <c:pt idx="18" formatCode="General">
                  <c:v>-22.589401197604793</c:v>
                </c:pt>
                <c:pt idx="19" formatCode="General">
                  <c:v>-22.787904191616768</c:v>
                </c:pt>
                <c:pt idx="20" formatCode="General">
                  <c:v>-22.986407185628742</c:v>
                </c:pt>
                <c:pt idx="21" formatCode="General">
                  <c:v>-23.17682634730539</c:v>
                </c:pt>
                <c:pt idx="22" formatCode="General">
                  <c:v>-23.365598802395208</c:v>
                </c:pt>
                <c:pt idx="23" formatCode="General">
                  <c:v>-23.55437125748503</c:v>
                </c:pt>
                <c:pt idx="24" formatCode="General">
                  <c:v>-23.743143712574849</c:v>
                </c:pt>
                <c:pt idx="25" formatCode="General">
                  <c:v>-23.931916167664671</c:v>
                </c:pt>
                <c:pt idx="26" formatCode="General">
                  <c:v>-24.120688622754493</c:v>
                </c:pt>
                <c:pt idx="27" formatCode="General">
                  <c:v>-24.309461077844311</c:v>
                </c:pt>
                <c:pt idx="28" formatCode="General">
                  <c:v>-24.498233532934133</c:v>
                </c:pt>
                <c:pt idx="29" formatCode="General">
                  <c:v>-24.687005988023952</c:v>
                </c:pt>
                <c:pt idx="30" formatCode="General">
                  <c:v>-24.875778443113774</c:v>
                </c:pt>
                <c:pt idx="31" formatCode="General">
                  <c:v>-25.057617977528093</c:v>
                </c:pt>
                <c:pt idx="32" formatCode="General">
                  <c:v>-25.233872659176033</c:v>
                </c:pt>
                <c:pt idx="33" formatCode="General">
                  <c:v>-25.410127340823973</c:v>
                </c:pt>
                <c:pt idx="34" formatCode="General">
                  <c:v>-25.586382022471913</c:v>
                </c:pt>
                <c:pt idx="35" formatCode="General">
                  <c:v>-25.762636704119853</c:v>
                </c:pt>
                <c:pt idx="36" formatCode="General">
                  <c:v>-25.938891385767793</c:v>
                </c:pt>
                <c:pt idx="37" formatCode="General">
                  <c:v>-26.115146067415729</c:v>
                </c:pt>
                <c:pt idx="38" formatCode="General">
                  <c:v>-26.291400749063669</c:v>
                </c:pt>
                <c:pt idx="39" formatCode="General">
                  <c:v>-26.467655430711609</c:v>
                </c:pt>
                <c:pt idx="40" formatCode="General">
                  <c:v>-26.643910112359549</c:v>
                </c:pt>
                <c:pt idx="41" formatCode="General">
                  <c:v>-26.81767041198502</c:v>
                </c:pt>
                <c:pt idx="42" formatCode="General">
                  <c:v>-26.98516104868914</c:v>
                </c:pt>
                <c:pt idx="43" formatCode="General">
                  <c:v>-27.152651685393259</c:v>
                </c:pt>
                <c:pt idx="44" formatCode="General">
                  <c:v>-27.320142322097379</c:v>
                </c:pt>
                <c:pt idx="45" formatCode="General">
                  <c:v>-27.487632958801498</c:v>
                </c:pt>
                <c:pt idx="46" formatCode="General">
                  <c:v>-27.655123595505618</c:v>
                </c:pt>
                <c:pt idx="47" formatCode="General">
                  <c:v>-27.822614232209737</c:v>
                </c:pt>
                <c:pt idx="48" formatCode="General">
                  <c:v>-27.990104868913857</c:v>
                </c:pt>
                <c:pt idx="49" formatCode="General">
                  <c:v>-28.157595505617977</c:v>
                </c:pt>
                <c:pt idx="50" formatCode="General">
                  <c:v>-28.325086142322096</c:v>
                </c:pt>
                <c:pt idx="51" formatCode="General">
                  <c:v>-28.492455089820357</c:v>
                </c:pt>
                <c:pt idx="52" formatCode="General">
                  <c:v>-28.652035928143711</c:v>
                </c:pt>
                <c:pt idx="53" formatCode="General">
                  <c:v>-28.811616766467065</c:v>
                </c:pt>
                <c:pt idx="54" formatCode="General">
                  <c:v>-28.970355029585797</c:v>
                </c:pt>
                <c:pt idx="55" formatCode="General">
                  <c:v>-29.128047337278105</c:v>
                </c:pt>
                <c:pt idx="56" formatCode="General">
                  <c:v>-29.285739644970413</c:v>
                </c:pt>
                <c:pt idx="57" formatCode="General">
                  <c:v>-29.446666666666665</c:v>
                </c:pt>
                <c:pt idx="58" formatCode="General">
                  <c:v>-29.608181818181816</c:v>
                </c:pt>
                <c:pt idx="59" formatCode="General">
                  <c:v>-29.768484848484846</c:v>
                </c:pt>
                <c:pt idx="60" formatCode="General">
                  <c:v>-29.926060606060606</c:v>
                </c:pt>
                <c:pt idx="61" formatCode="General">
                  <c:v>-30.083636363636366</c:v>
                </c:pt>
                <c:pt idx="62" formatCode="General">
                  <c:v>-30.237164179104479</c:v>
                </c:pt>
                <c:pt idx="63" formatCode="General">
                  <c:v>-30.389477611940301</c:v>
                </c:pt>
                <c:pt idx="64" formatCode="General">
                  <c:v>-30.541791044776119</c:v>
                </c:pt>
                <c:pt idx="65" formatCode="General">
                  <c:v>-30.69410447761194</c:v>
                </c:pt>
                <c:pt idx="66" formatCode="General">
                  <c:v>-30.846417910447762</c:v>
                </c:pt>
                <c:pt idx="67" formatCode="General">
                  <c:v>-30.998731343283584</c:v>
                </c:pt>
                <c:pt idx="68" formatCode="General">
                  <c:v>-31.151044776119406</c:v>
                </c:pt>
                <c:pt idx="69" formatCode="General">
                  <c:v>-31.303358208955224</c:v>
                </c:pt>
                <c:pt idx="70" formatCode="General">
                  <c:v>-31.455671641791046</c:v>
                </c:pt>
                <c:pt idx="71" formatCode="General">
                  <c:v>-31.607985074626868</c:v>
                </c:pt>
                <c:pt idx="72" formatCode="General">
                  <c:v>-31.759022556390978</c:v>
                </c:pt>
                <c:pt idx="73" formatCode="General">
                  <c:v>-31.908571428571431</c:v>
                </c:pt>
                <c:pt idx="74" formatCode="General">
                  <c:v>-32.058120300751881</c:v>
                </c:pt>
                <c:pt idx="75" formatCode="General">
                  <c:v>-32.207669172932334</c:v>
                </c:pt>
                <c:pt idx="76" formatCode="General">
                  <c:v>-32.357218045112781</c:v>
                </c:pt>
                <c:pt idx="77" formatCode="General">
                  <c:v>-32.506766917293234</c:v>
                </c:pt>
                <c:pt idx="78" formatCode="General">
                  <c:v>-32.65631578947368</c:v>
                </c:pt>
                <c:pt idx="79" formatCode="General">
                  <c:v>-32.805864661654134</c:v>
                </c:pt>
                <c:pt idx="80" formatCode="General">
                  <c:v>-32.955413533834587</c:v>
                </c:pt>
                <c:pt idx="81" formatCode="General">
                  <c:v>-33.104962406015034</c:v>
                </c:pt>
                <c:pt idx="82" formatCode="General">
                  <c:v>-33.252647058823527</c:v>
                </c:pt>
                <c:pt idx="83" formatCode="General">
                  <c:v>-33.394117647058827</c:v>
                </c:pt>
                <c:pt idx="84" formatCode="General">
                  <c:v>-33.535588235294121</c:v>
                </c:pt>
                <c:pt idx="85" formatCode="General">
                  <c:v>-33.682121212121217</c:v>
                </c:pt>
                <c:pt idx="86" formatCode="General">
                  <c:v>-33.831818181818186</c:v>
                </c:pt>
                <c:pt idx="87" formatCode="General">
                  <c:v>-33.980882352941173</c:v>
                </c:pt>
                <c:pt idx="88" formatCode="General">
                  <c:v>-34.122352941176473</c:v>
                </c:pt>
                <c:pt idx="89" formatCode="General">
                  <c:v>-34.263823529411766</c:v>
                </c:pt>
                <c:pt idx="90" formatCode="General">
                  <c:v>-34.407272727272733</c:v>
                </c:pt>
                <c:pt idx="91" formatCode="General">
                  <c:v>-34.553030303030305</c:v>
                </c:pt>
                <c:pt idx="92" formatCode="General">
                  <c:v>-34.698787878787883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EF3C-4648-9C26-0B0A07188C01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303</c:v>
                </c:pt>
                <c:pt idx="1">
                  <c:v>316</c:v>
                </c:pt>
                <c:pt idx="2">
                  <c:v>329</c:v>
                </c:pt>
                <c:pt idx="3">
                  <c:v>342</c:v>
                </c:pt>
                <c:pt idx="4">
                  <c:v>355</c:v>
                </c:pt>
                <c:pt idx="5">
                  <c:v>368</c:v>
                </c:pt>
                <c:pt idx="6">
                  <c:v>381</c:v>
                </c:pt>
                <c:pt idx="7">
                  <c:v>394</c:v>
                </c:pt>
                <c:pt idx="8">
                  <c:v>407</c:v>
                </c:pt>
                <c:pt idx="9">
                  <c:v>420</c:v>
                </c:pt>
                <c:pt idx="10">
                  <c:v>433</c:v>
                </c:pt>
                <c:pt idx="11">
                  <c:v>446</c:v>
                </c:pt>
                <c:pt idx="12">
                  <c:v>459</c:v>
                </c:pt>
                <c:pt idx="13">
                  <c:v>472</c:v>
                </c:pt>
                <c:pt idx="14">
                  <c:v>485</c:v>
                </c:pt>
                <c:pt idx="15">
                  <c:v>498</c:v>
                </c:pt>
                <c:pt idx="16">
                  <c:v>511</c:v>
                </c:pt>
                <c:pt idx="17">
                  <c:v>524</c:v>
                </c:pt>
                <c:pt idx="18">
                  <c:v>537</c:v>
                </c:pt>
                <c:pt idx="19">
                  <c:v>550</c:v>
                </c:pt>
                <c:pt idx="20">
                  <c:v>563</c:v>
                </c:pt>
                <c:pt idx="21">
                  <c:v>576</c:v>
                </c:pt>
                <c:pt idx="22">
                  <c:v>589</c:v>
                </c:pt>
                <c:pt idx="23">
                  <c:v>602</c:v>
                </c:pt>
                <c:pt idx="24">
                  <c:v>615</c:v>
                </c:pt>
                <c:pt idx="25">
                  <c:v>628</c:v>
                </c:pt>
                <c:pt idx="26">
                  <c:v>641</c:v>
                </c:pt>
                <c:pt idx="27">
                  <c:v>654</c:v>
                </c:pt>
                <c:pt idx="28">
                  <c:v>667</c:v>
                </c:pt>
                <c:pt idx="29">
                  <c:v>680</c:v>
                </c:pt>
                <c:pt idx="30">
                  <c:v>693</c:v>
                </c:pt>
                <c:pt idx="31">
                  <c:v>706</c:v>
                </c:pt>
                <c:pt idx="32">
                  <c:v>719</c:v>
                </c:pt>
                <c:pt idx="33">
                  <c:v>732</c:v>
                </c:pt>
                <c:pt idx="34">
                  <c:v>745</c:v>
                </c:pt>
                <c:pt idx="35">
                  <c:v>758</c:v>
                </c:pt>
                <c:pt idx="36">
                  <c:v>771</c:v>
                </c:pt>
                <c:pt idx="37">
                  <c:v>784</c:v>
                </c:pt>
                <c:pt idx="38">
                  <c:v>797</c:v>
                </c:pt>
                <c:pt idx="39">
                  <c:v>810</c:v>
                </c:pt>
                <c:pt idx="40">
                  <c:v>823</c:v>
                </c:pt>
                <c:pt idx="41">
                  <c:v>836</c:v>
                </c:pt>
                <c:pt idx="42">
                  <c:v>849</c:v>
                </c:pt>
                <c:pt idx="43">
                  <c:v>862</c:v>
                </c:pt>
                <c:pt idx="44">
                  <c:v>875</c:v>
                </c:pt>
                <c:pt idx="45">
                  <c:v>888</c:v>
                </c:pt>
                <c:pt idx="46">
                  <c:v>901</c:v>
                </c:pt>
                <c:pt idx="47">
                  <c:v>914</c:v>
                </c:pt>
                <c:pt idx="48">
                  <c:v>927</c:v>
                </c:pt>
                <c:pt idx="49">
                  <c:v>940</c:v>
                </c:pt>
                <c:pt idx="50">
                  <c:v>953</c:v>
                </c:pt>
                <c:pt idx="51">
                  <c:v>966</c:v>
                </c:pt>
                <c:pt idx="52">
                  <c:v>979</c:v>
                </c:pt>
                <c:pt idx="53">
                  <c:v>992</c:v>
                </c:pt>
                <c:pt idx="54">
                  <c:v>1005</c:v>
                </c:pt>
                <c:pt idx="55">
                  <c:v>1018</c:v>
                </c:pt>
                <c:pt idx="56">
                  <c:v>1031</c:v>
                </c:pt>
                <c:pt idx="57">
                  <c:v>1044</c:v>
                </c:pt>
                <c:pt idx="58">
                  <c:v>1057</c:v>
                </c:pt>
                <c:pt idx="59">
                  <c:v>1070</c:v>
                </c:pt>
                <c:pt idx="60">
                  <c:v>1083</c:v>
                </c:pt>
                <c:pt idx="61">
                  <c:v>1096</c:v>
                </c:pt>
                <c:pt idx="62">
                  <c:v>1109</c:v>
                </c:pt>
                <c:pt idx="63">
                  <c:v>1122</c:v>
                </c:pt>
                <c:pt idx="64">
                  <c:v>1135</c:v>
                </c:pt>
                <c:pt idx="65">
                  <c:v>1148</c:v>
                </c:pt>
                <c:pt idx="66">
                  <c:v>1161</c:v>
                </c:pt>
                <c:pt idx="67">
                  <c:v>1174</c:v>
                </c:pt>
                <c:pt idx="68">
                  <c:v>1187</c:v>
                </c:pt>
                <c:pt idx="69">
                  <c:v>1200</c:v>
                </c:pt>
                <c:pt idx="70">
                  <c:v>1213</c:v>
                </c:pt>
                <c:pt idx="71">
                  <c:v>1226</c:v>
                </c:pt>
                <c:pt idx="72">
                  <c:v>1239</c:v>
                </c:pt>
                <c:pt idx="73">
                  <c:v>1252</c:v>
                </c:pt>
                <c:pt idx="74">
                  <c:v>1265</c:v>
                </c:pt>
                <c:pt idx="75">
                  <c:v>1278</c:v>
                </c:pt>
                <c:pt idx="76">
                  <c:v>1291</c:v>
                </c:pt>
                <c:pt idx="77">
                  <c:v>1304</c:v>
                </c:pt>
                <c:pt idx="78">
                  <c:v>1317</c:v>
                </c:pt>
                <c:pt idx="79">
                  <c:v>1330</c:v>
                </c:pt>
                <c:pt idx="80">
                  <c:v>1343</c:v>
                </c:pt>
                <c:pt idx="81">
                  <c:v>1356</c:v>
                </c:pt>
                <c:pt idx="82">
                  <c:v>1369</c:v>
                </c:pt>
                <c:pt idx="83">
                  <c:v>1382</c:v>
                </c:pt>
                <c:pt idx="84">
                  <c:v>1395</c:v>
                </c:pt>
                <c:pt idx="85">
                  <c:v>1408</c:v>
                </c:pt>
                <c:pt idx="86">
                  <c:v>1421</c:v>
                </c:pt>
                <c:pt idx="87">
                  <c:v>1434</c:v>
                </c:pt>
                <c:pt idx="88">
                  <c:v>1447</c:v>
                </c:pt>
                <c:pt idx="89">
                  <c:v>1460</c:v>
                </c:pt>
                <c:pt idx="90">
                  <c:v>1473</c:v>
                </c:pt>
                <c:pt idx="91">
                  <c:v>1486</c:v>
                </c:pt>
                <c:pt idx="92">
                  <c:v>1499</c:v>
                </c:pt>
              </c:numCache>
              <c:extLst xmlns:c15="http://schemas.microsoft.com/office/drawing/2012/chart"/>
            </c:numRef>
          </c:xVal>
          <c:yVal>
            <c:numRef>
              <c:f>EVALUATION!$B$142:$CP$142</c:f>
              <c:numCache>
                <c:formatCode>0</c:formatCode>
                <c:ptCount val="93"/>
                <c:pt idx="0">
                  <c:v>-22.018918918918921</c:v>
                </c:pt>
                <c:pt idx="1">
                  <c:v>-21.69099099099099</c:v>
                </c:pt>
                <c:pt idx="2" formatCode="General">
                  <c:v>-21.363063063063063</c:v>
                </c:pt>
                <c:pt idx="3" formatCode="General">
                  <c:v>-21.328293413173654</c:v>
                </c:pt>
                <c:pt idx="4" formatCode="General">
                  <c:v>-21.363323353293413</c:v>
                </c:pt>
                <c:pt idx="5" formatCode="General">
                  <c:v>-21.428053892215569</c:v>
                </c:pt>
                <c:pt idx="6" formatCode="General">
                  <c:v>-21.587634730538923</c:v>
                </c:pt>
                <c:pt idx="7" formatCode="General">
                  <c:v>-21.747215568862277</c:v>
                </c:pt>
                <c:pt idx="8" formatCode="General">
                  <c:v>-21.901586826347305</c:v>
                </c:pt>
                <c:pt idx="9" formatCode="General">
                  <c:v>-22.053383233532934</c:v>
                </c:pt>
                <c:pt idx="10" formatCode="General">
                  <c:v>-22.201287425149701</c:v>
                </c:pt>
                <c:pt idx="11" formatCode="General">
                  <c:v>-22.314161676646709</c:v>
                </c:pt>
                <c:pt idx="12" formatCode="General">
                  <c:v>-22.427035928143713</c:v>
                </c:pt>
                <c:pt idx="13" formatCode="General">
                  <c:v>-22.544041916167664</c:v>
                </c:pt>
                <c:pt idx="14" formatCode="General">
                  <c:v>-22.664700598802394</c:v>
                </c:pt>
                <c:pt idx="15" formatCode="General">
                  <c:v>-22.785359281437124</c:v>
                </c:pt>
                <c:pt idx="16" formatCode="General">
                  <c:v>-22.883843843843842</c:v>
                </c:pt>
                <c:pt idx="17" formatCode="General">
                  <c:v>-22.98144144144144</c:v>
                </c:pt>
                <c:pt idx="18" formatCode="General">
                  <c:v>-23.1162874251497</c:v>
                </c:pt>
                <c:pt idx="19" formatCode="General">
                  <c:v>-23.307005988023953</c:v>
                </c:pt>
                <c:pt idx="20" formatCode="General">
                  <c:v>-23.497724550898205</c:v>
                </c:pt>
                <c:pt idx="21" formatCode="General">
                  <c:v>-23.691676646706586</c:v>
                </c:pt>
                <c:pt idx="22" formatCode="General">
                  <c:v>-23.8862874251497</c:v>
                </c:pt>
                <c:pt idx="23" formatCode="General">
                  <c:v>-24.078862275449104</c:v>
                </c:pt>
                <c:pt idx="24" formatCode="General">
                  <c:v>-24.265688622754492</c:v>
                </c:pt>
                <c:pt idx="25" formatCode="General">
                  <c:v>-24.45251497005988</c:v>
                </c:pt>
                <c:pt idx="26" formatCode="General">
                  <c:v>-24.639341317365272</c:v>
                </c:pt>
                <c:pt idx="27" formatCode="General">
                  <c:v>-24.82616766467066</c:v>
                </c:pt>
                <c:pt idx="28" formatCode="General">
                  <c:v>-25.012994011976048</c:v>
                </c:pt>
                <c:pt idx="29" formatCode="General">
                  <c:v>-25.199820359281436</c:v>
                </c:pt>
                <c:pt idx="30" formatCode="General">
                  <c:v>-25.386646706586827</c:v>
                </c:pt>
                <c:pt idx="31" formatCode="General">
                  <c:v>-25.567617977528091</c:v>
                </c:pt>
                <c:pt idx="32" formatCode="General">
                  <c:v>-25.743872659176031</c:v>
                </c:pt>
                <c:pt idx="33" formatCode="General">
                  <c:v>-25.920127340823971</c:v>
                </c:pt>
                <c:pt idx="34" formatCode="General">
                  <c:v>-26.096382022471911</c:v>
                </c:pt>
                <c:pt idx="35" formatCode="General">
                  <c:v>-26.272636704119851</c:v>
                </c:pt>
                <c:pt idx="36" formatCode="General">
                  <c:v>-26.448891385767791</c:v>
                </c:pt>
                <c:pt idx="37" formatCode="General">
                  <c:v>-26.625146067415731</c:v>
                </c:pt>
                <c:pt idx="38" formatCode="General">
                  <c:v>-26.801400749063671</c:v>
                </c:pt>
                <c:pt idx="39" formatCode="General">
                  <c:v>-26.977655430711611</c:v>
                </c:pt>
                <c:pt idx="40" formatCode="General">
                  <c:v>-27.153910112359551</c:v>
                </c:pt>
                <c:pt idx="41" formatCode="General">
                  <c:v>-27.327670411985022</c:v>
                </c:pt>
                <c:pt idx="42" formatCode="General">
                  <c:v>-27.495161048689141</c:v>
                </c:pt>
                <c:pt idx="43" formatCode="General">
                  <c:v>-27.662651685393261</c:v>
                </c:pt>
                <c:pt idx="44" formatCode="General">
                  <c:v>-27.83014232209738</c:v>
                </c:pt>
                <c:pt idx="45" formatCode="General">
                  <c:v>-27.9976329588015</c:v>
                </c:pt>
                <c:pt idx="46" formatCode="General">
                  <c:v>-28.165123595505619</c:v>
                </c:pt>
                <c:pt idx="47" formatCode="General">
                  <c:v>-28.332614232209739</c:v>
                </c:pt>
                <c:pt idx="48" formatCode="General">
                  <c:v>-28.500104868913859</c:v>
                </c:pt>
                <c:pt idx="49" formatCode="General">
                  <c:v>-28.667595505617978</c:v>
                </c:pt>
                <c:pt idx="50" formatCode="General">
                  <c:v>-28.835086142322098</c:v>
                </c:pt>
                <c:pt idx="51" formatCode="General">
                  <c:v>-29.002447447447448</c:v>
                </c:pt>
                <c:pt idx="52" formatCode="General">
                  <c:v>-29.161531531531534</c:v>
                </c:pt>
                <c:pt idx="53" formatCode="General">
                  <c:v>-29.320615615615615</c:v>
                </c:pt>
                <c:pt idx="54" formatCode="General">
                  <c:v>-29.479699699699701</c:v>
                </c:pt>
                <c:pt idx="55" formatCode="General">
                  <c:v>-29.638783783783783</c:v>
                </c:pt>
                <c:pt idx="56" formatCode="General">
                  <c:v>-29.797867867867868</c:v>
                </c:pt>
                <c:pt idx="57" formatCode="General">
                  <c:v>-29.95695195195195</c:v>
                </c:pt>
                <c:pt idx="58" formatCode="General">
                  <c:v>-30.116036036036036</c:v>
                </c:pt>
                <c:pt idx="59" formatCode="General">
                  <c:v>-30.275120120120121</c:v>
                </c:pt>
                <c:pt idx="60" formatCode="General">
                  <c:v>-30.434204204204203</c:v>
                </c:pt>
                <c:pt idx="61" formatCode="General">
                  <c:v>-30.593288288288289</c:v>
                </c:pt>
                <c:pt idx="62" formatCode="General">
                  <c:v>-30.747647058823528</c:v>
                </c:pt>
                <c:pt idx="63" formatCode="General">
                  <c:v>-30.900588235294119</c:v>
                </c:pt>
                <c:pt idx="64" formatCode="General">
                  <c:v>-31.053636363636365</c:v>
                </c:pt>
                <c:pt idx="65" formatCode="General">
                  <c:v>-31.207272727272727</c:v>
                </c:pt>
                <c:pt idx="66" formatCode="General">
                  <c:v>-31.360909090909093</c:v>
                </c:pt>
                <c:pt idx="67" formatCode="General">
                  <c:v>-31.511764705882353</c:v>
                </c:pt>
                <c:pt idx="68" formatCode="General">
                  <c:v>-31.660882352941176</c:v>
                </c:pt>
                <c:pt idx="69" formatCode="General">
                  <c:v>-31.81</c:v>
                </c:pt>
                <c:pt idx="70" formatCode="General">
                  <c:v>-31.963636363636365</c:v>
                </c:pt>
                <c:pt idx="71" formatCode="General">
                  <c:v>-32.117272727272727</c:v>
                </c:pt>
                <c:pt idx="72" formatCode="General">
                  <c:v>-32.269022556390979</c:v>
                </c:pt>
                <c:pt idx="73" formatCode="General">
                  <c:v>-32.418571428571433</c:v>
                </c:pt>
                <c:pt idx="74" formatCode="General">
                  <c:v>-32.568120300751879</c:v>
                </c:pt>
                <c:pt idx="75" formatCode="General">
                  <c:v>-32.717669172932332</c:v>
                </c:pt>
                <c:pt idx="76" formatCode="General">
                  <c:v>-32.867218045112779</c:v>
                </c:pt>
                <c:pt idx="77" formatCode="General">
                  <c:v>-33.016766917293232</c:v>
                </c:pt>
                <c:pt idx="78" formatCode="General">
                  <c:v>-33.166315789473686</c:v>
                </c:pt>
                <c:pt idx="79" formatCode="General">
                  <c:v>-33.315864661654132</c:v>
                </c:pt>
                <c:pt idx="80" formatCode="General">
                  <c:v>-33.465413533834585</c:v>
                </c:pt>
                <c:pt idx="81" formatCode="General">
                  <c:v>-33.614962406015032</c:v>
                </c:pt>
                <c:pt idx="82" formatCode="General">
                  <c:v>-33.763358208955218</c:v>
                </c:pt>
                <c:pt idx="83" formatCode="General">
                  <c:v>-33.907910447761189</c:v>
                </c:pt>
                <c:pt idx="84" formatCode="General">
                  <c:v>-34.052462686567161</c:v>
                </c:pt>
                <c:pt idx="85" formatCode="General">
                  <c:v>-34.197014925373132</c:v>
                </c:pt>
                <c:pt idx="86" formatCode="General">
                  <c:v>-34.341567164179104</c:v>
                </c:pt>
                <c:pt idx="87" formatCode="General">
                  <c:v>-34.486119402985075</c:v>
                </c:pt>
                <c:pt idx="88" formatCode="General">
                  <c:v>-34.630671641791039</c:v>
                </c:pt>
                <c:pt idx="89" formatCode="General">
                  <c:v>-34.775223880597011</c:v>
                </c:pt>
                <c:pt idx="90" formatCode="General">
                  <c:v>-34.919776119402982</c:v>
                </c:pt>
                <c:pt idx="91" formatCode="General">
                  <c:v>-35.064328358208954</c:v>
                </c:pt>
                <c:pt idx="92" formatCode="General">
                  <c:v>-35.208880597014925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EF3C-4648-9C26-0B0A07188C01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F3C-4648-9C26-0B0A07188C01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731</c:v>
                </c:pt>
                <c:pt idx="1">
                  <c:v>731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-199.33052238805971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F3C-4648-9C26-0B0A07188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-15.207297297297297</c:v>
                      </c:pt>
                      <c:pt idx="1">
                        <c:v>-14.82081081081081</c:v>
                      </c:pt>
                      <c:pt idx="2" formatCode="General">
                        <c:v>-14.434324324324324</c:v>
                      </c:pt>
                      <c:pt idx="3" formatCode="General">
                        <c:v>-13.712395209580837</c:v>
                      </c:pt>
                      <c:pt idx="4" formatCode="General">
                        <c:v>-12.910598802395208</c:v>
                      </c:pt>
                      <c:pt idx="5" formatCode="General">
                        <c:v>-12.087455089820359</c:v>
                      </c:pt>
                      <c:pt idx="6" formatCode="General">
                        <c:v>-11.196137724550898</c:v>
                      </c:pt>
                      <c:pt idx="7" formatCode="General">
                        <c:v>-10.304820359281438</c:v>
                      </c:pt>
                      <c:pt idx="8" formatCode="General">
                        <c:v>-9.491907185628742</c:v>
                      </c:pt>
                      <c:pt idx="9" formatCode="General">
                        <c:v>-8.7177455089820359</c:v>
                      </c:pt>
                      <c:pt idx="10" formatCode="General">
                        <c:v>-7.9532365269461076</c:v>
                      </c:pt>
                      <c:pt idx="11" formatCode="General">
                        <c:v>-7.2756017964071864</c:v>
                      </c:pt>
                      <c:pt idx="12" formatCode="General">
                        <c:v>-6.5979670658682643</c:v>
                      </c:pt>
                      <c:pt idx="13" formatCode="General">
                        <c:v>-5.9610299401197615</c:v>
                      </c:pt>
                      <c:pt idx="14" formatCode="General">
                        <c:v>-5.3600718562874254</c:v>
                      </c:pt>
                      <c:pt idx="15" formatCode="General">
                        <c:v>-4.7591137724550894</c:v>
                      </c:pt>
                      <c:pt idx="16" formatCode="General">
                        <c:v>-4.5126516516516508</c:v>
                      </c:pt>
                      <c:pt idx="17" formatCode="General">
                        <c:v>-4.2803693693693692</c:v>
                      </c:pt>
                      <c:pt idx="18" formatCode="General">
                        <c:v>-4.1537664670658687</c:v>
                      </c:pt>
                      <c:pt idx="19" formatCode="General">
                        <c:v>-4.1856826347305391</c:v>
                      </c:pt>
                      <c:pt idx="20" formatCode="General">
                        <c:v>-4.2175988023952096</c:v>
                      </c:pt>
                      <c:pt idx="21" formatCode="General">
                        <c:v>-4.249676646706587</c:v>
                      </c:pt>
                      <c:pt idx="22" formatCode="General">
                        <c:v>-4.2817874251497008</c:v>
                      </c:pt>
                      <c:pt idx="23" formatCode="General">
                        <c:v>-4.3138982035928146</c:v>
                      </c:pt>
                      <c:pt idx="24" formatCode="General">
                        <c:v>-4.3460089820359284</c:v>
                      </c:pt>
                      <c:pt idx="25" formatCode="General">
                        <c:v>-4.3781197604790414</c:v>
                      </c:pt>
                      <c:pt idx="26" formatCode="General">
                        <c:v>-4.4102305389221552</c:v>
                      </c:pt>
                      <c:pt idx="27" formatCode="General">
                        <c:v>-4.442341317365269</c:v>
                      </c:pt>
                      <c:pt idx="28" formatCode="General">
                        <c:v>-4.4744520958083829</c:v>
                      </c:pt>
                      <c:pt idx="29" formatCode="General">
                        <c:v>-4.5065628742514967</c:v>
                      </c:pt>
                      <c:pt idx="30" formatCode="General">
                        <c:v>-4.5386736526946105</c:v>
                      </c:pt>
                      <c:pt idx="31" formatCode="General">
                        <c:v>-4.5702584269662925</c:v>
                      </c:pt>
                      <c:pt idx="32" formatCode="General">
                        <c:v>-4.6014194756554305</c:v>
                      </c:pt>
                      <c:pt idx="33" formatCode="General">
                        <c:v>-4.6325805243445695</c:v>
                      </c:pt>
                      <c:pt idx="34" formatCode="General">
                        <c:v>-4.6637415730337084</c:v>
                      </c:pt>
                      <c:pt idx="35" formatCode="General">
                        <c:v>-4.6949026217228464</c:v>
                      </c:pt>
                      <c:pt idx="36" formatCode="General">
                        <c:v>-4.7260636704119854</c:v>
                      </c:pt>
                      <c:pt idx="37" formatCode="General">
                        <c:v>-4.7572247191011234</c:v>
                      </c:pt>
                      <c:pt idx="38" formatCode="General">
                        <c:v>-4.7883857677902624</c:v>
                      </c:pt>
                      <c:pt idx="39" formatCode="General">
                        <c:v>-4.8195468164794013</c:v>
                      </c:pt>
                      <c:pt idx="40" formatCode="General">
                        <c:v>-4.8507078651685394</c:v>
                      </c:pt>
                      <c:pt idx="41" formatCode="General">
                        <c:v>-4.8813700374531841</c:v>
                      </c:pt>
                      <c:pt idx="42" formatCode="General">
                        <c:v>-4.9107782771535584</c:v>
                      </c:pt>
                      <c:pt idx="43" formatCode="General">
                        <c:v>-4.9401865168539327</c:v>
                      </c:pt>
                      <c:pt idx="44" formatCode="General">
                        <c:v>-4.969594756554307</c:v>
                      </c:pt>
                      <c:pt idx="45" formatCode="General">
                        <c:v>-4.9990029962546814</c:v>
                      </c:pt>
                      <c:pt idx="46" formatCode="General">
                        <c:v>-5.0284112359550566</c:v>
                      </c:pt>
                      <c:pt idx="47" formatCode="General">
                        <c:v>-5.0578194756554309</c:v>
                      </c:pt>
                      <c:pt idx="48" formatCode="General">
                        <c:v>-5.0872277153558052</c:v>
                      </c:pt>
                      <c:pt idx="49" formatCode="General">
                        <c:v>-5.1166359550561795</c:v>
                      </c:pt>
                      <c:pt idx="50" formatCode="General">
                        <c:v>-5.1460441947565538</c:v>
                      </c:pt>
                      <c:pt idx="51" formatCode="General">
                        <c:v>-5.1754311377245505</c:v>
                      </c:pt>
                      <c:pt idx="52" formatCode="General">
                        <c:v>-5.2034550898203591</c:v>
                      </c:pt>
                      <c:pt idx="53" formatCode="General">
                        <c:v>-5.2314790419161676</c:v>
                      </c:pt>
                      <c:pt idx="54" formatCode="General">
                        <c:v>-5.2591834319526622</c:v>
                      </c:pt>
                      <c:pt idx="55" formatCode="General">
                        <c:v>-5.2864911242603547</c:v>
                      </c:pt>
                      <c:pt idx="56" formatCode="General">
                        <c:v>-5.3137988165680472</c:v>
                      </c:pt>
                      <c:pt idx="57" formatCode="General">
                        <c:v>-5.3416666666666668</c:v>
                      </c:pt>
                      <c:pt idx="58" formatCode="General">
                        <c:v>-5.3696363636363635</c:v>
                      </c:pt>
                      <c:pt idx="59" formatCode="General">
                        <c:v>-5.3973636363636368</c:v>
                      </c:pt>
                      <c:pt idx="60" formatCode="General">
                        <c:v>-5.4245454545454548</c:v>
                      </c:pt>
                      <c:pt idx="61" formatCode="General">
                        <c:v>-5.4517272727272728</c:v>
                      </c:pt>
                      <c:pt idx="62" formatCode="General">
                        <c:v>-5.4825522388059706</c:v>
                      </c:pt>
                      <c:pt idx="63" formatCode="General">
                        <c:v>-5.5144701492537314</c:v>
                      </c:pt>
                      <c:pt idx="64" formatCode="General">
                        <c:v>-5.546388059701493</c:v>
                      </c:pt>
                      <c:pt idx="65" formatCode="General">
                        <c:v>-5.5783059701492537</c:v>
                      </c:pt>
                      <c:pt idx="66" formatCode="General">
                        <c:v>-5.6102238805970153</c:v>
                      </c:pt>
                      <c:pt idx="67" formatCode="General">
                        <c:v>-5.642141791044776</c:v>
                      </c:pt>
                      <c:pt idx="68" formatCode="General">
                        <c:v>-5.6740597014925376</c:v>
                      </c:pt>
                      <c:pt idx="69" formatCode="General">
                        <c:v>-5.7059776119402983</c:v>
                      </c:pt>
                      <c:pt idx="70" formatCode="General">
                        <c:v>-5.7378955223880599</c:v>
                      </c:pt>
                      <c:pt idx="71" formatCode="General">
                        <c:v>-5.7698134328358206</c:v>
                      </c:pt>
                      <c:pt idx="72" formatCode="General">
                        <c:v>-5.8141127819548872</c:v>
                      </c:pt>
                      <c:pt idx="73" formatCode="General">
                        <c:v>-5.8728571428571428</c:v>
                      </c:pt>
                      <c:pt idx="74" formatCode="General">
                        <c:v>-5.9316015037593983</c:v>
                      </c:pt>
                      <c:pt idx="75" formatCode="General">
                        <c:v>-5.9903458646616539</c:v>
                      </c:pt>
                      <c:pt idx="76" formatCode="General">
                        <c:v>-6.0490902255639094</c:v>
                      </c:pt>
                      <c:pt idx="77" formatCode="General">
                        <c:v>-6.107834586466165</c:v>
                      </c:pt>
                      <c:pt idx="78" formatCode="General">
                        <c:v>-6.1665789473684214</c:v>
                      </c:pt>
                      <c:pt idx="79" formatCode="General">
                        <c:v>-6.2253233082706769</c:v>
                      </c:pt>
                      <c:pt idx="80" formatCode="General">
                        <c:v>-6.2840676691729325</c:v>
                      </c:pt>
                      <c:pt idx="81" formatCode="General">
                        <c:v>-6.342812030075188</c:v>
                      </c:pt>
                      <c:pt idx="82" formatCode="General">
                        <c:v>-6.4000882352941177</c:v>
                      </c:pt>
                      <c:pt idx="83" formatCode="General">
                        <c:v>-6.4524705882352942</c:v>
                      </c:pt>
                      <c:pt idx="84" formatCode="General">
                        <c:v>-6.5048529411764706</c:v>
                      </c:pt>
                      <c:pt idx="85" formatCode="General">
                        <c:v>-6.5572424242424248</c:v>
                      </c:pt>
                      <c:pt idx="86" formatCode="General">
                        <c:v>-6.6096363636363638</c:v>
                      </c:pt>
                      <c:pt idx="87" formatCode="General">
                        <c:v>-6.6617941176470588</c:v>
                      </c:pt>
                      <c:pt idx="88" formatCode="General">
                        <c:v>-6.7111176470588241</c:v>
                      </c:pt>
                      <c:pt idx="89" formatCode="General">
                        <c:v>-6.7604411764705885</c:v>
                      </c:pt>
                      <c:pt idx="90" formatCode="General">
                        <c:v>-6.8095454545454546</c:v>
                      </c:pt>
                      <c:pt idx="91" formatCode="General">
                        <c:v>-6.858393939393939</c:v>
                      </c:pt>
                      <c:pt idx="92" formatCode="General">
                        <c:v>-6.9072424242424235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EF3C-4648-9C26-0B0A07188C01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-15.207297297297297</c:v>
                      </c:pt>
                      <c:pt idx="1">
                        <c:v>-14.82081081081081</c:v>
                      </c:pt>
                      <c:pt idx="2" formatCode="General">
                        <c:v>-14.434324324324324</c:v>
                      </c:pt>
                      <c:pt idx="3" formatCode="General">
                        <c:v>-13.712395209580837</c:v>
                      </c:pt>
                      <c:pt idx="4" formatCode="General">
                        <c:v>-12.910598802395208</c:v>
                      </c:pt>
                      <c:pt idx="5" formatCode="General">
                        <c:v>-12.087455089820359</c:v>
                      </c:pt>
                      <c:pt idx="6" formatCode="General">
                        <c:v>-11.196137724550898</c:v>
                      </c:pt>
                      <c:pt idx="7" formatCode="General">
                        <c:v>-10.304820359281438</c:v>
                      </c:pt>
                      <c:pt idx="8" formatCode="General">
                        <c:v>-9.491907185628742</c:v>
                      </c:pt>
                      <c:pt idx="9" formatCode="General">
                        <c:v>-8.7177455089820359</c:v>
                      </c:pt>
                      <c:pt idx="10" formatCode="General">
                        <c:v>-7.9532365269461076</c:v>
                      </c:pt>
                      <c:pt idx="11" formatCode="General">
                        <c:v>-7.2756017964071864</c:v>
                      </c:pt>
                      <c:pt idx="12" formatCode="General">
                        <c:v>-6.5979670658682643</c:v>
                      </c:pt>
                      <c:pt idx="13" formatCode="General">
                        <c:v>-5.9610299401197615</c:v>
                      </c:pt>
                      <c:pt idx="14" formatCode="General">
                        <c:v>-5.3600718562874254</c:v>
                      </c:pt>
                      <c:pt idx="15" formatCode="General">
                        <c:v>-4.7591137724550894</c:v>
                      </c:pt>
                      <c:pt idx="16" formatCode="General">
                        <c:v>-4.5126516516516508</c:v>
                      </c:pt>
                      <c:pt idx="17" formatCode="General">
                        <c:v>-4.2803693693693692</c:v>
                      </c:pt>
                      <c:pt idx="18" formatCode="General">
                        <c:v>-4.1537664670658687</c:v>
                      </c:pt>
                      <c:pt idx="19" formatCode="General">
                        <c:v>-4.1856826347305391</c:v>
                      </c:pt>
                      <c:pt idx="20" formatCode="General">
                        <c:v>-4.2175988023952096</c:v>
                      </c:pt>
                      <c:pt idx="21" formatCode="General">
                        <c:v>-4.249676646706587</c:v>
                      </c:pt>
                      <c:pt idx="22" formatCode="General">
                        <c:v>-4.2817874251497008</c:v>
                      </c:pt>
                      <c:pt idx="23" formatCode="General">
                        <c:v>-4.3138982035928146</c:v>
                      </c:pt>
                      <c:pt idx="24" formatCode="General">
                        <c:v>-4.3460089820359284</c:v>
                      </c:pt>
                      <c:pt idx="25" formatCode="General">
                        <c:v>-4.3781197604790414</c:v>
                      </c:pt>
                      <c:pt idx="26" formatCode="General">
                        <c:v>-4.4102305389221552</c:v>
                      </c:pt>
                      <c:pt idx="27" formatCode="General">
                        <c:v>-4.442341317365269</c:v>
                      </c:pt>
                      <c:pt idx="28" formatCode="General">
                        <c:v>-4.4744520958083829</c:v>
                      </c:pt>
                      <c:pt idx="29" formatCode="General">
                        <c:v>-4.5065628742514967</c:v>
                      </c:pt>
                      <c:pt idx="30" formatCode="General">
                        <c:v>-4.5386736526946105</c:v>
                      </c:pt>
                      <c:pt idx="31" formatCode="General">
                        <c:v>-4.5702584269662925</c:v>
                      </c:pt>
                      <c:pt idx="32" formatCode="General">
                        <c:v>-4.6014194756554305</c:v>
                      </c:pt>
                      <c:pt idx="33" formatCode="General">
                        <c:v>-4.6325805243445695</c:v>
                      </c:pt>
                      <c:pt idx="34" formatCode="General">
                        <c:v>-4.6637415730337084</c:v>
                      </c:pt>
                      <c:pt idx="35" formatCode="General">
                        <c:v>-4.6949026217228464</c:v>
                      </c:pt>
                      <c:pt idx="36" formatCode="General">
                        <c:v>-4.7260636704119854</c:v>
                      </c:pt>
                      <c:pt idx="37" formatCode="General">
                        <c:v>-4.7572247191011234</c:v>
                      </c:pt>
                      <c:pt idx="38" formatCode="General">
                        <c:v>-4.7883857677902624</c:v>
                      </c:pt>
                      <c:pt idx="39" formatCode="General">
                        <c:v>-4.8195468164794013</c:v>
                      </c:pt>
                      <c:pt idx="40" formatCode="General">
                        <c:v>-4.8507078651685394</c:v>
                      </c:pt>
                      <c:pt idx="41" formatCode="General">
                        <c:v>-4.8813700374531841</c:v>
                      </c:pt>
                      <c:pt idx="42" formatCode="General">
                        <c:v>-4.9107782771535584</c:v>
                      </c:pt>
                      <c:pt idx="43" formatCode="General">
                        <c:v>-4.9401865168539327</c:v>
                      </c:pt>
                      <c:pt idx="44" formatCode="General">
                        <c:v>-4.969594756554307</c:v>
                      </c:pt>
                      <c:pt idx="45" formatCode="General">
                        <c:v>-4.9990029962546814</c:v>
                      </c:pt>
                      <c:pt idx="46" formatCode="General">
                        <c:v>-5.0284112359550566</c:v>
                      </c:pt>
                      <c:pt idx="47" formatCode="General">
                        <c:v>-5.0578194756554309</c:v>
                      </c:pt>
                      <c:pt idx="48" formatCode="General">
                        <c:v>-5.0872277153558052</c:v>
                      </c:pt>
                      <c:pt idx="49" formatCode="General">
                        <c:v>-5.1166359550561795</c:v>
                      </c:pt>
                      <c:pt idx="50" formatCode="General">
                        <c:v>-5.1460441947565538</c:v>
                      </c:pt>
                      <c:pt idx="51" formatCode="General">
                        <c:v>-5.1754311377245505</c:v>
                      </c:pt>
                      <c:pt idx="52" formatCode="General">
                        <c:v>-5.2034550898203591</c:v>
                      </c:pt>
                      <c:pt idx="53" formatCode="General">
                        <c:v>-5.2314790419161676</c:v>
                      </c:pt>
                      <c:pt idx="54" formatCode="General">
                        <c:v>-5.2591834319526622</c:v>
                      </c:pt>
                      <c:pt idx="55" formatCode="General">
                        <c:v>-5.2864911242603547</c:v>
                      </c:pt>
                      <c:pt idx="56" formatCode="General">
                        <c:v>-5.3137988165680472</c:v>
                      </c:pt>
                      <c:pt idx="57" formatCode="General">
                        <c:v>-5.3416666666666668</c:v>
                      </c:pt>
                      <c:pt idx="58" formatCode="General">
                        <c:v>-5.3696363636363635</c:v>
                      </c:pt>
                      <c:pt idx="59" formatCode="General">
                        <c:v>-5.3973636363636368</c:v>
                      </c:pt>
                      <c:pt idx="60" formatCode="General">
                        <c:v>-5.4245454545454548</c:v>
                      </c:pt>
                      <c:pt idx="61" formatCode="General">
                        <c:v>-5.4517272727272728</c:v>
                      </c:pt>
                      <c:pt idx="62" formatCode="General">
                        <c:v>-5.4825522388059706</c:v>
                      </c:pt>
                      <c:pt idx="63" formatCode="General">
                        <c:v>-5.5144701492537314</c:v>
                      </c:pt>
                      <c:pt idx="64" formatCode="General">
                        <c:v>-5.546388059701493</c:v>
                      </c:pt>
                      <c:pt idx="65" formatCode="General">
                        <c:v>-5.5783059701492537</c:v>
                      </c:pt>
                      <c:pt idx="66" formatCode="General">
                        <c:v>-5.6102238805970153</c:v>
                      </c:pt>
                      <c:pt idx="67" formatCode="General">
                        <c:v>-5.642141791044776</c:v>
                      </c:pt>
                      <c:pt idx="68" formatCode="General">
                        <c:v>-5.6740597014925376</c:v>
                      </c:pt>
                      <c:pt idx="69" formatCode="General">
                        <c:v>-5.7059776119402983</c:v>
                      </c:pt>
                      <c:pt idx="70" formatCode="General">
                        <c:v>-5.7378955223880599</c:v>
                      </c:pt>
                      <c:pt idx="71" formatCode="General">
                        <c:v>-5.7698134328358206</c:v>
                      </c:pt>
                      <c:pt idx="72" formatCode="General">
                        <c:v>-5.8141127819548872</c:v>
                      </c:pt>
                      <c:pt idx="73" formatCode="General">
                        <c:v>-5.8728571428571428</c:v>
                      </c:pt>
                      <c:pt idx="74" formatCode="General">
                        <c:v>-5.9316015037593983</c:v>
                      </c:pt>
                      <c:pt idx="75" formatCode="General">
                        <c:v>-5.9903458646616539</c:v>
                      </c:pt>
                      <c:pt idx="76" formatCode="General">
                        <c:v>-6.0490902255639094</c:v>
                      </c:pt>
                      <c:pt idx="77" formatCode="General">
                        <c:v>-6.107834586466165</c:v>
                      </c:pt>
                      <c:pt idx="78" formatCode="General">
                        <c:v>-6.1665789473684214</c:v>
                      </c:pt>
                      <c:pt idx="79" formatCode="General">
                        <c:v>-6.2253233082706769</c:v>
                      </c:pt>
                      <c:pt idx="80" formatCode="General">
                        <c:v>-6.2840676691729325</c:v>
                      </c:pt>
                      <c:pt idx="81" formatCode="General">
                        <c:v>-6.342812030075188</c:v>
                      </c:pt>
                      <c:pt idx="82" formatCode="General">
                        <c:v>-6.4000882352941177</c:v>
                      </c:pt>
                      <c:pt idx="83" formatCode="General">
                        <c:v>-6.4524705882352942</c:v>
                      </c:pt>
                      <c:pt idx="84" formatCode="General">
                        <c:v>-6.5048529411764706</c:v>
                      </c:pt>
                      <c:pt idx="85" formatCode="General">
                        <c:v>-6.5572424242424248</c:v>
                      </c:pt>
                      <c:pt idx="86" formatCode="General">
                        <c:v>-6.6096363636363638</c:v>
                      </c:pt>
                      <c:pt idx="87" formatCode="General">
                        <c:v>-6.6617941176470588</c:v>
                      </c:pt>
                      <c:pt idx="88" formatCode="General">
                        <c:v>-6.7111176470588241</c:v>
                      </c:pt>
                      <c:pt idx="89" formatCode="General">
                        <c:v>-6.7604411764705885</c:v>
                      </c:pt>
                      <c:pt idx="90" formatCode="General">
                        <c:v>-6.8095454545454546</c:v>
                      </c:pt>
                      <c:pt idx="91" formatCode="General">
                        <c:v>-6.858393939393939</c:v>
                      </c:pt>
                      <c:pt idx="92" formatCode="General">
                        <c:v>-6.9072424242424235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EF3C-4648-9C26-0B0A07188C0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-36.840720720720718</c:v>
                      </c:pt>
                      <c:pt idx="1">
                        <c:v>-35.759339339339341</c:v>
                      </c:pt>
                      <c:pt idx="2" formatCode="General">
                        <c:v>-34.677957957957958</c:v>
                      </c:pt>
                      <c:pt idx="3" formatCode="General">
                        <c:v>-33.778383233532935</c:v>
                      </c:pt>
                      <c:pt idx="4" formatCode="General">
                        <c:v>-32.922095808383233</c:v>
                      </c:pt>
                      <c:pt idx="5" formatCode="General">
                        <c:v>-32.103862275449096</c:v>
                      </c:pt>
                      <c:pt idx="6" formatCode="General">
                        <c:v>-31.407155688622751</c:v>
                      </c:pt>
                      <c:pt idx="7" formatCode="General">
                        <c:v>-30.710449101796403</c:v>
                      </c:pt>
                      <c:pt idx="8" formatCode="General">
                        <c:v>-30.094751497005987</c:v>
                      </c:pt>
                      <c:pt idx="9" formatCode="General">
                        <c:v>-29.519092814371255</c:v>
                      </c:pt>
                      <c:pt idx="10" formatCode="General">
                        <c:v>-28.953086826347306</c:v>
                      </c:pt>
                      <c:pt idx="11" formatCode="General">
                        <c:v>-28.473955089820361</c:v>
                      </c:pt>
                      <c:pt idx="12" formatCode="General">
                        <c:v>-27.994823353293413</c:v>
                      </c:pt>
                      <c:pt idx="13" formatCode="General">
                        <c:v>-27.55845508982036</c:v>
                      </c:pt>
                      <c:pt idx="14" formatCode="General">
                        <c:v>-27.159892215568863</c:v>
                      </c:pt>
                      <c:pt idx="15" formatCode="General">
                        <c:v>-26.761329341317367</c:v>
                      </c:pt>
                      <c:pt idx="16" formatCode="General">
                        <c:v>-26.710339339339342</c:v>
                      </c:pt>
                      <c:pt idx="17" formatCode="General">
                        <c:v>-26.673252252252254</c:v>
                      </c:pt>
                      <c:pt idx="18" formatCode="General">
                        <c:v>-26.743167664670661</c:v>
                      </c:pt>
                      <c:pt idx="19" formatCode="General">
                        <c:v>-26.973586826347304</c:v>
                      </c:pt>
                      <c:pt idx="20" formatCode="General">
                        <c:v>-27.204005988023951</c:v>
                      </c:pt>
                      <c:pt idx="21" formatCode="General">
                        <c:v>-27.426502994011976</c:v>
                      </c:pt>
                      <c:pt idx="22" formatCode="General">
                        <c:v>-27.64738622754491</c:v>
                      </c:pt>
                      <c:pt idx="23" formatCode="General">
                        <c:v>-27.868269461077844</c:v>
                      </c:pt>
                      <c:pt idx="24" formatCode="General">
                        <c:v>-28.089152694610778</c:v>
                      </c:pt>
                      <c:pt idx="25" formatCode="General">
                        <c:v>-28.310035928143712</c:v>
                      </c:pt>
                      <c:pt idx="26" formatCode="General">
                        <c:v>-28.530919161676646</c:v>
                      </c:pt>
                      <c:pt idx="27" formatCode="General">
                        <c:v>-28.75180239520958</c:v>
                      </c:pt>
                      <c:pt idx="28" formatCode="General">
                        <c:v>-28.972685628742518</c:v>
                      </c:pt>
                      <c:pt idx="29" formatCode="General">
                        <c:v>-29.193568862275452</c:v>
                      </c:pt>
                      <c:pt idx="30" formatCode="General">
                        <c:v>-29.414452095808386</c:v>
                      </c:pt>
                      <c:pt idx="31" formatCode="General">
                        <c:v>-29.627876404494383</c:v>
                      </c:pt>
                      <c:pt idx="32" formatCode="General">
                        <c:v>-29.835292134831462</c:v>
                      </c:pt>
                      <c:pt idx="33" formatCode="General">
                        <c:v>-30.042707865168541</c:v>
                      </c:pt>
                      <c:pt idx="34" formatCode="General">
                        <c:v>-30.25012359550562</c:v>
                      </c:pt>
                      <c:pt idx="35" formatCode="General">
                        <c:v>-30.457539325842699</c:v>
                      </c:pt>
                      <c:pt idx="36" formatCode="General">
                        <c:v>-30.664955056179778</c:v>
                      </c:pt>
                      <c:pt idx="37" formatCode="General">
                        <c:v>-30.872370786516857</c:v>
                      </c:pt>
                      <c:pt idx="38" formatCode="General">
                        <c:v>-31.079786516853936</c:v>
                      </c:pt>
                      <c:pt idx="39" formatCode="General">
                        <c:v>-31.287202247191011</c:v>
                      </c:pt>
                      <c:pt idx="40" formatCode="General">
                        <c:v>-31.49461797752809</c:v>
                      </c:pt>
                      <c:pt idx="41" formatCode="General">
                        <c:v>-31.699040449438204</c:v>
                      </c:pt>
                      <c:pt idx="42" formatCode="General">
                        <c:v>-31.895939325842697</c:v>
                      </c:pt>
                      <c:pt idx="43" formatCode="General">
                        <c:v>-32.092838202247194</c:v>
                      </c:pt>
                      <c:pt idx="44" formatCode="General">
                        <c:v>-32.289737078651683</c:v>
                      </c:pt>
                      <c:pt idx="45" formatCode="General">
                        <c:v>-32.48663595505618</c:v>
                      </c:pt>
                      <c:pt idx="46" formatCode="General">
                        <c:v>-32.683534831460676</c:v>
                      </c:pt>
                      <c:pt idx="47" formatCode="General">
                        <c:v>-32.880433707865166</c:v>
                      </c:pt>
                      <c:pt idx="48" formatCode="General">
                        <c:v>-33.077332584269662</c:v>
                      </c:pt>
                      <c:pt idx="49" formatCode="General">
                        <c:v>-33.274231460674159</c:v>
                      </c:pt>
                      <c:pt idx="50" formatCode="General">
                        <c:v>-33.471130337078648</c:v>
                      </c:pt>
                      <c:pt idx="51" formatCode="General">
                        <c:v>-33.667886227544912</c:v>
                      </c:pt>
                      <c:pt idx="52" formatCode="General">
                        <c:v>-33.85549101796407</c:v>
                      </c:pt>
                      <c:pt idx="53" formatCode="General">
                        <c:v>-34.043095808383235</c:v>
                      </c:pt>
                      <c:pt idx="54" formatCode="General">
                        <c:v>-34.229538461538461</c:v>
                      </c:pt>
                      <c:pt idx="55" formatCode="General">
                        <c:v>-34.414538461538463</c:v>
                      </c:pt>
                      <c:pt idx="56" formatCode="General">
                        <c:v>-34.599538461538458</c:v>
                      </c:pt>
                      <c:pt idx="57" formatCode="General">
                        <c:v>-34.788333333333334</c:v>
                      </c:pt>
                      <c:pt idx="58" formatCode="General">
                        <c:v>-34.977818181818186</c:v>
                      </c:pt>
                      <c:pt idx="59" formatCode="General">
                        <c:v>-35.165848484848489</c:v>
                      </c:pt>
                      <c:pt idx="60" formatCode="General">
                        <c:v>-35.350606060606061</c:v>
                      </c:pt>
                      <c:pt idx="61" formatCode="General">
                        <c:v>-35.535363636363641</c:v>
                      </c:pt>
                      <c:pt idx="62" formatCode="General">
                        <c:v>-35.719716417910448</c:v>
                      </c:pt>
                      <c:pt idx="63" formatCode="General">
                        <c:v>-35.903947761194033</c:v>
                      </c:pt>
                      <c:pt idx="64" formatCode="General">
                        <c:v>-36.088179104477618</c:v>
                      </c:pt>
                      <c:pt idx="65" formatCode="General">
                        <c:v>-36.272410447761196</c:v>
                      </c:pt>
                      <c:pt idx="66" formatCode="General">
                        <c:v>-36.456641791044781</c:v>
                      </c:pt>
                      <c:pt idx="67" formatCode="General">
                        <c:v>-36.640873134328359</c:v>
                      </c:pt>
                      <c:pt idx="68" formatCode="General">
                        <c:v>-36.825104477611944</c:v>
                      </c:pt>
                      <c:pt idx="69" formatCode="General">
                        <c:v>-37.009335820895529</c:v>
                      </c:pt>
                      <c:pt idx="70" formatCode="General">
                        <c:v>-37.193567164179107</c:v>
                      </c:pt>
                      <c:pt idx="71" formatCode="General">
                        <c:v>-37.377798507462693</c:v>
                      </c:pt>
                      <c:pt idx="72" formatCode="General">
                        <c:v>-37.573135338345871</c:v>
                      </c:pt>
                      <c:pt idx="73" formatCode="General">
                        <c:v>-37.781428571428577</c:v>
                      </c:pt>
                      <c:pt idx="74" formatCode="General">
                        <c:v>-37.989721804511284</c:v>
                      </c:pt>
                      <c:pt idx="75" formatCode="General">
                        <c:v>-38.19801503759399</c:v>
                      </c:pt>
                      <c:pt idx="76" formatCode="General">
                        <c:v>-38.406308270676689</c:v>
                      </c:pt>
                      <c:pt idx="77" formatCode="General">
                        <c:v>-38.614601503759395</c:v>
                      </c:pt>
                      <c:pt idx="78" formatCode="General">
                        <c:v>-38.822894736842102</c:v>
                      </c:pt>
                      <c:pt idx="79" formatCode="General">
                        <c:v>-39.031187969924808</c:v>
                      </c:pt>
                      <c:pt idx="80" formatCode="General">
                        <c:v>-39.239481203007514</c:v>
                      </c:pt>
                      <c:pt idx="81" formatCode="General">
                        <c:v>-39.447774436090221</c:v>
                      </c:pt>
                      <c:pt idx="82" formatCode="General">
                        <c:v>-39.652735294117647</c:v>
                      </c:pt>
                      <c:pt idx="83" formatCode="General">
                        <c:v>-39.846588235294114</c:v>
                      </c:pt>
                      <c:pt idx="84" formatCode="General">
                        <c:v>-40.040441176470587</c:v>
                      </c:pt>
                      <c:pt idx="85" formatCode="General">
                        <c:v>-40.239363636363635</c:v>
                      </c:pt>
                      <c:pt idx="86" formatCode="General">
                        <c:v>-40.441454545454548</c:v>
                      </c:pt>
                      <c:pt idx="87" formatCode="General">
                        <c:v>-40.642676470588235</c:v>
                      </c:pt>
                      <c:pt idx="88" formatCode="General">
                        <c:v>-40.833470588235294</c:v>
                      </c:pt>
                      <c:pt idx="89" formatCode="General">
                        <c:v>-41.024264705882352</c:v>
                      </c:pt>
                      <c:pt idx="90" formatCode="General">
                        <c:v>-41.216818181818184</c:v>
                      </c:pt>
                      <c:pt idx="91" formatCode="General">
                        <c:v>-41.411424242424246</c:v>
                      </c:pt>
                      <c:pt idx="92" formatCode="General">
                        <c:v>-41.606030303030302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F3C-4648-9C26-0B0A07188C01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-60.182792792792796</c:v>
                      </c:pt>
                      <c:pt idx="1">
                        <c:v>-57.996606606606605</c:v>
                      </c:pt>
                      <c:pt idx="2" formatCode="General">
                        <c:v>-55.810420420420421</c:v>
                      </c:pt>
                      <c:pt idx="3" formatCode="General">
                        <c:v>-53.356017964071853</c:v>
                      </c:pt>
                      <c:pt idx="4" formatCode="General">
                        <c:v>-50.837754491017961</c:v>
                      </c:pt>
                      <c:pt idx="5" formatCode="General">
                        <c:v>-48.33898203592814</c:v>
                      </c:pt>
                      <c:pt idx="6" formatCode="General">
                        <c:v>-45.902455089820357</c:v>
                      </c:pt>
                      <c:pt idx="7" formatCode="General">
                        <c:v>-43.465928143712574</c:v>
                      </c:pt>
                      <c:pt idx="8" formatCode="General">
                        <c:v>-41.258622754491014</c:v>
                      </c:pt>
                      <c:pt idx="9" formatCode="General">
                        <c:v>-39.164610778443112</c:v>
                      </c:pt>
                      <c:pt idx="10" formatCode="General">
                        <c:v>-37.097844311377244</c:v>
                      </c:pt>
                      <c:pt idx="11" formatCode="General">
                        <c:v>-35.276287425149704</c:v>
                      </c:pt>
                      <c:pt idx="12" formatCode="General">
                        <c:v>-33.454730538922156</c:v>
                      </c:pt>
                      <c:pt idx="13" formatCode="General">
                        <c:v>-31.748862275449106</c:v>
                      </c:pt>
                      <c:pt idx="14" formatCode="General">
                        <c:v>-30.145269461077845</c:v>
                      </c:pt>
                      <c:pt idx="15" formatCode="General">
                        <c:v>-28.541676646706588</c:v>
                      </c:pt>
                      <c:pt idx="16" formatCode="General">
                        <c:v>-27.327597597597595</c:v>
                      </c:pt>
                      <c:pt idx="17" formatCode="General">
                        <c:v>-26.129099099099097</c:v>
                      </c:pt>
                      <c:pt idx="18" formatCode="General">
                        <c:v>-25.61550898203593</c:v>
                      </c:pt>
                      <c:pt idx="19" formatCode="General">
                        <c:v>-26.129281437125748</c:v>
                      </c:pt>
                      <c:pt idx="20" formatCode="General">
                        <c:v>-26.643053892215569</c:v>
                      </c:pt>
                      <c:pt idx="21" formatCode="General">
                        <c:v>-27.13823353293413</c:v>
                      </c:pt>
                      <c:pt idx="22" formatCode="General">
                        <c:v>-27.629625748502992</c:v>
                      </c:pt>
                      <c:pt idx="23" formatCode="General">
                        <c:v>-28.121017964071857</c:v>
                      </c:pt>
                      <c:pt idx="24" formatCode="General">
                        <c:v>-28.612410179640719</c:v>
                      </c:pt>
                      <c:pt idx="25" formatCode="General">
                        <c:v>-29.103802395209581</c:v>
                      </c:pt>
                      <c:pt idx="26" formatCode="General">
                        <c:v>-29.595194610778446</c:v>
                      </c:pt>
                      <c:pt idx="27" formatCode="General">
                        <c:v>-30.086586826347308</c:v>
                      </c:pt>
                      <c:pt idx="28" formatCode="General">
                        <c:v>-30.577979041916169</c:v>
                      </c:pt>
                      <c:pt idx="29" formatCode="General">
                        <c:v>-31.069371257485031</c:v>
                      </c:pt>
                      <c:pt idx="30" formatCode="General">
                        <c:v>-31.560763473053896</c:v>
                      </c:pt>
                      <c:pt idx="31" formatCode="General">
                        <c:v>-32.022696629213485</c:v>
                      </c:pt>
                      <c:pt idx="32" formatCode="General">
                        <c:v>-32.460898876404499</c:v>
                      </c:pt>
                      <c:pt idx="33" formatCode="General">
                        <c:v>-32.899101123595507</c:v>
                      </c:pt>
                      <c:pt idx="34" formatCode="General">
                        <c:v>-33.337303370786522</c:v>
                      </c:pt>
                      <c:pt idx="35" formatCode="General">
                        <c:v>-33.775505617977529</c:v>
                      </c:pt>
                      <c:pt idx="36" formatCode="General">
                        <c:v>-34.213707865168544</c:v>
                      </c:pt>
                      <c:pt idx="37" formatCode="General">
                        <c:v>-34.651910112359552</c:v>
                      </c:pt>
                      <c:pt idx="38" formatCode="General">
                        <c:v>-35.090112359550567</c:v>
                      </c:pt>
                      <c:pt idx="39" formatCode="General">
                        <c:v>-35.528314606741574</c:v>
                      </c:pt>
                      <c:pt idx="40" formatCode="General">
                        <c:v>-35.966516853932589</c:v>
                      </c:pt>
                      <c:pt idx="41" formatCode="General">
                        <c:v>-36.38448689138577</c:v>
                      </c:pt>
                      <c:pt idx="42" formatCode="General">
                        <c:v>-36.751602996254682</c:v>
                      </c:pt>
                      <c:pt idx="43" formatCode="General">
                        <c:v>-37.118719101123595</c:v>
                      </c:pt>
                      <c:pt idx="44" formatCode="General">
                        <c:v>-37.485835205992508</c:v>
                      </c:pt>
                      <c:pt idx="45" formatCode="General">
                        <c:v>-37.852951310861421</c:v>
                      </c:pt>
                      <c:pt idx="46" formatCode="General">
                        <c:v>-38.220067415730334</c:v>
                      </c:pt>
                      <c:pt idx="47" formatCode="General">
                        <c:v>-38.587183520599254</c:v>
                      </c:pt>
                      <c:pt idx="48" formatCode="General">
                        <c:v>-38.954299625468167</c:v>
                      </c:pt>
                      <c:pt idx="49" formatCode="General">
                        <c:v>-39.32141573033708</c:v>
                      </c:pt>
                      <c:pt idx="50" formatCode="General">
                        <c:v>-39.688531835205993</c:v>
                      </c:pt>
                      <c:pt idx="51" formatCode="General">
                        <c:v>-40.054850299401195</c:v>
                      </c:pt>
                      <c:pt idx="52" formatCode="General">
                        <c:v>-40.370119760479042</c:v>
                      </c:pt>
                      <c:pt idx="53" formatCode="General">
                        <c:v>-40.685389221556882</c:v>
                      </c:pt>
                      <c:pt idx="54" formatCode="General">
                        <c:v>-40.988698224852072</c:v>
                      </c:pt>
                      <c:pt idx="55" formatCode="General">
                        <c:v>-41.277159763313605</c:v>
                      </c:pt>
                      <c:pt idx="56" formatCode="General">
                        <c:v>-41.565621301775145</c:v>
                      </c:pt>
                      <c:pt idx="57" formatCode="General">
                        <c:v>-41.843333333333334</c:v>
                      </c:pt>
                      <c:pt idx="58" formatCode="General">
                        <c:v>-42.119090909090907</c:v>
                      </c:pt>
                      <c:pt idx="59" formatCode="General">
                        <c:v>-42.38636363636364</c:v>
                      </c:pt>
                      <c:pt idx="60" formatCode="General">
                        <c:v>-42.634545454545453</c:v>
                      </c:pt>
                      <c:pt idx="61" formatCode="General">
                        <c:v>-42.882727272727273</c:v>
                      </c:pt>
                      <c:pt idx="62" formatCode="General">
                        <c:v>-43.08328358208955</c:v>
                      </c:pt>
                      <c:pt idx="63" formatCode="General">
                        <c:v>-43.269552238805971</c:v>
                      </c:pt>
                      <c:pt idx="64" formatCode="General">
                        <c:v>-43.455820895522386</c:v>
                      </c:pt>
                      <c:pt idx="65" formatCode="General">
                        <c:v>-43.642089552238801</c:v>
                      </c:pt>
                      <c:pt idx="66" formatCode="General">
                        <c:v>-43.828358208955223</c:v>
                      </c:pt>
                      <c:pt idx="67" formatCode="General">
                        <c:v>-44.014626865671637</c:v>
                      </c:pt>
                      <c:pt idx="68" formatCode="General">
                        <c:v>-44.200895522388059</c:v>
                      </c:pt>
                      <c:pt idx="69" formatCode="General">
                        <c:v>-44.387164179104474</c:v>
                      </c:pt>
                      <c:pt idx="70" formatCode="General">
                        <c:v>-44.573432835820896</c:v>
                      </c:pt>
                      <c:pt idx="71" formatCode="General">
                        <c:v>-44.75970149253731</c:v>
                      </c:pt>
                      <c:pt idx="72" formatCode="General">
                        <c:v>-44.898796992481202</c:v>
                      </c:pt>
                      <c:pt idx="73" formatCode="General">
                        <c:v>-44.982857142857142</c:v>
                      </c:pt>
                      <c:pt idx="74" formatCode="General">
                        <c:v>-45.066917293233082</c:v>
                      </c:pt>
                      <c:pt idx="75" formatCode="General">
                        <c:v>-45.150977443609023</c:v>
                      </c:pt>
                      <c:pt idx="76" formatCode="General">
                        <c:v>-45.235037593984963</c:v>
                      </c:pt>
                      <c:pt idx="77" formatCode="General">
                        <c:v>-45.319097744360903</c:v>
                      </c:pt>
                      <c:pt idx="78" formatCode="General">
                        <c:v>-45.403157894736843</c:v>
                      </c:pt>
                      <c:pt idx="79" formatCode="General">
                        <c:v>-45.487218045112783</c:v>
                      </c:pt>
                      <c:pt idx="80" formatCode="General">
                        <c:v>-45.571278195488723</c:v>
                      </c:pt>
                      <c:pt idx="81" formatCode="General">
                        <c:v>-45.655338345864664</c:v>
                      </c:pt>
                      <c:pt idx="82" formatCode="General">
                        <c:v>-45.723529411764702</c:v>
                      </c:pt>
                      <c:pt idx="83" formatCode="General">
                        <c:v>-45.738823529411761</c:v>
                      </c:pt>
                      <c:pt idx="84" formatCode="General">
                        <c:v>-45.75411764705882</c:v>
                      </c:pt>
                      <c:pt idx="85" formatCode="General">
                        <c:v>-45.755151515151518</c:v>
                      </c:pt>
                      <c:pt idx="86" formatCode="General">
                        <c:v>-45.74727272727273</c:v>
                      </c:pt>
                      <c:pt idx="87" formatCode="General">
                        <c:v>-45.737058823529416</c:v>
                      </c:pt>
                      <c:pt idx="88" formatCode="General">
                        <c:v>-45.698823529411769</c:v>
                      </c:pt>
                      <c:pt idx="89" formatCode="General">
                        <c:v>-45.660588235294121</c:v>
                      </c:pt>
                      <c:pt idx="90" formatCode="General">
                        <c:v>-45.609090909090909</c:v>
                      </c:pt>
                      <c:pt idx="91" formatCode="General">
                        <c:v>-45.542121212121209</c:v>
                      </c:pt>
                      <c:pt idx="92" formatCode="General">
                        <c:v>-45.475151515151516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F3C-4648-9C26-0B0A07188C0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-15.207297297297297</c:v>
                      </c:pt>
                      <c:pt idx="1">
                        <c:v>-14.82081081081081</c:v>
                      </c:pt>
                      <c:pt idx="2" formatCode="General">
                        <c:v>-14.434324324324324</c:v>
                      </c:pt>
                      <c:pt idx="3" formatCode="General">
                        <c:v>-13.712395209580837</c:v>
                      </c:pt>
                      <c:pt idx="4" formatCode="General">
                        <c:v>-12.910598802395208</c:v>
                      </c:pt>
                      <c:pt idx="5" formatCode="General">
                        <c:v>-12.087455089820359</c:v>
                      </c:pt>
                      <c:pt idx="6" formatCode="General">
                        <c:v>-11.196137724550898</c:v>
                      </c:pt>
                      <c:pt idx="7" formatCode="General">
                        <c:v>-10.304820359281438</c:v>
                      </c:pt>
                      <c:pt idx="8" formatCode="General">
                        <c:v>-9.491907185628742</c:v>
                      </c:pt>
                      <c:pt idx="9" formatCode="General">
                        <c:v>-8.7177455089820359</c:v>
                      </c:pt>
                      <c:pt idx="10" formatCode="General">
                        <c:v>-7.9532365269461076</c:v>
                      </c:pt>
                      <c:pt idx="11" formatCode="General">
                        <c:v>-7.2756017964071864</c:v>
                      </c:pt>
                      <c:pt idx="12" formatCode="General">
                        <c:v>-6.5979670658682643</c:v>
                      </c:pt>
                      <c:pt idx="13" formatCode="General">
                        <c:v>-5.9610299401197615</c:v>
                      </c:pt>
                      <c:pt idx="14" formatCode="General">
                        <c:v>-5.3600718562874254</c:v>
                      </c:pt>
                      <c:pt idx="15" formatCode="General">
                        <c:v>-4.7591137724550894</c:v>
                      </c:pt>
                      <c:pt idx="16" formatCode="General">
                        <c:v>-4.5126516516516508</c:v>
                      </c:pt>
                      <c:pt idx="17" formatCode="General">
                        <c:v>-4.2803693693693692</c:v>
                      </c:pt>
                      <c:pt idx="18" formatCode="General">
                        <c:v>-4.1537664670658687</c:v>
                      </c:pt>
                      <c:pt idx="19" formatCode="General">
                        <c:v>-4.1856826347305391</c:v>
                      </c:pt>
                      <c:pt idx="20" formatCode="General">
                        <c:v>-4.2175988023952096</c:v>
                      </c:pt>
                      <c:pt idx="21" formatCode="General">
                        <c:v>-4.249676646706587</c:v>
                      </c:pt>
                      <c:pt idx="22" formatCode="General">
                        <c:v>-4.2817874251497008</c:v>
                      </c:pt>
                      <c:pt idx="23" formatCode="General">
                        <c:v>-4.3138982035928146</c:v>
                      </c:pt>
                      <c:pt idx="24" formatCode="General">
                        <c:v>-4.3460089820359284</c:v>
                      </c:pt>
                      <c:pt idx="25" formatCode="General">
                        <c:v>-4.3781197604790414</c:v>
                      </c:pt>
                      <c:pt idx="26" formatCode="General">
                        <c:v>-4.4102305389221552</c:v>
                      </c:pt>
                      <c:pt idx="27" formatCode="General">
                        <c:v>-4.442341317365269</c:v>
                      </c:pt>
                      <c:pt idx="28" formatCode="General">
                        <c:v>-4.4744520958083829</c:v>
                      </c:pt>
                      <c:pt idx="29" formatCode="General">
                        <c:v>-4.5065628742514967</c:v>
                      </c:pt>
                      <c:pt idx="30" formatCode="General">
                        <c:v>-4.5386736526946105</c:v>
                      </c:pt>
                      <c:pt idx="31" formatCode="General">
                        <c:v>-4.5702584269662925</c:v>
                      </c:pt>
                      <c:pt idx="32" formatCode="General">
                        <c:v>-4.6014194756554305</c:v>
                      </c:pt>
                      <c:pt idx="33" formatCode="General">
                        <c:v>-4.6325805243445695</c:v>
                      </c:pt>
                      <c:pt idx="34" formatCode="General">
                        <c:v>-4.6637415730337084</c:v>
                      </c:pt>
                      <c:pt idx="35" formatCode="General">
                        <c:v>-4.6949026217228464</c:v>
                      </c:pt>
                      <c:pt idx="36" formatCode="General">
                        <c:v>-4.7260636704119854</c:v>
                      </c:pt>
                      <c:pt idx="37" formatCode="General">
                        <c:v>-4.7572247191011234</c:v>
                      </c:pt>
                      <c:pt idx="38" formatCode="General">
                        <c:v>-4.7883857677902624</c:v>
                      </c:pt>
                      <c:pt idx="39" formatCode="General">
                        <c:v>-4.8195468164794013</c:v>
                      </c:pt>
                      <c:pt idx="40" formatCode="General">
                        <c:v>-4.8507078651685394</c:v>
                      </c:pt>
                      <c:pt idx="41" formatCode="General">
                        <c:v>-4.8813700374531841</c:v>
                      </c:pt>
                      <c:pt idx="42" formatCode="General">
                        <c:v>-4.9107782771535584</c:v>
                      </c:pt>
                      <c:pt idx="43" formatCode="General">
                        <c:v>-4.9401865168539327</c:v>
                      </c:pt>
                      <c:pt idx="44" formatCode="General">
                        <c:v>-4.969594756554307</c:v>
                      </c:pt>
                      <c:pt idx="45" formatCode="General">
                        <c:v>-4.9990029962546814</c:v>
                      </c:pt>
                      <c:pt idx="46" formatCode="General">
                        <c:v>-5.0284112359550566</c:v>
                      </c:pt>
                      <c:pt idx="47" formatCode="General">
                        <c:v>-5.0578194756554309</c:v>
                      </c:pt>
                      <c:pt idx="48" formatCode="General">
                        <c:v>-5.0872277153558052</c:v>
                      </c:pt>
                      <c:pt idx="49" formatCode="General">
                        <c:v>-5.1166359550561795</c:v>
                      </c:pt>
                      <c:pt idx="50" formatCode="General">
                        <c:v>-5.1460441947565538</c:v>
                      </c:pt>
                      <c:pt idx="51" formatCode="General">
                        <c:v>-5.1754311377245505</c:v>
                      </c:pt>
                      <c:pt idx="52" formatCode="General">
                        <c:v>-5.2034550898203591</c:v>
                      </c:pt>
                      <c:pt idx="53" formatCode="General">
                        <c:v>-5.2314790419161676</c:v>
                      </c:pt>
                      <c:pt idx="54" formatCode="General">
                        <c:v>-5.2591834319526622</c:v>
                      </c:pt>
                      <c:pt idx="55" formatCode="General">
                        <c:v>-5.2864911242603547</c:v>
                      </c:pt>
                      <c:pt idx="56" formatCode="General">
                        <c:v>-5.3137988165680472</c:v>
                      </c:pt>
                      <c:pt idx="57" formatCode="General">
                        <c:v>-5.3416666666666668</c:v>
                      </c:pt>
                      <c:pt idx="58" formatCode="General">
                        <c:v>-5.3696363636363635</c:v>
                      </c:pt>
                      <c:pt idx="59" formatCode="General">
                        <c:v>-5.3973636363636368</c:v>
                      </c:pt>
                      <c:pt idx="60" formatCode="General">
                        <c:v>-5.4245454545454548</c:v>
                      </c:pt>
                      <c:pt idx="61" formatCode="General">
                        <c:v>-5.4517272727272728</c:v>
                      </c:pt>
                      <c:pt idx="62" formatCode="General">
                        <c:v>-5.4825522388059706</c:v>
                      </c:pt>
                      <c:pt idx="63" formatCode="General">
                        <c:v>-5.5144701492537314</c:v>
                      </c:pt>
                      <c:pt idx="64" formatCode="General">
                        <c:v>-5.546388059701493</c:v>
                      </c:pt>
                      <c:pt idx="65" formatCode="General">
                        <c:v>-5.5783059701492537</c:v>
                      </c:pt>
                      <c:pt idx="66" formatCode="General">
                        <c:v>-5.6102238805970153</c:v>
                      </c:pt>
                      <c:pt idx="67" formatCode="General">
                        <c:v>-5.642141791044776</c:v>
                      </c:pt>
                      <c:pt idx="68" formatCode="General">
                        <c:v>-5.6740597014925376</c:v>
                      </c:pt>
                      <c:pt idx="69" formatCode="General">
                        <c:v>-5.7059776119402983</c:v>
                      </c:pt>
                      <c:pt idx="70" formatCode="General">
                        <c:v>-5.7378955223880599</c:v>
                      </c:pt>
                      <c:pt idx="71" formatCode="General">
                        <c:v>-5.7698134328358206</c:v>
                      </c:pt>
                      <c:pt idx="72" formatCode="General">
                        <c:v>-5.8141127819548872</c:v>
                      </c:pt>
                      <c:pt idx="73" formatCode="General">
                        <c:v>-5.8728571428571428</c:v>
                      </c:pt>
                      <c:pt idx="74" formatCode="General">
                        <c:v>-5.9316015037593983</c:v>
                      </c:pt>
                      <c:pt idx="75" formatCode="General">
                        <c:v>-5.9903458646616539</c:v>
                      </c:pt>
                      <c:pt idx="76" formatCode="General">
                        <c:v>-6.0490902255639094</c:v>
                      </c:pt>
                      <c:pt idx="77" formatCode="General">
                        <c:v>-6.107834586466165</c:v>
                      </c:pt>
                      <c:pt idx="78" formatCode="General">
                        <c:v>-6.1665789473684214</c:v>
                      </c:pt>
                      <c:pt idx="79" formatCode="General">
                        <c:v>-6.2253233082706769</c:v>
                      </c:pt>
                      <c:pt idx="80" formatCode="General">
                        <c:v>-6.2840676691729325</c:v>
                      </c:pt>
                      <c:pt idx="81" formatCode="General">
                        <c:v>-6.342812030075188</c:v>
                      </c:pt>
                      <c:pt idx="82" formatCode="General">
                        <c:v>-6.4000882352941177</c:v>
                      </c:pt>
                      <c:pt idx="83" formatCode="General">
                        <c:v>-6.4524705882352942</c:v>
                      </c:pt>
                      <c:pt idx="84" formatCode="General">
                        <c:v>-6.5048529411764706</c:v>
                      </c:pt>
                      <c:pt idx="85" formatCode="General">
                        <c:v>-6.5572424242424248</c:v>
                      </c:pt>
                      <c:pt idx="86" formatCode="General">
                        <c:v>-6.6096363636363638</c:v>
                      </c:pt>
                      <c:pt idx="87" formatCode="General">
                        <c:v>-6.6617941176470588</c:v>
                      </c:pt>
                      <c:pt idx="88" formatCode="General">
                        <c:v>-6.7111176470588241</c:v>
                      </c:pt>
                      <c:pt idx="89" formatCode="General">
                        <c:v>-6.7604411764705885</c:v>
                      </c:pt>
                      <c:pt idx="90" formatCode="General">
                        <c:v>-6.8095454545454546</c:v>
                      </c:pt>
                      <c:pt idx="91" formatCode="General">
                        <c:v>-6.858393939393939</c:v>
                      </c:pt>
                      <c:pt idx="92" formatCode="General">
                        <c:v>-6.9072424242424235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F3C-4648-9C26-0B0A07188C0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-58.474144144144148</c:v>
                      </c:pt>
                      <c:pt idx="1">
                        <c:v>-56.69786786786787</c:v>
                      </c:pt>
                      <c:pt idx="2" formatCode="General">
                        <c:v>-54.921591591591593</c:v>
                      </c:pt>
                      <c:pt idx="3" formatCode="General">
                        <c:v>-53.84437125748503</c:v>
                      </c:pt>
                      <c:pt idx="4" formatCode="General">
                        <c:v>-52.933592814371252</c:v>
                      </c:pt>
                      <c:pt idx="5" formatCode="General">
                        <c:v>-52.120269461077839</c:v>
                      </c:pt>
                      <c:pt idx="6" formatCode="General">
                        <c:v>-51.618173652694608</c:v>
                      </c:pt>
                      <c:pt idx="7" formatCode="General">
                        <c:v>-51.11607784431137</c:v>
                      </c:pt>
                      <c:pt idx="8" formatCode="General">
                        <c:v>-50.697595808383234</c:v>
                      </c:pt>
                      <c:pt idx="9" formatCode="General">
                        <c:v>-50.320440119760477</c:v>
                      </c:pt>
                      <c:pt idx="10" formatCode="General">
                        <c:v>-49.952937125748505</c:v>
                      </c:pt>
                      <c:pt idx="11" formatCode="General">
                        <c:v>-49.672308383233535</c:v>
                      </c:pt>
                      <c:pt idx="12" formatCode="General">
                        <c:v>-49.391679640718564</c:v>
                      </c:pt>
                      <c:pt idx="13" formatCode="General">
                        <c:v>-49.155880239520954</c:v>
                      </c:pt>
                      <c:pt idx="14" formatCode="General">
                        <c:v>-48.9597125748503</c:v>
                      </c:pt>
                      <c:pt idx="15" formatCode="General">
                        <c:v>-48.76354491017964</c:v>
                      </c:pt>
                      <c:pt idx="16" formatCode="General">
                        <c:v>-48.908027027027025</c:v>
                      </c:pt>
                      <c:pt idx="17" formatCode="General">
                        <c:v>-49.066135135135134</c:v>
                      </c:pt>
                      <c:pt idx="18" formatCode="General">
                        <c:v>-49.332568862275451</c:v>
                      </c:pt>
                      <c:pt idx="19" formatCode="General">
                        <c:v>-49.761491017964069</c:v>
                      </c:pt>
                      <c:pt idx="20" formatCode="General">
                        <c:v>-50.190413173652694</c:v>
                      </c:pt>
                      <c:pt idx="21" formatCode="General">
                        <c:v>-50.603329341317362</c:v>
                      </c:pt>
                      <c:pt idx="22" formatCode="General">
                        <c:v>-51.012985029940118</c:v>
                      </c:pt>
                      <c:pt idx="23" formatCode="General">
                        <c:v>-51.422640718562874</c:v>
                      </c:pt>
                      <c:pt idx="24" formatCode="General">
                        <c:v>-51.832296407185623</c:v>
                      </c:pt>
                      <c:pt idx="25" formatCode="General">
                        <c:v>-52.241952095808379</c:v>
                      </c:pt>
                      <c:pt idx="26" formatCode="General">
                        <c:v>-52.651607784431135</c:v>
                      </c:pt>
                      <c:pt idx="27" formatCode="General">
                        <c:v>-53.061263473053891</c:v>
                      </c:pt>
                      <c:pt idx="28" formatCode="General">
                        <c:v>-53.470919161676647</c:v>
                      </c:pt>
                      <c:pt idx="29" formatCode="General">
                        <c:v>-53.880574850299404</c:v>
                      </c:pt>
                      <c:pt idx="30" formatCode="General">
                        <c:v>-54.29023053892216</c:v>
                      </c:pt>
                      <c:pt idx="31" formatCode="General">
                        <c:v>-54.685494382022469</c:v>
                      </c:pt>
                      <c:pt idx="32" formatCode="General">
                        <c:v>-55.069164794007492</c:v>
                      </c:pt>
                      <c:pt idx="33" formatCode="General">
                        <c:v>-55.452835205992507</c:v>
                      </c:pt>
                      <c:pt idx="34" formatCode="General">
                        <c:v>-55.836505617977529</c:v>
                      </c:pt>
                      <c:pt idx="35" formatCode="General">
                        <c:v>-56.220176029962545</c:v>
                      </c:pt>
                      <c:pt idx="36" formatCode="General">
                        <c:v>-56.603846441947567</c:v>
                      </c:pt>
                      <c:pt idx="37" formatCode="General">
                        <c:v>-56.987516853932583</c:v>
                      </c:pt>
                      <c:pt idx="38" formatCode="General">
                        <c:v>-57.371187265917598</c:v>
                      </c:pt>
                      <c:pt idx="39" formatCode="General">
                        <c:v>-57.754857677902621</c:v>
                      </c:pt>
                      <c:pt idx="40" formatCode="General">
                        <c:v>-58.138528089887636</c:v>
                      </c:pt>
                      <c:pt idx="41" formatCode="General">
                        <c:v>-58.516710861423221</c:v>
                      </c:pt>
                      <c:pt idx="42" formatCode="General">
                        <c:v>-58.881100374531833</c:v>
                      </c:pt>
                      <c:pt idx="43" formatCode="General">
                        <c:v>-59.245489887640446</c:v>
                      </c:pt>
                      <c:pt idx="44" formatCode="General">
                        <c:v>-59.609879400749058</c:v>
                      </c:pt>
                      <c:pt idx="45" formatCode="General">
                        <c:v>-59.974268913857678</c:v>
                      </c:pt>
                      <c:pt idx="46" formatCode="General">
                        <c:v>-60.33865842696629</c:v>
                      </c:pt>
                      <c:pt idx="47" formatCode="General">
                        <c:v>-60.703047940074903</c:v>
                      </c:pt>
                      <c:pt idx="48" formatCode="General">
                        <c:v>-61.067437453183516</c:v>
                      </c:pt>
                      <c:pt idx="49" formatCode="General">
                        <c:v>-61.431826966292128</c:v>
                      </c:pt>
                      <c:pt idx="50" formatCode="General">
                        <c:v>-61.796216479400748</c:v>
                      </c:pt>
                      <c:pt idx="51" formatCode="General">
                        <c:v>-62.160341317365265</c:v>
                      </c:pt>
                      <c:pt idx="52" formatCode="General">
                        <c:v>-62.507526946107781</c:v>
                      </c:pt>
                      <c:pt idx="53" formatCode="General">
                        <c:v>-62.854712574850296</c:v>
                      </c:pt>
                      <c:pt idx="54" formatCode="General">
                        <c:v>-63.199893491124257</c:v>
                      </c:pt>
                      <c:pt idx="55" formatCode="General">
                        <c:v>-63.54258579881656</c:v>
                      </c:pt>
                      <c:pt idx="56" formatCode="General">
                        <c:v>-63.885278106508871</c:v>
                      </c:pt>
                      <c:pt idx="57" formatCode="General">
                        <c:v>-64.234999999999999</c:v>
                      </c:pt>
                      <c:pt idx="58" formatCode="General">
                        <c:v>-64.585999999999999</c:v>
                      </c:pt>
                      <c:pt idx="59" formatCode="General">
                        <c:v>-64.934333333333328</c:v>
                      </c:pt>
                      <c:pt idx="60" formatCode="General">
                        <c:v>-65.276666666666671</c:v>
                      </c:pt>
                      <c:pt idx="61" formatCode="General">
                        <c:v>-65.619</c:v>
                      </c:pt>
                      <c:pt idx="62" formatCode="General">
                        <c:v>-65.95688059701493</c:v>
                      </c:pt>
                      <c:pt idx="63" formatCode="General">
                        <c:v>-66.29342537313434</c:v>
                      </c:pt>
                      <c:pt idx="64" formatCode="General">
                        <c:v>-66.629970149253737</c:v>
                      </c:pt>
                      <c:pt idx="65" formatCode="General">
                        <c:v>-66.966514925373133</c:v>
                      </c:pt>
                      <c:pt idx="66" formatCode="General">
                        <c:v>-67.303059701492543</c:v>
                      </c:pt>
                      <c:pt idx="67" formatCode="General">
                        <c:v>-67.63960447761194</c:v>
                      </c:pt>
                      <c:pt idx="68" formatCode="General">
                        <c:v>-67.97614925373135</c:v>
                      </c:pt>
                      <c:pt idx="69" formatCode="General">
                        <c:v>-68.312694029850746</c:v>
                      </c:pt>
                      <c:pt idx="70" formatCode="General">
                        <c:v>-68.649238805970157</c:v>
                      </c:pt>
                      <c:pt idx="71" formatCode="General">
                        <c:v>-68.985783582089553</c:v>
                      </c:pt>
                      <c:pt idx="72" formatCode="General">
                        <c:v>-69.332157894736838</c:v>
                      </c:pt>
                      <c:pt idx="73" formatCode="General">
                        <c:v>-69.69</c:v>
                      </c:pt>
                      <c:pt idx="74" formatCode="General">
                        <c:v>-70.047842105263157</c:v>
                      </c:pt>
                      <c:pt idx="75" formatCode="General">
                        <c:v>-70.405684210526317</c:v>
                      </c:pt>
                      <c:pt idx="76" formatCode="General">
                        <c:v>-70.763526315789477</c:v>
                      </c:pt>
                      <c:pt idx="77" formatCode="General">
                        <c:v>-71.121368421052637</c:v>
                      </c:pt>
                      <c:pt idx="78" formatCode="General">
                        <c:v>-71.479210526315796</c:v>
                      </c:pt>
                      <c:pt idx="79" formatCode="General">
                        <c:v>-71.837052631578956</c:v>
                      </c:pt>
                      <c:pt idx="80" formatCode="General">
                        <c:v>-72.194894736842102</c:v>
                      </c:pt>
                      <c:pt idx="81" formatCode="General">
                        <c:v>-72.552736842105261</c:v>
                      </c:pt>
                      <c:pt idx="82" formatCode="General">
                        <c:v>-72.905382352941174</c:v>
                      </c:pt>
                      <c:pt idx="83" formatCode="General">
                        <c:v>-73.240705882352955</c:v>
                      </c:pt>
                      <c:pt idx="84" formatCode="General">
                        <c:v>-73.576029411764722</c:v>
                      </c:pt>
                      <c:pt idx="85" formatCode="General">
                        <c:v>-73.921484848484852</c:v>
                      </c:pt>
                      <c:pt idx="86" formatCode="General">
                        <c:v>-74.273272727272726</c:v>
                      </c:pt>
                      <c:pt idx="87" formatCode="General">
                        <c:v>-74.623558823529407</c:v>
                      </c:pt>
                      <c:pt idx="88" formatCode="General">
                        <c:v>-74.955823529411774</c:v>
                      </c:pt>
                      <c:pt idx="89" formatCode="General">
                        <c:v>-75.288088235294126</c:v>
                      </c:pt>
                      <c:pt idx="90" formatCode="General">
                        <c:v>-75.624090909090924</c:v>
                      </c:pt>
                      <c:pt idx="91" formatCode="General">
                        <c:v>-75.964454545454558</c:v>
                      </c:pt>
                      <c:pt idx="92" formatCode="General">
                        <c:v>-76.304818181818192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F3C-4648-9C26-0B0A07188C0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-185.26585585585585</c:v>
                      </c:pt>
                      <c:pt idx="1">
                        <c:v>-178.80879879879882</c:v>
                      </c:pt>
                      <c:pt idx="2" formatCode="General">
                        <c:v>-172.35174174174176</c:v>
                      </c:pt>
                      <c:pt idx="3" formatCode="General">
                        <c:v>-166.91</c:v>
                      </c:pt>
                      <c:pt idx="4" formatCode="General">
                        <c:v>-161.71</c:v>
                      </c:pt>
                      <c:pt idx="5" formatCode="General">
                        <c:v>-156.72718562874252</c:v>
                      </c:pt>
                      <c:pt idx="6" formatCode="General">
                        <c:v>-152.43796407185627</c:v>
                      </c:pt>
                      <c:pt idx="7" formatCode="General">
                        <c:v>-148.14874251497005</c:v>
                      </c:pt>
                      <c:pt idx="8" formatCode="General">
                        <c:v>-144.32577844311376</c:v>
                      </c:pt>
                      <c:pt idx="9" formatCode="General">
                        <c:v>-140.73326347305388</c:v>
                      </c:pt>
                      <c:pt idx="10" formatCode="General">
                        <c:v>-137.19523952095807</c:v>
                      </c:pt>
                      <c:pt idx="11" formatCode="General">
                        <c:v>-134.14763473053893</c:v>
                      </c:pt>
                      <c:pt idx="12" formatCode="General">
                        <c:v>-131.10002994011978</c:v>
                      </c:pt>
                      <c:pt idx="13" formatCode="General">
                        <c:v>-128.29000000000002</c:v>
                      </c:pt>
                      <c:pt idx="14" formatCode="General">
                        <c:v>-125.69000000000001</c:v>
                      </c:pt>
                      <c:pt idx="15" formatCode="General">
                        <c:v>-123.09</c:v>
                      </c:pt>
                      <c:pt idx="16" formatCode="General">
                        <c:v>-121.24825825825826</c:v>
                      </c:pt>
                      <c:pt idx="17" formatCode="General">
                        <c:v>-119.43684684684683</c:v>
                      </c:pt>
                      <c:pt idx="18" formatCode="General">
                        <c:v>-118.99922155688623</c:v>
                      </c:pt>
                      <c:pt idx="19" formatCode="General">
                        <c:v>-120.62227544910179</c:v>
                      </c:pt>
                      <c:pt idx="20" formatCode="General">
                        <c:v>-122.24532934131737</c:v>
                      </c:pt>
                      <c:pt idx="21" formatCode="General">
                        <c:v>-123.80694610778444</c:v>
                      </c:pt>
                      <c:pt idx="22" formatCode="General">
                        <c:v>-125.35604790419163</c:v>
                      </c:pt>
                      <c:pt idx="23" formatCode="General">
                        <c:v>-126.90514970059881</c:v>
                      </c:pt>
                      <c:pt idx="24" formatCode="General">
                        <c:v>-128.454251497006</c:v>
                      </c:pt>
                      <c:pt idx="25" formatCode="General">
                        <c:v>-130.00335329341317</c:v>
                      </c:pt>
                      <c:pt idx="26" formatCode="General">
                        <c:v>-131.55245508982037</c:v>
                      </c:pt>
                      <c:pt idx="27" formatCode="General">
                        <c:v>-133.10155688622754</c:v>
                      </c:pt>
                      <c:pt idx="28" formatCode="General">
                        <c:v>-134.65065868263474</c:v>
                      </c:pt>
                      <c:pt idx="29" formatCode="General">
                        <c:v>-136.19976047904191</c:v>
                      </c:pt>
                      <c:pt idx="30" formatCode="General">
                        <c:v>-137.74886227544911</c:v>
                      </c:pt>
                      <c:pt idx="31" formatCode="General">
                        <c:v>-139.21824719101124</c:v>
                      </c:pt>
                      <c:pt idx="32" formatCode="General">
                        <c:v>-140.62341573033709</c:v>
                      </c:pt>
                      <c:pt idx="33" formatCode="General">
                        <c:v>-142.02858426966293</c:v>
                      </c:pt>
                      <c:pt idx="34" formatCode="General">
                        <c:v>-143.43375280898877</c:v>
                      </c:pt>
                      <c:pt idx="35" formatCode="General">
                        <c:v>-144.83892134831461</c:v>
                      </c:pt>
                      <c:pt idx="36" formatCode="General">
                        <c:v>-146.24408988764046</c:v>
                      </c:pt>
                      <c:pt idx="37" formatCode="General">
                        <c:v>-147.6492584269663</c:v>
                      </c:pt>
                      <c:pt idx="38" formatCode="General">
                        <c:v>-149.05442696629214</c:v>
                      </c:pt>
                      <c:pt idx="39" formatCode="General">
                        <c:v>-150.45959550561798</c:v>
                      </c:pt>
                      <c:pt idx="40" formatCode="General">
                        <c:v>-151.86476404494383</c:v>
                      </c:pt>
                      <c:pt idx="41" formatCode="General">
                        <c:v>-153.2219850187266</c:v>
                      </c:pt>
                      <c:pt idx="42" formatCode="General">
                        <c:v>-154.45868913857677</c:v>
                      </c:pt>
                      <c:pt idx="43" formatCode="General">
                        <c:v>-155.69539325842698</c:v>
                      </c:pt>
                      <c:pt idx="44" formatCode="General">
                        <c:v>-156.93209737827715</c:v>
                      </c:pt>
                      <c:pt idx="45" formatCode="General">
                        <c:v>-158.16880149812735</c:v>
                      </c:pt>
                      <c:pt idx="46" formatCode="General">
                        <c:v>-159.40550561797752</c:v>
                      </c:pt>
                      <c:pt idx="47" formatCode="General">
                        <c:v>-160.64220973782773</c:v>
                      </c:pt>
                      <c:pt idx="48" formatCode="General">
                        <c:v>-161.8789138576779</c:v>
                      </c:pt>
                      <c:pt idx="49" formatCode="General">
                        <c:v>-163.1156179775281</c:v>
                      </c:pt>
                      <c:pt idx="50" formatCode="General">
                        <c:v>-164.35232209737828</c:v>
                      </c:pt>
                      <c:pt idx="51" formatCode="General">
                        <c:v>-165.58706586826347</c:v>
                      </c:pt>
                      <c:pt idx="52" formatCode="General">
                        <c:v>-166.69634730538922</c:v>
                      </c:pt>
                      <c:pt idx="53" formatCode="General">
                        <c:v>-167.80562874251495</c:v>
                      </c:pt>
                      <c:pt idx="54" formatCode="General">
                        <c:v>-168.88846153846151</c:v>
                      </c:pt>
                      <c:pt idx="55" formatCode="General">
                        <c:v>-169.93846153846152</c:v>
                      </c:pt>
                      <c:pt idx="56" formatCode="General">
                        <c:v>-170.98846153846151</c:v>
                      </c:pt>
                      <c:pt idx="57" formatCode="General">
                        <c:v>-172.02666666666664</c:v>
                      </c:pt>
                      <c:pt idx="58" formatCode="General">
                        <c:v>-173.06272727272727</c:v>
                      </c:pt>
                      <c:pt idx="59" formatCode="General">
                        <c:v>-174.07818181818183</c:v>
                      </c:pt>
                      <c:pt idx="60" formatCode="General">
                        <c:v>-175.04727272727274</c:v>
                      </c:pt>
                      <c:pt idx="61" formatCode="General">
                        <c:v>-176.01636363636365</c:v>
                      </c:pt>
                      <c:pt idx="62" formatCode="General">
                        <c:v>-176.87805970149256</c:v>
                      </c:pt>
                      <c:pt idx="63" formatCode="General">
                        <c:v>-177.70753731343285</c:v>
                      </c:pt>
                      <c:pt idx="64" formatCode="General">
                        <c:v>-178.53701492537314</c:v>
                      </c:pt>
                      <c:pt idx="65" formatCode="General">
                        <c:v>-179.36649253731343</c:v>
                      </c:pt>
                      <c:pt idx="66" formatCode="General">
                        <c:v>-180.19597014925375</c:v>
                      </c:pt>
                      <c:pt idx="67" formatCode="General">
                        <c:v>-181.02544776119404</c:v>
                      </c:pt>
                      <c:pt idx="68" formatCode="General">
                        <c:v>-181.85492537313434</c:v>
                      </c:pt>
                      <c:pt idx="69" formatCode="General">
                        <c:v>-182.68440298507466</c:v>
                      </c:pt>
                      <c:pt idx="70" formatCode="General">
                        <c:v>-183.51388059701495</c:v>
                      </c:pt>
                      <c:pt idx="71" formatCode="General">
                        <c:v>-184.34335820895524</c:v>
                      </c:pt>
                      <c:pt idx="72" formatCode="General">
                        <c:v>-185.07466165413535</c:v>
                      </c:pt>
                      <c:pt idx="73" formatCode="General">
                        <c:v>-185.69142857142859</c:v>
                      </c:pt>
                      <c:pt idx="74" formatCode="General">
                        <c:v>-186.30819548872182</c:v>
                      </c:pt>
                      <c:pt idx="75" formatCode="General">
                        <c:v>-186.92496240601506</c:v>
                      </c:pt>
                      <c:pt idx="76" formatCode="General">
                        <c:v>-187.54172932330829</c:v>
                      </c:pt>
                      <c:pt idx="77" formatCode="General">
                        <c:v>-188.15849624060152</c:v>
                      </c:pt>
                      <c:pt idx="78" formatCode="General">
                        <c:v>-188.77526315789473</c:v>
                      </c:pt>
                      <c:pt idx="79" formatCode="General">
                        <c:v>-189.39203007518796</c:v>
                      </c:pt>
                      <c:pt idx="80" formatCode="General">
                        <c:v>-190.00879699248119</c:v>
                      </c:pt>
                      <c:pt idx="81" formatCode="General">
                        <c:v>-190.62556390977443</c:v>
                      </c:pt>
                      <c:pt idx="82" formatCode="General">
                        <c:v>-191.20499999999998</c:v>
                      </c:pt>
                      <c:pt idx="83" formatCode="General">
                        <c:v>-191.66</c:v>
                      </c:pt>
                      <c:pt idx="84" formatCode="General">
                        <c:v>-192.11500000000001</c:v>
                      </c:pt>
                      <c:pt idx="85" formatCode="General">
                        <c:v>-192.55666666666667</c:v>
                      </c:pt>
                      <c:pt idx="86" formatCode="General">
                        <c:v>-192.99</c:v>
                      </c:pt>
                      <c:pt idx="87" formatCode="General">
                        <c:v>-193.41676470588234</c:v>
                      </c:pt>
                      <c:pt idx="88" formatCode="General">
                        <c:v>-193.76470588235293</c:v>
                      </c:pt>
                      <c:pt idx="89" formatCode="General">
                        <c:v>-194.11264705882354</c:v>
                      </c:pt>
                      <c:pt idx="90" formatCode="General">
                        <c:v>-194.44</c:v>
                      </c:pt>
                      <c:pt idx="91" formatCode="General">
                        <c:v>-194.74333333333334</c:v>
                      </c:pt>
                      <c:pt idx="92" formatCode="General">
                        <c:v>-195.04666666666665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F3C-4648-9C26-0B0A07188C0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-30.414594594594593</c:v>
                      </c:pt>
                      <c:pt idx="1">
                        <c:v>-29.641621621621621</c:v>
                      </c:pt>
                      <c:pt idx="2" formatCode="General">
                        <c:v>-28.868648648648648</c:v>
                      </c:pt>
                      <c:pt idx="3" formatCode="General">
                        <c:v>-27.424790419161674</c:v>
                      </c:pt>
                      <c:pt idx="4" formatCode="General">
                        <c:v>-25.821197604790417</c:v>
                      </c:pt>
                      <c:pt idx="5" formatCode="General">
                        <c:v>-24.174910179640719</c:v>
                      </c:pt>
                      <c:pt idx="6" formatCode="General">
                        <c:v>-22.392275449101795</c:v>
                      </c:pt>
                      <c:pt idx="7" formatCode="General">
                        <c:v>-20.609640718562876</c:v>
                      </c:pt>
                      <c:pt idx="8" formatCode="General">
                        <c:v>-18.983814371257484</c:v>
                      </c:pt>
                      <c:pt idx="9" formatCode="General">
                        <c:v>-17.435491017964072</c:v>
                      </c:pt>
                      <c:pt idx="10" formatCode="General">
                        <c:v>-15.906473053892215</c:v>
                      </c:pt>
                      <c:pt idx="11" formatCode="General">
                        <c:v>-14.551203592814373</c:v>
                      </c:pt>
                      <c:pt idx="12" formatCode="General">
                        <c:v>-13.195934131736529</c:v>
                      </c:pt>
                      <c:pt idx="13" formatCode="General">
                        <c:v>-11.922059880239523</c:v>
                      </c:pt>
                      <c:pt idx="14" formatCode="General">
                        <c:v>-10.720143712574851</c:v>
                      </c:pt>
                      <c:pt idx="15" formatCode="General">
                        <c:v>-9.5182275449101788</c:v>
                      </c:pt>
                      <c:pt idx="16" formatCode="General">
                        <c:v>-9.0253033033033017</c:v>
                      </c:pt>
                      <c:pt idx="17" formatCode="General">
                        <c:v>-8.5607387387387384</c:v>
                      </c:pt>
                      <c:pt idx="18" formatCode="General">
                        <c:v>-8.3075329341317374</c:v>
                      </c:pt>
                      <c:pt idx="19" formatCode="General">
                        <c:v>-8.3713652694610783</c:v>
                      </c:pt>
                      <c:pt idx="20" formatCode="General">
                        <c:v>-8.4351976047904191</c:v>
                      </c:pt>
                      <c:pt idx="21" formatCode="General">
                        <c:v>-8.4993532934131739</c:v>
                      </c:pt>
                      <c:pt idx="22" formatCode="General">
                        <c:v>-8.5635748502994016</c:v>
                      </c:pt>
                      <c:pt idx="23" formatCode="General">
                        <c:v>-8.6277964071856292</c:v>
                      </c:pt>
                      <c:pt idx="24" formatCode="General">
                        <c:v>-8.6920179640718569</c:v>
                      </c:pt>
                      <c:pt idx="25" formatCode="General">
                        <c:v>-8.7562395209580828</c:v>
                      </c:pt>
                      <c:pt idx="26" formatCode="General">
                        <c:v>-8.8204610778443104</c:v>
                      </c:pt>
                      <c:pt idx="27" formatCode="General">
                        <c:v>-8.8846826347305381</c:v>
                      </c:pt>
                      <c:pt idx="28" formatCode="General">
                        <c:v>-8.9489041916167658</c:v>
                      </c:pt>
                      <c:pt idx="29" formatCode="General">
                        <c:v>-9.0131257485029934</c:v>
                      </c:pt>
                      <c:pt idx="30" formatCode="General">
                        <c:v>-9.0773473053892211</c:v>
                      </c:pt>
                      <c:pt idx="31" formatCode="General">
                        <c:v>-9.140516853932585</c:v>
                      </c:pt>
                      <c:pt idx="32" formatCode="General">
                        <c:v>-9.202838951310861</c:v>
                      </c:pt>
                      <c:pt idx="33" formatCode="General">
                        <c:v>-9.2651610486891389</c:v>
                      </c:pt>
                      <c:pt idx="34" formatCode="General">
                        <c:v>-9.3274831460674168</c:v>
                      </c:pt>
                      <c:pt idx="35" formatCode="General">
                        <c:v>-9.3898052434456929</c:v>
                      </c:pt>
                      <c:pt idx="36" formatCode="General">
                        <c:v>-9.4521273408239708</c:v>
                      </c:pt>
                      <c:pt idx="37" formatCode="General">
                        <c:v>-9.5144494382022469</c:v>
                      </c:pt>
                      <c:pt idx="38" formatCode="General">
                        <c:v>-9.5767715355805247</c:v>
                      </c:pt>
                      <c:pt idx="39" formatCode="General">
                        <c:v>-9.6390936329588026</c:v>
                      </c:pt>
                      <c:pt idx="40" formatCode="General">
                        <c:v>-9.7014157303370787</c:v>
                      </c:pt>
                      <c:pt idx="41" formatCode="General">
                        <c:v>-9.7627400749063682</c:v>
                      </c:pt>
                      <c:pt idx="42" formatCode="General">
                        <c:v>-9.8215565543071168</c:v>
                      </c:pt>
                      <c:pt idx="43" formatCode="General">
                        <c:v>-9.8803730337078655</c:v>
                      </c:pt>
                      <c:pt idx="44" formatCode="General">
                        <c:v>-9.9391895131086141</c:v>
                      </c:pt>
                      <c:pt idx="45" formatCode="General">
                        <c:v>-9.9980059925093627</c:v>
                      </c:pt>
                      <c:pt idx="46" formatCode="General">
                        <c:v>-10.056822471910113</c:v>
                      </c:pt>
                      <c:pt idx="47" formatCode="General">
                        <c:v>-10.115638951310862</c:v>
                      </c:pt>
                      <c:pt idx="48" formatCode="General">
                        <c:v>-10.17445543071161</c:v>
                      </c:pt>
                      <c:pt idx="49" formatCode="General">
                        <c:v>-10.233271910112359</c:v>
                      </c:pt>
                      <c:pt idx="50" formatCode="General">
                        <c:v>-10.292088389513108</c:v>
                      </c:pt>
                      <c:pt idx="51" formatCode="General">
                        <c:v>-10.350862275449101</c:v>
                      </c:pt>
                      <c:pt idx="52" formatCode="General">
                        <c:v>-10.406910179640718</c:v>
                      </c:pt>
                      <c:pt idx="53" formatCode="General">
                        <c:v>-10.462958083832335</c:v>
                      </c:pt>
                      <c:pt idx="54" formatCode="General">
                        <c:v>-10.518366863905324</c:v>
                      </c:pt>
                      <c:pt idx="55" formatCode="General">
                        <c:v>-10.572982248520709</c:v>
                      </c:pt>
                      <c:pt idx="56" formatCode="General">
                        <c:v>-10.627597633136094</c:v>
                      </c:pt>
                      <c:pt idx="57" formatCode="General">
                        <c:v>-10.683333333333334</c:v>
                      </c:pt>
                      <c:pt idx="58" formatCode="General">
                        <c:v>-10.739272727272727</c:v>
                      </c:pt>
                      <c:pt idx="59" formatCode="General">
                        <c:v>-10.794727272727274</c:v>
                      </c:pt>
                      <c:pt idx="60" formatCode="General">
                        <c:v>-10.84909090909091</c:v>
                      </c:pt>
                      <c:pt idx="61" formatCode="General">
                        <c:v>-10.903454545454546</c:v>
                      </c:pt>
                      <c:pt idx="62" formatCode="General">
                        <c:v>-10.965104477611941</c:v>
                      </c:pt>
                      <c:pt idx="63" formatCode="General">
                        <c:v>-11.028940298507463</c:v>
                      </c:pt>
                      <c:pt idx="64" formatCode="General">
                        <c:v>-11.092776119402986</c:v>
                      </c:pt>
                      <c:pt idx="65" formatCode="General">
                        <c:v>-11.156611940298507</c:v>
                      </c:pt>
                      <c:pt idx="66" formatCode="General">
                        <c:v>-11.220447761194031</c:v>
                      </c:pt>
                      <c:pt idx="67" formatCode="General">
                        <c:v>-11.284283582089552</c:v>
                      </c:pt>
                      <c:pt idx="68" formatCode="General">
                        <c:v>-11.348119402985075</c:v>
                      </c:pt>
                      <c:pt idx="69" formatCode="General">
                        <c:v>-11.411955223880597</c:v>
                      </c:pt>
                      <c:pt idx="70" formatCode="General">
                        <c:v>-11.47579104477612</c:v>
                      </c:pt>
                      <c:pt idx="71" formatCode="General">
                        <c:v>-11.539626865671641</c:v>
                      </c:pt>
                      <c:pt idx="72" formatCode="General">
                        <c:v>-11.628225563909774</c:v>
                      </c:pt>
                      <c:pt idx="73" formatCode="General">
                        <c:v>-11.745714285714286</c:v>
                      </c:pt>
                      <c:pt idx="74" formatCode="General">
                        <c:v>-11.863203007518797</c:v>
                      </c:pt>
                      <c:pt idx="75" formatCode="General">
                        <c:v>-11.980691729323308</c:v>
                      </c:pt>
                      <c:pt idx="76" formatCode="General">
                        <c:v>-12.098180451127819</c:v>
                      </c:pt>
                      <c:pt idx="77" formatCode="General">
                        <c:v>-12.21566917293233</c:v>
                      </c:pt>
                      <c:pt idx="78" formatCode="General">
                        <c:v>-12.333157894736843</c:v>
                      </c:pt>
                      <c:pt idx="79" formatCode="General">
                        <c:v>-12.450646616541354</c:v>
                      </c:pt>
                      <c:pt idx="80" formatCode="General">
                        <c:v>-12.568135338345865</c:v>
                      </c:pt>
                      <c:pt idx="81" formatCode="General">
                        <c:v>-12.685624060150376</c:v>
                      </c:pt>
                      <c:pt idx="82" formatCode="General">
                        <c:v>-12.800176470588235</c:v>
                      </c:pt>
                      <c:pt idx="83" formatCode="General">
                        <c:v>-12.904941176470588</c:v>
                      </c:pt>
                      <c:pt idx="84" formatCode="General">
                        <c:v>-13.009705882352941</c:v>
                      </c:pt>
                      <c:pt idx="85" formatCode="General">
                        <c:v>-13.11448484848485</c:v>
                      </c:pt>
                      <c:pt idx="86" formatCode="General">
                        <c:v>-13.219272727272728</c:v>
                      </c:pt>
                      <c:pt idx="87" formatCode="General">
                        <c:v>-13.323588235294118</c:v>
                      </c:pt>
                      <c:pt idx="88" formatCode="General">
                        <c:v>-13.422235294117648</c:v>
                      </c:pt>
                      <c:pt idx="89" formatCode="General">
                        <c:v>-13.520882352941177</c:v>
                      </c:pt>
                      <c:pt idx="90" formatCode="General">
                        <c:v>-13.619090909090909</c:v>
                      </c:pt>
                      <c:pt idx="91" formatCode="General">
                        <c:v>-13.716787878787878</c:v>
                      </c:pt>
                      <c:pt idx="92" formatCode="General">
                        <c:v>-13.814484848484847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F3C-4648-9C26-0B0A07188C0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-15.207297297297297</c:v>
                      </c:pt>
                      <c:pt idx="1">
                        <c:v>-14.82081081081081</c:v>
                      </c:pt>
                      <c:pt idx="2" formatCode="General">
                        <c:v>-14.434324324324324</c:v>
                      </c:pt>
                      <c:pt idx="3" formatCode="General">
                        <c:v>-13.712395209580837</c:v>
                      </c:pt>
                      <c:pt idx="4" formatCode="General">
                        <c:v>-12.910598802395208</c:v>
                      </c:pt>
                      <c:pt idx="5" formatCode="General">
                        <c:v>-12.087455089820359</c:v>
                      </c:pt>
                      <c:pt idx="6" formatCode="General">
                        <c:v>-11.196137724550898</c:v>
                      </c:pt>
                      <c:pt idx="7" formatCode="General">
                        <c:v>-10.304820359281438</c:v>
                      </c:pt>
                      <c:pt idx="8" formatCode="General">
                        <c:v>-9.491907185628742</c:v>
                      </c:pt>
                      <c:pt idx="9" formatCode="General">
                        <c:v>-8.7177455089820359</c:v>
                      </c:pt>
                      <c:pt idx="10" formatCode="General">
                        <c:v>-7.9532365269461076</c:v>
                      </c:pt>
                      <c:pt idx="11" formatCode="General">
                        <c:v>-7.2756017964071864</c:v>
                      </c:pt>
                      <c:pt idx="12" formatCode="General">
                        <c:v>-6.5979670658682643</c:v>
                      </c:pt>
                      <c:pt idx="13" formatCode="General">
                        <c:v>-5.9610299401197615</c:v>
                      </c:pt>
                      <c:pt idx="14" formatCode="General">
                        <c:v>-5.3600718562874254</c:v>
                      </c:pt>
                      <c:pt idx="15" formatCode="General">
                        <c:v>-4.7591137724550894</c:v>
                      </c:pt>
                      <c:pt idx="16" formatCode="General">
                        <c:v>-4.5126516516516508</c:v>
                      </c:pt>
                      <c:pt idx="17" formatCode="General">
                        <c:v>-4.2803693693693692</c:v>
                      </c:pt>
                      <c:pt idx="18" formatCode="General">
                        <c:v>-4.1537664670658687</c:v>
                      </c:pt>
                      <c:pt idx="19" formatCode="General">
                        <c:v>-4.1856826347305391</c:v>
                      </c:pt>
                      <c:pt idx="20" formatCode="General">
                        <c:v>-4.2175988023952096</c:v>
                      </c:pt>
                      <c:pt idx="21" formatCode="General">
                        <c:v>-4.249676646706587</c:v>
                      </c:pt>
                      <c:pt idx="22" formatCode="General">
                        <c:v>-4.2817874251497008</c:v>
                      </c:pt>
                      <c:pt idx="23" formatCode="General">
                        <c:v>-4.3138982035928146</c:v>
                      </c:pt>
                      <c:pt idx="24" formatCode="General">
                        <c:v>-4.3460089820359284</c:v>
                      </c:pt>
                      <c:pt idx="25" formatCode="General">
                        <c:v>-4.3781197604790414</c:v>
                      </c:pt>
                      <c:pt idx="26" formatCode="General">
                        <c:v>-4.4102305389221552</c:v>
                      </c:pt>
                      <c:pt idx="27" formatCode="General">
                        <c:v>-4.442341317365269</c:v>
                      </c:pt>
                      <c:pt idx="28" formatCode="General">
                        <c:v>-4.4744520958083829</c:v>
                      </c:pt>
                      <c:pt idx="29" formatCode="General">
                        <c:v>-4.5065628742514967</c:v>
                      </c:pt>
                      <c:pt idx="30" formatCode="General">
                        <c:v>-4.5386736526946105</c:v>
                      </c:pt>
                      <c:pt idx="31" formatCode="General">
                        <c:v>-4.5702584269662925</c:v>
                      </c:pt>
                      <c:pt idx="32" formatCode="General">
                        <c:v>-4.6014194756554305</c:v>
                      </c:pt>
                      <c:pt idx="33" formatCode="General">
                        <c:v>-4.6325805243445695</c:v>
                      </c:pt>
                      <c:pt idx="34" formatCode="General">
                        <c:v>-4.6637415730337084</c:v>
                      </c:pt>
                      <c:pt idx="35" formatCode="General">
                        <c:v>-4.6949026217228464</c:v>
                      </c:pt>
                      <c:pt idx="36" formatCode="General">
                        <c:v>-4.7260636704119854</c:v>
                      </c:pt>
                      <c:pt idx="37" formatCode="General">
                        <c:v>-4.7572247191011234</c:v>
                      </c:pt>
                      <c:pt idx="38" formatCode="General">
                        <c:v>-4.7883857677902624</c:v>
                      </c:pt>
                      <c:pt idx="39" formatCode="General">
                        <c:v>-4.8195468164794013</c:v>
                      </c:pt>
                      <c:pt idx="40" formatCode="General">
                        <c:v>-4.8507078651685394</c:v>
                      </c:pt>
                      <c:pt idx="41" formatCode="General">
                        <c:v>-4.8813700374531841</c:v>
                      </c:pt>
                      <c:pt idx="42" formatCode="General">
                        <c:v>-4.9107782771535584</c:v>
                      </c:pt>
                      <c:pt idx="43" formatCode="General">
                        <c:v>-4.9401865168539327</c:v>
                      </c:pt>
                      <c:pt idx="44" formatCode="General">
                        <c:v>-4.969594756554307</c:v>
                      </c:pt>
                      <c:pt idx="45" formatCode="General">
                        <c:v>-4.9990029962546814</c:v>
                      </c:pt>
                      <c:pt idx="46" formatCode="General">
                        <c:v>-5.0284112359550566</c:v>
                      </c:pt>
                      <c:pt idx="47" formatCode="General">
                        <c:v>-5.0578194756554309</c:v>
                      </c:pt>
                      <c:pt idx="48" formatCode="General">
                        <c:v>-5.0872277153558052</c:v>
                      </c:pt>
                      <c:pt idx="49" formatCode="General">
                        <c:v>-5.1166359550561795</c:v>
                      </c:pt>
                      <c:pt idx="50" formatCode="General">
                        <c:v>-5.1460441947565538</c:v>
                      </c:pt>
                      <c:pt idx="51" formatCode="General">
                        <c:v>-5.1754311377245505</c:v>
                      </c:pt>
                      <c:pt idx="52" formatCode="General">
                        <c:v>-5.2034550898203591</c:v>
                      </c:pt>
                      <c:pt idx="53" formatCode="General">
                        <c:v>-5.2314790419161676</c:v>
                      </c:pt>
                      <c:pt idx="54" formatCode="General">
                        <c:v>-5.2591834319526622</c:v>
                      </c:pt>
                      <c:pt idx="55" formatCode="General">
                        <c:v>-5.2864911242603547</c:v>
                      </c:pt>
                      <c:pt idx="56" formatCode="General">
                        <c:v>-5.3137988165680472</c:v>
                      </c:pt>
                      <c:pt idx="57" formatCode="General">
                        <c:v>-5.3416666666666668</c:v>
                      </c:pt>
                      <c:pt idx="58" formatCode="General">
                        <c:v>-5.3696363636363635</c:v>
                      </c:pt>
                      <c:pt idx="59" formatCode="General">
                        <c:v>-5.3973636363636368</c:v>
                      </c:pt>
                      <c:pt idx="60" formatCode="General">
                        <c:v>-5.4245454545454548</c:v>
                      </c:pt>
                      <c:pt idx="61" formatCode="General">
                        <c:v>-5.4517272727272728</c:v>
                      </c:pt>
                      <c:pt idx="62" formatCode="General">
                        <c:v>-5.4825522388059706</c:v>
                      </c:pt>
                      <c:pt idx="63" formatCode="General">
                        <c:v>-5.5144701492537314</c:v>
                      </c:pt>
                      <c:pt idx="64" formatCode="General">
                        <c:v>-5.546388059701493</c:v>
                      </c:pt>
                      <c:pt idx="65" formatCode="General">
                        <c:v>-5.5783059701492537</c:v>
                      </c:pt>
                      <c:pt idx="66" formatCode="General">
                        <c:v>-5.6102238805970153</c:v>
                      </c:pt>
                      <c:pt idx="67" formatCode="General">
                        <c:v>-5.642141791044776</c:v>
                      </c:pt>
                      <c:pt idx="68" formatCode="General">
                        <c:v>-5.6740597014925376</c:v>
                      </c:pt>
                      <c:pt idx="69" formatCode="General">
                        <c:v>-5.7059776119402983</c:v>
                      </c:pt>
                      <c:pt idx="70" formatCode="General">
                        <c:v>-5.7378955223880599</c:v>
                      </c:pt>
                      <c:pt idx="71" formatCode="General">
                        <c:v>-5.7698134328358206</c:v>
                      </c:pt>
                      <c:pt idx="72" formatCode="General">
                        <c:v>-5.8141127819548872</c:v>
                      </c:pt>
                      <c:pt idx="73" formatCode="General">
                        <c:v>-5.8728571428571428</c:v>
                      </c:pt>
                      <c:pt idx="74" formatCode="General">
                        <c:v>-5.9316015037593983</c:v>
                      </c:pt>
                      <c:pt idx="75" formatCode="General">
                        <c:v>-5.9903458646616539</c:v>
                      </c:pt>
                      <c:pt idx="76" formatCode="General">
                        <c:v>-6.0490902255639094</c:v>
                      </c:pt>
                      <c:pt idx="77" formatCode="General">
                        <c:v>-6.107834586466165</c:v>
                      </c:pt>
                      <c:pt idx="78" formatCode="General">
                        <c:v>-6.1665789473684214</c:v>
                      </c:pt>
                      <c:pt idx="79" formatCode="General">
                        <c:v>-6.2253233082706769</c:v>
                      </c:pt>
                      <c:pt idx="80" formatCode="General">
                        <c:v>-6.2840676691729325</c:v>
                      </c:pt>
                      <c:pt idx="81" formatCode="General">
                        <c:v>-6.342812030075188</c:v>
                      </c:pt>
                      <c:pt idx="82" formatCode="General">
                        <c:v>-6.4000882352941177</c:v>
                      </c:pt>
                      <c:pt idx="83" formatCode="General">
                        <c:v>-6.4524705882352942</c:v>
                      </c:pt>
                      <c:pt idx="84" formatCode="General">
                        <c:v>-6.5048529411764706</c:v>
                      </c:pt>
                      <c:pt idx="85" formatCode="General">
                        <c:v>-6.5572424242424248</c:v>
                      </c:pt>
                      <c:pt idx="86" formatCode="General">
                        <c:v>-6.6096363636363638</c:v>
                      </c:pt>
                      <c:pt idx="87" formatCode="General">
                        <c:v>-6.6617941176470588</c:v>
                      </c:pt>
                      <c:pt idx="88" formatCode="General">
                        <c:v>-6.7111176470588241</c:v>
                      </c:pt>
                      <c:pt idx="89" formatCode="General">
                        <c:v>-6.7604411764705885</c:v>
                      </c:pt>
                      <c:pt idx="90" formatCode="General">
                        <c:v>-6.8095454545454546</c:v>
                      </c:pt>
                      <c:pt idx="91" formatCode="General">
                        <c:v>-6.858393939393939</c:v>
                      </c:pt>
                      <c:pt idx="92" formatCode="General">
                        <c:v>-6.9072424242424235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F3C-4648-9C26-0B0A07188C0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-19.021441441441443</c:v>
                      </c:pt>
                      <c:pt idx="1">
                        <c:v>-19.025345345345347</c:v>
                      </c:pt>
                      <c:pt idx="2" formatCode="General">
                        <c:v>-19.029249249249251</c:v>
                      </c:pt>
                      <c:pt idx="3" formatCode="General">
                        <c:v>-19.039431137724552</c:v>
                      </c:pt>
                      <c:pt idx="4" formatCode="General">
                        <c:v>-19.051107784431139</c:v>
                      </c:pt>
                      <c:pt idx="5" formatCode="General">
                        <c:v>-19.064640718562874</c:v>
                      </c:pt>
                      <c:pt idx="6" formatCode="General">
                        <c:v>-19.084101796407186</c:v>
                      </c:pt>
                      <c:pt idx="7" formatCode="General">
                        <c:v>-19.103562874251498</c:v>
                      </c:pt>
                      <c:pt idx="8" formatCode="General">
                        <c:v>-19.125628742514969</c:v>
                      </c:pt>
                      <c:pt idx="9" formatCode="General">
                        <c:v>-19.148982035928146</c:v>
                      </c:pt>
                      <c:pt idx="10" formatCode="General">
                        <c:v>-19.172335329341319</c:v>
                      </c:pt>
                      <c:pt idx="11" formatCode="General">
                        <c:v>-19.195688622754492</c:v>
                      </c:pt>
                      <c:pt idx="12" formatCode="General">
                        <c:v>-19.219041916167665</c:v>
                      </c:pt>
                      <c:pt idx="13" formatCode="General">
                        <c:v>-19.244461077844313</c:v>
                      </c:pt>
                      <c:pt idx="14" formatCode="General">
                        <c:v>-19.271706586826348</c:v>
                      </c:pt>
                      <c:pt idx="15" formatCode="General">
                        <c:v>-19.298952095808385</c:v>
                      </c:pt>
                      <c:pt idx="16" formatCode="General">
                        <c:v>-19.213663663663663</c:v>
                      </c:pt>
                      <c:pt idx="17" formatCode="General">
                        <c:v>-19.123873873873872</c:v>
                      </c:pt>
                      <c:pt idx="18" formatCode="General">
                        <c:v>-19.063772455089822</c:v>
                      </c:pt>
                      <c:pt idx="19" formatCode="General">
                        <c:v>-19.048203592814371</c:v>
                      </c:pt>
                      <c:pt idx="20" formatCode="General">
                        <c:v>-19.032634730538923</c:v>
                      </c:pt>
                      <c:pt idx="21" formatCode="General">
                        <c:v>-19.052634730538923</c:v>
                      </c:pt>
                      <c:pt idx="22" formatCode="General">
                        <c:v>-19.079880239520957</c:v>
                      </c:pt>
                      <c:pt idx="23" formatCode="General">
                        <c:v>-19.107125748502995</c:v>
                      </c:pt>
                      <c:pt idx="24" formatCode="General">
                        <c:v>-19.134371257485029</c:v>
                      </c:pt>
                      <c:pt idx="25" formatCode="General">
                        <c:v>-19.161616766467066</c:v>
                      </c:pt>
                      <c:pt idx="26" formatCode="General">
                        <c:v>-19.1888622754491</c:v>
                      </c:pt>
                      <c:pt idx="27" formatCode="General">
                        <c:v>-19.216107784431138</c:v>
                      </c:pt>
                      <c:pt idx="28" formatCode="General">
                        <c:v>-19.243353293413172</c:v>
                      </c:pt>
                      <c:pt idx="29" formatCode="General">
                        <c:v>-19.27059880239521</c:v>
                      </c:pt>
                      <c:pt idx="30" formatCode="General">
                        <c:v>-19.297844311377244</c:v>
                      </c:pt>
                      <c:pt idx="31" formatCode="General">
                        <c:v>-19.324022471910112</c:v>
                      </c:pt>
                      <c:pt idx="32" formatCode="General">
                        <c:v>-19.349340823970035</c:v>
                      </c:pt>
                      <c:pt idx="33" formatCode="General">
                        <c:v>-19.374659176029962</c:v>
                      </c:pt>
                      <c:pt idx="34" formatCode="General">
                        <c:v>-19.399977528089888</c:v>
                      </c:pt>
                      <c:pt idx="35" formatCode="General">
                        <c:v>-19.425295880149811</c:v>
                      </c:pt>
                      <c:pt idx="36" formatCode="General">
                        <c:v>-19.450614232209738</c:v>
                      </c:pt>
                      <c:pt idx="37" formatCode="General">
                        <c:v>-19.475932584269664</c:v>
                      </c:pt>
                      <c:pt idx="38" formatCode="General">
                        <c:v>-19.501250936329587</c:v>
                      </c:pt>
                      <c:pt idx="39" formatCode="General">
                        <c:v>-19.526569288389513</c:v>
                      </c:pt>
                      <c:pt idx="40" formatCode="General">
                        <c:v>-19.55188764044944</c:v>
                      </c:pt>
                      <c:pt idx="41" formatCode="General">
                        <c:v>-19.576928838951311</c:v>
                      </c:pt>
                      <c:pt idx="42" formatCode="General">
                        <c:v>-19.601273408239702</c:v>
                      </c:pt>
                      <c:pt idx="43" formatCode="General">
                        <c:v>-19.625617977528091</c:v>
                      </c:pt>
                      <c:pt idx="44" formatCode="General">
                        <c:v>-19.649962546816479</c:v>
                      </c:pt>
                      <c:pt idx="45" formatCode="General">
                        <c:v>-19.67430711610487</c:v>
                      </c:pt>
                      <c:pt idx="46" formatCode="General">
                        <c:v>-19.698651685393259</c:v>
                      </c:pt>
                      <c:pt idx="47" formatCode="General">
                        <c:v>-19.722996254681647</c:v>
                      </c:pt>
                      <c:pt idx="48" formatCode="General">
                        <c:v>-19.747340823970038</c:v>
                      </c:pt>
                      <c:pt idx="49" formatCode="General">
                        <c:v>-19.771685393258426</c:v>
                      </c:pt>
                      <c:pt idx="50" formatCode="General">
                        <c:v>-19.796029962546818</c:v>
                      </c:pt>
                      <c:pt idx="51" formatCode="General">
                        <c:v>-19.820359281437128</c:v>
                      </c:pt>
                      <c:pt idx="52" formatCode="General">
                        <c:v>-19.843712574850301</c:v>
                      </c:pt>
                      <c:pt idx="53" formatCode="General">
                        <c:v>-19.867065868263474</c:v>
                      </c:pt>
                      <c:pt idx="54" formatCode="General">
                        <c:v>-19.890295857988164</c:v>
                      </c:pt>
                      <c:pt idx="55" formatCode="General">
                        <c:v>-19.913372781065089</c:v>
                      </c:pt>
                      <c:pt idx="56" formatCode="General">
                        <c:v>-19.936449704142014</c:v>
                      </c:pt>
                      <c:pt idx="57" formatCode="General">
                        <c:v>-19.96</c:v>
                      </c:pt>
                      <c:pt idx="58" formatCode="General">
                        <c:v>-19.983636363636364</c:v>
                      </c:pt>
                      <c:pt idx="59" formatCode="General">
                        <c:v>-20.006060606060608</c:v>
                      </c:pt>
                      <c:pt idx="60" formatCode="General">
                        <c:v>-20.025757575757577</c:v>
                      </c:pt>
                      <c:pt idx="61" formatCode="General">
                        <c:v>-20.045454545454547</c:v>
                      </c:pt>
                      <c:pt idx="62" formatCode="General">
                        <c:v>-20.065671641791045</c:v>
                      </c:pt>
                      <c:pt idx="63" formatCode="General">
                        <c:v>-20.086044776119405</c:v>
                      </c:pt>
                      <c:pt idx="64" formatCode="General">
                        <c:v>-20.106417910447764</c:v>
                      </c:pt>
                      <c:pt idx="65" formatCode="General">
                        <c:v>-20.12679104477612</c:v>
                      </c:pt>
                      <c:pt idx="66" formatCode="General">
                        <c:v>-20.147164179104479</c:v>
                      </c:pt>
                      <c:pt idx="67" formatCode="General">
                        <c:v>-20.167537313432838</c:v>
                      </c:pt>
                      <c:pt idx="68" formatCode="General">
                        <c:v>-20.187910447761194</c:v>
                      </c:pt>
                      <c:pt idx="69" formatCode="General">
                        <c:v>-20.208283582089553</c:v>
                      </c:pt>
                      <c:pt idx="70" formatCode="General">
                        <c:v>-20.228656716417913</c:v>
                      </c:pt>
                      <c:pt idx="71" formatCode="General">
                        <c:v>-20.249029850746272</c:v>
                      </c:pt>
                      <c:pt idx="72" formatCode="General">
                        <c:v>-20.269022556390979</c:v>
                      </c:pt>
                      <c:pt idx="73" formatCode="General">
                        <c:v>-20.28857142857143</c:v>
                      </c:pt>
                      <c:pt idx="74" formatCode="General">
                        <c:v>-20.308120300751881</c:v>
                      </c:pt>
                      <c:pt idx="75" formatCode="General">
                        <c:v>-20.327669172932332</c:v>
                      </c:pt>
                      <c:pt idx="76" formatCode="General">
                        <c:v>-20.347218045112783</c:v>
                      </c:pt>
                      <c:pt idx="77" formatCode="General">
                        <c:v>-20.366766917293234</c:v>
                      </c:pt>
                      <c:pt idx="78" formatCode="General">
                        <c:v>-20.386315789473684</c:v>
                      </c:pt>
                      <c:pt idx="79" formatCode="General">
                        <c:v>-20.405864661654135</c:v>
                      </c:pt>
                      <c:pt idx="80" formatCode="General">
                        <c:v>-20.425413533834586</c:v>
                      </c:pt>
                      <c:pt idx="81" formatCode="General">
                        <c:v>-20.444962406015037</c:v>
                      </c:pt>
                      <c:pt idx="82" formatCode="General">
                        <c:v>-20.464411764705883</c:v>
                      </c:pt>
                      <c:pt idx="83" formatCode="General">
                        <c:v>-20.483529411764707</c:v>
                      </c:pt>
                      <c:pt idx="84" formatCode="General">
                        <c:v>-20.502647058823531</c:v>
                      </c:pt>
                      <c:pt idx="85" formatCode="General">
                        <c:v>-20.522121212121213</c:v>
                      </c:pt>
                      <c:pt idx="86" formatCode="General">
                        <c:v>-20.541818181818183</c:v>
                      </c:pt>
                      <c:pt idx="87" formatCode="General">
                        <c:v>-20.561176470588233</c:v>
                      </c:pt>
                      <c:pt idx="88" formatCode="General">
                        <c:v>-20.576470588235296</c:v>
                      </c:pt>
                      <c:pt idx="89" formatCode="General">
                        <c:v>-20.591764705882355</c:v>
                      </c:pt>
                      <c:pt idx="90" formatCode="General">
                        <c:v>-20.609090909090909</c:v>
                      </c:pt>
                      <c:pt idx="91" formatCode="General">
                        <c:v>-20.628787878787879</c:v>
                      </c:pt>
                      <c:pt idx="92" formatCode="General">
                        <c:v>-20.648484848484848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F3C-4648-9C26-0B0A07188C0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-15.207297297297297</c:v>
                      </c:pt>
                      <c:pt idx="1">
                        <c:v>-14.82081081081081</c:v>
                      </c:pt>
                      <c:pt idx="2" formatCode="General">
                        <c:v>-14.434324324324324</c:v>
                      </c:pt>
                      <c:pt idx="3" formatCode="General">
                        <c:v>-13.712395209580837</c:v>
                      </c:pt>
                      <c:pt idx="4" formatCode="General">
                        <c:v>-12.910598802395208</c:v>
                      </c:pt>
                      <c:pt idx="5" formatCode="General">
                        <c:v>-12.087455089820359</c:v>
                      </c:pt>
                      <c:pt idx="6" formatCode="General">
                        <c:v>-11.196137724550898</c:v>
                      </c:pt>
                      <c:pt idx="7" formatCode="General">
                        <c:v>-10.304820359281438</c:v>
                      </c:pt>
                      <c:pt idx="8" formatCode="General">
                        <c:v>-9.491907185628742</c:v>
                      </c:pt>
                      <c:pt idx="9" formatCode="General">
                        <c:v>-8.7177455089820359</c:v>
                      </c:pt>
                      <c:pt idx="10" formatCode="General">
                        <c:v>-7.9532365269461076</c:v>
                      </c:pt>
                      <c:pt idx="11" formatCode="General">
                        <c:v>-7.2756017964071864</c:v>
                      </c:pt>
                      <c:pt idx="12" formatCode="General">
                        <c:v>-6.5979670658682643</c:v>
                      </c:pt>
                      <c:pt idx="13" formatCode="General">
                        <c:v>-5.9610299401197615</c:v>
                      </c:pt>
                      <c:pt idx="14" formatCode="General">
                        <c:v>-5.3600718562874254</c:v>
                      </c:pt>
                      <c:pt idx="15" formatCode="General">
                        <c:v>-4.7591137724550894</c:v>
                      </c:pt>
                      <c:pt idx="16" formatCode="General">
                        <c:v>-4.5126516516516508</c:v>
                      </c:pt>
                      <c:pt idx="17" formatCode="General">
                        <c:v>-4.2803693693693692</c:v>
                      </c:pt>
                      <c:pt idx="18" formatCode="General">
                        <c:v>-4.1537664670658687</c:v>
                      </c:pt>
                      <c:pt idx="19" formatCode="General">
                        <c:v>-4.1856826347305391</c:v>
                      </c:pt>
                      <c:pt idx="20" formatCode="General">
                        <c:v>-4.2175988023952096</c:v>
                      </c:pt>
                      <c:pt idx="21" formatCode="General">
                        <c:v>-4.249676646706587</c:v>
                      </c:pt>
                      <c:pt idx="22" formatCode="General">
                        <c:v>-4.2817874251497008</c:v>
                      </c:pt>
                      <c:pt idx="23" formatCode="General">
                        <c:v>-4.3138982035928146</c:v>
                      </c:pt>
                      <c:pt idx="24" formatCode="General">
                        <c:v>-4.3460089820359284</c:v>
                      </c:pt>
                      <c:pt idx="25" formatCode="General">
                        <c:v>-4.3781197604790414</c:v>
                      </c:pt>
                      <c:pt idx="26" formatCode="General">
                        <c:v>-4.4102305389221552</c:v>
                      </c:pt>
                      <c:pt idx="27" formatCode="General">
                        <c:v>-4.442341317365269</c:v>
                      </c:pt>
                      <c:pt idx="28" formatCode="General">
                        <c:v>-4.4744520958083829</c:v>
                      </c:pt>
                      <c:pt idx="29" formatCode="General">
                        <c:v>-4.5065628742514967</c:v>
                      </c:pt>
                      <c:pt idx="30" formatCode="General">
                        <c:v>-4.5386736526946105</c:v>
                      </c:pt>
                      <c:pt idx="31" formatCode="General">
                        <c:v>-4.5702584269662925</c:v>
                      </c:pt>
                      <c:pt idx="32" formatCode="General">
                        <c:v>-4.6014194756554305</c:v>
                      </c:pt>
                      <c:pt idx="33" formatCode="General">
                        <c:v>-4.6325805243445695</c:v>
                      </c:pt>
                      <c:pt idx="34" formatCode="General">
                        <c:v>-4.6637415730337084</c:v>
                      </c:pt>
                      <c:pt idx="35" formatCode="General">
                        <c:v>-4.6949026217228464</c:v>
                      </c:pt>
                      <c:pt idx="36" formatCode="General">
                        <c:v>-4.7260636704119854</c:v>
                      </c:pt>
                      <c:pt idx="37" formatCode="General">
                        <c:v>-4.7572247191011234</c:v>
                      </c:pt>
                      <c:pt idx="38" formatCode="General">
                        <c:v>-4.7883857677902624</c:v>
                      </c:pt>
                      <c:pt idx="39" formatCode="General">
                        <c:v>-4.8195468164794013</c:v>
                      </c:pt>
                      <c:pt idx="40" formatCode="General">
                        <c:v>-4.8507078651685394</c:v>
                      </c:pt>
                      <c:pt idx="41" formatCode="General">
                        <c:v>-4.8813700374531841</c:v>
                      </c:pt>
                      <c:pt idx="42" formatCode="General">
                        <c:v>-4.9107782771535584</c:v>
                      </c:pt>
                      <c:pt idx="43" formatCode="General">
                        <c:v>-4.9401865168539327</c:v>
                      </c:pt>
                      <c:pt idx="44" formatCode="General">
                        <c:v>-4.969594756554307</c:v>
                      </c:pt>
                      <c:pt idx="45" formatCode="General">
                        <c:v>-4.9990029962546814</c:v>
                      </c:pt>
                      <c:pt idx="46" formatCode="General">
                        <c:v>-5.0284112359550566</c:v>
                      </c:pt>
                      <c:pt idx="47" formatCode="General">
                        <c:v>-5.0578194756554309</c:v>
                      </c:pt>
                      <c:pt idx="48" formatCode="General">
                        <c:v>-5.0872277153558052</c:v>
                      </c:pt>
                      <c:pt idx="49" formatCode="General">
                        <c:v>-5.1166359550561795</c:v>
                      </c:pt>
                      <c:pt idx="50" formatCode="General">
                        <c:v>-5.1460441947565538</c:v>
                      </c:pt>
                      <c:pt idx="51" formatCode="General">
                        <c:v>-5.1754311377245505</c:v>
                      </c:pt>
                      <c:pt idx="52" formatCode="General">
                        <c:v>-5.2034550898203591</c:v>
                      </c:pt>
                      <c:pt idx="53" formatCode="General">
                        <c:v>-5.2314790419161676</c:v>
                      </c:pt>
                      <c:pt idx="54" formatCode="General">
                        <c:v>-5.2591834319526622</c:v>
                      </c:pt>
                      <c:pt idx="55" formatCode="General">
                        <c:v>-5.2864911242603547</c:v>
                      </c:pt>
                      <c:pt idx="56" formatCode="General">
                        <c:v>-5.3137988165680472</c:v>
                      </c:pt>
                      <c:pt idx="57" formatCode="General">
                        <c:v>-5.3416666666666668</c:v>
                      </c:pt>
                      <c:pt idx="58" formatCode="General">
                        <c:v>-5.3696363636363635</c:v>
                      </c:pt>
                      <c:pt idx="59" formatCode="General">
                        <c:v>-5.3973636363636368</c:v>
                      </c:pt>
                      <c:pt idx="60" formatCode="General">
                        <c:v>-5.4245454545454548</c:v>
                      </c:pt>
                      <c:pt idx="61" formatCode="General">
                        <c:v>-5.4517272727272728</c:v>
                      </c:pt>
                      <c:pt idx="62" formatCode="General">
                        <c:v>-5.4825522388059706</c:v>
                      </c:pt>
                      <c:pt idx="63" formatCode="General">
                        <c:v>-5.5144701492537314</c:v>
                      </c:pt>
                      <c:pt idx="64" formatCode="General">
                        <c:v>-5.546388059701493</c:v>
                      </c:pt>
                      <c:pt idx="65" formatCode="General">
                        <c:v>-5.5783059701492537</c:v>
                      </c:pt>
                      <c:pt idx="66" formatCode="General">
                        <c:v>-5.6102238805970153</c:v>
                      </c:pt>
                      <c:pt idx="67" formatCode="General">
                        <c:v>-5.642141791044776</c:v>
                      </c:pt>
                      <c:pt idx="68" formatCode="General">
                        <c:v>-5.6740597014925376</c:v>
                      </c:pt>
                      <c:pt idx="69" formatCode="General">
                        <c:v>-5.7059776119402983</c:v>
                      </c:pt>
                      <c:pt idx="70" formatCode="General">
                        <c:v>-5.7378955223880599</c:v>
                      </c:pt>
                      <c:pt idx="71" formatCode="General">
                        <c:v>-5.7698134328358206</c:v>
                      </c:pt>
                      <c:pt idx="72" formatCode="General">
                        <c:v>-5.8141127819548872</c:v>
                      </c:pt>
                      <c:pt idx="73" formatCode="General">
                        <c:v>-5.8728571428571428</c:v>
                      </c:pt>
                      <c:pt idx="74" formatCode="General">
                        <c:v>-5.9316015037593983</c:v>
                      </c:pt>
                      <c:pt idx="75" formatCode="General">
                        <c:v>-5.9903458646616539</c:v>
                      </c:pt>
                      <c:pt idx="76" formatCode="General">
                        <c:v>-6.0490902255639094</c:v>
                      </c:pt>
                      <c:pt idx="77" formatCode="General">
                        <c:v>-6.107834586466165</c:v>
                      </c:pt>
                      <c:pt idx="78" formatCode="General">
                        <c:v>-6.1665789473684214</c:v>
                      </c:pt>
                      <c:pt idx="79" formatCode="General">
                        <c:v>-6.2253233082706769</c:v>
                      </c:pt>
                      <c:pt idx="80" formatCode="General">
                        <c:v>-6.2840676691729325</c:v>
                      </c:pt>
                      <c:pt idx="81" formatCode="General">
                        <c:v>-6.342812030075188</c:v>
                      </c:pt>
                      <c:pt idx="82" formatCode="General">
                        <c:v>-6.4000882352941177</c:v>
                      </c:pt>
                      <c:pt idx="83" formatCode="General">
                        <c:v>-6.4524705882352942</c:v>
                      </c:pt>
                      <c:pt idx="84" formatCode="General">
                        <c:v>-6.5048529411764706</c:v>
                      </c:pt>
                      <c:pt idx="85" formatCode="General">
                        <c:v>-6.5572424242424248</c:v>
                      </c:pt>
                      <c:pt idx="86" formatCode="General">
                        <c:v>-6.6096363636363638</c:v>
                      </c:pt>
                      <c:pt idx="87" formatCode="General">
                        <c:v>-6.6617941176470588</c:v>
                      </c:pt>
                      <c:pt idx="88" formatCode="General">
                        <c:v>-6.7111176470588241</c:v>
                      </c:pt>
                      <c:pt idx="89" formatCode="General">
                        <c:v>-6.7604411764705885</c:v>
                      </c:pt>
                      <c:pt idx="90" formatCode="General">
                        <c:v>-6.8095454545454546</c:v>
                      </c:pt>
                      <c:pt idx="91" formatCode="General">
                        <c:v>-6.858393939393939</c:v>
                      </c:pt>
                      <c:pt idx="92" formatCode="General">
                        <c:v>-6.9072424242424235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F3C-4648-9C26-0B0A07188C0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-19.021441441441443</c:v>
                      </c:pt>
                      <c:pt idx="1">
                        <c:v>-19.025345345345347</c:v>
                      </c:pt>
                      <c:pt idx="2" formatCode="General">
                        <c:v>-19.029249249249251</c:v>
                      </c:pt>
                      <c:pt idx="3" formatCode="General">
                        <c:v>-19.039431137724552</c:v>
                      </c:pt>
                      <c:pt idx="4" formatCode="General">
                        <c:v>-19.051107784431139</c:v>
                      </c:pt>
                      <c:pt idx="5" formatCode="General">
                        <c:v>-19.064640718562874</c:v>
                      </c:pt>
                      <c:pt idx="6" formatCode="General">
                        <c:v>-19.084101796407186</c:v>
                      </c:pt>
                      <c:pt idx="7" formatCode="General">
                        <c:v>-19.103562874251498</c:v>
                      </c:pt>
                      <c:pt idx="8" formatCode="General">
                        <c:v>-19.125628742514969</c:v>
                      </c:pt>
                      <c:pt idx="9" formatCode="General">
                        <c:v>-19.148982035928146</c:v>
                      </c:pt>
                      <c:pt idx="10" formatCode="General">
                        <c:v>-19.172335329341319</c:v>
                      </c:pt>
                      <c:pt idx="11" formatCode="General">
                        <c:v>-19.195688622754492</c:v>
                      </c:pt>
                      <c:pt idx="12" formatCode="General">
                        <c:v>-19.219041916167665</c:v>
                      </c:pt>
                      <c:pt idx="13" formatCode="General">
                        <c:v>-19.244461077844313</c:v>
                      </c:pt>
                      <c:pt idx="14" formatCode="General">
                        <c:v>-19.271706586826348</c:v>
                      </c:pt>
                      <c:pt idx="15" formatCode="General">
                        <c:v>-19.298952095808385</c:v>
                      </c:pt>
                      <c:pt idx="16" formatCode="General">
                        <c:v>-19.213663663663663</c:v>
                      </c:pt>
                      <c:pt idx="17" formatCode="General">
                        <c:v>-19.123873873873872</c:v>
                      </c:pt>
                      <c:pt idx="18" formatCode="General">
                        <c:v>-19.063772455089822</c:v>
                      </c:pt>
                      <c:pt idx="19" formatCode="General">
                        <c:v>-19.048203592814371</c:v>
                      </c:pt>
                      <c:pt idx="20" formatCode="General">
                        <c:v>-19.032634730538923</c:v>
                      </c:pt>
                      <c:pt idx="21" formatCode="General">
                        <c:v>-19.052634730538923</c:v>
                      </c:pt>
                      <c:pt idx="22" formatCode="General">
                        <c:v>-19.079880239520957</c:v>
                      </c:pt>
                      <c:pt idx="23" formatCode="General">
                        <c:v>-19.107125748502995</c:v>
                      </c:pt>
                      <c:pt idx="24" formatCode="General">
                        <c:v>-19.134371257485029</c:v>
                      </c:pt>
                      <c:pt idx="25" formatCode="General">
                        <c:v>-19.161616766467066</c:v>
                      </c:pt>
                      <c:pt idx="26" formatCode="General">
                        <c:v>-19.1888622754491</c:v>
                      </c:pt>
                      <c:pt idx="27" formatCode="General">
                        <c:v>-19.216107784431138</c:v>
                      </c:pt>
                      <c:pt idx="28" formatCode="General">
                        <c:v>-19.243353293413172</c:v>
                      </c:pt>
                      <c:pt idx="29" formatCode="General">
                        <c:v>-19.27059880239521</c:v>
                      </c:pt>
                      <c:pt idx="30" formatCode="General">
                        <c:v>-19.297844311377244</c:v>
                      </c:pt>
                      <c:pt idx="31" formatCode="General">
                        <c:v>-19.324022471910112</c:v>
                      </c:pt>
                      <c:pt idx="32" formatCode="General">
                        <c:v>-19.349340823970035</c:v>
                      </c:pt>
                      <c:pt idx="33" formatCode="General">
                        <c:v>-19.374659176029962</c:v>
                      </c:pt>
                      <c:pt idx="34" formatCode="General">
                        <c:v>-19.399977528089888</c:v>
                      </c:pt>
                      <c:pt idx="35" formatCode="General">
                        <c:v>-19.425295880149811</c:v>
                      </c:pt>
                      <c:pt idx="36" formatCode="General">
                        <c:v>-19.450614232209738</c:v>
                      </c:pt>
                      <c:pt idx="37" formatCode="General">
                        <c:v>-19.475932584269664</c:v>
                      </c:pt>
                      <c:pt idx="38" formatCode="General">
                        <c:v>-19.501250936329587</c:v>
                      </c:pt>
                      <c:pt idx="39" formatCode="General">
                        <c:v>-19.526569288389513</c:v>
                      </c:pt>
                      <c:pt idx="40" formatCode="General">
                        <c:v>-19.55188764044944</c:v>
                      </c:pt>
                      <c:pt idx="41" formatCode="General">
                        <c:v>-19.576928838951311</c:v>
                      </c:pt>
                      <c:pt idx="42" formatCode="General">
                        <c:v>-19.601273408239702</c:v>
                      </c:pt>
                      <c:pt idx="43" formatCode="General">
                        <c:v>-19.625617977528091</c:v>
                      </c:pt>
                      <c:pt idx="44" formatCode="General">
                        <c:v>-19.649962546816479</c:v>
                      </c:pt>
                      <c:pt idx="45" formatCode="General">
                        <c:v>-19.67430711610487</c:v>
                      </c:pt>
                      <c:pt idx="46" formatCode="General">
                        <c:v>-19.698651685393259</c:v>
                      </c:pt>
                      <c:pt idx="47" formatCode="General">
                        <c:v>-19.722996254681647</c:v>
                      </c:pt>
                      <c:pt idx="48" formatCode="General">
                        <c:v>-19.747340823970038</c:v>
                      </c:pt>
                      <c:pt idx="49" formatCode="General">
                        <c:v>-19.771685393258426</c:v>
                      </c:pt>
                      <c:pt idx="50" formatCode="General">
                        <c:v>-19.796029962546818</c:v>
                      </c:pt>
                      <c:pt idx="51" formatCode="General">
                        <c:v>-19.820359281437128</c:v>
                      </c:pt>
                      <c:pt idx="52" formatCode="General">
                        <c:v>-19.843712574850301</c:v>
                      </c:pt>
                      <c:pt idx="53" formatCode="General">
                        <c:v>-19.867065868263474</c:v>
                      </c:pt>
                      <c:pt idx="54" formatCode="General">
                        <c:v>-19.890295857988164</c:v>
                      </c:pt>
                      <c:pt idx="55" formatCode="General">
                        <c:v>-19.913372781065089</c:v>
                      </c:pt>
                      <c:pt idx="56" formatCode="General">
                        <c:v>-19.936449704142014</c:v>
                      </c:pt>
                      <c:pt idx="57" formatCode="General">
                        <c:v>-19.96</c:v>
                      </c:pt>
                      <c:pt idx="58" formatCode="General">
                        <c:v>-19.983636363636364</c:v>
                      </c:pt>
                      <c:pt idx="59" formatCode="General">
                        <c:v>-20.006060606060608</c:v>
                      </c:pt>
                      <c:pt idx="60" formatCode="General">
                        <c:v>-20.025757575757577</c:v>
                      </c:pt>
                      <c:pt idx="61" formatCode="General">
                        <c:v>-20.045454545454547</c:v>
                      </c:pt>
                      <c:pt idx="62" formatCode="General">
                        <c:v>-20.065671641791045</c:v>
                      </c:pt>
                      <c:pt idx="63" formatCode="General">
                        <c:v>-20.086044776119405</c:v>
                      </c:pt>
                      <c:pt idx="64" formatCode="General">
                        <c:v>-20.106417910447764</c:v>
                      </c:pt>
                      <c:pt idx="65" formatCode="General">
                        <c:v>-20.12679104477612</c:v>
                      </c:pt>
                      <c:pt idx="66" formatCode="General">
                        <c:v>-20.147164179104479</c:v>
                      </c:pt>
                      <c:pt idx="67" formatCode="General">
                        <c:v>-20.167537313432838</c:v>
                      </c:pt>
                      <c:pt idx="68" formatCode="General">
                        <c:v>-20.187910447761194</c:v>
                      </c:pt>
                      <c:pt idx="69" formatCode="General">
                        <c:v>-20.208283582089553</c:v>
                      </c:pt>
                      <c:pt idx="70" formatCode="General">
                        <c:v>-20.228656716417913</c:v>
                      </c:pt>
                      <c:pt idx="71" formatCode="General">
                        <c:v>-20.249029850746272</c:v>
                      </c:pt>
                      <c:pt idx="72" formatCode="General">
                        <c:v>-20.269022556390979</c:v>
                      </c:pt>
                      <c:pt idx="73" formatCode="General">
                        <c:v>-20.28857142857143</c:v>
                      </c:pt>
                      <c:pt idx="74" formatCode="General">
                        <c:v>-20.308120300751881</c:v>
                      </c:pt>
                      <c:pt idx="75" formatCode="General">
                        <c:v>-20.327669172932332</c:v>
                      </c:pt>
                      <c:pt idx="76" formatCode="General">
                        <c:v>-20.347218045112783</c:v>
                      </c:pt>
                      <c:pt idx="77" formatCode="General">
                        <c:v>-20.366766917293234</c:v>
                      </c:pt>
                      <c:pt idx="78" formatCode="General">
                        <c:v>-20.386315789473684</c:v>
                      </c:pt>
                      <c:pt idx="79" formatCode="General">
                        <c:v>-20.405864661654135</c:v>
                      </c:pt>
                      <c:pt idx="80" formatCode="General">
                        <c:v>-20.425413533834586</c:v>
                      </c:pt>
                      <c:pt idx="81" formatCode="General">
                        <c:v>-20.444962406015037</c:v>
                      </c:pt>
                      <c:pt idx="82" formatCode="General">
                        <c:v>-20.464411764705883</c:v>
                      </c:pt>
                      <c:pt idx="83" formatCode="General">
                        <c:v>-20.483529411764707</c:v>
                      </c:pt>
                      <c:pt idx="84" formatCode="General">
                        <c:v>-20.502647058823531</c:v>
                      </c:pt>
                      <c:pt idx="85" formatCode="General">
                        <c:v>-20.522121212121213</c:v>
                      </c:pt>
                      <c:pt idx="86" formatCode="General">
                        <c:v>-20.541818181818183</c:v>
                      </c:pt>
                      <c:pt idx="87" formatCode="General">
                        <c:v>-20.561176470588233</c:v>
                      </c:pt>
                      <c:pt idx="88" formatCode="General">
                        <c:v>-20.576470588235296</c:v>
                      </c:pt>
                      <c:pt idx="89" formatCode="General">
                        <c:v>-20.591764705882355</c:v>
                      </c:pt>
                      <c:pt idx="90" formatCode="General">
                        <c:v>-20.609090909090909</c:v>
                      </c:pt>
                      <c:pt idx="91" formatCode="General">
                        <c:v>-20.628787878787879</c:v>
                      </c:pt>
                      <c:pt idx="92" formatCode="General">
                        <c:v>-20.648484848484848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F3C-4648-9C26-0B0A07188C01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-60.182792792792796</c:v>
                      </c:pt>
                      <c:pt idx="1">
                        <c:v>-57.996606606606605</c:v>
                      </c:pt>
                      <c:pt idx="2" formatCode="General">
                        <c:v>-55.810420420420421</c:v>
                      </c:pt>
                      <c:pt idx="3" formatCode="General">
                        <c:v>-53.356017964071853</c:v>
                      </c:pt>
                      <c:pt idx="4" formatCode="General">
                        <c:v>-50.837754491017961</c:v>
                      </c:pt>
                      <c:pt idx="5" formatCode="General">
                        <c:v>-48.33898203592814</c:v>
                      </c:pt>
                      <c:pt idx="6" formatCode="General">
                        <c:v>-45.902455089820357</c:v>
                      </c:pt>
                      <c:pt idx="7" formatCode="General">
                        <c:v>-43.465928143712574</c:v>
                      </c:pt>
                      <c:pt idx="8" formatCode="General">
                        <c:v>-41.258622754491014</c:v>
                      </c:pt>
                      <c:pt idx="9" formatCode="General">
                        <c:v>-39.164610778443112</c:v>
                      </c:pt>
                      <c:pt idx="10" formatCode="General">
                        <c:v>-37.097844311377244</c:v>
                      </c:pt>
                      <c:pt idx="11" formatCode="General">
                        <c:v>-35.276287425149704</c:v>
                      </c:pt>
                      <c:pt idx="12" formatCode="General">
                        <c:v>-33.454730538922156</c:v>
                      </c:pt>
                      <c:pt idx="13" formatCode="General">
                        <c:v>-31.748862275449106</c:v>
                      </c:pt>
                      <c:pt idx="14" formatCode="General">
                        <c:v>-30.145269461077845</c:v>
                      </c:pt>
                      <c:pt idx="15" formatCode="General">
                        <c:v>-28.541676646706588</c:v>
                      </c:pt>
                      <c:pt idx="16" formatCode="General">
                        <c:v>-27.327597597597595</c:v>
                      </c:pt>
                      <c:pt idx="17" formatCode="General">
                        <c:v>-26.129099099099097</c:v>
                      </c:pt>
                      <c:pt idx="18" formatCode="General">
                        <c:v>-25.61550898203593</c:v>
                      </c:pt>
                      <c:pt idx="19" formatCode="General">
                        <c:v>-26.129281437125748</c:v>
                      </c:pt>
                      <c:pt idx="20" formatCode="General">
                        <c:v>-26.643053892215569</c:v>
                      </c:pt>
                      <c:pt idx="21" formatCode="General">
                        <c:v>-27.13823353293413</c:v>
                      </c:pt>
                      <c:pt idx="22" formatCode="General">
                        <c:v>-27.629625748502992</c:v>
                      </c:pt>
                      <c:pt idx="23" formatCode="General">
                        <c:v>-28.121017964071857</c:v>
                      </c:pt>
                      <c:pt idx="24" formatCode="General">
                        <c:v>-28.612410179640719</c:v>
                      </c:pt>
                      <c:pt idx="25" formatCode="General">
                        <c:v>-29.103802395209581</c:v>
                      </c:pt>
                      <c:pt idx="26" formatCode="General">
                        <c:v>-29.595194610778446</c:v>
                      </c:pt>
                      <c:pt idx="27" formatCode="General">
                        <c:v>-30.086586826347308</c:v>
                      </c:pt>
                      <c:pt idx="28" formatCode="General">
                        <c:v>-30.577979041916169</c:v>
                      </c:pt>
                      <c:pt idx="29" formatCode="General">
                        <c:v>-31.069371257485031</c:v>
                      </c:pt>
                      <c:pt idx="30" formatCode="General">
                        <c:v>-31.560763473053896</c:v>
                      </c:pt>
                      <c:pt idx="31" formatCode="General">
                        <c:v>-32.022696629213485</c:v>
                      </c:pt>
                      <c:pt idx="32" formatCode="General">
                        <c:v>-32.460898876404499</c:v>
                      </c:pt>
                      <c:pt idx="33" formatCode="General">
                        <c:v>-32.899101123595507</c:v>
                      </c:pt>
                      <c:pt idx="34" formatCode="General">
                        <c:v>-33.337303370786522</c:v>
                      </c:pt>
                      <c:pt idx="35" formatCode="General">
                        <c:v>-33.775505617977529</c:v>
                      </c:pt>
                      <c:pt idx="36" formatCode="General">
                        <c:v>-34.213707865168544</c:v>
                      </c:pt>
                      <c:pt idx="37" formatCode="General">
                        <c:v>-34.651910112359552</c:v>
                      </c:pt>
                      <c:pt idx="38" formatCode="General">
                        <c:v>-35.090112359550567</c:v>
                      </c:pt>
                      <c:pt idx="39" formatCode="General">
                        <c:v>-35.528314606741574</c:v>
                      </c:pt>
                      <c:pt idx="40" formatCode="General">
                        <c:v>-35.966516853932589</c:v>
                      </c:pt>
                      <c:pt idx="41" formatCode="General">
                        <c:v>-36.38448689138577</c:v>
                      </c:pt>
                      <c:pt idx="42" formatCode="General">
                        <c:v>-36.751602996254682</c:v>
                      </c:pt>
                      <c:pt idx="43" formatCode="General">
                        <c:v>-37.118719101123595</c:v>
                      </c:pt>
                      <c:pt idx="44" formatCode="General">
                        <c:v>-37.485835205992508</c:v>
                      </c:pt>
                      <c:pt idx="45" formatCode="General">
                        <c:v>-37.852951310861421</c:v>
                      </c:pt>
                      <c:pt idx="46" formatCode="General">
                        <c:v>-38.220067415730334</c:v>
                      </c:pt>
                      <c:pt idx="47" formatCode="General">
                        <c:v>-38.587183520599254</c:v>
                      </c:pt>
                      <c:pt idx="48" formatCode="General">
                        <c:v>-38.954299625468167</c:v>
                      </c:pt>
                      <c:pt idx="49" formatCode="General">
                        <c:v>-39.32141573033708</c:v>
                      </c:pt>
                      <c:pt idx="50" formatCode="General">
                        <c:v>-39.688531835205993</c:v>
                      </c:pt>
                      <c:pt idx="51" formatCode="General">
                        <c:v>-40.054850299401195</c:v>
                      </c:pt>
                      <c:pt idx="52" formatCode="General">
                        <c:v>-40.370119760479042</c:v>
                      </c:pt>
                      <c:pt idx="53" formatCode="General">
                        <c:v>-40.685389221556882</c:v>
                      </c:pt>
                      <c:pt idx="54" formatCode="General">
                        <c:v>-40.988698224852072</c:v>
                      </c:pt>
                      <c:pt idx="55" formatCode="General">
                        <c:v>-41.277159763313605</c:v>
                      </c:pt>
                      <c:pt idx="56" formatCode="General">
                        <c:v>-41.565621301775145</c:v>
                      </c:pt>
                      <c:pt idx="57" formatCode="General">
                        <c:v>-41.843333333333334</c:v>
                      </c:pt>
                      <c:pt idx="58" formatCode="General">
                        <c:v>-42.119090909090907</c:v>
                      </c:pt>
                      <c:pt idx="59" formatCode="General">
                        <c:v>-42.38636363636364</c:v>
                      </c:pt>
                      <c:pt idx="60" formatCode="General">
                        <c:v>-42.634545454545453</c:v>
                      </c:pt>
                      <c:pt idx="61" formatCode="General">
                        <c:v>-42.882727272727273</c:v>
                      </c:pt>
                      <c:pt idx="62" formatCode="General">
                        <c:v>-43.08328358208955</c:v>
                      </c:pt>
                      <c:pt idx="63" formatCode="General">
                        <c:v>-43.269552238805971</c:v>
                      </c:pt>
                      <c:pt idx="64" formatCode="General">
                        <c:v>-43.455820895522386</c:v>
                      </c:pt>
                      <c:pt idx="65" formatCode="General">
                        <c:v>-43.642089552238801</c:v>
                      </c:pt>
                      <c:pt idx="66" formatCode="General">
                        <c:v>-43.828358208955223</c:v>
                      </c:pt>
                      <c:pt idx="67" formatCode="General">
                        <c:v>-44.014626865671637</c:v>
                      </c:pt>
                      <c:pt idx="68" formatCode="General">
                        <c:v>-44.200895522388059</c:v>
                      </c:pt>
                      <c:pt idx="69" formatCode="General">
                        <c:v>-44.387164179104474</c:v>
                      </c:pt>
                      <c:pt idx="70" formatCode="General">
                        <c:v>-44.573432835820896</c:v>
                      </c:pt>
                      <c:pt idx="71" formatCode="General">
                        <c:v>-44.75970149253731</c:v>
                      </c:pt>
                      <c:pt idx="72" formatCode="General">
                        <c:v>-44.898796992481202</c:v>
                      </c:pt>
                      <c:pt idx="73" formatCode="General">
                        <c:v>-44.982857142857142</c:v>
                      </c:pt>
                      <c:pt idx="74" formatCode="General">
                        <c:v>-45.066917293233082</c:v>
                      </c:pt>
                      <c:pt idx="75" formatCode="General">
                        <c:v>-45.150977443609023</c:v>
                      </c:pt>
                      <c:pt idx="76" formatCode="General">
                        <c:v>-45.235037593984963</c:v>
                      </c:pt>
                      <c:pt idx="77" formatCode="General">
                        <c:v>-45.319097744360903</c:v>
                      </c:pt>
                      <c:pt idx="78" formatCode="General">
                        <c:v>-45.403157894736843</c:v>
                      </c:pt>
                      <c:pt idx="79" formatCode="General">
                        <c:v>-45.487218045112783</c:v>
                      </c:pt>
                      <c:pt idx="80" formatCode="General">
                        <c:v>-45.571278195488723</c:v>
                      </c:pt>
                      <c:pt idx="81" formatCode="General">
                        <c:v>-45.655338345864664</c:v>
                      </c:pt>
                      <c:pt idx="82" formatCode="General">
                        <c:v>-45.723529411764702</c:v>
                      </c:pt>
                      <c:pt idx="83" formatCode="General">
                        <c:v>-45.738823529411761</c:v>
                      </c:pt>
                      <c:pt idx="84" formatCode="General">
                        <c:v>-45.75411764705882</c:v>
                      </c:pt>
                      <c:pt idx="85" formatCode="General">
                        <c:v>-45.755151515151518</c:v>
                      </c:pt>
                      <c:pt idx="86" formatCode="General">
                        <c:v>-45.74727272727273</c:v>
                      </c:pt>
                      <c:pt idx="87" formatCode="General">
                        <c:v>-45.737058823529416</c:v>
                      </c:pt>
                      <c:pt idx="88" formatCode="General">
                        <c:v>-45.698823529411769</c:v>
                      </c:pt>
                      <c:pt idx="89" formatCode="General">
                        <c:v>-45.660588235294121</c:v>
                      </c:pt>
                      <c:pt idx="90" formatCode="General">
                        <c:v>-45.609090909090909</c:v>
                      </c:pt>
                      <c:pt idx="91" formatCode="General">
                        <c:v>-45.542121212121209</c:v>
                      </c:pt>
                      <c:pt idx="92" formatCode="General">
                        <c:v>-45.475151515151516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F3C-4648-9C26-0B0A07188C01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-15.207297297297297</c:v>
                      </c:pt>
                      <c:pt idx="1">
                        <c:v>-14.82081081081081</c:v>
                      </c:pt>
                      <c:pt idx="2" formatCode="General">
                        <c:v>-14.434324324324324</c:v>
                      </c:pt>
                      <c:pt idx="3" formatCode="General">
                        <c:v>-13.712395209580837</c:v>
                      </c:pt>
                      <c:pt idx="4" formatCode="General">
                        <c:v>-12.910598802395208</c:v>
                      </c:pt>
                      <c:pt idx="5" formatCode="General">
                        <c:v>-12.087455089820359</c:v>
                      </c:pt>
                      <c:pt idx="6" formatCode="General">
                        <c:v>-11.196137724550898</c:v>
                      </c:pt>
                      <c:pt idx="7" formatCode="General">
                        <c:v>-10.304820359281438</c:v>
                      </c:pt>
                      <c:pt idx="8" formatCode="General">
                        <c:v>-9.491907185628742</c:v>
                      </c:pt>
                      <c:pt idx="9" formatCode="General">
                        <c:v>-8.7177455089820359</c:v>
                      </c:pt>
                      <c:pt idx="10" formatCode="General">
                        <c:v>-7.9532365269461076</c:v>
                      </c:pt>
                      <c:pt idx="11" formatCode="General">
                        <c:v>-7.2756017964071864</c:v>
                      </c:pt>
                      <c:pt idx="12" formatCode="General">
                        <c:v>-6.5979670658682643</c:v>
                      </c:pt>
                      <c:pt idx="13" formatCode="General">
                        <c:v>-5.9610299401197615</c:v>
                      </c:pt>
                      <c:pt idx="14" formatCode="General">
                        <c:v>-5.3600718562874254</c:v>
                      </c:pt>
                      <c:pt idx="15" formatCode="General">
                        <c:v>-4.7591137724550894</c:v>
                      </c:pt>
                      <c:pt idx="16" formatCode="General">
                        <c:v>-4.5126516516516508</c:v>
                      </c:pt>
                      <c:pt idx="17" formatCode="General">
                        <c:v>-4.2803693693693692</c:v>
                      </c:pt>
                      <c:pt idx="18" formatCode="General">
                        <c:v>-4.1537664670658687</c:v>
                      </c:pt>
                      <c:pt idx="19" formatCode="General">
                        <c:v>-4.1856826347305391</c:v>
                      </c:pt>
                      <c:pt idx="20" formatCode="General">
                        <c:v>-4.2175988023952096</c:v>
                      </c:pt>
                      <c:pt idx="21" formatCode="General">
                        <c:v>-4.249676646706587</c:v>
                      </c:pt>
                      <c:pt idx="22" formatCode="General">
                        <c:v>-4.2817874251497008</c:v>
                      </c:pt>
                      <c:pt idx="23" formatCode="General">
                        <c:v>-4.3138982035928146</c:v>
                      </c:pt>
                      <c:pt idx="24" formatCode="General">
                        <c:v>-4.3460089820359284</c:v>
                      </c:pt>
                      <c:pt idx="25" formatCode="General">
                        <c:v>-4.3781197604790414</c:v>
                      </c:pt>
                      <c:pt idx="26" formatCode="General">
                        <c:v>-4.4102305389221552</c:v>
                      </c:pt>
                      <c:pt idx="27" formatCode="General">
                        <c:v>-4.442341317365269</c:v>
                      </c:pt>
                      <c:pt idx="28" formatCode="General">
                        <c:v>-4.4744520958083829</c:v>
                      </c:pt>
                      <c:pt idx="29" formatCode="General">
                        <c:v>-4.5065628742514967</c:v>
                      </c:pt>
                      <c:pt idx="30" formatCode="General">
                        <c:v>-4.5386736526946105</c:v>
                      </c:pt>
                      <c:pt idx="31" formatCode="General">
                        <c:v>-4.5702584269662925</c:v>
                      </c:pt>
                      <c:pt idx="32" formatCode="General">
                        <c:v>-4.6014194756554305</c:v>
                      </c:pt>
                      <c:pt idx="33" formatCode="General">
                        <c:v>-4.6325805243445695</c:v>
                      </c:pt>
                      <c:pt idx="34" formatCode="General">
                        <c:v>-4.6637415730337084</c:v>
                      </c:pt>
                      <c:pt idx="35" formatCode="General">
                        <c:v>-4.6949026217228464</c:v>
                      </c:pt>
                      <c:pt idx="36" formatCode="General">
                        <c:v>-4.7260636704119854</c:v>
                      </c:pt>
                      <c:pt idx="37" formatCode="General">
                        <c:v>-4.7572247191011234</c:v>
                      </c:pt>
                      <c:pt idx="38" formatCode="General">
                        <c:v>-4.7883857677902624</c:v>
                      </c:pt>
                      <c:pt idx="39" formatCode="General">
                        <c:v>-4.8195468164794013</c:v>
                      </c:pt>
                      <c:pt idx="40" formatCode="General">
                        <c:v>-4.8507078651685394</c:v>
                      </c:pt>
                      <c:pt idx="41" formatCode="General">
                        <c:v>-4.8813700374531841</c:v>
                      </c:pt>
                      <c:pt idx="42" formatCode="General">
                        <c:v>-4.9107782771535584</c:v>
                      </c:pt>
                      <c:pt idx="43" formatCode="General">
                        <c:v>-4.9401865168539327</c:v>
                      </c:pt>
                      <c:pt idx="44" formatCode="General">
                        <c:v>-4.969594756554307</c:v>
                      </c:pt>
                      <c:pt idx="45" formatCode="General">
                        <c:v>-4.9990029962546814</c:v>
                      </c:pt>
                      <c:pt idx="46" formatCode="General">
                        <c:v>-5.0284112359550566</c:v>
                      </c:pt>
                      <c:pt idx="47" formatCode="General">
                        <c:v>-5.0578194756554309</c:v>
                      </c:pt>
                      <c:pt idx="48" formatCode="General">
                        <c:v>-5.0872277153558052</c:v>
                      </c:pt>
                      <c:pt idx="49" formatCode="General">
                        <c:v>-5.1166359550561795</c:v>
                      </c:pt>
                      <c:pt idx="50" formatCode="General">
                        <c:v>-5.1460441947565538</c:v>
                      </c:pt>
                      <c:pt idx="51" formatCode="General">
                        <c:v>-5.1754311377245505</c:v>
                      </c:pt>
                      <c:pt idx="52" formatCode="General">
                        <c:v>-5.2034550898203591</c:v>
                      </c:pt>
                      <c:pt idx="53" formatCode="General">
                        <c:v>-5.2314790419161676</c:v>
                      </c:pt>
                      <c:pt idx="54" formatCode="General">
                        <c:v>-5.2591834319526622</c:v>
                      </c:pt>
                      <c:pt idx="55" formatCode="General">
                        <c:v>-5.2864911242603547</c:v>
                      </c:pt>
                      <c:pt idx="56" formatCode="General">
                        <c:v>-5.3137988165680472</c:v>
                      </c:pt>
                      <c:pt idx="57" formatCode="General">
                        <c:v>-5.3416666666666668</c:v>
                      </c:pt>
                      <c:pt idx="58" formatCode="General">
                        <c:v>-5.3696363636363635</c:v>
                      </c:pt>
                      <c:pt idx="59" formatCode="General">
                        <c:v>-5.3973636363636368</c:v>
                      </c:pt>
                      <c:pt idx="60" formatCode="General">
                        <c:v>-5.4245454545454548</c:v>
                      </c:pt>
                      <c:pt idx="61" formatCode="General">
                        <c:v>-5.4517272727272728</c:v>
                      </c:pt>
                      <c:pt idx="62" formatCode="General">
                        <c:v>-5.4825522388059706</c:v>
                      </c:pt>
                      <c:pt idx="63" formatCode="General">
                        <c:v>-5.5144701492537314</c:v>
                      </c:pt>
                      <c:pt idx="64" formatCode="General">
                        <c:v>-5.546388059701493</c:v>
                      </c:pt>
                      <c:pt idx="65" formatCode="General">
                        <c:v>-5.5783059701492537</c:v>
                      </c:pt>
                      <c:pt idx="66" formatCode="General">
                        <c:v>-5.6102238805970153</c:v>
                      </c:pt>
                      <c:pt idx="67" formatCode="General">
                        <c:v>-5.642141791044776</c:v>
                      </c:pt>
                      <c:pt idx="68" formatCode="General">
                        <c:v>-5.6740597014925376</c:v>
                      </c:pt>
                      <c:pt idx="69" formatCode="General">
                        <c:v>-5.7059776119402983</c:v>
                      </c:pt>
                      <c:pt idx="70" formatCode="General">
                        <c:v>-5.7378955223880599</c:v>
                      </c:pt>
                      <c:pt idx="71" formatCode="General">
                        <c:v>-5.7698134328358206</c:v>
                      </c:pt>
                      <c:pt idx="72" formatCode="General">
                        <c:v>-5.8141127819548872</c:v>
                      </c:pt>
                      <c:pt idx="73" formatCode="General">
                        <c:v>-5.8728571428571428</c:v>
                      </c:pt>
                      <c:pt idx="74" formatCode="General">
                        <c:v>-5.9316015037593983</c:v>
                      </c:pt>
                      <c:pt idx="75" formatCode="General">
                        <c:v>-5.9903458646616539</c:v>
                      </c:pt>
                      <c:pt idx="76" formatCode="General">
                        <c:v>-6.0490902255639094</c:v>
                      </c:pt>
                      <c:pt idx="77" formatCode="General">
                        <c:v>-6.107834586466165</c:v>
                      </c:pt>
                      <c:pt idx="78" formatCode="General">
                        <c:v>-6.1665789473684214</c:v>
                      </c:pt>
                      <c:pt idx="79" formatCode="General">
                        <c:v>-6.2253233082706769</c:v>
                      </c:pt>
                      <c:pt idx="80" formatCode="General">
                        <c:v>-6.2840676691729325</c:v>
                      </c:pt>
                      <c:pt idx="81" formatCode="General">
                        <c:v>-6.342812030075188</c:v>
                      </c:pt>
                      <c:pt idx="82" formatCode="General">
                        <c:v>-6.4000882352941177</c:v>
                      </c:pt>
                      <c:pt idx="83" formatCode="General">
                        <c:v>-6.4524705882352942</c:v>
                      </c:pt>
                      <c:pt idx="84" formatCode="General">
                        <c:v>-6.5048529411764706</c:v>
                      </c:pt>
                      <c:pt idx="85" formatCode="General">
                        <c:v>-6.5572424242424248</c:v>
                      </c:pt>
                      <c:pt idx="86" formatCode="General">
                        <c:v>-6.6096363636363638</c:v>
                      </c:pt>
                      <c:pt idx="87" formatCode="General">
                        <c:v>-6.6617941176470588</c:v>
                      </c:pt>
                      <c:pt idx="88" formatCode="General">
                        <c:v>-6.7111176470588241</c:v>
                      </c:pt>
                      <c:pt idx="89" formatCode="General">
                        <c:v>-6.7604411764705885</c:v>
                      </c:pt>
                      <c:pt idx="90" formatCode="General">
                        <c:v>-6.8095454545454546</c:v>
                      </c:pt>
                      <c:pt idx="91" formatCode="General">
                        <c:v>-6.858393939393939</c:v>
                      </c:pt>
                      <c:pt idx="92" formatCode="General">
                        <c:v>-6.9072424242424235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F3C-4648-9C26-0B0A07188C0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-21.633423423423423</c:v>
                      </c:pt>
                      <c:pt idx="1">
                        <c:v>-20.938528528528529</c:v>
                      </c:pt>
                      <c:pt idx="2" formatCode="General">
                        <c:v>-20.243633633633632</c:v>
                      </c:pt>
                      <c:pt idx="3" formatCode="General">
                        <c:v>-20.065988023952094</c:v>
                      </c:pt>
                      <c:pt idx="4" formatCode="General">
                        <c:v>-20.011497005988023</c:v>
                      </c:pt>
                      <c:pt idx="5" formatCode="General">
                        <c:v>-20.01640718562874</c:v>
                      </c:pt>
                      <c:pt idx="6" formatCode="General">
                        <c:v>-20.211017964071857</c:v>
                      </c:pt>
                      <c:pt idx="7" formatCode="General">
                        <c:v>-20.40562874251497</c:v>
                      </c:pt>
                      <c:pt idx="8" formatCode="General">
                        <c:v>-20.602844311377243</c:v>
                      </c:pt>
                      <c:pt idx="9" formatCode="General">
                        <c:v>-20.801347305389221</c:v>
                      </c:pt>
                      <c:pt idx="10" formatCode="General">
                        <c:v>-20.999850299401199</c:v>
                      </c:pt>
                      <c:pt idx="11" formatCode="General">
                        <c:v>-21.198353293413174</c:v>
                      </c:pt>
                      <c:pt idx="12" formatCode="General">
                        <c:v>-21.396856287425148</c:v>
                      </c:pt>
                      <c:pt idx="13" formatCode="General">
                        <c:v>-21.597425149700598</c:v>
                      </c:pt>
                      <c:pt idx="14" formatCode="General">
                        <c:v>-21.799820359281437</c:v>
                      </c:pt>
                      <c:pt idx="15" formatCode="General">
                        <c:v>-22.002215568862276</c:v>
                      </c:pt>
                      <c:pt idx="16" formatCode="General">
                        <c:v>-22.19768768768769</c:v>
                      </c:pt>
                      <c:pt idx="17" formatCode="General">
                        <c:v>-22.392882882882883</c:v>
                      </c:pt>
                      <c:pt idx="18" formatCode="General">
                        <c:v>-22.589401197604793</c:v>
                      </c:pt>
                      <c:pt idx="19" formatCode="General">
                        <c:v>-22.787904191616768</c:v>
                      </c:pt>
                      <c:pt idx="20" formatCode="General">
                        <c:v>-22.986407185628742</c:v>
                      </c:pt>
                      <c:pt idx="21" formatCode="General">
                        <c:v>-23.17682634730539</c:v>
                      </c:pt>
                      <c:pt idx="22" formatCode="General">
                        <c:v>-23.365598802395208</c:v>
                      </c:pt>
                      <c:pt idx="23" formatCode="General">
                        <c:v>-23.55437125748503</c:v>
                      </c:pt>
                      <c:pt idx="24" formatCode="General">
                        <c:v>-23.743143712574849</c:v>
                      </c:pt>
                      <c:pt idx="25" formatCode="General">
                        <c:v>-23.931916167664671</c:v>
                      </c:pt>
                      <c:pt idx="26" formatCode="General">
                        <c:v>-24.120688622754493</c:v>
                      </c:pt>
                      <c:pt idx="27" formatCode="General">
                        <c:v>-24.309461077844311</c:v>
                      </c:pt>
                      <c:pt idx="28" formatCode="General">
                        <c:v>-24.498233532934133</c:v>
                      </c:pt>
                      <c:pt idx="29" formatCode="General">
                        <c:v>-24.687005988023952</c:v>
                      </c:pt>
                      <c:pt idx="30" formatCode="General">
                        <c:v>-24.875778443113774</c:v>
                      </c:pt>
                      <c:pt idx="31" formatCode="General">
                        <c:v>-25.057617977528093</c:v>
                      </c:pt>
                      <c:pt idx="32" formatCode="General">
                        <c:v>-25.233872659176033</c:v>
                      </c:pt>
                      <c:pt idx="33" formatCode="General">
                        <c:v>-25.410127340823973</c:v>
                      </c:pt>
                      <c:pt idx="34" formatCode="General">
                        <c:v>-25.586382022471913</c:v>
                      </c:pt>
                      <c:pt idx="35" formatCode="General">
                        <c:v>-25.762636704119853</c:v>
                      </c:pt>
                      <c:pt idx="36" formatCode="General">
                        <c:v>-25.938891385767793</c:v>
                      </c:pt>
                      <c:pt idx="37" formatCode="General">
                        <c:v>-26.115146067415729</c:v>
                      </c:pt>
                      <c:pt idx="38" formatCode="General">
                        <c:v>-26.291400749063669</c:v>
                      </c:pt>
                      <c:pt idx="39" formatCode="General">
                        <c:v>-26.467655430711609</c:v>
                      </c:pt>
                      <c:pt idx="40" formatCode="General">
                        <c:v>-26.643910112359549</c:v>
                      </c:pt>
                      <c:pt idx="41" formatCode="General">
                        <c:v>-26.81767041198502</c:v>
                      </c:pt>
                      <c:pt idx="42" formatCode="General">
                        <c:v>-26.98516104868914</c:v>
                      </c:pt>
                      <c:pt idx="43" formatCode="General">
                        <c:v>-27.152651685393259</c:v>
                      </c:pt>
                      <c:pt idx="44" formatCode="General">
                        <c:v>-27.320142322097379</c:v>
                      </c:pt>
                      <c:pt idx="45" formatCode="General">
                        <c:v>-27.487632958801498</c:v>
                      </c:pt>
                      <c:pt idx="46" formatCode="General">
                        <c:v>-27.655123595505618</c:v>
                      </c:pt>
                      <c:pt idx="47" formatCode="General">
                        <c:v>-27.822614232209737</c:v>
                      </c:pt>
                      <c:pt idx="48" formatCode="General">
                        <c:v>-27.990104868913857</c:v>
                      </c:pt>
                      <c:pt idx="49" formatCode="General">
                        <c:v>-28.157595505617977</c:v>
                      </c:pt>
                      <c:pt idx="50" formatCode="General">
                        <c:v>-28.325086142322096</c:v>
                      </c:pt>
                      <c:pt idx="51" formatCode="General">
                        <c:v>-28.492455089820357</c:v>
                      </c:pt>
                      <c:pt idx="52" formatCode="General">
                        <c:v>-28.652035928143711</c:v>
                      </c:pt>
                      <c:pt idx="53" formatCode="General">
                        <c:v>-28.811616766467065</c:v>
                      </c:pt>
                      <c:pt idx="54" formatCode="General">
                        <c:v>-28.970355029585797</c:v>
                      </c:pt>
                      <c:pt idx="55" formatCode="General">
                        <c:v>-29.128047337278105</c:v>
                      </c:pt>
                      <c:pt idx="56" formatCode="General">
                        <c:v>-29.285739644970413</c:v>
                      </c:pt>
                      <c:pt idx="57" formatCode="General">
                        <c:v>-29.446666666666665</c:v>
                      </c:pt>
                      <c:pt idx="58" formatCode="General">
                        <c:v>-29.608181818181816</c:v>
                      </c:pt>
                      <c:pt idx="59" formatCode="General">
                        <c:v>-29.768484848484846</c:v>
                      </c:pt>
                      <c:pt idx="60" formatCode="General">
                        <c:v>-29.926060606060606</c:v>
                      </c:pt>
                      <c:pt idx="61" formatCode="General">
                        <c:v>-30.083636363636366</c:v>
                      </c:pt>
                      <c:pt idx="62" formatCode="General">
                        <c:v>-30.237164179104479</c:v>
                      </c:pt>
                      <c:pt idx="63" formatCode="General">
                        <c:v>-30.389477611940301</c:v>
                      </c:pt>
                      <c:pt idx="64" formatCode="General">
                        <c:v>-30.541791044776119</c:v>
                      </c:pt>
                      <c:pt idx="65" formatCode="General">
                        <c:v>-30.69410447761194</c:v>
                      </c:pt>
                      <c:pt idx="66" formatCode="General">
                        <c:v>-30.846417910447762</c:v>
                      </c:pt>
                      <c:pt idx="67" formatCode="General">
                        <c:v>-30.998731343283584</c:v>
                      </c:pt>
                      <c:pt idx="68" formatCode="General">
                        <c:v>-31.151044776119406</c:v>
                      </c:pt>
                      <c:pt idx="69" formatCode="General">
                        <c:v>-31.303358208955224</c:v>
                      </c:pt>
                      <c:pt idx="70" formatCode="General">
                        <c:v>-31.455671641791046</c:v>
                      </c:pt>
                      <c:pt idx="71" formatCode="General">
                        <c:v>-31.607985074626868</c:v>
                      </c:pt>
                      <c:pt idx="72" formatCode="General">
                        <c:v>-31.759022556390978</c:v>
                      </c:pt>
                      <c:pt idx="73" formatCode="General">
                        <c:v>-31.908571428571431</c:v>
                      </c:pt>
                      <c:pt idx="74" formatCode="General">
                        <c:v>-32.058120300751881</c:v>
                      </c:pt>
                      <c:pt idx="75" formatCode="General">
                        <c:v>-32.207669172932334</c:v>
                      </c:pt>
                      <c:pt idx="76" formatCode="General">
                        <c:v>-32.357218045112781</c:v>
                      </c:pt>
                      <c:pt idx="77" formatCode="General">
                        <c:v>-32.506766917293234</c:v>
                      </c:pt>
                      <c:pt idx="78" formatCode="General">
                        <c:v>-32.65631578947368</c:v>
                      </c:pt>
                      <c:pt idx="79" formatCode="General">
                        <c:v>-32.805864661654134</c:v>
                      </c:pt>
                      <c:pt idx="80" formatCode="General">
                        <c:v>-32.955413533834587</c:v>
                      </c:pt>
                      <c:pt idx="81" formatCode="General">
                        <c:v>-33.104962406015034</c:v>
                      </c:pt>
                      <c:pt idx="82" formatCode="General">
                        <c:v>-33.252647058823527</c:v>
                      </c:pt>
                      <c:pt idx="83" formatCode="General">
                        <c:v>-33.394117647058827</c:v>
                      </c:pt>
                      <c:pt idx="84" formatCode="General">
                        <c:v>-33.535588235294121</c:v>
                      </c:pt>
                      <c:pt idx="85" formatCode="General">
                        <c:v>-33.682121212121217</c:v>
                      </c:pt>
                      <c:pt idx="86" formatCode="General">
                        <c:v>-33.831818181818186</c:v>
                      </c:pt>
                      <c:pt idx="87" formatCode="General">
                        <c:v>-33.980882352941173</c:v>
                      </c:pt>
                      <c:pt idx="88" formatCode="General">
                        <c:v>-34.122352941176473</c:v>
                      </c:pt>
                      <c:pt idx="89" formatCode="General">
                        <c:v>-34.263823529411766</c:v>
                      </c:pt>
                      <c:pt idx="90" formatCode="General">
                        <c:v>-34.407272727272733</c:v>
                      </c:pt>
                      <c:pt idx="91" formatCode="General">
                        <c:v>-34.553030303030305</c:v>
                      </c:pt>
                      <c:pt idx="92" formatCode="General">
                        <c:v>-34.698787878787883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F3C-4648-9C26-0B0A07188C0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F3C-4648-9C26-0B0A07188C0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F3C-4648-9C26-0B0A07188C0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F3C-4648-9C26-0B0A07188C0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F3C-4648-9C26-0B0A07188C0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F3C-4648-9C26-0B0A07188C0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F3C-4648-9C26-0B0A07188C0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F3C-4648-9C26-0B0A07188C0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F3C-4648-9C26-0B0A07188C0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F3C-4648-9C26-0B0A07188C0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F3C-4648-9C26-0B0A07188C0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F3C-4648-9C26-0B0A07188C0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F3C-4648-9C26-0B0A07188C0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F3C-4648-9C26-0B0A07188C01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F3C-4648-9C26-0B0A07188C01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F3C-4648-9C26-0B0A07188C01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-37.719099099099097</c:v>
                      </c:pt>
                      <c:pt idx="1">
                        <c:v>-36.579159159159161</c:v>
                      </c:pt>
                      <c:pt idx="2" formatCode="General">
                        <c:v>-35.439219219219218</c:v>
                      </c:pt>
                      <c:pt idx="3" formatCode="General">
                        <c:v>-34.500089820359278</c:v>
                      </c:pt>
                      <c:pt idx="4" formatCode="General">
                        <c:v>-33.60877245508982</c:v>
                      </c:pt>
                      <c:pt idx="5" formatCode="General">
                        <c:v>-32.764419161676642</c:v>
                      </c:pt>
                      <c:pt idx="6" formatCode="General">
                        <c:v>-32.070047904191618</c:v>
                      </c:pt>
                      <c:pt idx="7" formatCode="General">
                        <c:v>-31.375676646706587</c:v>
                      </c:pt>
                      <c:pt idx="8" formatCode="General">
                        <c:v>-30.795916167664672</c:v>
                      </c:pt>
                      <c:pt idx="9" formatCode="General">
                        <c:v>-30.272802395209581</c:v>
                      </c:pt>
                      <c:pt idx="10" formatCode="General">
                        <c:v>-29.77206886227545</c:v>
                      </c:pt>
                      <c:pt idx="11" formatCode="General">
                        <c:v>-29.472757485029941</c:v>
                      </c:pt>
                      <c:pt idx="12" formatCode="General">
                        <c:v>-29.173446107784432</c:v>
                      </c:pt>
                      <c:pt idx="13" formatCode="General">
                        <c:v>-29.019158682634732</c:v>
                      </c:pt>
                      <c:pt idx="14" formatCode="General">
                        <c:v>-28.993080838323355</c:v>
                      </c:pt>
                      <c:pt idx="15" formatCode="General">
                        <c:v>-28.967002994011978</c:v>
                      </c:pt>
                      <c:pt idx="16" formatCode="General">
                        <c:v>-29.306465465465465</c:v>
                      </c:pt>
                      <c:pt idx="17" formatCode="General">
                        <c:v>-29.66054954954955</c:v>
                      </c:pt>
                      <c:pt idx="18" formatCode="General">
                        <c:v>-29.950844311377246</c:v>
                      </c:pt>
                      <c:pt idx="19" formatCode="General">
                        <c:v>-30.145455089820359</c:v>
                      </c:pt>
                      <c:pt idx="20" formatCode="General">
                        <c:v>-30.340065868263473</c:v>
                      </c:pt>
                      <c:pt idx="21" formatCode="General">
                        <c:v>-30.55440119760479</c:v>
                      </c:pt>
                      <c:pt idx="22" formatCode="General">
                        <c:v>-30.772754491017963</c:v>
                      </c:pt>
                      <c:pt idx="23" formatCode="General">
                        <c:v>-30.990700598802395</c:v>
                      </c:pt>
                      <c:pt idx="24" formatCode="General">
                        <c:v>-31.207497005988024</c:v>
                      </c:pt>
                      <c:pt idx="25" formatCode="General">
                        <c:v>-31.424293413173654</c:v>
                      </c:pt>
                      <c:pt idx="26" formatCode="General">
                        <c:v>-31.642167664670659</c:v>
                      </c:pt>
                      <c:pt idx="27" formatCode="General">
                        <c:v>-31.860520958083832</c:v>
                      </c:pt>
                      <c:pt idx="28" formatCode="General">
                        <c:v>-32.078874251497005</c:v>
                      </c:pt>
                      <c:pt idx="29" formatCode="General">
                        <c:v>-32.297227544910179</c:v>
                      </c:pt>
                      <c:pt idx="30" formatCode="General">
                        <c:v>-32.515580838323352</c:v>
                      </c:pt>
                      <c:pt idx="31" formatCode="General">
                        <c:v>-32.727876404494381</c:v>
                      </c:pt>
                      <c:pt idx="32" formatCode="General">
                        <c:v>-32.935292134831464</c:v>
                      </c:pt>
                      <c:pt idx="33" formatCode="General">
                        <c:v>-33.142707865168539</c:v>
                      </c:pt>
                      <c:pt idx="34" formatCode="General">
                        <c:v>-33.350123595505622</c:v>
                      </c:pt>
                      <c:pt idx="35" formatCode="General">
                        <c:v>-33.557539325842697</c:v>
                      </c:pt>
                      <c:pt idx="36" formatCode="General">
                        <c:v>-33.76495505617978</c:v>
                      </c:pt>
                      <c:pt idx="37" formatCode="General">
                        <c:v>-33.972370786516855</c:v>
                      </c:pt>
                      <c:pt idx="38" formatCode="General">
                        <c:v>-34.179786516853937</c:v>
                      </c:pt>
                      <c:pt idx="39" formatCode="General">
                        <c:v>-34.387202247191013</c:v>
                      </c:pt>
                      <c:pt idx="40" formatCode="General">
                        <c:v>-34.594617977528095</c:v>
                      </c:pt>
                      <c:pt idx="41" formatCode="General">
                        <c:v>-34.799040449438202</c:v>
                      </c:pt>
                      <c:pt idx="42" formatCode="General">
                        <c:v>-34.995939325842699</c:v>
                      </c:pt>
                      <c:pt idx="43" formatCode="General">
                        <c:v>-35.192838202247195</c:v>
                      </c:pt>
                      <c:pt idx="44" formatCode="General">
                        <c:v>-35.389737078651684</c:v>
                      </c:pt>
                      <c:pt idx="45" formatCode="General">
                        <c:v>-35.586635955056181</c:v>
                      </c:pt>
                      <c:pt idx="46" formatCode="General">
                        <c:v>-35.783534831460678</c:v>
                      </c:pt>
                      <c:pt idx="47" formatCode="General">
                        <c:v>-35.980433707865167</c:v>
                      </c:pt>
                      <c:pt idx="48" formatCode="General">
                        <c:v>-36.177332584269664</c:v>
                      </c:pt>
                      <c:pt idx="49" formatCode="General">
                        <c:v>-36.37423146067416</c:v>
                      </c:pt>
                      <c:pt idx="50" formatCode="General">
                        <c:v>-36.571130337078657</c:v>
                      </c:pt>
                      <c:pt idx="51" formatCode="General">
                        <c:v>-36.767872372372373</c:v>
                      </c:pt>
                      <c:pt idx="52" formatCode="General">
                        <c:v>-36.954576576576578</c:v>
                      </c:pt>
                      <c:pt idx="53" formatCode="General">
                        <c:v>-37.141280780780782</c:v>
                      </c:pt>
                      <c:pt idx="54" formatCode="General">
                        <c:v>-37.327984984984987</c:v>
                      </c:pt>
                      <c:pt idx="55" formatCode="General">
                        <c:v>-37.514689189189191</c:v>
                      </c:pt>
                      <c:pt idx="56" formatCode="General">
                        <c:v>-37.701393393393396</c:v>
                      </c:pt>
                      <c:pt idx="57" formatCode="General">
                        <c:v>-37.888097597597593</c:v>
                      </c:pt>
                      <c:pt idx="58" formatCode="General">
                        <c:v>-38.074801801801797</c:v>
                      </c:pt>
                      <c:pt idx="59" formatCode="General">
                        <c:v>-38.261506006006002</c:v>
                      </c:pt>
                      <c:pt idx="60" formatCode="General">
                        <c:v>-38.448210210210206</c:v>
                      </c:pt>
                      <c:pt idx="61" formatCode="General">
                        <c:v>-38.634914414414411</c:v>
                      </c:pt>
                      <c:pt idx="62" formatCode="General">
                        <c:v>-38.815647058823529</c:v>
                      </c:pt>
                      <c:pt idx="63" formatCode="General">
                        <c:v>-38.994588235294117</c:v>
                      </c:pt>
                      <c:pt idx="64" formatCode="General">
                        <c:v>-39.173636363636362</c:v>
                      </c:pt>
                      <c:pt idx="65" formatCode="General">
                        <c:v>-39.353272727272731</c:v>
                      </c:pt>
                      <c:pt idx="66" formatCode="General">
                        <c:v>-39.532909090909094</c:v>
                      </c:pt>
                      <c:pt idx="67" formatCode="General">
                        <c:v>-39.709294117647062</c:v>
                      </c:pt>
                      <c:pt idx="68" formatCode="General">
                        <c:v>-39.883647058823527</c:v>
                      </c:pt>
                      <c:pt idx="69" formatCode="General">
                        <c:v>-40.058</c:v>
                      </c:pt>
                      <c:pt idx="70" formatCode="General">
                        <c:v>-40.237242424242424</c:v>
                      </c:pt>
                      <c:pt idx="71" formatCode="General">
                        <c:v>-40.416484848484849</c:v>
                      </c:pt>
                      <c:pt idx="72" formatCode="General">
                        <c:v>-40.593210526315794</c:v>
                      </c:pt>
                      <c:pt idx="73" formatCode="General">
                        <c:v>-40.767000000000003</c:v>
                      </c:pt>
                      <c:pt idx="74" formatCode="General">
                        <c:v>-40.940789473684212</c:v>
                      </c:pt>
                      <c:pt idx="75" formatCode="General">
                        <c:v>-41.114578947368422</c:v>
                      </c:pt>
                      <c:pt idx="76" formatCode="General">
                        <c:v>-41.288368421052631</c:v>
                      </c:pt>
                      <c:pt idx="77" formatCode="General">
                        <c:v>-41.462157894736841</c:v>
                      </c:pt>
                      <c:pt idx="78" formatCode="General">
                        <c:v>-41.63594736842105</c:v>
                      </c:pt>
                      <c:pt idx="79" formatCode="General">
                        <c:v>-41.809736842105259</c:v>
                      </c:pt>
                      <c:pt idx="80" formatCode="General">
                        <c:v>-41.983526315789469</c:v>
                      </c:pt>
                      <c:pt idx="81" formatCode="General">
                        <c:v>-42.157315789473685</c:v>
                      </c:pt>
                      <c:pt idx="82" formatCode="General">
                        <c:v>-42.329597014925369</c:v>
                      </c:pt>
                      <c:pt idx="83" formatCode="General">
                        <c:v>-42.496850746268656</c:v>
                      </c:pt>
                      <c:pt idx="84" formatCode="General">
                        <c:v>-42.664104477611936</c:v>
                      </c:pt>
                      <c:pt idx="85" formatCode="General">
                        <c:v>-42.831358208955223</c:v>
                      </c:pt>
                      <c:pt idx="86" formatCode="General">
                        <c:v>-42.998611940298503</c:v>
                      </c:pt>
                      <c:pt idx="87" formatCode="General">
                        <c:v>-43.165865671641789</c:v>
                      </c:pt>
                      <c:pt idx="88" formatCode="General">
                        <c:v>-43.333119402985076</c:v>
                      </c:pt>
                      <c:pt idx="89" formatCode="General">
                        <c:v>-43.500373134328356</c:v>
                      </c:pt>
                      <c:pt idx="90" formatCode="General">
                        <c:v>-43.667626865671643</c:v>
                      </c:pt>
                      <c:pt idx="91" formatCode="General">
                        <c:v>-43.834880597014923</c:v>
                      </c:pt>
                      <c:pt idx="92" formatCode="General">
                        <c:v>-44.00213432835821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F3C-4648-9C26-0B0A07188C01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-22.018918918918921</c:v>
                      </c:pt>
                      <c:pt idx="1">
                        <c:v>-21.69099099099099</c:v>
                      </c:pt>
                      <c:pt idx="2" formatCode="General">
                        <c:v>-21.363063063063063</c:v>
                      </c:pt>
                      <c:pt idx="3" formatCode="General">
                        <c:v>-21.328293413173654</c:v>
                      </c:pt>
                      <c:pt idx="4" formatCode="General">
                        <c:v>-21.363323353293413</c:v>
                      </c:pt>
                      <c:pt idx="5" formatCode="General">
                        <c:v>-21.428053892215569</c:v>
                      </c:pt>
                      <c:pt idx="6" formatCode="General">
                        <c:v>-21.587634730538923</c:v>
                      </c:pt>
                      <c:pt idx="7" formatCode="General">
                        <c:v>-21.747215568862277</c:v>
                      </c:pt>
                      <c:pt idx="8" formatCode="General">
                        <c:v>-21.901586826347305</c:v>
                      </c:pt>
                      <c:pt idx="9" formatCode="General">
                        <c:v>-22.053383233532934</c:v>
                      </c:pt>
                      <c:pt idx="10" formatCode="General">
                        <c:v>-22.201287425149701</c:v>
                      </c:pt>
                      <c:pt idx="11" formatCode="General">
                        <c:v>-22.314161676646709</c:v>
                      </c:pt>
                      <c:pt idx="12" formatCode="General">
                        <c:v>-22.427035928143713</c:v>
                      </c:pt>
                      <c:pt idx="13" formatCode="General">
                        <c:v>-22.544041916167664</c:v>
                      </c:pt>
                      <c:pt idx="14" formatCode="General">
                        <c:v>-22.664700598802394</c:v>
                      </c:pt>
                      <c:pt idx="15" formatCode="General">
                        <c:v>-22.785359281437124</c:v>
                      </c:pt>
                      <c:pt idx="16" formatCode="General">
                        <c:v>-22.883843843843842</c:v>
                      </c:pt>
                      <c:pt idx="17" formatCode="General">
                        <c:v>-22.98144144144144</c:v>
                      </c:pt>
                      <c:pt idx="18" formatCode="General">
                        <c:v>-23.1162874251497</c:v>
                      </c:pt>
                      <c:pt idx="19" formatCode="General">
                        <c:v>-23.307005988023953</c:v>
                      </c:pt>
                      <c:pt idx="20" formatCode="General">
                        <c:v>-23.497724550898205</c:v>
                      </c:pt>
                      <c:pt idx="21" formatCode="General">
                        <c:v>-23.691676646706586</c:v>
                      </c:pt>
                      <c:pt idx="22" formatCode="General">
                        <c:v>-23.8862874251497</c:v>
                      </c:pt>
                      <c:pt idx="23" formatCode="General">
                        <c:v>-24.078862275449104</c:v>
                      </c:pt>
                      <c:pt idx="24" formatCode="General">
                        <c:v>-24.265688622754492</c:v>
                      </c:pt>
                      <c:pt idx="25" formatCode="General">
                        <c:v>-24.45251497005988</c:v>
                      </c:pt>
                      <c:pt idx="26" formatCode="General">
                        <c:v>-24.639341317365272</c:v>
                      </c:pt>
                      <c:pt idx="27" formatCode="General">
                        <c:v>-24.82616766467066</c:v>
                      </c:pt>
                      <c:pt idx="28" formatCode="General">
                        <c:v>-25.012994011976048</c:v>
                      </c:pt>
                      <c:pt idx="29" formatCode="General">
                        <c:v>-25.199820359281436</c:v>
                      </c:pt>
                      <c:pt idx="30" formatCode="General">
                        <c:v>-25.386646706586827</c:v>
                      </c:pt>
                      <c:pt idx="31" formatCode="General">
                        <c:v>-25.567617977528091</c:v>
                      </c:pt>
                      <c:pt idx="32" formatCode="General">
                        <c:v>-25.743872659176031</c:v>
                      </c:pt>
                      <c:pt idx="33" formatCode="General">
                        <c:v>-25.920127340823971</c:v>
                      </c:pt>
                      <c:pt idx="34" formatCode="General">
                        <c:v>-26.096382022471911</c:v>
                      </c:pt>
                      <c:pt idx="35" formatCode="General">
                        <c:v>-26.272636704119851</c:v>
                      </c:pt>
                      <c:pt idx="36" formatCode="General">
                        <c:v>-26.448891385767791</c:v>
                      </c:pt>
                      <c:pt idx="37" formatCode="General">
                        <c:v>-26.625146067415731</c:v>
                      </c:pt>
                      <c:pt idx="38" formatCode="General">
                        <c:v>-26.801400749063671</c:v>
                      </c:pt>
                      <c:pt idx="39" formatCode="General">
                        <c:v>-26.977655430711611</c:v>
                      </c:pt>
                      <c:pt idx="40" formatCode="General">
                        <c:v>-27.153910112359551</c:v>
                      </c:pt>
                      <c:pt idx="41" formatCode="General">
                        <c:v>-27.327670411985022</c:v>
                      </c:pt>
                      <c:pt idx="42" formatCode="General">
                        <c:v>-27.495161048689141</c:v>
                      </c:pt>
                      <c:pt idx="43" formatCode="General">
                        <c:v>-27.662651685393261</c:v>
                      </c:pt>
                      <c:pt idx="44" formatCode="General">
                        <c:v>-27.83014232209738</c:v>
                      </c:pt>
                      <c:pt idx="45" formatCode="General">
                        <c:v>-27.9976329588015</c:v>
                      </c:pt>
                      <c:pt idx="46" formatCode="General">
                        <c:v>-28.165123595505619</c:v>
                      </c:pt>
                      <c:pt idx="47" formatCode="General">
                        <c:v>-28.332614232209739</c:v>
                      </c:pt>
                      <c:pt idx="48" formatCode="General">
                        <c:v>-28.500104868913859</c:v>
                      </c:pt>
                      <c:pt idx="49" formatCode="General">
                        <c:v>-28.667595505617978</c:v>
                      </c:pt>
                      <c:pt idx="50" formatCode="General">
                        <c:v>-28.835086142322098</c:v>
                      </c:pt>
                      <c:pt idx="51" formatCode="General">
                        <c:v>-29.002447447447448</c:v>
                      </c:pt>
                      <c:pt idx="52" formatCode="General">
                        <c:v>-29.161531531531534</c:v>
                      </c:pt>
                      <c:pt idx="53" formatCode="General">
                        <c:v>-29.320615615615615</c:v>
                      </c:pt>
                      <c:pt idx="54" formatCode="General">
                        <c:v>-29.479699699699701</c:v>
                      </c:pt>
                      <c:pt idx="55" formatCode="General">
                        <c:v>-29.638783783783783</c:v>
                      </c:pt>
                      <c:pt idx="56" formatCode="General">
                        <c:v>-29.797867867867868</c:v>
                      </c:pt>
                      <c:pt idx="57" formatCode="General">
                        <c:v>-29.95695195195195</c:v>
                      </c:pt>
                      <c:pt idx="58" formatCode="General">
                        <c:v>-30.116036036036036</c:v>
                      </c:pt>
                      <c:pt idx="59" formatCode="General">
                        <c:v>-30.275120120120121</c:v>
                      </c:pt>
                      <c:pt idx="60" formatCode="General">
                        <c:v>-30.434204204204203</c:v>
                      </c:pt>
                      <c:pt idx="61" formatCode="General">
                        <c:v>-30.593288288288289</c:v>
                      </c:pt>
                      <c:pt idx="62" formatCode="General">
                        <c:v>-30.747647058823528</c:v>
                      </c:pt>
                      <c:pt idx="63" formatCode="General">
                        <c:v>-30.900588235294119</c:v>
                      </c:pt>
                      <c:pt idx="64" formatCode="General">
                        <c:v>-31.053636363636365</c:v>
                      </c:pt>
                      <c:pt idx="65" formatCode="General">
                        <c:v>-31.207272727272727</c:v>
                      </c:pt>
                      <c:pt idx="66" formatCode="General">
                        <c:v>-31.360909090909093</c:v>
                      </c:pt>
                      <c:pt idx="67" formatCode="General">
                        <c:v>-31.511764705882353</c:v>
                      </c:pt>
                      <c:pt idx="68" formatCode="General">
                        <c:v>-31.660882352941176</c:v>
                      </c:pt>
                      <c:pt idx="69" formatCode="General">
                        <c:v>-31.81</c:v>
                      </c:pt>
                      <c:pt idx="70" formatCode="General">
                        <c:v>-31.963636363636365</c:v>
                      </c:pt>
                      <c:pt idx="71" formatCode="General">
                        <c:v>-32.117272727272727</c:v>
                      </c:pt>
                      <c:pt idx="72" formatCode="General">
                        <c:v>-32.269022556390979</c:v>
                      </c:pt>
                      <c:pt idx="73" formatCode="General">
                        <c:v>-32.418571428571433</c:v>
                      </c:pt>
                      <c:pt idx="74" formatCode="General">
                        <c:v>-32.568120300751879</c:v>
                      </c:pt>
                      <c:pt idx="75" formatCode="General">
                        <c:v>-32.717669172932332</c:v>
                      </c:pt>
                      <c:pt idx="76" formatCode="General">
                        <c:v>-32.867218045112779</c:v>
                      </c:pt>
                      <c:pt idx="77" formatCode="General">
                        <c:v>-33.016766917293232</c:v>
                      </c:pt>
                      <c:pt idx="78" formatCode="General">
                        <c:v>-33.166315789473686</c:v>
                      </c:pt>
                      <c:pt idx="79" formatCode="General">
                        <c:v>-33.315864661654132</c:v>
                      </c:pt>
                      <c:pt idx="80" formatCode="General">
                        <c:v>-33.465413533834585</c:v>
                      </c:pt>
                      <c:pt idx="81" formatCode="General">
                        <c:v>-33.614962406015032</c:v>
                      </c:pt>
                      <c:pt idx="82" formatCode="General">
                        <c:v>-33.763358208955218</c:v>
                      </c:pt>
                      <c:pt idx="83" formatCode="General">
                        <c:v>-33.907910447761189</c:v>
                      </c:pt>
                      <c:pt idx="84" formatCode="General">
                        <c:v>-34.052462686567161</c:v>
                      </c:pt>
                      <c:pt idx="85" formatCode="General">
                        <c:v>-34.197014925373132</c:v>
                      </c:pt>
                      <c:pt idx="86" formatCode="General">
                        <c:v>-34.341567164179104</c:v>
                      </c:pt>
                      <c:pt idx="87" formatCode="General">
                        <c:v>-34.486119402985075</c:v>
                      </c:pt>
                      <c:pt idx="88" formatCode="General">
                        <c:v>-34.630671641791039</c:v>
                      </c:pt>
                      <c:pt idx="89" formatCode="General">
                        <c:v>-34.775223880597011</c:v>
                      </c:pt>
                      <c:pt idx="90" formatCode="General">
                        <c:v>-34.919776119402982</c:v>
                      </c:pt>
                      <c:pt idx="91" formatCode="General">
                        <c:v>-35.064328358208954</c:v>
                      </c:pt>
                      <c:pt idx="92" formatCode="General">
                        <c:v>-35.208880597014925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F3C-4648-9C26-0B0A07188C01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-185.62738738738739</c:v>
                      </c:pt>
                      <c:pt idx="1">
                        <c:v>-179.20156156156156</c:v>
                      </c:pt>
                      <c:pt idx="2" formatCode="General">
                        <c:v>-172.77573573573576</c:v>
                      </c:pt>
                      <c:pt idx="3" formatCode="General">
                        <c:v>-167.34314371257486</c:v>
                      </c:pt>
                      <c:pt idx="4" formatCode="General">
                        <c:v>-162.14703592814371</c:v>
                      </c:pt>
                      <c:pt idx="5" formatCode="General">
                        <c:v>-157.16997005988023</c:v>
                      </c:pt>
                      <c:pt idx="6" formatCode="General">
                        <c:v>-152.89242514970059</c:v>
                      </c:pt>
                      <c:pt idx="7" formatCode="General">
                        <c:v>-148.61488023952094</c:v>
                      </c:pt>
                      <c:pt idx="8" formatCode="General">
                        <c:v>-144.8009880239521</c:v>
                      </c:pt>
                      <c:pt idx="9" formatCode="General">
                        <c:v>-141.21625748502993</c:v>
                      </c:pt>
                      <c:pt idx="10" formatCode="General">
                        <c:v>-137.6875748502994</c:v>
                      </c:pt>
                      <c:pt idx="11" formatCode="General">
                        <c:v>-134.66332335329341</c:v>
                      </c:pt>
                      <c:pt idx="12" formatCode="General">
                        <c:v>-131.63907185628744</c:v>
                      </c:pt>
                      <c:pt idx="13" formatCode="General">
                        <c:v>-128.87098802395209</c:v>
                      </c:pt>
                      <c:pt idx="14" formatCode="General">
                        <c:v>-126.32937125748504</c:v>
                      </c:pt>
                      <c:pt idx="15" formatCode="General">
                        <c:v>-123.78775449101796</c:v>
                      </c:pt>
                      <c:pt idx="16" formatCode="General">
                        <c:v>-123.31837837837838</c:v>
                      </c:pt>
                      <c:pt idx="17" formatCode="General">
                        <c:v>-122.93189189189189</c:v>
                      </c:pt>
                      <c:pt idx="18" formatCode="General">
                        <c:v>-123.33988023952097</c:v>
                      </c:pt>
                      <c:pt idx="19" formatCode="General">
                        <c:v>-124.93958083832335</c:v>
                      </c:pt>
                      <c:pt idx="20" formatCode="General">
                        <c:v>-126.53928143712575</c:v>
                      </c:pt>
                      <c:pt idx="21" formatCode="General">
                        <c:v>-128.13574850299401</c:v>
                      </c:pt>
                      <c:pt idx="22" formatCode="General">
                        <c:v>-129.73155688622754</c:v>
                      </c:pt>
                      <c:pt idx="23" formatCode="General">
                        <c:v>-131.31718562874252</c:v>
                      </c:pt>
                      <c:pt idx="24" formatCode="General">
                        <c:v>-132.87407185628743</c:v>
                      </c:pt>
                      <c:pt idx="25" formatCode="General">
                        <c:v>-134.43095808383234</c:v>
                      </c:pt>
                      <c:pt idx="26" formatCode="General">
                        <c:v>-135.97167664670658</c:v>
                      </c:pt>
                      <c:pt idx="27" formatCode="General">
                        <c:v>-137.50520958083831</c:v>
                      </c:pt>
                      <c:pt idx="28" formatCode="General">
                        <c:v>-139.03586826347305</c:v>
                      </c:pt>
                      <c:pt idx="29" formatCode="General">
                        <c:v>-140.54604790419162</c:v>
                      </c:pt>
                      <c:pt idx="30" formatCode="General">
                        <c:v>-142.05622754491017</c:v>
                      </c:pt>
                      <c:pt idx="31" formatCode="General">
                        <c:v>-143.50932584269663</c:v>
                      </c:pt>
                      <c:pt idx="32" formatCode="General">
                        <c:v>-144.91644194756554</c:v>
                      </c:pt>
                      <c:pt idx="33" formatCode="General">
                        <c:v>-146.32355805243446</c:v>
                      </c:pt>
                      <c:pt idx="34" formatCode="General">
                        <c:v>-147.73067415730338</c:v>
                      </c:pt>
                      <c:pt idx="35" formatCode="General">
                        <c:v>-149.13779026217227</c:v>
                      </c:pt>
                      <c:pt idx="36" formatCode="General">
                        <c:v>-150.54490636704119</c:v>
                      </c:pt>
                      <c:pt idx="37" formatCode="General">
                        <c:v>-151.95202247191011</c:v>
                      </c:pt>
                      <c:pt idx="38" formatCode="General">
                        <c:v>-153.35913857677903</c:v>
                      </c:pt>
                      <c:pt idx="39" formatCode="General">
                        <c:v>-154.76625468164795</c:v>
                      </c:pt>
                      <c:pt idx="40" formatCode="General">
                        <c:v>-156.17337078651687</c:v>
                      </c:pt>
                      <c:pt idx="41" formatCode="General">
                        <c:v>-157.53143071161051</c:v>
                      </c:pt>
                      <c:pt idx="42" formatCode="General">
                        <c:v>-158.76618726591761</c:v>
                      </c:pt>
                      <c:pt idx="43" formatCode="General">
                        <c:v>-160.00094382022473</c:v>
                      </c:pt>
                      <c:pt idx="44" formatCode="General">
                        <c:v>-161.23570037453186</c:v>
                      </c:pt>
                      <c:pt idx="45" formatCode="General">
                        <c:v>-162.47045692883896</c:v>
                      </c:pt>
                      <c:pt idx="46" formatCode="General">
                        <c:v>-163.70521348314608</c:v>
                      </c:pt>
                      <c:pt idx="47" formatCode="General">
                        <c:v>-164.93997003745321</c:v>
                      </c:pt>
                      <c:pt idx="48" formatCode="General">
                        <c:v>-166.1747265917603</c:v>
                      </c:pt>
                      <c:pt idx="49" formatCode="General">
                        <c:v>-167.40948314606743</c:v>
                      </c:pt>
                      <c:pt idx="50" formatCode="General">
                        <c:v>-168.64423970037456</c:v>
                      </c:pt>
                      <c:pt idx="51" formatCode="General">
                        <c:v>-169.87605105105106</c:v>
                      </c:pt>
                      <c:pt idx="52" formatCode="General">
                        <c:v>-170.91936936936938</c:v>
                      </c:pt>
                      <c:pt idx="53" formatCode="General">
                        <c:v>-171.96268768768769</c:v>
                      </c:pt>
                      <c:pt idx="54" formatCode="General">
                        <c:v>-173.00600600600603</c:v>
                      </c:pt>
                      <c:pt idx="55" formatCode="General">
                        <c:v>-174.04932432432435</c:v>
                      </c:pt>
                      <c:pt idx="56" formatCode="General">
                        <c:v>-175.09264264264266</c:v>
                      </c:pt>
                      <c:pt idx="57" formatCode="General">
                        <c:v>-176.13596096096097</c:v>
                      </c:pt>
                      <c:pt idx="58" formatCode="General">
                        <c:v>-177.17927927927929</c:v>
                      </c:pt>
                      <c:pt idx="59" formatCode="General">
                        <c:v>-178.2225975975976</c:v>
                      </c:pt>
                      <c:pt idx="60" formatCode="General">
                        <c:v>-179.26591591591594</c:v>
                      </c:pt>
                      <c:pt idx="61" formatCode="General">
                        <c:v>-180.30923423423425</c:v>
                      </c:pt>
                      <c:pt idx="62" formatCode="General">
                        <c:v>-181.23823529411766</c:v>
                      </c:pt>
                      <c:pt idx="63" formatCode="General">
                        <c:v>-182.13294117647058</c:v>
                      </c:pt>
                      <c:pt idx="64" formatCode="General">
                        <c:v>-183.02393939393937</c:v>
                      </c:pt>
                      <c:pt idx="65" formatCode="General">
                        <c:v>-183.89454545454547</c:v>
                      </c:pt>
                      <c:pt idx="66" formatCode="General">
                        <c:v>-184.76515151515153</c:v>
                      </c:pt>
                      <c:pt idx="67" formatCode="General">
                        <c:v>-185.58235294117648</c:v>
                      </c:pt>
                      <c:pt idx="68" formatCode="General">
                        <c:v>-186.36617647058824</c:v>
                      </c:pt>
                      <c:pt idx="69" formatCode="General">
                        <c:v>-187.14999999999998</c:v>
                      </c:pt>
                      <c:pt idx="70" formatCode="General">
                        <c:v>-187.91818181818181</c:v>
                      </c:pt>
                      <c:pt idx="71" formatCode="General">
                        <c:v>-188.68636363636364</c:v>
                      </c:pt>
                      <c:pt idx="72" formatCode="General">
                        <c:v>-189.38466165413536</c:v>
                      </c:pt>
                      <c:pt idx="73" formatCode="General">
                        <c:v>-190.00142857142859</c:v>
                      </c:pt>
                      <c:pt idx="74" formatCode="General">
                        <c:v>-190.61819548872182</c:v>
                      </c:pt>
                      <c:pt idx="75" formatCode="General">
                        <c:v>-191.23496240601506</c:v>
                      </c:pt>
                      <c:pt idx="76" formatCode="General">
                        <c:v>-191.85172932330829</c:v>
                      </c:pt>
                      <c:pt idx="77" formatCode="General">
                        <c:v>-192.46849624060152</c:v>
                      </c:pt>
                      <c:pt idx="78" formatCode="General">
                        <c:v>-193.08526315789473</c:v>
                      </c:pt>
                      <c:pt idx="79" formatCode="General">
                        <c:v>-193.70203007518796</c:v>
                      </c:pt>
                      <c:pt idx="80" formatCode="General">
                        <c:v>-194.3187969924812</c:v>
                      </c:pt>
                      <c:pt idx="81" formatCode="General">
                        <c:v>-194.93556390977443</c:v>
                      </c:pt>
                      <c:pt idx="82" formatCode="General">
                        <c:v>-195.49843283582089</c:v>
                      </c:pt>
                      <c:pt idx="83" formatCode="General">
                        <c:v>-195.88164179104479</c:v>
                      </c:pt>
                      <c:pt idx="84" formatCode="General">
                        <c:v>-196.26485074626865</c:v>
                      </c:pt>
                      <c:pt idx="85" formatCode="General">
                        <c:v>-196.64805970149254</c:v>
                      </c:pt>
                      <c:pt idx="86" formatCode="General">
                        <c:v>-197.03126865671643</c:v>
                      </c:pt>
                      <c:pt idx="87" formatCode="General">
                        <c:v>-197.4144776119403</c:v>
                      </c:pt>
                      <c:pt idx="88" formatCode="General">
                        <c:v>-197.79768656716419</c:v>
                      </c:pt>
                      <c:pt idx="89" formatCode="General">
                        <c:v>-198.18089552238806</c:v>
                      </c:pt>
                      <c:pt idx="90" formatCode="General">
                        <c:v>-198.56410447761195</c:v>
                      </c:pt>
                      <c:pt idx="91" formatCode="General">
                        <c:v>-198.94731343283584</c:v>
                      </c:pt>
                      <c:pt idx="92" formatCode="General">
                        <c:v>-199.33052238805971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F3C-4648-9C26-0B0A07188C01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-15.70018018018018</c:v>
                      </c:pt>
                      <c:pt idx="1">
                        <c:v>-14.888168168168168</c:v>
                      </c:pt>
                      <c:pt idx="2" formatCode="General">
                        <c:v>-14.076156156156156</c:v>
                      </c:pt>
                      <c:pt idx="3" formatCode="General">
                        <c:v>-13.171796407185628</c:v>
                      </c:pt>
                      <c:pt idx="4" formatCode="General">
                        <c:v>-12.245449101796405</c:v>
                      </c:pt>
                      <c:pt idx="5" formatCode="General">
                        <c:v>-11.336365269461076</c:v>
                      </c:pt>
                      <c:pt idx="6" formatCode="General">
                        <c:v>-10.482413173652693</c:v>
                      </c:pt>
                      <c:pt idx="7" formatCode="General">
                        <c:v>-9.628461077844312</c:v>
                      </c:pt>
                      <c:pt idx="8" formatCode="General">
                        <c:v>-8.8943293413173663</c:v>
                      </c:pt>
                      <c:pt idx="9" formatCode="General">
                        <c:v>-8.2194191616766474</c:v>
                      </c:pt>
                      <c:pt idx="10" formatCode="General">
                        <c:v>-7.5707814371257482</c:v>
                      </c:pt>
                      <c:pt idx="11" formatCode="General">
                        <c:v>-7.1585958083832333</c:v>
                      </c:pt>
                      <c:pt idx="12" formatCode="General">
                        <c:v>-6.7464101796407192</c:v>
                      </c:pt>
                      <c:pt idx="13" formatCode="General">
                        <c:v>-6.4751167664670657</c:v>
                      </c:pt>
                      <c:pt idx="14" formatCode="General">
                        <c:v>-6.3283802395209579</c:v>
                      </c:pt>
                      <c:pt idx="15" formatCode="General">
                        <c:v>-6.18164371257485</c:v>
                      </c:pt>
                      <c:pt idx="16" formatCode="General">
                        <c:v>-6.4226216216216221</c:v>
                      </c:pt>
                      <c:pt idx="17" formatCode="General">
                        <c:v>-6.6791081081081085</c:v>
                      </c:pt>
                      <c:pt idx="18" formatCode="General">
                        <c:v>-6.8345568862275448</c:v>
                      </c:pt>
                      <c:pt idx="19" formatCode="General">
                        <c:v>-6.8384491017964075</c:v>
                      </c:pt>
                      <c:pt idx="20" formatCode="General">
                        <c:v>-6.8423413173652694</c:v>
                      </c:pt>
                      <c:pt idx="21" formatCode="General">
                        <c:v>-6.8627245508982035</c:v>
                      </c:pt>
                      <c:pt idx="22" formatCode="General">
                        <c:v>-6.8864670658682634</c:v>
                      </c:pt>
                      <c:pt idx="23" formatCode="General">
                        <c:v>-6.911838323353293</c:v>
                      </c:pt>
                      <c:pt idx="24" formatCode="General">
                        <c:v>-6.9418083832335329</c:v>
                      </c:pt>
                      <c:pt idx="25" formatCode="General">
                        <c:v>-6.9717784431137719</c:v>
                      </c:pt>
                      <c:pt idx="26" formatCode="General">
                        <c:v>-7.0028263473053896</c:v>
                      </c:pt>
                      <c:pt idx="27" formatCode="General">
                        <c:v>-7.0343532934131741</c:v>
                      </c:pt>
                      <c:pt idx="28" formatCode="General">
                        <c:v>-7.0658802395209586</c:v>
                      </c:pt>
                      <c:pt idx="29" formatCode="General">
                        <c:v>-7.0974071856287431</c:v>
                      </c:pt>
                      <c:pt idx="30" formatCode="General">
                        <c:v>-7.1289341317365267</c:v>
                      </c:pt>
                      <c:pt idx="31" formatCode="General">
                        <c:v>-7.1602584269662923</c:v>
                      </c:pt>
                      <c:pt idx="32" formatCode="General">
                        <c:v>-7.1914194756554304</c:v>
                      </c:pt>
                      <c:pt idx="33" formatCode="General">
                        <c:v>-7.2225805243445693</c:v>
                      </c:pt>
                      <c:pt idx="34" formatCode="General">
                        <c:v>-7.2537415730337083</c:v>
                      </c:pt>
                      <c:pt idx="35" formatCode="General">
                        <c:v>-7.2849026217228463</c:v>
                      </c:pt>
                      <c:pt idx="36" formatCode="General">
                        <c:v>-7.3160636704119852</c:v>
                      </c:pt>
                      <c:pt idx="37" formatCode="General">
                        <c:v>-7.3472247191011233</c:v>
                      </c:pt>
                      <c:pt idx="38" formatCode="General">
                        <c:v>-7.3783857677902622</c:v>
                      </c:pt>
                      <c:pt idx="39" formatCode="General">
                        <c:v>-7.4095468164794012</c:v>
                      </c:pt>
                      <c:pt idx="40" formatCode="General">
                        <c:v>-7.4407078651685392</c:v>
                      </c:pt>
                      <c:pt idx="41" formatCode="General">
                        <c:v>-7.471370037453184</c:v>
                      </c:pt>
                      <c:pt idx="42" formatCode="General">
                        <c:v>-7.5007782771535583</c:v>
                      </c:pt>
                      <c:pt idx="43" formatCode="General">
                        <c:v>-7.5301865168539326</c:v>
                      </c:pt>
                      <c:pt idx="44" formatCode="General">
                        <c:v>-7.5595947565543069</c:v>
                      </c:pt>
                      <c:pt idx="45" formatCode="General">
                        <c:v>-7.5890029962546812</c:v>
                      </c:pt>
                      <c:pt idx="46" formatCode="General">
                        <c:v>-7.6184112359550564</c:v>
                      </c:pt>
                      <c:pt idx="47" formatCode="General">
                        <c:v>-7.6478194756554307</c:v>
                      </c:pt>
                      <c:pt idx="48" formatCode="General">
                        <c:v>-7.6772277153558051</c:v>
                      </c:pt>
                      <c:pt idx="49" formatCode="General">
                        <c:v>-7.7066359550561794</c:v>
                      </c:pt>
                      <c:pt idx="50" formatCode="General">
                        <c:v>-7.7360441947565537</c:v>
                      </c:pt>
                      <c:pt idx="51" formatCode="General">
                        <c:v>-7.7654249249249245</c:v>
                      </c:pt>
                      <c:pt idx="52" formatCode="General">
                        <c:v>-7.7930450450450452</c:v>
                      </c:pt>
                      <c:pt idx="53" formatCode="General">
                        <c:v>-7.8206651651651651</c:v>
                      </c:pt>
                      <c:pt idx="54" formatCode="General">
                        <c:v>-7.8482852852852849</c:v>
                      </c:pt>
                      <c:pt idx="55" formatCode="General">
                        <c:v>-7.8759054054054056</c:v>
                      </c:pt>
                      <c:pt idx="56" formatCode="General">
                        <c:v>-7.9035255255255255</c:v>
                      </c:pt>
                      <c:pt idx="57" formatCode="General">
                        <c:v>-7.9311456456456453</c:v>
                      </c:pt>
                      <c:pt idx="58" formatCode="General">
                        <c:v>-7.958765765765766</c:v>
                      </c:pt>
                      <c:pt idx="59" formatCode="General">
                        <c:v>-7.9863858858858858</c:v>
                      </c:pt>
                      <c:pt idx="60" formatCode="General">
                        <c:v>-8.0140060060060065</c:v>
                      </c:pt>
                      <c:pt idx="61" formatCode="General">
                        <c:v>-8.0416261261261255</c:v>
                      </c:pt>
                      <c:pt idx="62" formatCode="General">
                        <c:v>-8.0679999999999996</c:v>
                      </c:pt>
                      <c:pt idx="63" formatCode="General">
                        <c:v>-8.0939999999999994</c:v>
                      </c:pt>
                      <c:pt idx="64" formatCode="General">
                        <c:v>-8.1199999999999992</c:v>
                      </c:pt>
                      <c:pt idx="65" formatCode="General">
                        <c:v>-8.1460000000000008</c:v>
                      </c:pt>
                      <c:pt idx="66" formatCode="General">
                        <c:v>-8.1720000000000006</c:v>
                      </c:pt>
                      <c:pt idx="67" formatCode="General">
                        <c:v>-8.1975294117647053</c:v>
                      </c:pt>
                      <c:pt idx="68" formatCode="General">
                        <c:v>-8.2227647058823532</c:v>
                      </c:pt>
                      <c:pt idx="69" formatCode="General">
                        <c:v>-8.2479999999999993</c:v>
                      </c:pt>
                      <c:pt idx="70" formatCode="General">
                        <c:v>-8.2736060606060597</c:v>
                      </c:pt>
                      <c:pt idx="71" formatCode="General">
                        <c:v>-8.2992121212121219</c:v>
                      </c:pt>
                      <c:pt idx="72" formatCode="General">
                        <c:v>-8.3241879699248127</c:v>
                      </c:pt>
                      <c:pt idx="73" formatCode="General">
                        <c:v>-8.3484285714285722</c:v>
                      </c:pt>
                      <c:pt idx="74" formatCode="General">
                        <c:v>-8.3726691729323317</c:v>
                      </c:pt>
                      <c:pt idx="75" formatCode="General">
                        <c:v>-8.3969097744360912</c:v>
                      </c:pt>
                      <c:pt idx="76" formatCode="General">
                        <c:v>-8.4211503759398507</c:v>
                      </c:pt>
                      <c:pt idx="77" formatCode="General">
                        <c:v>-8.4453909774436084</c:v>
                      </c:pt>
                      <c:pt idx="78" formatCode="General">
                        <c:v>-8.469631578947368</c:v>
                      </c:pt>
                      <c:pt idx="79" formatCode="General">
                        <c:v>-8.4938721804511275</c:v>
                      </c:pt>
                      <c:pt idx="80" formatCode="General">
                        <c:v>-8.518112781954887</c:v>
                      </c:pt>
                      <c:pt idx="81" formatCode="General">
                        <c:v>-8.5423533834586465</c:v>
                      </c:pt>
                      <c:pt idx="82" formatCode="General">
                        <c:v>-8.5662388059701495</c:v>
                      </c:pt>
                      <c:pt idx="83" formatCode="General">
                        <c:v>-8.5889402985074632</c:v>
                      </c:pt>
                      <c:pt idx="84" formatCode="General">
                        <c:v>-8.6116417910447769</c:v>
                      </c:pt>
                      <c:pt idx="85" formatCode="General">
                        <c:v>-8.6343432835820888</c:v>
                      </c:pt>
                      <c:pt idx="86" formatCode="General">
                        <c:v>-8.6570447761194025</c:v>
                      </c:pt>
                      <c:pt idx="87" formatCode="General">
                        <c:v>-8.6797462686567162</c:v>
                      </c:pt>
                      <c:pt idx="88" formatCode="General">
                        <c:v>-8.7024477611940299</c:v>
                      </c:pt>
                      <c:pt idx="89" formatCode="General">
                        <c:v>-8.7251492537313435</c:v>
                      </c:pt>
                      <c:pt idx="90" formatCode="General">
                        <c:v>-8.7478507462686572</c:v>
                      </c:pt>
                      <c:pt idx="91" formatCode="General">
                        <c:v>-8.7705522388059709</c:v>
                      </c:pt>
                      <c:pt idx="92" formatCode="General">
                        <c:v>-8.7932537313432828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F3C-4648-9C26-0B0A07188C01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-18.878558558558559</c:v>
                      </c:pt>
                      <c:pt idx="1">
                        <c:v>-18.874654654654655</c:v>
                      </c:pt>
                      <c:pt idx="2" formatCode="General">
                        <c:v>-18.870750750750751</c:v>
                      </c:pt>
                      <c:pt idx="3" formatCode="General">
                        <c:v>-18.879431137724552</c:v>
                      </c:pt>
                      <c:pt idx="4" formatCode="General">
                        <c:v>-18.891107784431139</c:v>
                      </c:pt>
                      <c:pt idx="5" formatCode="General">
                        <c:v>-18.903712574850299</c:v>
                      </c:pt>
                      <c:pt idx="6" formatCode="General">
                        <c:v>-18.919281437125747</c:v>
                      </c:pt>
                      <c:pt idx="7" formatCode="General">
                        <c:v>-18.934850299401198</c:v>
                      </c:pt>
                      <c:pt idx="8" formatCode="General">
                        <c:v>-18.953023952095808</c:v>
                      </c:pt>
                      <c:pt idx="9" formatCode="General">
                        <c:v>-18.97248502994012</c:v>
                      </c:pt>
                      <c:pt idx="10" formatCode="General">
                        <c:v>-18.991946107784429</c:v>
                      </c:pt>
                      <c:pt idx="11" formatCode="General">
                        <c:v>-19.011407185628741</c:v>
                      </c:pt>
                      <c:pt idx="12" formatCode="General">
                        <c:v>-19.030868263473053</c:v>
                      </c:pt>
                      <c:pt idx="13" formatCode="General">
                        <c:v>-19.046197604790418</c:v>
                      </c:pt>
                      <c:pt idx="14" formatCode="General">
                        <c:v>-19.057874251497005</c:v>
                      </c:pt>
                      <c:pt idx="15" formatCode="General">
                        <c:v>-19.069550898203595</c:v>
                      </c:pt>
                      <c:pt idx="16" formatCode="General">
                        <c:v>-19.028708708708709</c:v>
                      </c:pt>
                      <c:pt idx="17" formatCode="General">
                        <c:v>-18.985765765765766</c:v>
                      </c:pt>
                      <c:pt idx="18" formatCode="General">
                        <c:v>-18.970898203592814</c:v>
                      </c:pt>
                      <c:pt idx="19" formatCode="General">
                        <c:v>-18.998143712574851</c:v>
                      </c:pt>
                      <c:pt idx="20" formatCode="General">
                        <c:v>-19.025389221556889</c:v>
                      </c:pt>
                      <c:pt idx="21" formatCode="General">
                        <c:v>-19.052634730538923</c:v>
                      </c:pt>
                      <c:pt idx="22" formatCode="General">
                        <c:v>-19.079880239520961</c:v>
                      </c:pt>
                      <c:pt idx="23" formatCode="General">
                        <c:v>-19.107125748502995</c:v>
                      </c:pt>
                      <c:pt idx="24" formatCode="General">
                        <c:v>-19.134371257485032</c:v>
                      </c:pt>
                      <c:pt idx="25" formatCode="General">
                        <c:v>-19.161616766467066</c:v>
                      </c:pt>
                      <c:pt idx="26" formatCode="General">
                        <c:v>-19.188862275449104</c:v>
                      </c:pt>
                      <c:pt idx="27" formatCode="General">
                        <c:v>-19.216107784431138</c:v>
                      </c:pt>
                      <c:pt idx="28" formatCode="General">
                        <c:v>-19.243353293413172</c:v>
                      </c:pt>
                      <c:pt idx="29" formatCode="General">
                        <c:v>-19.27059880239521</c:v>
                      </c:pt>
                      <c:pt idx="30" formatCode="General">
                        <c:v>-19.297844311377244</c:v>
                      </c:pt>
                      <c:pt idx="31" formatCode="General">
                        <c:v>-19.324022471910112</c:v>
                      </c:pt>
                      <c:pt idx="32" formatCode="General">
                        <c:v>-19.349340823970035</c:v>
                      </c:pt>
                      <c:pt idx="33" formatCode="General">
                        <c:v>-19.374659176029962</c:v>
                      </c:pt>
                      <c:pt idx="34" formatCode="General">
                        <c:v>-19.399977528089888</c:v>
                      </c:pt>
                      <c:pt idx="35" formatCode="General">
                        <c:v>-19.425295880149811</c:v>
                      </c:pt>
                      <c:pt idx="36" formatCode="General">
                        <c:v>-19.450614232209738</c:v>
                      </c:pt>
                      <c:pt idx="37" formatCode="General">
                        <c:v>-19.475932584269664</c:v>
                      </c:pt>
                      <c:pt idx="38" formatCode="General">
                        <c:v>-19.501250936329587</c:v>
                      </c:pt>
                      <c:pt idx="39" formatCode="General">
                        <c:v>-19.526569288389513</c:v>
                      </c:pt>
                      <c:pt idx="40" formatCode="General">
                        <c:v>-19.55188764044944</c:v>
                      </c:pt>
                      <c:pt idx="41" formatCode="General">
                        <c:v>-19.576928838951311</c:v>
                      </c:pt>
                      <c:pt idx="42" formatCode="General">
                        <c:v>-19.601273408239702</c:v>
                      </c:pt>
                      <c:pt idx="43" formatCode="General">
                        <c:v>-19.625617977528091</c:v>
                      </c:pt>
                      <c:pt idx="44" formatCode="General">
                        <c:v>-19.649962546816479</c:v>
                      </c:pt>
                      <c:pt idx="45" formatCode="General">
                        <c:v>-19.67430711610487</c:v>
                      </c:pt>
                      <c:pt idx="46" formatCode="General">
                        <c:v>-19.698651685393259</c:v>
                      </c:pt>
                      <c:pt idx="47" formatCode="General">
                        <c:v>-19.722996254681647</c:v>
                      </c:pt>
                      <c:pt idx="48" formatCode="General">
                        <c:v>-19.747340823970038</c:v>
                      </c:pt>
                      <c:pt idx="49" formatCode="General">
                        <c:v>-19.771685393258426</c:v>
                      </c:pt>
                      <c:pt idx="50" formatCode="General">
                        <c:v>-19.796029962546818</c:v>
                      </c:pt>
                      <c:pt idx="51" formatCode="General">
                        <c:v>-19.820345345345345</c:v>
                      </c:pt>
                      <c:pt idx="52" formatCode="General">
                        <c:v>-19.842792792792793</c:v>
                      </c:pt>
                      <c:pt idx="53" formatCode="General">
                        <c:v>-19.86524024024024</c:v>
                      </c:pt>
                      <c:pt idx="54" formatCode="General">
                        <c:v>-19.887687687687688</c:v>
                      </c:pt>
                      <c:pt idx="55" formatCode="General">
                        <c:v>-19.910135135135135</c:v>
                      </c:pt>
                      <c:pt idx="56" formatCode="General">
                        <c:v>-19.932582582582583</c:v>
                      </c:pt>
                      <c:pt idx="57" formatCode="General">
                        <c:v>-19.955030030030031</c:v>
                      </c:pt>
                      <c:pt idx="58" formatCode="General">
                        <c:v>-19.977477477477478</c:v>
                      </c:pt>
                      <c:pt idx="59" formatCode="General">
                        <c:v>-19.999924924924926</c:v>
                      </c:pt>
                      <c:pt idx="60" formatCode="General">
                        <c:v>-20.022372372372374</c:v>
                      </c:pt>
                      <c:pt idx="61" formatCode="General">
                        <c:v>-20.044819819819821</c:v>
                      </c:pt>
                      <c:pt idx="62" formatCode="General">
                        <c:v>-20.067647058823528</c:v>
                      </c:pt>
                      <c:pt idx="63" formatCode="General">
                        <c:v>-20.090588235294117</c:v>
                      </c:pt>
                      <c:pt idx="64" formatCode="General">
                        <c:v>-20.113030303030303</c:v>
                      </c:pt>
                      <c:pt idx="65" formatCode="General">
                        <c:v>-20.132727272727273</c:v>
                      </c:pt>
                      <c:pt idx="66" formatCode="General">
                        <c:v>-20.152424242424242</c:v>
                      </c:pt>
                      <c:pt idx="67" formatCode="General">
                        <c:v>-20.171764705882353</c:v>
                      </c:pt>
                      <c:pt idx="68" formatCode="General">
                        <c:v>-20.190882352941177</c:v>
                      </c:pt>
                      <c:pt idx="69" formatCode="General">
                        <c:v>-20.21</c:v>
                      </c:pt>
                      <c:pt idx="70" formatCode="General">
                        <c:v>-20.22969696969697</c:v>
                      </c:pt>
                      <c:pt idx="71" formatCode="General">
                        <c:v>-20.24939393939394</c:v>
                      </c:pt>
                      <c:pt idx="72" formatCode="General">
                        <c:v>-20.269022556390979</c:v>
                      </c:pt>
                      <c:pt idx="73" formatCode="General">
                        <c:v>-20.28857142857143</c:v>
                      </c:pt>
                      <c:pt idx="74" formatCode="General">
                        <c:v>-20.308120300751881</c:v>
                      </c:pt>
                      <c:pt idx="75" formatCode="General">
                        <c:v>-20.327669172932332</c:v>
                      </c:pt>
                      <c:pt idx="76" formatCode="General">
                        <c:v>-20.347218045112783</c:v>
                      </c:pt>
                      <c:pt idx="77" formatCode="General">
                        <c:v>-20.366766917293234</c:v>
                      </c:pt>
                      <c:pt idx="78" formatCode="General">
                        <c:v>-20.386315789473684</c:v>
                      </c:pt>
                      <c:pt idx="79" formatCode="General">
                        <c:v>-20.405864661654135</c:v>
                      </c:pt>
                      <c:pt idx="80" formatCode="General">
                        <c:v>-20.425413533834586</c:v>
                      </c:pt>
                      <c:pt idx="81" formatCode="General">
                        <c:v>-20.444962406015037</c:v>
                      </c:pt>
                      <c:pt idx="82" formatCode="General">
                        <c:v>-20.464253731343284</c:v>
                      </c:pt>
                      <c:pt idx="83" formatCode="General">
                        <c:v>-20.48268656716418</c:v>
                      </c:pt>
                      <c:pt idx="84" formatCode="General">
                        <c:v>-20.501119402985076</c:v>
                      </c:pt>
                      <c:pt idx="85" formatCode="General">
                        <c:v>-20.519552238805971</c:v>
                      </c:pt>
                      <c:pt idx="86" formatCode="General">
                        <c:v>-20.537985074626867</c:v>
                      </c:pt>
                      <c:pt idx="87" formatCode="General">
                        <c:v>-20.55641791044776</c:v>
                      </c:pt>
                      <c:pt idx="88" formatCode="General">
                        <c:v>-20.574850746268655</c:v>
                      </c:pt>
                      <c:pt idx="89" formatCode="General">
                        <c:v>-20.593283582089551</c:v>
                      </c:pt>
                      <c:pt idx="90" formatCode="General">
                        <c:v>-20.611716417910447</c:v>
                      </c:pt>
                      <c:pt idx="91" formatCode="General">
                        <c:v>-20.630149253731343</c:v>
                      </c:pt>
                      <c:pt idx="92" formatCode="General">
                        <c:v>-20.648582089552239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F3C-4648-9C26-0B0A07188C01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-59.738018018018018</c:v>
                      </c:pt>
                      <c:pt idx="1">
                        <c:v>-58.270150150150151</c:v>
                      </c:pt>
                      <c:pt idx="2" formatCode="General">
                        <c:v>-56.802282282282285</c:v>
                      </c:pt>
                      <c:pt idx="3" formatCode="General">
                        <c:v>-55.828383233532939</c:v>
                      </c:pt>
                      <c:pt idx="4" formatCode="General">
                        <c:v>-54.97209580838323</c:v>
                      </c:pt>
                      <c:pt idx="5" formatCode="General">
                        <c:v>-54.192473053892215</c:v>
                      </c:pt>
                      <c:pt idx="6" formatCode="General">
                        <c:v>-53.657682634730534</c:v>
                      </c:pt>
                      <c:pt idx="7" formatCode="General">
                        <c:v>-53.122892215568861</c:v>
                      </c:pt>
                      <c:pt idx="8" formatCode="General">
                        <c:v>-52.697502994011977</c:v>
                      </c:pt>
                      <c:pt idx="9" formatCode="General">
                        <c:v>-52.326185628742515</c:v>
                      </c:pt>
                      <c:pt idx="10" formatCode="General">
                        <c:v>-51.973356287425155</c:v>
                      </c:pt>
                      <c:pt idx="11" formatCode="General">
                        <c:v>-51.78691916167665</c:v>
                      </c:pt>
                      <c:pt idx="12" formatCode="General">
                        <c:v>-51.600482035928145</c:v>
                      </c:pt>
                      <c:pt idx="13" formatCode="General">
                        <c:v>-51.563200598802396</c:v>
                      </c:pt>
                      <c:pt idx="14" formatCode="General">
                        <c:v>-51.657781437125749</c:v>
                      </c:pt>
                      <c:pt idx="15" formatCode="General">
                        <c:v>-51.752362275449102</c:v>
                      </c:pt>
                      <c:pt idx="16" formatCode="General">
                        <c:v>-52.190309309309306</c:v>
                      </c:pt>
                      <c:pt idx="17" formatCode="General">
                        <c:v>-52.64199099099099</c:v>
                      </c:pt>
                      <c:pt idx="18" formatCode="General">
                        <c:v>-53.067131736526946</c:v>
                      </c:pt>
                      <c:pt idx="19" formatCode="General">
                        <c:v>-53.452461077844312</c:v>
                      </c:pt>
                      <c:pt idx="20" formatCode="General">
                        <c:v>-53.837790419161678</c:v>
                      </c:pt>
                      <c:pt idx="21" formatCode="General">
                        <c:v>-54.24607784431138</c:v>
                      </c:pt>
                      <c:pt idx="22" formatCode="General">
                        <c:v>-54.659041916167666</c:v>
                      </c:pt>
                      <c:pt idx="23" formatCode="General">
                        <c:v>-55.069562874251496</c:v>
                      </c:pt>
                      <c:pt idx="24" formatCode="General">
                        <c:v>-55.473185628742513</c:v>
                      </c:pt>
                      <c:pt idx="25" formatCode="General">
                        <c:v>-55.876808383233538</c:v>
                      </c:pt>
                      <c:pt idx="26" formatCode="General">
                        <c:v>-56.28150898203593</c:v>
                      </c:pt>
                      <c:pt idx="27" formatCode="General">
                        <c:v>-56.686688622754488</c:v>
                      </c:pt>
                      <c:pt idx="28" formatCode="General">
                        <c:v>-57.091868263473046</c:v>
                      </c:pt>
                      <c:pt idx="29" formatCode="General">
                        <c:v>-57.497047904191611</c:v>
                      </c:pt>
                      <c:pt idx="30" formatCode="General">
                        <c:v>-57.902227544910176</c:v>
                      </c:pt>
                      <c:pt idx="31" formatCode="General">
                        <c:v>-58.295494382022468</c:v>
                      </c:pt>
                      <c:pt idx="32" formatCode="General">
                        <c:v>-58.679164794007491</c:v>
                      </c:pt>
                      <c:pt idx="33" formatCode="General">
                        <c:v>-59.062835205992513</c:v>
                      </c:pt>
                      <c:pt idx="34" formatCode="General">
                        <c:v>-59.446505617977529</c:v>
                      </c:pt>
                      <c:pt idx="35" formatCode="General">
                        <c:v>-59.830176029962551</c:v>
                      </c:pt>
                      <c:pt idx="36" formatCode="General">
                        <c:v>-60.213846441947567</c:v>
                      </c:pt>
                      <c:pt idx="37" formatCode="General">
                        <c:v>-60.597516853932589</c:v>
                      </c:pt>
                      <c:pt idx="38" formatCode="General">
                        <c:v>-60.981187265917605</c:v>
                      </c:pt>
                      <c:pt idx="39" formatCode="General">
                        <c:v>-61.364857677902627</c:v>
                      </c:pt>
                      <c:pt idx="40" formatCode="General">
                        <c:v>-61.748528089887643</c:v>
                      </c:pt>
                      <c:pt idx="41" formatCode="General">
                        <c:v>-62.126710861423227</c:v>
                      </c:pt>
                      <c:pt idx="42" formatCode="General">
                        <c:v>-62.49110037453184</c:v>
                      </c:pt>
                      <c:pt idx="43" formatCode="General">
                        <c:v>-62.855489887640452</c:v>
                      </c:pt>
                      <c:pt idx="44" formatCode="General">
                        <c:v>-63.219879400749065</c:v>
                      </c:pt>
                      <c:pt idx="45" formatCode="General">
                        <c:v>-63.584268913857684</c:v>
                      </c:pt>
                      <c:pt idx="46" formatCode="General">
                        <c:v>-63.948658426966297</c:v>
                      </c:pt>
                      <c:pt idx="47" formatCode="General">
                        <c:v>-64.31304794007491</c:v>
                      </c:pt>
                      <c:pt idx="48" formatCode="General">
                        <c:v>-64.677437453183529</c:v>
                      </c:pt>
                      <c:pt idx="49" formatCode="General">
                        <c:v>-65.041826966292135</c:v>
                      </c:pt>
                      <c:pt idx="50" formatCode="General">
                        <c:v>-65.406216479400754</c:v>
                      </c:pt>
                      <c:pt idx="51" formatCode="General">
                        <c:v>-65.770319819819818</c:v>
                      </c:pt>
                      <c:pt idx="52" formatCode="General">
                        <c:v>-66.116108108108108</c:v>
                      </c:pt>
                      <c:pt idx="53" formatCode="General">
                        <c:v>-66.461896396396398</c:v>
                      </c:pt>
                      <c:pt idx="54" formatCode="General">
                        <c:v>-66.807684684684688</c:v>
                      </c:pt>
                      <c:pt idx="55" formatCode="General">
                        <c:v>-67.153472972972978</c:v>
                      </c:pt>
                      <c:pt idx="56" formatCode="General">
                        <c:v>-67.499261261261253</c:v>
                      </c:pt>
                      <c:pt idx="57" formatCode="General">
                        <c:v>-67.845049549549543</c:v>
                      </c:pt>
                      <c:pt idx="58" formatCode="General">
                        <c:v>-68.190837837837833</c:v>
                      </c:pt>
                      <c:pt idx="59" formatCode="General">
                        <c:v>-68.536626126126123</c:v>
                      </c:pt>
                      <c:pt idx="60" formatCode="General">
                        <c:v>-68.882414414414413</c:v>
                      </c:pt>
                      <c:pt idx="61" formatCode="General">
                        <c:v>-69.228202702702703</c:v>
                      </c:pt>
                      <c:pt idx="62" formatCode="General">
                        <c:v>-69.563294117647061</c:v>
                      </c:pt>
                      <c:pt idx="63" formatCode="General">
                        <c:v>-69.89517647058824</c:v>
                      </c:pt>
                      <c:pt idx="64" formatCode="General">
                        <c:v>-70.227272727272734</c:v>
                      </c:pt>
                      <c:pt idx="65" formatCode="General">
                        <c:v>-70.560545454545462</c:v>
                      </c:pt>
                      <c:pt idx="66" formatCode="General">
                        <c:v>-70.89381818181819</c:v>
                      </c:pt>
                      <c:pt idx="67" formatCode="General">
                        <c:v>-71.221058823529418</c:v>
                      </c:pt>
                      <c:pt idx="68" formatCode="General">
                        <c:v>-71.544529411764699</c:v>
                      </c:pt>
                      <c:pt idx="69" formatCode="General">
                        <c:v>-71.867999999999995</c:v>
                      </c:pt>
                      <c:pt idx="70" formatCode="General">
                        <c:v>-72.200878787878793</c:v>
                      </c:pt>
                      <c:pt idx="71" formatCode="General">
                        <c:v>-72.533757575757576</c:v>
                      </c:pt>
                      <c:pt idx="72" formatCode="General">
                        <c:v>-72.86223308270678</c:v>
                      </c:pt>
                      <c:pt idx="73" formatCode="General">
                        <c:v>-73.185571428571436</c:v>
                      </c:pt>
                      <c:pt idx="74" formatCode="General">
                        <c:v>-73.508909774436091</c:v>
                      </c:pt>
                      <c:pt idx="75" formatCode="General">
                        <c:v>-73.832248120300747</c:v>
                      </c:pt>
                      <c:pt idx="76" formatCode="General">
                        <c:v>-74.155586466165417</c:v>
                      </c:pt>
                      <c:pt idx="77" formatCode="General">
                        <c:v>-74.478924812030073</c:v>
                      </c:pt>
                      <c:pt idx="78" formatCode="General">
                        <c:v>-74.802263157894728</c:v>
                      </c:pt>
                      <c:pt idx="79" formatCode="General">
                        <c:v>-75.125601503759384</c:v>
                      </c:pt>
                      <c:pt idx="80" formatCode="General">
                        <c:v>-75.448939849624054</c:v>
                      </c:pt>
                      <c:pt idx="81" formatCode="General">
                        <c:v>-75.77227819548871</c:v>
                      </c:pt>
                      <c:pt idx="82" formatCode="General">
                        <c:v>-76.09295522388058</c:v>
                      </c:pt>
                      <c:pt idx="83" formatCode="General">
                        <c:v>-76.404761194029845</c:v>
                      </c:pt>
                      <c:pt idx="84" formatCode="General">
                        <c:v>-76.716567164179096</c:v>
                      </c:pt>
                      <c:pt idx="85" formatCode="General">
                        <c:v>-77.028373134328348</c:v>
                      </c:pt>
                      <c:pt idx="86" formatCode="General">
                        <c:v>-77.340179104477599</c:v>
                      </c:pt>
                      <c:pt idx="87" formatCode="General">
                        <c:v>-77.651985074626865</c:v>
                      </c:pt>
                      <c:pt idx="88" formatCode="General">
                        <c:v>-77.963791044776116</c:v>
                      </c:pt>
                      <c:pt idx="89" formatCode="General">
                        <c:v>-78.275597014925367</c:v>
                      </c:pt>
                      <c:pt idx="90" formatCode="General">
                        <c:v>-78.587402985074618</c:v>
                      </c:pt>
                      <c:pt idx="91" formatCode="General">
                        <c:v>-78.899208955223884</c:v>
                      </c:pt>
                      <c:pt idx="92" formatCode="General">
                        <c:v>-79.211014925373135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F3C-4648-9C26-0B0A07188C01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-37.719099099099097</c:v>
                      </c:pt>
                      <c:pt idx="1">
                        <c:v>-36.579159159159161</c:v>
                      </c:pt>
                      <c:pt idx="2" formatCode="General">
                        <c:v>-35.439219219219218</c:v>
                      </c:pt>
                      <c:pt idx="3" formatCode="General">
                        <c:v>-34.500089820359278</c:v>
                      </c:pt>
                      <c:pt idx="4" formatCode="General">
                        <c:v>-33.60877245508982</c:v>
                      </c:pt>
                      <c:pt idx="5" formatCode="General">
                        <c:v>-32.764419161676642</c:v>
                      </c:pt>
                      <c:pt idx="6" formatCode="General">
                        <c:v>-32.070047904191618</c:v>
                      </c:pt>
                      <c:pt idx="7" formatCode="General">
                        <c:v>-31.375676646706587</c:v>
                      </c:pt>
                      <c:pt idx="8" formatCode="General">
                        <c:v>-30.795916167664672</c:v>
                      </c:pt>
                      <c:pt idx="9" formatCode="General">
                        <c:v>-30.272802395209581</c:v>
                      </c:pt>
                      <c:pt idx="10" formatCode="General">
                        <c:v>-29.77206886227545</c:v>
                      </c:pt>
                      <c:pt idx="11" formatCode="General">
                        <c:v>-29.472757485029941</c:v>
                      </c:pt>
                      <c:pt idx="12" formatCode="General">
                        <c:v>-29.173446107784432</c:v>
                      </c:pt>
                      <c:pt idx="13" formatCode="General">
                        <c:v>-29.019158682634732</c:v>
                      </c:pt>
                      <c:pt idx="14" formatCode="General">
                        <c:v>-28.993080838323355</c:v>
                      </c:pt>
                      <c:pt idx="15" formatCode="General">
                        <c:v>-28.967002994011978</c:v>
                      </c:pt>
                      <c:pt idx="16" formatCode="General">
                        <c:v>-29.306465465465465</c:v>
                      </c:pt>
                      <c:pt idx="17" formatCode="General">
                        <c:v>-29.66054954954955</c:v>
                      </c:pt>
                      <c:pt idx="18" formatCode="General">
                        <c:v>-29.950844311377246</c:v>
                      </c:pt>
                      <c:pt idx="19" formatCode="General">
                        <c:v>-30.145455089820359</c:v>
                      </c:pt>
                      <c:pt idx="20" formatCode="General">
                        <c:v>-30.340065868263473</c:v>
                      </c:pt>
                      <c:pt idx="21" formatCode="General">
                        <c:v>-30.55440119760479</c:v>
                      </c:pt>
                      <c:pt idx="22" formatCode="General">
                        <c:v>-30.772754491017963</c:v>
                      </c:pt>
                      <c:pt idx="23" formatCode="General">
                        <c:v>-30.990700598802395</c:v>
                      </c:pt>
                      <c:pt idx="24" formatCode="General">
                        <c:v>-31.207497005988024</c:v>
                      </c:pt>
                      <c:pt idx="25" formatCode="General">
                        <c:v>-31.424293413173654</c:v>
                      </c:pt>
                      <c:pt idx="26" formatCode="General">
                        <c:v>-31.642167664670659</c:v>
                      </c:pt>
                      <c:pt idx="27" formatCode="General">
                        <c:v>-31.860520958083832</c:v>
                      </c:pt>
                      <c:pt idx="28" formatCode="General">
                        <c:v>-32.078874251497005</c:v>
                      </c:pt>
                      <c:pt idx="29" formatCode="General">
                        <c:v>-32.297227544910179</c:v>
                      </c:pt>
                      <c:pt idx="30" formatCode="General">
                        <c:v>-32.515580838323352</c:v>
                      </c:pt>
                      <c:pt idx="31" formatCode="General">
                        <c:v>-32.727876404494381</c:v>
                      </c:pt>
                      <c:pt idx="32" formatCode="General">
                        <c:v>-32.935292134831464</c:v>
                      </c:pt>
                      <c:pt idx="33" formatCode="General">
                        <c:v>-33.142707865168539</c:v>
                      </c:pt>
                      <c:pt idx="34" formatCode="General">
                        <c:v>-33.350123595505622</c:v>
                      </c:pt>
                      <c:pt idx="35" formatCode="General">
                        <c:v>-33.557539325842697</c:v>
                      </c:pt>
                      <c:pt idx="36" formatCode="General">
                        <c:v>-33.76495505617978</c:v>
                      </c:pt>
                      <c:pt idx="37" formatCode="General">
                        <c:v>-33.972370786516855</c:v>
                      </c:pt>
                      <c:pt idx="38" formatCode="General">
                        <c:v>-34.179786516853937</c:v>
                      </c:pt>
                      <c:pt idx="39" formatCode="General">
                        <c:v>-34.387202247191013</c:v>
                      </c:pt>
                      <c:pt idx="40" formatCode="General">
                        <c:v>-34.594617977528095</c:v>
                      </c:pt>
                      <c:pt idx="41" formatCode="General">
                        <c:v>-34.799040449438202</c:v>
                      </c:pt>
                      <c:pt idx="42" formatCode="General">
                        <c:v>-34.995939325842699</c:v>
                      </c:pt>
                      <c:pt idx="43" formatCode="General">
                        <c:v>-35.192838202247195</c:v>
                      </c:pt>
                      <c:pt idx="44" formatCode="General">
                        <c:v>-35.389737078651684</c:v>
                      </c:pt>
                      <c:pt idx="45" formatCode="General">
                        <c:v>-35.586635955056181</c:v>
                      </c:pt>
                      <c:pt idx="46" formatCode="General">
                        <c:v>-35.783534831460678</c:v>
                      </c:pt>
                      <c:pt idx="47" formatCode="General">
                        <c:v>-35.980433707865167</c:v>
                      </c:pt>
                      <c:pt idx="48" formatCode="General">
                        <c:v>-36.177332584269664</c:v>
                      </c:pt>
                      <c:pt idx="49" formatCode="General">
                        <c:v>-36.37423146067416</c:v>
                      </c:pt>
                      <c:pt idx="50" formatCode="General">
                        <c:v>-36.571130337078657</c:v>
                      </c:pt>
                      <c:pt idx="51" formatCode="General">
                        <c:v>-36.767872372372373</c:v>
                      </c:pt>
                      <c:pt idx="52" formatCode="General">
                        <c:v>-36.954576576576578</c:v>
                      </c:pt>
                      <c:pt idx="53" formatCode="General">
                        <c:v>-37.141280780780782</c:v>
                      </c:pt>
                      <c:pt idx="54" formatCode="General">
                        <c:v>-37.327984984984987</c:v>
                      </c:pt>
                      <c:pt idx="55" formatCode="General">
                        <c:v>-37.514689189189191</c:v>
                      </c:pt>
                      <c:pt idx="56" formatCode="General">
                        <c:v>-37.701393393393396</c:v>
                      </c:pt>
                      <c:pt idx="57" formatCode="General">
                        <c:v>-37.888097597597593</c:v>
                      </c:pt>
                      <c:pt idx="58" formatCode="General">
                        <c:v>-38.074801801801797</c:v>
                      </c:pt>
                      <c:pt idx="59" formatCode="General">
                        <c:v>-38.261506006006002</c:v>
                      </c:pt>
                      <c:pt idx="60" formatCode="General">
                        <c:v>-38.448210210210206</c:v>
                      </c:pt>
                      <c:pt idx="61" formatCode="General">
                        <c:v>-38.634914414414411</c:v>
                      </c:pt>
                      <c:pt idx="62" formatCode="General">
                        <c:v>-38.815647058823529</c:v>
                      </c:pt>
                      <c:pt idx="63" formatCode="General">
                        <c:v>-38.994588235294117</c:v>
                      </c:pt>
                      <c:pt idx="64" formatCode="General">
                        <c:v>-39.173636363636362</c:v>
                      </c:pt>
                      <c:pt idx="65" formatCode="General">
                        <c:v>-39.353272727272731</c:v>
                      </c:pt>
                      <c:pt idx="66" formatCode="General">
                        <c:v>-39.532909090909094</c:v>
                      </c:pt>
                      <c:pt idx="67" formatCode="General">
                        <c:v>-39.709294117647062</c:v>
                      </c:pt>
                      <c:pt idx="68" formatCode="General">
                        <c:v>-39.883647058823527</c:v>
                      </c:pt>
                      <c:pt idx="69" formatCode="General">
                        <c:v>-40.058</c:v>
                      </c:pt>
                      <c:pt idx="70" formatCode="General">
                        <c:v>-40.237242424242424</c:v>
                      </c:pt>
                      <c:pt idx="71" formatCode="General">
                        <c:v>-40.416484848484849</c:v>
                      </c:pt>
                      <c:pt idx="72" formatCode="General">
                        <c:v>-40.593210526315794</c:v>
                      </c:pt>
                      <c:pt idx="73" formatCode="General">
                        <c:v>-40.767000000000003</c:v>
                      </c:pt>
                      <c:pt idx="74" formatCode="General">
                        <c:v>-40.940789473684212</c:v>
                      </c:pt>
                      <c:pt idx="75" formatCode="General">
                        <c:v>-41.114578947368422</c:v>
                      </c:pt>
                      <c:pt idx="76" formatCode="General">
                        <c:v>-41.288368421052631</c:v>
                      </c:pt>
                      <c:pt idx="77" formatCode="General">
                        <c:v>-41.462157894736841</c:v>
                      </c:pt>
                      <c:pt idx="78" formatCode="General">
                        <c:v>-41.63594736842105</c:v>
                      </c:pt>
                      <c:pt idx="79" formatCode="General">
                        <c:v>-41.809736842105259</c:v>
                      </c:pt>
                      <c:pt idx="80" formatCode="General">
                        <c:v>-41.983526315789469</c:v>
                      </c:pt>
                      <c:pt idx="81" formatCode="General">
                        <c:v>-42.157315789473685</c:v>
                      </c:pt>
                      <c:pt idx="82" formatCode="General">
                        <c:v>-42.329597014925369</c:v>
                      </c:pt>
                      <c:pt idx="83" formatCode="General">
                        <c:v>-42.496850746268656</c:v>
                      </c:pt>
                      <c:pt idx="84" formatCode="General">
                        <c:v>-42.664104477611936</c:v>
                      </c:pt>
                      <c:pt idx="85" formatCode="General">
                        <c:v>-42.831358208955223</c:v>
                      </c:pt>
                      <c:pt idx="86" formatCode="General">
                        <c:v>-42.998611940298503</c:v>
                      </c:pt>
                      <c:pt idx="87" formatCode="General">
                        <c:v>-43.165865671641789</c:v>
                      </c:pt>
                      <c:pt idx="88" formatCode="General">
                        <c:v>-43.333119402985076</c:v>
                      </c:pt>
                      <c:pt idx="89" formatCode="General">
                        <c:v>-43.500373134328356</c:v>
                      </c:pt>
                      <c:pt idx="90" formatCode="General">
                        <c:v>-43.667626865671643</c:v>
                      </c:pt>
                      <c:pt idx="91" formatCode="General">
                        <c:v>-43.834880597014923</c:v>
                      </c:pt>
                      <c:pt idx="92" formatCode="General">
                        <c:v>-44.00213432835821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F3C-4648-9C26-0B0A07188C01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-185.62738738738739</c:v>
                      </c:pt>
                      <c:pt idx="1">
                        <c:v>-179.20156156156156</c:v>
                      </c:pt>
                      <c:pt idx="2" formatCode="General">
                        <c:v>-172.77573573573576</c:v>
                      </c:pt>
                      <c:pt idx="3" formatCode="General">
                        <c:v>-167.34314371257486</c:v>
                      </c:pt>
                      <c:pt idx="4" formatCode="General">
                        <c:v>-162.14703592814371</c:v>
                      </c:pt>
                      <c:pt idx="5" formatCode="General">
                        <c:v>-157.16997005988023</c:v>
                      </c:pt>
                      <c:pt idx="6" formatCode="General">
                        <c:v>-152.89242514970059</c:v>
                      </c:pt>
                      <c:pt idx="7" formatCode="General">
                        <c:v>-148.61488023952094</c:v>
                      </c:pt>
                      <c:pt idx="8" formatCode="General">
                        <c:v>-144.8009880239521</c:v>
                      </c:pt>
                      <c:pt idx="9" formatCode="General">
                        <c:v>-141.21625748502993</c:v>
                      </c:pt>
                      <c:pt idx="10" formatCode="General">
                        <c:v>-137.6875748502994</c:v>
                      </c:pt>
                      <c:pt idx="11" formatCode="General">
                        <c:v>-134.66332335329341</c:v>
                      </c:pt>
                      <c:pt idx="12" formatCode="General">
                        <c:v>-131.63907185628744</c:v>
                      </c:pt>
                      <c:pt idx="13" formatCode="General">
                        <c:v>-128.87098802395209</c:v>
                      </c:pt>
                      <c:pt idx="14" formatCode="General">
                        <c:v>-126.32937125748504</c:v>
                      </c:pt>
                      <c:pt idx="15" formatCode="General">
                        <c:v>-123.78775449101796</c:v>
                      </c:pt>
                      <c:pt idx="16" formatCode="General">
                        <c:v>-123.31837837837838</c:v>
                      </c:pt>
                      <c:pt idx="17" formatCode="General">
                        <c:v>-122.93189189189189</c:v>
                      </c:pt>
                      <c:pt idx="18" formatCode="General">
                        <c:v>-123.33988023952097</c:v>
                      </c:pt>
                      <c:pt idx="19" formatCode="General">
                        <c:v>-124.93958083832335</c:v>
                      </c:pt>
                      <c:pt idx="20" formatCode="General">
                        <c:v>-126.53928143712575</c:v>
                      </c:pt>
                      <c:pt idx="21" formatCode="General">
                        <c:v>-128.13574850299401</c:v>
                      </c:pt>
                      <c:pt idx="22" formatCode="General">
                        <c:v>-129.73155688622754</c:v>
                      </c:pt>
                      <c:pt idx="23" formatCode="General">
                        <c:v>-131.31718562874252</c:v>
                      </c:pt>
                      <c:pt idx="24" formatCode="General">
                        <c:v>-132.87407185628743</c:v>
                      </c:pt>
                      <c:pt idx="25" formatCode="General">
                        <c:v>-134.43095808383234</c:v>
                      </c:pt>
                      <c:pt idx="26" formatCode="General">
                        <c:v>-135.97167664670658</c:v>
                      </c:pt>
                      <c:pt idx="27" formatCode="General">
                        <c:v>-137.50520958083831</c:v>
                      </c:pt>
                      <c:pt idx="28" formatCode="General">
                        <c:v>-139.03586826347305</c:v>
                      </c:pt>
                      <c:pt idx="29" formatCode="General">
                        <c:v>-140.54604790419162</c:v>
                      </c:pt>
                      <c:pt idx="30" formatCode="General">
                        <c:v>-142.05622754491017</c:v>
                      </c:pt>
                      <c:pt idx="31" formatCode="General">
                        <c:v>-143.50932584269663</c:v>
                      </c:pt>
                      <c:pt idx="32" formatCode="General">
                        <c:v>-144.91644194756554</c:v>
                      </c:pt>
                      <c:pt idx="33" formatCode="General">
                        <c:v>-146.32355805243446</c:v>
                      </c:pt>
                      <c:pt idx="34" formatCode="General">
                        <c:v>-147.73067415730338</c:v>
                      </c:pt>
                      <c:pt idx="35" formatCode="General">
                        <c:v>-149.13779026217227</c:v>
                      </c:pt>
                      <c:pt idx="36" formatCode="General">
                        <c:v>-150.54490636704119</c:v>
                      </c:pt>
                      <c:pt idx="37" formatCode="General">
                        <c:v>-151.95202247191011</c:v>
                      </c:pt>
                      <c:pt idx="38" formatCode="General">
                        <c:v>-153.35913857677903</c:v>
                      </c:pt>
                      <c:pt idx="39" formatCode="General">
                        <c:v>-154.76625468164795</c:v>
                      </c:pt>
                      <c:pt idx="40" formatCode="General">
                        <c:v>-156.17337078651687</c:v>
                      </c:pt>
                      <c:pt idx="41" formatCode="General">
                        <c:v>-157.53143071161051</c:v>
                      </c:pt>
                      <c:pt idx="42" formatCode="General">
                        <c:v>-158.76618726591761</c:v>
                      </c:pt>
                      <c:pt idx="43" formatCode="General">
                        <c:v>-160.00094382022473</c:v>
                      </c:pt>
                      <c:pt idx="44" formatCode="General">
                        <c:v>-161.23570037453186</c:v>
                      </c:pt>
                      <c:pt idx="45" formatCode="General">
                        <c:v>-162.47045692883896</c:v>
                      </c:pt>
                      <c:pt idx="46" formatCode="General">
                        <c:v>-163.70521348314608</c:v>
                      </c:pt>
                      <c:pt idx="47" formatCode="General">
                        <c:v>-164.93997003745321</c:v>
                      </c:pt>
                      <c:pt idx="48" formatCode="General">
                        <c:v>-166.1747265917603</c:v>
                      </c:pt>
                      <c:pt idx="49" formatCode="General">
                        <c:v>-167.40948314606743</c:v>
                      </c:pt>
                      <c:pt idx="50" formatCode="General">
                        <c:v>-168.64423970037456</c:v>
                      </c:pt>
                      <c:pt idx="51" formatCode="General">
                        <c:v>-169.87605105105106</c:v>
                      </c:pt>
                      <c:pt idx="52" formatCode="General">
                        <c:v>-170.91936936936938</c:v>
                      </c:pt>
                      <c:pt idx="53" formatCode="General">
                        <c:v>-171.96268768768769</c:v>
                      </c:pt>
                      <c:pt idx="54" formatCode="General">
                        <c:v>-173.00600600600603</c:v>
                      </c:pt>
                      <c:pt idx="55" formatCode="General">
                        <c:v>-174.04932432432435</c:v>
                      </c:pt>
                      <c:pt idx="56" formatCode="General">
                        <c:v>-175.09264264264266</c:v>
                      </c:pt>
                      <c:pt idx="57" formatCode="General">
                        <c:v>-176.13596096096097</c:v>
                      </c:pt>
                      <c:pt idx="58" formatCode="General">
                        <c:v>-177.17927927927929</c:v>
                      </c:pt>
                      <c:pt idx="59" formatCode="General">
                        <c:v>-178.2225975975976</c:v>
                      </c:pt>
                      <c:pt idx="60" formatCode="General">
                        <c:v>-179.26591591591594</c:v>
                      </c:pt>
                      <c:pt idx="61" formatCode="General">
                        <c:v>-180.30923423423425</c:v>
                      </c:pt>
                      <c:pt idx="62" formatCode="General">
                        <c:v>-181.23823529411766</c:v>
                      </c:pt>
                      <c:pt idx="63" formatCode="General">
                        <c:v>-182.13294117647058</c:v>
                      </c:pt>
                      <c:pt idx="64" formatCode="General">
                        <c:v>-183.02393939393937</c:v>
                      </c:pt>
                      <c:pt idx="65" formatCode="General">
                        <c:v>-183.89454545454547</c:v>
                      </c:pt>
                      <c:pt idx="66" formatCode="General">
                        <c:v>-184.76515151515153</c:v>
                      </c:pt>
                      <c:pt idx="67" formatCode="General">
                        <c:v>-185.58235294117648</c:v>
                      </c:pt>
                      <c:pt idx="68" formatCode="General">
                        <c:v>-186.36617647058824</c:v>
                      </c:pt>
                      <c:pt idx="69" formatCode="General">
                        <c:v>-187.14999999999998</c:v>
                      </c:pt>
                      <c:pt idx="70" formatCode="General">
                        <c:v>-187.91818181818181</c:v>
                      </c:pt>
                      <c:pt idx="71" formatCode="General">
                        <c:v>-188.68636363636364</c:v>
                      </c:pt>
                      <c:pt idx="72" formatCode="General">
                        <c:v>-189.38466165413536</c:v>
                      </c:pt>
                      <c:pt idx="73" formatCode="General">
                        <c:v>-190.00142857142859</c:v>
                      </c:pt>
                      <c:pt idx="74" formatCode="General">
                        <c:v>-190.61819548872182</c:v>
                      </c:pt>
                      <c:pt idx="75" formatCode="General">
                        <c:v>-191.23496240601506</c:v>
                      </c:pt>
                      <c:pt idx="76" formatCode="General">
                        <c:v>-191.85172932330829</c:v>
                      </c:pt>
                      <c:pt idx="77" formatCode="General">
                        <c:v>-192.46849624060152</c:v>
                      </c:pt>
                      <c:pt idx="78" formatCode="General">
                        <c:v>-193.08526315789473</c:v>
                      </c:pt>
                      <c:pt idx="79" formatCode="General">
                        <c:v>-193.70203007518796</c:v>
                      </c:pt>
                      <c:pt idx="80" formatCode="General">
                        <c:v>-194.3187969924812</c:v>
                      </c:pt>
                      <c:pt idx="81" formatCode="General">
                        <c:v>-194.93556390977443</c:v>
                      </c:pt>
                      <c:pt idx="82" formatCode="General">
                        <c:v>-195.49843283582089</c:v>
                      </c:pt>
                      <c:pt idx="83" formatCode="General">
                        <c:v>-195.88164179104479</c:v>
                      </c:pt>
                      <c:pt idx="84" formatCode="General">
                        <c:v>-196.26485074626865</c:v>
                      </c:pt>
                      <c:pt idx="85" formatCode="General">
                        <c:v>-196.64805970149254</c:v>
                      </c:pt>
                      <c:pt idx="86" formatCode="General">
                        <c:v>-197.03126865671643</c:v>
                      </c:pt>
                      <c:pt idx="87" formatCode="General">
                        <c:v>-197.4144776119403</c:v>
                      </c:pt>
                      <c:pt idx="88" formatCode="General">
                        <c:v>-197.79768656716419</c:v>
                      </c:pt>
                      <c:pt idx="89" formatCode="General">
                        <c:v>-198.18089552238806</c:v>
                      </c:pt>
                      <c:pt idx="90" formatCode="General">
                        <c:v>-198.56410447761195</c:v>
                      </c:pt>
                      <c:pt idx="91" formatCode="General">
                        <c:v>-198.94731343283584</c:v>
                      </c:pt>
                      <c:pt idx="92" formatCode="General">
                        <c:v>-199.33052238805971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F3C-4648-9C26-0B0A07188C01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-15.70018018018018</c:v>
                      </c:pt>
                      <c:pt idx="1">
                        <c:v>-14.888168168168168</c:v>
                      </c:pt>
                      <c:pt idx="2" formatCode="General">
                        <c:v>-14.076156156156156</c:v>
                      </c:pt>
                      <c:pt idx="3" formatCode="General">
                        <c:v>-13.171796407185628</c:v>
                      </c:pt>
                      <c:pt idx="4" formatCode="General">
                        <c:v>-12.245449101796405</c:v>
                      </c:pt>
                      <c:pt idx="5" formatCode="General">
                        <c:v>-11.336365269461076</c:v>
                      </c:pt>
                      <c:pt idx="6" formatCode="General">
                        <c:v>-10.482413173652693</c:v>
                      </c:pt>
                      <c:pt idx="7" formatCode="General">
                        <c:v>-9.628461077844312</c:v>
                      </c:pt>
                      <c:pt idx="8" formatCode="General">
                        <c:v>-8.8943293413173663</c:v>
                      </c:pt>
                      <c:pt idx="9" formatCode="General">
                        <c:v>-8.2194191616766474</c:v>
                      </c:pt>
                      <c:pt idx="10" formatCode="General">
                        <c:v>-7.5707814371257482</c:v>
                      </c:pt>
                      <c:pt idx="11" formatCode="General">
                        <c:v>-7.1585958083832333</c:v>
                      </c:pt>
                      <c:pt idx="12" formatCode="General">
                        <c:v>-6.7464101796407192</c:v>
                      </c:pt>
                      <c:pt idx="13" formatCode="General">
                        <c:v>-6.4751167664670657</c:v>
                      </c:pt>
                      <c:pt idx="14" formatCode="General">
                        <c:v>-6.3283802395209579</c:v>
                      </c:pt>
                      <c:pt idx="15" formatCode="General">
                        <c:v>-6.18164371257485</c:v>
                      </c:pt>
                      <c:pt idx="16" formatCode="General">
                        <c:v>-6.4226216216216221</c:v>
                      </c:pt>
                      <c:pt idx="17" formatCode="General">
                        <c:v>-6.6791081081081085</c:v>
                      </c:pt>
                      <c:pt idx="18" formatCode="General">
                        <c:v>-6.8345568862275448</c:v>
                      </c:pt>
                      <c:pt idx="19" formatCode="General">
                        <c:v>-6.8384491017964075</c:v>
                      </c:pt>
                      <c:pt idx="20" formatCode="General">
                        <c:v>-6.8423413173652694</c:v>
                      </c:pt>
                      <c:pt idx="21" formatCode="General">
                        <c:v>-6.8627245508982035</c:v>
                      </c:pt>
                      <c:pt idx="22" formatCode="General">
                        <c:v>-6.8864670658682634</c:v>
                      </c:pt>
                      <c:pt idx="23" formatCode="General">
                        <c:v>-6.911838323353293</c:v>
                      </c:pt>
                      <c:pt idx="24" formatCode="General">
                        <c:v>-6.9418083832335329</c:v>
                      </c:pt>
                      <c:pt idx="25" formatCode="General">
                        <c:v>-6.9717784431137719</c:v>
                      </c:pt>
                      <c:pt idx="26" formatCode="General">
                        <c:v>-7.0028263473053896</c:v>
                      </c:pt>
                      <c:pt idx="27" formatCode="General">
                        <c:v>-7.0343532934131741</c:v>
                      </c:pt>
                      <c:pt idx="28" formatCode="General">
                        <c:v>-7.0658802395209586</c:v>
                      </c:pt>
                      <c:pt idx="29" formatCode="General">
                        <c:v>-7.0974071856287431</c:v>
                      </c:pt>
                      <c:pt idx="30" formatCode="General">
                        <c:v>-7.1289341317365267</c:v>
                      </c:pt>
                      <c:pt idx="31" formatCode="General">
                        <c:v>-7.1602584269662923</c:v>
                      </c:pt>
                      <c:pt idx="32" formatCode="General">
                        <c:v>-7.1914194756554304</c:v>
                      </c:pt>
                      <c:pt idx="33" formatCode="General">
                        <c:v>-7.2225805243445693</c:v>
                      </c:pt>
                      <c:pt idx="34" formatCode="General">
                        <c:v>-7.2537415730337083</c:v>
                      </c:pt>
                      <c:pt idx="35" formatCode="General">
                        <c:v>-7.2849026217228463</c:v>
                      </c:pt>
                      <c:pt idx="36" formatCode="General">
                        <c:v>-7.3160636704119852</c:v>
                      </c:pt>
                      <c:pt idx="37" formatCode="General">
                        <c:v>-7.3472247191011233</c:v>
                      </c:pt>
                      <c:pt idx="38" formatCode="General">
                        <c:v>-7.3783857677902622</c:v>
                      </c:pt>
                      <c:pt idx="39" formatCode="General">
                        <c:v>-7.4095468164794012</c:v>
                      </c:pt>
                      <c:pt idx="40" formatCode="General">
                        <c:v>-7.4407078651685392</c:v>
                      </c:pt>
                      <c:pt idx="41" formatCode="General">
                        <c:v>-7.471370037453184</c:v>
                      </c:pt>
                      <c:pt idx="42" formatCode="General">
                        <c:v>-7.5007782771535583</c:v>
                      </c:pt>
                      <c:pt idx="43" formatCode="General">
                        <c:v>-7.5301865168539326</c:v>
                      </c:pt>
                      <c:pt idx="44" formatCode="General">
                        <c:v>-7.5595947565543069</c:v>
                      </c:pt>
                      <c:pt idx="45" formatCode="General">
                        <c:v>-7.5890029962546812</c:v>
                      </c:pt>
                      <c:pt idx="46" formatCode="General">
                        <c:v>-7.6184112359550564</c:v>
                      </c:pt>
                      <c:pt idx="47" formatCode="General">
                        <c:v>-7.6478194756554307</c:v>
                      </c:pt>
                      <c:pt idx="48" formatCode="General">
                        <c:v>-7.6772277153558051</c:v>
                      </c:pt>
                      <c:pt idx="49" formatCode="General">
                        <c:v>-7.7066359550561794</c:v>
                      </c:pt>
                      <c:pt idx="50" formatCode="General">
                        <c:v>-7.7360441947565537</c:v>
                      </c:pt>
                      <c:pt idx="51" formatCode="General">
                        <c:v>-7.7654249249249245</c:v>
                      </c:pt>
                      <c:pt idx="52" formatCode="General">
                        <c:v>-7.7930450450450452</c:v>
                      </c:pt>
                      <c:pt idx="53" formatCode="General">
                        <c:v>-7.8206651651651651</c:v>
                      </c:pt>
                      <c:pt idx="54" formatCode="General">
                        <c:v>-7.8482852852852849</c:v>
                      </c:pt>
                      <c:pt idx="55" formatCode="General">
                        <c:v>-7.8759054054054056</c:v>
                      </c:pt>
                      <c:pt idx="56" formatCode="General">
                        <c:v>-7.9035255255255255</c:v>
                      </c:pt>
                      <c:pt idx="57" formatCode="General">
                        <c:v>-7.9311456456456453</c:v>
                      </c:pt>
                      <c:pt idx="58" formatCode="General">
                        <c:v>-7.958765765765766</c:v>
                      </c:pt>
                      <c:pt idx="59" formatCode="General">
                        <c:v>-7.9863858858858858</c:v>
                      </c:pt>
                      <c:pt idx="60" formatCode="General">
                        <c:v>-8.0140060060060065</c:v>
                      </c:pt>
                      <c:pt idx="61" formatCode="General">
                        <c:v>-8.0416261261261255</c:v>
                      </c:pt>
                      <c:pt idx="62" formatCode="General">
                        <c:v>-8.0679999999999996</c:v>
                      </c:pt>
                      <c:pt idx="63" formatCode="General">
                        <c:v>-8.0939999999999994</c:v>
                      </c:pt>
                      <c:pt idx="64" formatCode="General">
                        <c:v>-8.1199999999999992</c:v>
                      </c:pt>
                      <c:pt idx="65" formatCode="General">
                        <c:v>-8.1460000000000008</c:v>
                      </c:pt>
                      <c:pt idx="66" formatCode="General">
                        <c:v>-8.1720000000000006</c:v>
                      </c:pt>
                      <c:pt idx="67" formatCode="General">
                        <c:v>-8.1975294117647053</c:v>
                      </c:pt>
                      <c:pt idx="68" formatCode="General">
                        <c:v>-8.2227647058823532</c:v>
                      </c:pt>
                      <c:pt idx="69" formatCode="General">
                        <c:v>-8.2479999999999993</c:v>
                      </c:pt>
                      <c:pt idx="70" formatCode="General">
                        <c:v>-8.2736060606060597</c:v>
                      </c:pt>
                      <c:pt idx="71" formatCode="General">
                        <c:v>-8.2992121212121219</c:v>
                      </c:pt>
                      <c:pt idx="72" formatCode="General">
                        <c:v>-8.3241879699248127</c:v>
                      </c:pt>
                      <c:pt idx="73" formatCode="General">
                        <c:v>-8.3484285714285722</c:v>
                      </c:pt>
                      <c:pt idx="74" formatCode="General">
                        <c:v>-8.3726691729323317</c:v>
                      </c:pt>
                      <c:pt idx="75" formatCode="General">
                        <c:v>-8.3969097744360912</c:v>
                      </c:pt>
                      <c:pt idx="76" formatCode="General">
                        <c:v>-8.4211503759398507</c:v>
                      </c:pt>
                      <c:pt idx="77" formatCode="General">
                        <c:v>-8.4453909774436084</c:v>
                      </c:pt>
                      <c:pt idx="78" formatCode="General">
                        <c:v>-8.469631578947368</c:v>
                      </c:pt>
                      <c:pt idx="79" formatCode="General">
                        <c:v>-8.4938721804511275</c:v>
                      </c:pt>
                      <c:pt idx="80" formatCode="General">
                        <c:v>-8.518112781954887</c:v>
                      </c:pt>
                      <c:pt idx="81" formatCode="General">
                        <c:v>-8.5423533834586465</c:v>
                      </c:pt>
                      <c:pt idx="82" formatCode="General">
                        <c:v>-8.5662388059701495</c:v>
                      </c:pt>
                      <c:pt idx="83" formatCode="General">
                        <c:v>-8.5889402985074632</c:v>
                      </c:pt>
                      <c:pt idx="84" formatCode="General">
                        <c:v>-8.6116417910447769</c:v>
                      </c:pt>
                      <c:pt idx="85" formatCode="General">
                        <c:v>-8.6343432835820888</c:v>
                      </c:pt>
                      <c:pt idx="86" formatCode="General">
                        <c:v>-8.6570447761194025</c:v>
                      </c:pt>
                      <c:pt idx="87" formatCode="General">
                        <c:v>-8.6797462686567162</c:v>
                      </c:pt>
                      <c:pt idx="88" formatCode="General">
                        <c:v>-8.7024477611940299</c:v>
                      </c:pt>
                      <c:pt idx="89" formatCode="General">
                        <c:v>-8.7251492537313435</c:v>
                      </c:pt>
                      <c:pt idx="90" formatCode="General">
                        <c:v>-8.7478507462686572</c:v>
                      </c:pt>
                      <c:pt idx="91" formatCode="General">
                        <c:v>-8.7705522388059709</c:v>
                      </c:pt>
                      <c:pt idx="92" formatCode="General">
                        <c:v>-8.7932537313432828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F3C-4648-9C26-0B0A07188C01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-59.785315315315316</c:v>
                      </c:pt>
                      <c:pt idx="1">
                        <c:v>-57.064294294294292</c:v>
                      </c:pt>
                      <c:pt idx="2" formatCode="General">
                        <c:v>-54.343273273273276</c:v>
                      </c:pt>
                      <c:pt idx="3" formatCode="General">
                        <c:v>-51.679131736526941</c:v>
                      </c:pt>
                      <c:pt idx="4" formatCode="General">
                        <c:v>-49.028532934131732</c:v>
                      </c:pt>
                      <c:pt idx="5" formatCode="General">
                        <c:v>-46.442904191616762</c:v>
                      </c:pt>
                      <c:pt idx="6" formatCode="General">
                        <c:v>-44.064760479041915</c:v>
                      </c:pt>
                      <c:pt idx="7" formatCode="General">
                        <c:v>-41.686616766467068</c:v>
                      </c:pt>
                      <c:pt idx="8" formatCode="General">
                        <c:v>-39.548113772455089</c:v>
                      </c:pt>
                      <c:pt idx="9" formatCode="General">
                        <c:v>-37.528053892215567</c:v>
                      </c:pt>
                      <c:pt idx="10" formatCode="General">
                        <c:v>-35.541856287425148</c:v>
                      </c:pt>
                      <c:pt idx="11" formatCode="General">
                        <c:v>-33.860419161676646</c:v>
                      </c:pt>
                      <c:pt idx="12" formatCode="General">
                        <c:v>-32.178982035928144</c:v>
                      </c:pt>
                      <c:pt idx="13" formatCode="General">
                        <c:v>-30.619431137724554</c:v>
                      </c:pt>
                      <c:pt idx="14" formatCode="General">
                        <c:v>-29.167634730538925</c:v>
                      </c:pt>
                      <c:pt idx="15" formatCode="General">
                        <c:v>-27.715838323353292</c:v>
                      </c:pt>
                      <c:pt idx="16" formatCode="General">
                        <c:v>-27.333423423423422</c:v>
                      </c:pt>
                      <c:pt idx="17" formatCode="General">
                        <c:v>-26.993783783783783</c:v>
                      </c:pt>
                      <c:pt idx="18" formatCode="General">
                        <c:v>-26.995508982035929</c:v>
                      </c:pt>
                      <c:pt idx="19" formatCode="General">
                        <c:v>-27.509281437125747</c:v>
                      </c:pt>
                      <c:pt idx="20" formatCode="General">
                        <c:v>-28.023053892215568</c:v>
                      </c:pt>
                      <c:pt idx="21" formatCode="General">
                        <c:v>-28.530359281437125</c:v>
                      </c:pt>
                      <c:pt idx="22" formatCode="General">
                        <c:v>-29.036347305389221</c:v>
                      </c:pt>
                      <c:pt idx="23" formatCode="General">
                        <c:v>-29.540299401197604</c:v>
                      </c:pt>
                      <c:pt idx="24" formatCode="General">
                        <c:v>-30.038502994011978</c:v>
                      </c:pt>
                      <c:pt idx="25" formatCode="General">
                        <c:v>-30.536706586826348</c:v>
                      </c:pt>
                      <c:pt idx="26" formatCode="General">
                        <c:v>-31.026826347305391</c:v>
                      </c:pt>
                      <c:pt idx="27" formatCode="General">
                        <c:v>-31.513353293413175</c:v>
                      </c:pt>
                      <c:pt idx="28" formatCode="General">
                        <c:v>-31.998443113772456</c:v>
                      </c:pt>
                      <c:pt idx="29" formatCode="General">
                        <c:v>-32.47329341317365</c:v>
                      </c:pt>
                      <c:pt idx="30" formatCode="General">
                        <c:v>-32.948143712574847</c:v>
                      </c:pt>
                      <c:pt idx="31" formatCode="General">
                        <c:v>-33.403235955056175</c:v>
                      </c:pt>
                      <c:pt idx="32" formatCode="General">
                        <c:v>-33.842411985018728</c:v>
                      </c:pt>
                      <c:pt idx="33" formatCode="General">
                        <c:v>-34.281588014981274</c:v>
                      </c:pt>
                      <c:pt idx="34" formatCode="General">
                        <c:v>-34.72076404494382</c:v>
                      </c:pt>
                      <c:pt idx="35" formatCode="General">
                        <c:v>-35.159940074906366</c:v>
                      </c:pt>
                      <c:pt idx="36" formatCode="General">
                        <c:v>-35.599116104868912</c:v>
                      </c:pt>
                      <c:pt idx="37" formatCode="General">
                        <c:v>-36.038292134831465</c:v>
                      </c:pt>
                      <c:pt idx="38" formatCode="General">
                        <c:v>-36.477468164794011</c:v>
                      </c:pt>
                      <c:pt idx="39" formatCode="General">
                        <c:v>-36.916644194756557</c:v>
                      </c:pt>
                      <c:pt idx="40" formatCode="General">
                        <c:v>-37.355820224719103</c:v>
                      </c:pt>
                      <c:pt idx="41" formatCode="General">
                        <c:v>-37.774209737827718</c:v>
                      </c:pt>
                      <c:pt idx="42" formatCode="General">
                        <c:v>-38.1403520599251</c:v>
                      </c:pt>
                      <c:pt idx="43" formatCode="General">
                        <c:v>-38.506494382022474</c:v>
                      </c:pt>
                      <c:pt idx="44" formatCode="General">
                        <c:v>-38.872636704119856</c:v>
                      </c:pt>
                      <c:pt idx="45" formatCode="General">
                        <c:v>-39.23877902621723</c:v>
                      </c:pt>
                      <c:pt idx="46" formatCode="General">
                        <c:v>-39.604921348314612</c:v>
                      </c:pt>
                      <c:pt idx="47" formatCode="General">
                        <c:v>-39.971063670411986</c:v>
                      </c:pt>
                      <c:pt idx="48" formatCode="General">
                        <c:v>-40.337205992509368</c:v>
                      </c:pt>
                      <c:pt idx="49" formatCode="General">
                        <c:v>-40.703348314606743</c:v>
                      </c:pt>
                      <c:pt idx="50" formatCode="General">
                        <c:v>-41.069490636704124</c:v>
                      </c:pt>
                      <c:pt idx="51" formatCode="General">
                        <c:v>-41.434354354354355</c:v>
                      </c:pt>
                      <c:pt idx="52" formatCode="General">
                        <c:v>-41.71738738738739</c:v>
                      </c:pt>
                      <c:pt idx="53" formatCode="General">
                        <c:v>-42.000420420420419</c:v>
                      </c:pt>
                      <c:pt idx="54" formatCode="General">
                        <c:v>-42.283453453453454</c:v>
                      </c:pt>
                      <c:pt idx="55" formatCode="General">
                        <c:v>-42.56648648648649</c:v>
                      </c:pt>
                      <c:pt idx="56" formatCode="General">
                        <c:v>-42.849519519519518</c:v>
                      </c:pt>
                      <c:pt idx="57" formatCode="General">
                        <c:v>-43.132552552552553</c:v>
                      </c:pt>
                      <c:pt idx="58" formatCode="General">
                        <c:v>-43.415585585585582</c:v>
                      </c:pt>
                      <c:pt idx="59" formatCode="General">
                        <c:v>-43.698618618618617</c:v>
                      </c:pt>
                      <c:pt idx="60" formatCode="General">
                        <c:v>-43.981651651651653</c:v>
                      </c:pt>
                      <c:pt idx="61" formatCode="General">
                        <c:v>-44.264684684684681</c:v>
                      </c:pt>
                      <c:pt idx="62" formatCode="General">
                        <c:v>-44.497647058823524</c:v>
                      </c:pt>
                      <c:pt idx="63" formatCode="General">
                        <c:v>-44.715588235294113</c:v>
                      </c:pt>
                      <c:pt idx="64" formatCode="General">
                        <c:v>-44.93151515151515</c:v>
                      </c:pt>
                      <c:pt idx="65" formatCode="General">
                        <c:v>-45.136363636363633</c:v>
                      </c:pt>
                      <c:pt idx="66" formatCode="General">
                        <c:v>-45.341212121212124</c:v>
                      </c:pt>
                      <c:pt idx="67" formatCode="General">
                        <c:v>-45.523529411764706</c:v>
                      </c:pt>
                      <c:pt idx="68" formatCode="General">
                        <c:v>-45.691764705882356</c:v>
                      </c:pt>
                      <c:pt idx="69" formatCode="General">
                        <c:v>-45.86</c:v>
                      </c:pt>
                      <c:pt idx="70" formatCode="General">
                        <c:v>-46.013636363636365</c:v>
                      </c:pt>
                      <c:pt idx="71" formatCode="General">
                        <c:v>-46.167272727272724</c:v>
                      </c:pt>
                      <c:pt idx="72" formatCode="General">
                        <c:v>-46.288796992481203</c:v>
                      </c:pt>
                      <c:pt idx="73" formatCode="General">
                        <c:v>-46.372857142857143</c:v>
                      </c:pt>
                      <c:pt idx="74" formatCode="General">
                        <c:v>-46.456917293233083</c:v>
                      </c:pt>
                      <c:pt idx="75" formatCode="General">
                        <c:v>-46.540977443609023</c:v>
                      </c:pt>
                      <c:pt idx="76" formatCode="General">
                        <c:v>-46.625037593984963</c:v>
                      </c:pt>
                      <c:pt idx="77" formatCode="General">
                        <c:v>-46.709097744360903</c:v>
                      </c:pt>
                      <c:pt idx="78" formatCode="General">
                        <c:v>-46.793157894736844</c:v>
                      </c:pt>
                      <c:pt idx="79" formatCode="General">
                        <c:v>-46.877218045112784</c:v>
                      </c:pt>
                      <c:pt idx="80" formatCode="General">
                        <c:v>-46.961278195488724</c:v>
                      </c:pt>
                      <c:pt idx="81" formatCode="General">
                        <c:v>-47.045338345864664</c:v>
                      </c:pt>
                      <c:pt idx="82" formatCode="General">
                        <c:v>-47.104179104477609</c:v>
                      </c:pt>
                      <c:pt idx="83" formatCode="General">
                        <c:v>-47.078955223880598</c:v>
                      </c:pt>
                      <c:pt idx="84" formatCode="General">
                        <c:v>-47.05373134328358</c:v>
                      </c:pt>
                      <c:pt idx="85" formatCode="General">
                        <c:v>-47.028507462686569</c:v>
                      </c:pt>
                      <c:pt idx="86" formatCode="General">
                        <c:v>-47.003283582089551</c:v>
                      </c:pt>
                      <c:pt idx="87" formatCode="General">
                        <c:v>-46.978059701492541</c:v>
                      </c:pt>
                      <c:pt idx="88" formatCode="General">
                        <c:v>-46.952835820895523</c:v>
                      </c:pt>
                      <c:pt idx="89" formatCode="General">
                        <c:v>-46.927611940298512</c:v>
                      </c:pt>
                      <c:pt idx="90" formatCode="General">
                        <c:v>-46.902388059701494</c:v>
                      </c:pt>
                      <c:pt idx="91" formatCode="General">
                        <c:v>-46.877164179104476</c:v>
                      </c:pt>
                      <c:pt idx="92" formatCode="General">
                        <c:v>-46.851940298507465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F3C-4648-9C26-0B0A07188C01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-22.018918918918921</c:v>
                      </c:pt>
                      <c:pt idx="1">
                        <c:v>-21.69099099099099</c:v>
                      </c:pt>
                      <c:pt idx="2" formatCode="General">
                        <c:v>-21.363063063063063</c:v>
                      </c:pt>
                      <c:pt idx="3" formatCode="General">
                        <c:v>-21.328293413173654</c:v>
                      </c:pt>
                      <c:pt idx="4" formatCode="General">
                        <c:v>-21.363323353293413</c:v>
                      </c:pt>
                      <c:pt idx="5" formatCode="General">
                        <c:v>-21.428053892215569</c:v>
                      </c:pt>
                      <c:pt idx="6" formatCode="General">
                        <c:v>-21.587634730538923</c:v>
                      </c:pt>
                      <c:pt idx="7" formatCode="General">
                        <c:v>-21.747215568862277</c:v>
                      </c:pt>
                      <c:pt idx="8" formatCode="General">
                        <c:v>-21.901586826347305</c:v>
                      </c:pt>
                      <c:pt idx="9" formatCode="General">
                        <c:v>-22.053383233532934</c:v>
                      </c:pt>
                      <c:pt idx="10" formatCode="General">
                        <c:v>-22.201287425149701</c:v>
                      </c:pt>
                      <c:pt idx="11" formatCode="General">
                        <c:v>-22.314161676646709</c:v>
                      </c:pt>
                      <c:pt idx="12" formatCode="General">
                        <c:v>-22.427035928143713</c:v>
                      </c:pt>
                      <c:pt idx="13" formatCode="General">
                        <c:v>-22.544041916167664</c:v>
                      </c:pt>
                      <c:pt idx="14" formatCode="General">
                        <c:v>-22.664700598802394</c:v>
                      </c:pt>
                      <c:pt idx="15" formatCode="General">
                        <c:v>-22.785359281437124</c:v>
                      </c:pt>
                      <c:pt idx="16" formatCode="General">
                        <c:v>-22.883843843843842</c:v>
                      </c:pt>
                      <c:pt idx="17" formatCode="General">
                        <c:v>-22.98144144144144</c:v>
                      </c:pt>
                      <c:pt idx="18" formatCode="General">
                        <c:v>-23.1162874251497</c:v>
                      </c:pt>
                      <c:pt idx="19" formatCode="General">
                        <c:v>-23.307005988023953</c:v>
                      </c:pt>
                      <c:pt idx="20" formatCode="General">
                        <c:v>-23.497724550898205</c:v>
                      </c:pt>
                      <c:pt idx="21" formatCode="General">
                        <c:v>-23.691676646706586</c:v>
                      </c:pt>
                      <c:pt idx="22" formatCode="General">
                        <c:v>-23.8862874251497</c:v>
                      </c:pt>
                      <c:pt idx="23" formatCode="General">
                        <c:v>-24.078862275449104</c:v>
                      </c:pt>
                      <c:pt idx="24" formatCode="General">
                        <c:v>-24.265688622754492</c:v>
                      </c:pt>
                      <c:pt idx="25" formatCode="General">
                        <c:v>-24.45251497005988</c:v>
                      </c:pt>
                      <c:pt idx="26" formatCode="General">
                        <c:v>-24.639341317365272</c:v>
                      </c:pt>
                      <c:pt idx="27" formatCode="General">
                        <c:v>-24.82616766467066</c:v>
                      </c:pt>
                      <c:pt idx="28" formatCode="General">
                        <c:v>-25.012994011976048</c:v>
                      </c:pt>
                      <c:pt idx="29" formatCode="General">
                        <c:v>-25.199820359281436</c:v>
                      </c:pt>
                      <c:pt idx="30" formatCode="General">
                        <c:v>-25.386646706586827</c:v>
                      </c:pt>
                      <c:pt idx="31" formatCode="General">
                        <c:v>-25.567617977528091</c:v>
                      </c:pt>
                      <c:pt idx="32" formatCode="General">
                        <c:v>-25.743872659176031</c:v>
                      </c:pt>
                      <c:pt idx="33" formatCode="General">
                        <c:v>-25.920127340823971</c:v>
                      </c:pt>
                      <c:pt idx="34" formatCode="General">
                        <c:v>-26.096382022471911</c:v>
                      </c:pt>
                      <c:pt idx="35" formatCode="General">
                        <c:v>-26.272636704119851</c:v>
                      </c:pt>
                      <c:pt idx="36" formatCode="General">
                        <c:v>-26.448891385767791</c:v>
                      </c:pt>
                      <c:pt idx="37" formatCode="General">
                        <c:v>-26.625146067415731</c:v>
                      </c:pt>
                      <c:pt idx="38" formatCode="General">
                        <c:v>-26.801400749063671</c:v>
                      </c:pt>
                      <c:pt idx="39" formatCode="General">
                        <c:v>-26.977655430711611</c:v>
                      </c:pt>
                      <c:pt idx="40" formatCode="General">
                        <c:v>-27.153910112359551</c:v>
                      </c:pt>
                      <c:pt idx="41" formatCode="General">
                        <c:v>-27.327670411985022</c:v>
                      </c:pt>
                      <c:pt idx="42" formatCode="General">
                        <c:v>-27.495161048689141</c:v>
                      </c:pt>
                      <c:pt idx="43" formatCode="General">
                        <c:v>-27.662651685393261</c:v>
                      </c:pt>
                      <c:pt idx="44" formatCode="General">
                        <c:v>-27.83014232209738</c:v>
                      </c:pt>
                      <c:pt idx="45" formatCode="General">
                        <c:v>-27.9976329588015</c:v>
                      </c:pt>
                      <c:pt idx="46" formatCode="General">
                        <c:v>-28.165123595505619</c:v>
                      </c:pt>
                      <c:pt idx="47" formatCode="General">
                        <c:v>-28.332614232209739</c:v>
                      </c:pt>
                      <c:pt idx="48" formatCode="General">
                        <c:v>-28.500104868913859</c:v>
                      </c:pt>
                      <c:pt idx="49" formatCode="General">
                        <c:v>-28.667595505617978</c:v>
                      </c:pt>
                      <c:pt idx="50" formatCode="General">
                        <c:v>-28.835086142322098</c:v>
                      </c:pt>
                      <c:pt idx="51" formatCode="General">
                        <c:v>-29.002447447447448</c:v>
                      </c:pt>
                      <c:pt idx="52" formatCode="General">
                        <c:v>-29.161531531531534</c:v>
                      </c:pt>
                      <c:pt idx="53" formatCode="General">
                        <c:v>-29.320615615615615</c:v>
                      </c:pt>
                      <c:pt idx="54" formatCode="General">
                        <c:v>-29.479699699699701</c:v>
                      </c:pt>
                      <c:pt idx="55" formatCode="General">
                        <c:v>-29.638783783783783</c:v>
                      </c:pt>
                      <c:pt idx="56" formatCode="General">
                        <c:v>-29.797867867867868</c:v>
                      </c:pt>
                      <c:pt idx="57" formatCode="General">
                        <c:v>-29.95695195195195</c:v>
                      </c:pt>
                      <c:pt idx="58" formatCode="General">
                        <c:v>-30.116036036036036</c:v>
                      </c:pt>
                      <c:pt idx="59" formatCode="General">
                        <c:v>-30.275120120120121</c:v>
                      </c:pt>
                      <c:pt idx="60" formatCode="General">
                        <c:v>-30.434204204204203</c:v>
                      </c:pt>
                      <c:pt idx="61" formatCode="General">
                        <c:v>-30.593288288288289</c:v>
                      </c:pt>
                      <c:pt idx="62" formatCode="General">
                        <c:v>-30.747647058823528</c:v>
                      </c:pt>
                      <c:pt idx="63" formatCode="General">
                        <c:v>-30.900588235294119</c:v>
                      </c:pt>
                      <c:pt idx="64" formatCode="General">
                        <c:v>-31.053636363636365</c:v>
                      </c:pt>
                      <c:pt idx="65" formatCode="General">
                        <c:v>-31.207272727272727</c:v>
                      </c:pt>
                      <c:pt idx="66" formatCode="General">
                        <c:v>-31.360909090909093</c:v>
                      </c:pt>
                      <c:pt idx="67" formatCode="General">
                        <c:v>-31.511764705882353</c:v>
                      </c:pt>
                      <c:pt idx="68" formatCode="General">
                        <c:v>-31.660882352941176</c:v>
                      </c:pt>
                      <c:pt idx="69" formatCode="General">
                        <c:v>-31.81</c:v>
                      </c:pt>
                      <c:pt idx="70" formatCode="General">
                        <c:v>-31.963636363636365</c:v>
                      </c:pt>
                      <c:pt idx="71" formatCode="General">
                        <c:v>-32.117272727272727</c:v>
                      </c:pt>
                      <c:pt idx="72" formatCode="General">
                        <c:v>-32.269022556390979</c:v>
                      </c:pt>
                      <c:pt idx="73" formatCode="General">
                        <c:v>-32.418571428571433</c:v>
                      </c:pt>
                      <c:pt idx="74" formatCode="General">
                        <c:v>-32.568120300751879</c:v>
                      </c:pt>
                      <c:pt idx="75" formatCode="General">
                        <c:v>-32.717669172932332</c:v>
                      </c:pt>
                      <c:pt idx="76" formatCode="General">
                        <c:v>-32.867218045112779</c:v>
                      </c:pt>
                      <c:pt idx="77" formatCode="General">
                        <c:v>-33.016766917293232</c:v>
                      </c:pt>
                      <c:pt idx="78" formatCode="General">
                        <c:v>-33.166315789473686</c:v>
                      </c:pt>
                      <c:pt idx="79" formatCode="General">
                        <c:v>-33.315864661654132</c:v>
                      </c:pt>
                      <c:pt idx="80" formatCode="General">
                        <c:v>-33.465413533834585</c:v>
                      </c:pt>
                      <c:pt idx="81" formatCode="General">
                        <c:v>-33.614962406015032</c:v>
                      </c:pt>
                      <c:pt idx="82" formatCode="General">
                        <c:v>-33.763358208955218</c:v>
                      </c:pt>
                      <c:pt idx="83" formatCode="General">
                        <c:v>-33.907910447761189</c:v>
                      </c:pt>
                      <c:pt idx="84" formatCode="General">
                        <c:v>-34.052462686567161</c:v>
                      </c:pt>
                      <c:pt idx="85" formatCode="General">
                        <c:v>-34.197014925373132</c:v>
                      </c:pt>
                      <c:pt idx="86" formatCode="General">
                        <c:v>-34.341567164179104</c:v>
                      </c:pt>
                      <c:pt idx="87" formatCode="General">
                        <c:v>-34.486119402985075</c:v>
                      </c:pt>
                      <c:pt idx="88" formatCode="General">
                        <c:v>-34.630671641791039</c:v>
                      </c:pt>
                      <c:pt idx="89" formatCode="General">
                        <c:v>-34.775223880597011</c:v>
                      </c:pt>
                      <c:pt idx="90" formatCode="General">
                        <c:v>-34.919776119402982</c:v>
                      </c:pt>
                      <c:pt idx="91" formatCode="General">
                        <c:v>-35.064328358208954</c:v>
                      </c:pt>
                      <c:pt idx="92" formatCode="General">
                        <c:v>-35.208880597014925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F3C-4648-9C26-0B0A07188C01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-22.018918918918921</c:v>
                      </c:pt>
                      <c:pt idx="1">
                        <c:v>-21.69099099099099</c:v>
                      </c:pt>
                      <c:pt idx="2" formatCode="General">
                        <c:v>-21.363063063063063</c:v>
                      </c:pt>
                      <c:pt idx="3" formatCode="General">
                        <c:v>-21.328293413173654</c:v>
                      </c:pt>
                      <c:pt idx="4" formatCode="General">
                        <c:v>-21.363323353293413</c:v>
                      </c:pt>
                      <c:pt idx="5" formatCode="General">
                        <c:v>-21.428053892215569</c:v>
                      </c:pt>
                      <c:pt idx="6" formatCode="General">
                        <c:v>-21.587634730538923</c:v>
                      </c:pt>
                      <c:pt idx="7" formatCode="General">
                        <c:v>-21.747215568862277</c:v>
                      </c:pt>
                      <c:pt idx="8" formatCode="General">
                        <c:v>-21.901586826347305</c:v>
                      </c:pt>
                      <c:pt idx="9" formatCode="General">
                        <c:v>-22.053383233532934</c:v>
                      </c:pt>
                      <c:pt idx="10" formatCode="General">
                        <c:v>-22.201287425149701</c:v>
                      </c:pt>
                      <c:pt idx="11" formatCode="General">
                        <c:v>-22.314161676646709</c:v>
                      </c:pt>
                      <c:pt idx="12" formatCode="General">
                        <c:v>-22.427035928143713</c:v>
                      </c:pt>
                      <c:pt idx="13" formatCode="General">
                        <c:v>-22.544041916167664</c:v>
                      </c:pt>
                      <c:pt idx="14" formatCode="General">
                        <c:v>-22.664700598802394</c:v>
                      </c:pt>
                      <c:pt idx="15" formatCode="General">
                        <c:v>-22.785359281437124</c:v>
                      </c:pt>
                      <c:pt idx="16" formatCode="General">
                        <c:v>-22.883843843843842</c:v>
                      </c:pt>
                      <c:pt idx="17" formatCode="General">
                        <c:v>-22.98144144144144</c:v>
                      </c:pt>
                      <c:pt idx="18" formatCode="General">
                        <c:v>-23.1162874251497</c:v>
                      </c:pt>
                      <c:pt idx="19" formatCode="General">
                        <c:v>-23.307005988023953</c:v>
                      </c:pt>
                      <c:pt idx="20" formatCode="General">
                        <c:v>-23.497724550898205</c:v>
                      </c:pt>
                      <c:pt idx="21" formatCode="General">
                        <c:v>-23.691676646706586</c:v>
                      </c:pt>
                      <c:pt idx="22" formatCode="General">
                        <c:v>-23.8862874251497</c:v>
                      </c:pt>
                      <c:pt idx="23" formatCode="General">
                        <c:v>-24.078862275449104</c:v>
                      </c:pt>
                      <c:pt idx="24" formatCode="General">
                        <c:v>-24.265688622754492</c:v>
                      </c:pt>
                      <c:pt idx="25" formatCode="General">
                        <c:v>-24.45251497005988</c:v>
                      </c:pt>
                      <c:pt idx="26" formatCode="General">
                        <c:v>-24.639341317365272</c:v>
                      </c:pt>
                      <c:pt idx="27" formatCode="General">
                        <c:v>-24.82616766467066</c:v>
                      </c:pt>
                      <c:pt idx="28" formatCode="General">
                        <c:v>-25.012994011976048</c:v>
                      </c:pt>
                      <c:pt idx="29" formatCode="General">
                        <c:v>-25.199820359281436</c:v>
                      </c:pt>
                      <c:pt idx="30" formatCode="General">
                        <c:v>-25.386646706586827</c:v>
                      </c:pt>
                      <c:pt idx="31" formatCode="General">
                        <c:v>-25.567617977528091</c:v>
                      </c:pt>
                      <c:pt idx="32" formatCode="General">
                        <c:v>-25.743872659176031</c:v>
                      </c:pt>
                      <c:pt idx="33" formatCode="General">
                        <c:v>-25.920127340823971</c:v>
                      </c:pt>
                      <c:pt idx="34" formatCode="General">
                        <c:v>-26.096382022471911</c:v>
                      </c:pt>
                      <c:pt idx="35" formatCode="General">
                        <c:v>-26.272636704119851</c:v>
                      </c:pt>
                      <c:pt idx="36" formatCode="General">
                        <c:v>-26.448891385767791</c:v>
                      </c:pt>
                      <c:pt idx="37" formatCode="General">
                        <c:v>-26.625146067415731</c:v>
                      </c:pt>
                      <c:pt idx="38" formatCode="General">
                        <c:v>-26.801400749063671</c:v>
                      </c:pt>
                      <c:pt idx="39" formatCode="General">
                        <c:v>-26.977655430711611</c:v>
                      </c:pt>
                      <c:pt idx="40" formatCode="General">
                        <c:v>-27.153910112359551</c:v>
                      </c:pt>
                      <c:pt idx="41" formatCode="General">
                        <c:v>-27.327670411985022</c:v>
                      </c:pt>
                      <c:pt idx="42" formatCode="General">
                        <c:v>-27.495161048689141</c:v>
                      </c:pt>
                      <c:pt idx="43" formatCode="General">
                        <c:v>-27.662651685393261</c:v>
                      </c:pt>
                      <c:pt idx="44" formatCode="General">
                        <c:v>-27.83014232209738</c:v>
                      </c:pt>
                      <c:pt idx="45" formatCode="General">
                        <c:v>-27.9976329588015</c:v>
                      </c:pt>
                      <c:pt idx="46" formatCode="General">
                        <c:v>-28.165123595505619</c:v>
                      </c:pt>
                      <c:pt idx="47" formatCode="General">
                        <c:v>-28.332614232209739</c:v>
                      </c:pt>
                      <c:pt idx="48" formatCode="General">
                        <c:v>-28.500104868913859</c:v>
                      </c:pt>
                      <c:pt idx="49" formatCode="General">
                        <c:v>-28.667595505617978</c:v>
                      </c:pt>
                      <c:pt idx="50" formatCode="General">
                        <c:v>-28.835086142322098</c:v>
                      </c:pt>
                      <c:pt idx="51" formatCode="General">
                        <c:v>-29.002447447447448</c:v>
                      </c:pt>
                      <c:pt idx="52" formatCode="General">
                        <c:v>-29.161531531531534</c:v>
                      </c:pt>
                      <c:pt idx="53" formatCode="General">
                        <c:v>-29.320615615615615</c:v>
                      </c:pt>
                      <c:pt idx="54" formatCode="General">
                        <c:v>-29.479699699699701</c:v>
                      </c:pt>
                      <c:pt idx="55" formatCode="General">
                        <c:v>-29.638783783783783</c:v>
                      </c:pt>
                      <c:pt idx="56" formatCode="General">
                        <c:v>-29.797867867867868</c:v>
                      </c:pt>
                      <c:pt idx="57" formatCode="General">
                        <c:v>-29.95695195195195</c:v>
                      </c:pt>
                      <c:pt idx="58" formatCode="General">
                        <c:v>-30.116036036036036</c:v>
                      </c:pt>
                      <c:pt idx="59" formatCode="General">
                        <c:v>-30.275120120120121</c:v>
                      </c:pt>
                      <c:pt idx="60" formatCode="General">
                        <c:v>-30.434204204204203</c:v>
                      </c:pt>
                      <c:pt idx="61" formatCode="General">
                        <c:v>-30.593288288288289</c:v>
                      </c:pt>
                      <c:pt idx="62" formatCode="General">
                        <c:v>-30.747647058823528</c:v>
                      </c:pt>
                      <c:pt idx="63" formatCode="General">
                        <c:v>-30.900588235294119</c:v>
                      </c:pt>
                      <c:pt idx="64" formatCode="General">
                        <c:v>-31.053636363636365</c:v>
                      </c:pt>
                      <c:pt idx="65" formatCode="General">
                        <c:v>-31.207272727272727</c:v>
                      </c:pt>
                      <c:pt idx="66" formatCode="General">
                        <c:v>-31.360909090909093</c:v>
                      </c:pt>
                      <c:pt idx="67" formatCode="General">
                        <c:v>-31.511764705882353</c:v>
                      </c:pt>
                      <c:pt idx="68" formatCode="General">
                        <c:v>-31.660882352941176</c:v>
                      </c:pt>
                      <c:pt idx="69" formatCode="General">
                        <c:v>-31.81</c:v>
                      </c:pt>
                      <c:pt idx="70" formatCode="General">
                        <c:v>-31.963636363636365</c:v>
                      </c:pt>
                      <c:pt idx="71" formatCode="General">
                        <c:v>-32.117272727272727</c:v>
                      </c:pt>
                      <c:pt idx="72" formatCode="General">
                        <c:v>-32.269022556390979</c:v>
                      </c:pt>
                      <c:pt idx="73" formatCode="General">
                        <c:v>-32.418571428571433</c:v>
                      </c:pt>
                      <c:pt idx="74" formatCode="General">
                        <c:v>-32.568120300751879</c:v>
                      </c:pt>
                      <c:pt idx="75" formatCode="General">
                        <c:v>-32.717669172932332</c:v>
                      </c:pt>
                      <c:pt idx="76" formatCode="General">
                        <c:v>-32.867218045112779</c:v>
                      </c:pt>
                      <c:pt idx="77" formatCode="General">
                        <c:v>-33.016766917293232</c:v>
                      </c:pt>
                      <c:pt idx="78" formatCode="General">
                        <c:v>-33.166315789473686</c:v>
                      </c:pt>
                      <c:pt idx="79" formatCode="General">
                        <c:v>-33.315864661654132</c:v>
                      </c:pt>
                      <c:pt idx="80" formatCode="General">
                        <c:v>-33.465413533834585</c:v>
                      </c:pt>
                      <c:pt idx="81" formatCode="General">
                        <c:v>-33.614962406015032</c:v>
                      </c:pt>
                      <c:pt idx="82" formatCode="General">
                        <c:v>-33.763358208955218</c:v>
                      </c:pt>
                      <c:pt idx="83" formatCode="General">
                        <c:v>-33.907910447761189</c:v>
                      </c:pt>
                      <c:pt idx="84" formatCode="General">
                        <c:v>-34.052462686567161</c:v>
                      </c:pt>
                      <c:pt idx="85" formatCode="General">
                        <c:v>-34.197014925373132</c:v>
                      </c:pt>
                      <c:pt idx="86" formatCode="General">
                        <c:v>-34.341567164179104</c:v>
                      </c:pt>
                      <c:pt idx="87" formatCode="General">
                        <c:v>-34.486119402985075</c:v>
                      </c:pt>
                      <c:pt idx="88" formatCode="General">
                        <c:v>-34.630671641791039</c:v>
                      </c:pt>
                      <c:pt idx="89" formatCode="General">
                        <c:v>-34.775223880597011</c:v>
                      </c:pt>
                      <c:pt idx="90" formatCode="General">
                        <c:v>-34.919776119402982</c:v>
                      </c:pt>
                      <c:pt idx="91" formatCode="General">
                        <c:v>-35.064328358208954</c:v>
                      </c:pt>
                      <c:pt idx="92" formatCode="General">
                        <c:v>-35.208880597014925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F3C-4648-9C26-0B0A07188C01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-22.018918918918921</c:v>
                      </c:pt>
                      <c:pt idx="1">
                        <c:v>-21.69099099099099</c:v>
                      </c:pt>
                      <c:pt idx="2" formatCode="General">
                        <c:v>-21.363063063063063</c:v>
                      </c:pt>
                      <c:pt idx="3" formatCode="General">
                        <c:v>-21.328293413173654</c:v>
                      </c:pt>
                      <c:pt idx="4" formatCode="General">
                        <c:v>-21.363323353293413</c:v>
                      </c:pt>
                      <c:pt idx="5" formatCode="General">
                        <c:v>-21.428053892215569</c:v>
                      </c:pt>
                      <c:pt idx="6" formatCode="General">
                        <c:v>-21.587634730538923</c:v>
                      </c:pt>
                      <c:pt idx="7" formatCode="General">
                        <c:v>-21.747215568862277</c:v>
                      </c:pt>
                      <c:pt idx="8" formatCode="General">
                        <c:v>-21.901586826347305</c:v>
                      </c:pt>
                      <c:pt idx="9" formatCode="General">
                        <c:v>-22.053383233532934</c:v>
                      </c:pt>
                      <c:pt idx="10" formatCode="General">
                        <c:v>-22.201287425149701</c:v>
                      </c:pt>
                      <c:pt idx="11" formatCode="General">
                        <c:v>-22.314161676646709</c:v>
                      </c:pt>
                      <c:pt idx="12" formatCode="General">
                        <c:v>-22.427035928143713</c:v>
                      </c:pt>
                      <c:pt idx="13" formatCode="General">
                        <c:v>-22.544041916167664</c:v>
                      </c:pt>
                      <c:pt idx="14" formatCode="General">
                        <c:v>-22.664700598802394</c:v>
                      </c:pt>
                      <c:pt idx="15" formatCode="General">
                        <c:v>-22.785359281437124</c:v>
                      </c:pt>
                      <c:pt idx="16" formatCode="General">
                        <c:v>-22.883843843843842</c:v>
                      </c:pt>
                      <c:pt idx="17" formatCode="General">
                        <c:v>-22.98144144144144</c:v>
                      </c:pt>
                      <c:pt idx="18" formatCode="General">
                        <c:v>-23.1162874251497</c:v>
                      </c:pt>
                      <c:pt idx="19" formatCode="General">
                        <c:v>-23.307005988023953</c:v>
                      </c:pt>
                      <c:pt idx="20" formatCode="General">
                        <c:v>-23.497724550898205</c:v>
                      </c:pt>
                      <c:pt idx="21" formatCode="General">
                        <c:v>-23.691676646706586</c:v>
                      </c:pt>
                      <c:pt idx="22" formatCode="General">
                        <c:v>-23.8862874251497</c:v>
                      </c:pt>
                      <c:pt idx="23" formatCode="General">
                        <c:v>-24.078862275449104</c:v>
                      </c:pt>
                      <c:pt idx="24" formatCode="General">
                        <c:v>-24.265688622754492</c:v>
                      </c:pt>
                      <c:pt idx="25" formatCode="General">
                        <c:v>-24.45251497005988</c:v>
                      </c:pt>
                      <c:pt idx="26" formatCode="General">
                        <c:v>-24.639341317365272</c:v>
                      </c:pt>
                      <c:pt idx="27" formatCode="General">
                        <c:v>-24.82616766467066</c:v>
                      </c:pt>
                      <c:pt idx="28" formatCode="General">
                        <c:v>-25.012994011976048</c:v>
                      </c:pt>
                      <c:pt idx="29" formatCode="General">
                        <c:v>-25.199820359281436</c:v>
                      </c:pt>
                      <c:pt idx="30" formatCode="General">
                        <c:v>-25.386646706586827</c:v>
                      </c:pt>
                      <c:pt idx="31" formatCode="General">
                        <c:v>-25.567617977528091</c:v>
                      </c:pt>
                      <c:pt idx="32" formatCode="General">
                        <c:v>-25.743872659176031</c:v>
                      </c:pt>
                      <c:pt idx="33" formatCode="General">
                        <c:v>-25.920127340823971</c:v>
                      </c:pt>
                      <c:pt idx="34" formatCode="General">
                        <c:v>-26.096382022471911</c:v>
                      </c:pt>
                      <c:pt idx="35" formatCode="General">
                        <c:v>-26.272636704119851</c:v>
                      </c:pt>
                      <c:pt idx="36" formatCode="General">
                        <c:v>-26.448891385767791</c:v>
                      </c:pt>
                      <c:pt idx="37" formatCode="General">
                        <c:v>-26.625146067415731</c:v>
                      </c:pt>
                      <c:pt idx="38" formatCode="General">
                        <c:v>-26.801400749063671</c:v>
                      </c:pt>
                      <c:pt idx="39" formatCode="General">
                        <c:v>-26.977655430711611</c:v>
                      </c:pt>
                      <c:pt idx="40" formatCode="General">
                        <c:v>-27.153910112359551</c:v>
                      </c:pt>
                      <c:pt idx="41" formatCode="General">
                        <c:v>-27.327670411985022</c:v>
                      </c:pt>
                      <c:pt idx="42" formatCode="General">
                        <c:v>-27.495161048689141</c:v>
                      </c:pt>
                      <c:pt idx="43" formatCode="General">
                        <c:v>-27.662651685393261</c:v>
                      </c:pt>
                      <c:pt idx="44" formatCode="General">
                        <c:v>-27.83014232209738</c:v>
                      </c:pt>
                      <c:pt idx="45" formatCode="General">
                        <c:v>-27.9976329588015</c:v>
                      </c:pt>
                      <c:pt idx="46" formatCode="General">
                        <c:v>-28.165123595505619</c:v>
                      </c:pt>
                      <c:pt idx="47" formatCode="General">
                        <c:v>-28.332614232209739</c:v>
                      </c:pt>
                      <c:pt idx="48" formatCode="General">
                        <c:v>-28.500104868913859</c:v>
                      </c:pt>
                      <c:pt idx="49" formatCode="General">
                        <c:v>-28.667595505617978</c:v>
                      </c:pt>
                      <c:pt idx="50" formatCode="General">
                        <c:v>-28.835086142322098</c:v>
                      </c:pt>
                      <c:pt idx="51" formatCode="General">
                        <c:v>-29.002447447447448</c:v>
                      </c:pt>
                      <c:pt idx="52" formatCode="General">
                        <c:v>-29.161531531531534</c:v>
                      </c:pt>
                      <c:pt idx="53" formatCode="General">
                        <c:v>-29.320615615615615</c:v>
                      </c:pt>
                      <c:pt idx="54" formatCode="General">
                        <c:v>-29.479699699699701</c:v>
                      </c:pt>
                      <c:pt idx="55" formatCode="General">
                        <c:v>-29.638783783783783</c:v>
                      </c:pt>
                      <c:pt idx="56" formatCode="General">
                        <c:v>-29.797867867867868</c:v>
                      </c:pt>
                      <c:pt idx="57" formatCode="General">
                        <c:v>-29.95695195195195</c:v>
                      </c:pt>
                      <c:pt idx="58" formatCode="General">
                        <c:v>-30.116036036036036</c:v>
                      </c:pt>
                      <c:pt idx="59" formatCode="General">
                        <c:v>-30.275120120120121</c:v>
                      </c:pt>
                      <c:pt idx="60" formatCode="General">
                        <c:v>-30.434204204204203</c:v>
                      </c:pt>
                      <c:pt idx="61" formatCode="General">
                        <c:v>-30.593288288288289</c:v>
                      </c:pt>
                      <c:pt idx="62" formatCode="General">
                        <c:v>-30.747647058823528</c:v>
                      </c:pt>
                      <c:pt idx="63" formatCode="General">
                        <c:v>-30.900588235294119</c:v>
                      </c:pt>
                      <c:pt idx="64" formatCode="General">
                        <c:v>-31.053636363636365</c:v>
                      </c:pt>
                      <c:pt idx="65" formatCode="General">
                        <c:v>-31.207272727272727</c:v>
                      </c:pt>
                      <c:pt idx="66" formatCode="General">
                        <c:v>-31.360909090909093</c:v>
                      </c:pt>
                      <c:pt idx="67" formatCode="General">
                        <c:v>-31.511764705882353</c:v>
                      </c:pt>
                      <c:pt idx="68" formatCode="General">
                        <c:v>-31.660882352941176</c:v>
                      </c:pt>
                      <c:pt idx="69" formatCode="General">
                        <c:v>-31.81</c:v>
                      </c:pt>
                      <c:pt idx="70" formatCode="General">
                        <c:v>-31.963636363636365</c:v>
                      </c:pt>
                      <c:pt idx="71" formatCode="General">
                        <c:v>-32.117272727272727</c:v>
                      </c:pt>
                      <c:pt idx="72" formatCode="General">
                        <c:v>-32.269022556390979</c:v>
                      </c:pt>
                      <c:pt idx="73" formatCode="General">
                        <c:v>-32.418571428571433</c:v>
                      </c:pt>
                      <c:pt idx="74" formatCode="General">
                        <c:v>-32.568120300751879</c:v>
                      </c:pt>
                      <c:pt idx="75" formatCode="General">
                        <c:v>-32.717669172932332</c:v>
                      </c:pt>
                      <c:pt idx="76" formatCode="General">
                        <c:v>-32.867218045112779</c:v>
                      </c:pt>
                      <c:pt idx="77" formatCode="General">
                        <c:v>-33.016766917293232</c:v>
                      </c:pt>
                      <c:pt idx="78" formatCode="General">
                        <c:v>-33.166315789473686</c:v>
                      </c:pt>
                      <c:pt idx="79" formatCode="General">
                        <c:v>-33.315864661654132</c:v>
                      </c:pt>
                      <c:pt idx="80" formatCode="General">
                        <c:v>-33.465413533834585</c:v>
                      </c:pt>
                      <c:pt idx="81" formatCode="General">
                        <c:v>-33.614962406015032</c:v>
                      </c:pt>
                      <c:pt idx="82" formatCode="General">
                        <c:v>-33.763358208955218</c:v>
                      </c:pt>
                      <c:pt idx="83" formatCode="General">
                        <c:v>-33.907910447761189</c:v>
                      </c:pt>
                      <c:pt idx="84" formatCode="General">
                        <c:v>-34.052462686567161</c:v>
                      </c:pt>
                      <c:pt idx="85" formatCode="General">
                        <c:v>-34.197014925373132</c:v>
                      </c:pt>
                      <c:pt idx="86" formatCode="General">
                        <c:v>-34.341567164179104</c:v>
                      </c:pt>
                      <c:pt idx="87" formatCode="General">
                        <c:v>-34.486119402985075</c:v>
                      </c:pt>
                      <c:pt idx="88" formatCode="General">
                        <c:v>-34.630671641791039</c:v>
                      </c:pt>
                      <c:pt idx="89" formatCode="General">
                        <c:v>-34.775223880597011</c:v>
                      </c:pt>
                      <c:pt idx="90" formatCode="General">
                        <c:v>-34.919776119402982</c:v>
                      </c:pt>
                      <c:pt idx="91" formatCode="General">
                        <c:v>-35.064328358208954</c:v>
                      </c:pt>
                      <c:pt idx="92" formatCode="General">
                        <c:v>-35.208880597014925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F3C-4648-9C26-0B0A07188C01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-15.70018018018018</c:v>
                      </c:pt>
                      <c:pt idx="1">
                        <c:v>-14.888168168168168</c:v>
                      </c:pt>
                      <c:pt idx="2" formatCode="General">
                        <c:v>-14.076156156156156</c:v>
                      </c:pt>
                      <c:pt idx="3" formatCode="General">
                        <c:v>-13.171796407185628</c:v>
                      </c:pt>
                      <c:pt idx="4" formatCode="General">
                        <c:v>-12.245449101796405</c:v>
                      </c:pt>
                      <c:pt idx="5" formatCode="General">
                        <c:v>-11.336365269461076</c:v>
                      </c:pt>
                      <c:pt idx="6" formatCode="General">
                        <c:v>-10.482413173652693</c:v>
                      </c:pt>
                      <c:pt idx="7" formatCode="General">
                        <c:v>-9.628461077844312</c:v>
                      </c:pt>
                      <c:pt idx="8" formatCode="General">
                        <c:v>-8.8943293413173663</c:v>
                      </c:pt>
                      <c:pt idx="9" formatCode="General">
                        <c:v>-8.2194191616766474</c:v>
                      </c:pt>
                      <c:pt idx="10" formatCode="General">
                        <c:v>-7.5707814371257482</c:v>
                      </c:pt>
                      <c:pt idx="11" formatCode="General">
                        <c:v>-7.1585958083832333</c:v>
                      </c:pt>
                      <c:pt idx="12" formatCode="General">
                        <c:v>-6.7464101796407192</c:v>
                      </c:pt>
                      <c:pt idx="13" formatCode="General">
                        <c:v>-6.4751167664670657</c:v>
                      </c:pt>
                      <c:pt idx="14" formatCode="General">
                        <c:v>-6.3283802395209579</c:v>
                      </c:pt>
                      <c:pt idx="15" formatCode="General">
                        <c:v>-6.18164371257485</c:v>
                      </c:pt>
                      <c:pt idx="16" formatCode="General">
                        <c:v>-6.4226216216216221</c:v>
                      </c:pt>
                      <c:pt idx="17" formatCode="General">
                        <c:v>-6.6791081081081085</c:v>
                      </c:pt>
                      <c:pt idx="18" formatCode="General">
                        <c:v>-6.8345568862275448</c:v>
                      </c:pt>
                      <c:pt idx="19" formatCode="General">
                        <c:v>-6.8384491017964075</c:v>
                      </c:pt>
                      <c:pt idx="20" formatCode="General">
                        <c:v>-6.8423413173652694</c:v>
                      </c:pt>
                      <c:pt idx="21" formatCode="General">
                        <c:v>-6.8627245508982035</c:v>
                      </c:pt>
                      <c:pt idx="22" formatCode="General">
                        <c:v>-6.8864670658682634</c:v>
                      </c:pt>
                      <c:pt idx="23" formatCode="General">
                        <c:v>-6.911838323353293</c:v>
                      </c:pt>
                      <c:pt idx="24" formatCode="General">
                        <c:v>-6.9418083832335329</c:v>
                      </c:pt>
                      <c:pt idx="25" formatCode="General">
                        <c:v>-6.9717784431137719</c:v>
                      </c:pt>
                      <c:pt idx="26" formatCode="General">
                        <c:v>-7.0028263473053896</c:v>
                      </c:pt>
                      <c:pt idx="27" formatCode="General">
                        <c:v>-7.0343532934131741</c:v>
                      </c:pt>
                      <c:pt idx="28" formatCode="General">
                        <c:v>-7.0658802395209586</c:v>
                      </c:pt>
                      <c:pt idx="29" formatCode="General">
                        <c:v>-7.0974071856287431</c:v>
                      </c:pt>
                      <c:pt idx="30" formatCode="General">
                        <c:v>-7.1289341317365267</c:v>
                      </c:pt>
                      <c:pt idx="31" formatCode="General">
                        <c:v>-7.1602584269662923</c:v>
                      </c:pt>
                      <c:pt idx="32" formatCode="General">
                        <c:v>-7.1914194756554304</c:v>
                      </c:pt>
                      <c:pt idx="33" formatCode="General">
                        <c:v>-7.2225805243445693</c:v>
                      </c:pt>
                      <c:pt idx="34" formatCode="General">
                        <c:v>-7.2537415730337083</c:v>
                      </c:pt>
                      <c:pt idx="35" formatCode="General">
                        <c:v>-7.2849026217228463</c:v>
                      </c:pt>
                      <c:pt idx="36" formatCode="General">
                        <c:v>-7.3160636704119852</c:v>
                      </c:pt>
                      <c:pt idx="37" formatCode="General">
                        <c:v>-7.3472247191011233</c:v>
                      </c:pt>
                      <c:pt idx="38" formatCode="General">
                        <c:v>-7.3783857677902622</c:v>
                      </c:pt>
                      <c:pt idx="39" formatCode="General">
                        <c:v>-7.4095468164794012</c:v>
                      </c:pt>
                      <c:pt idx="40" formatCode="General">
                        <c:v>-7.4407078651685392</c:v>
                      </c:pt>
                      <c:pt idx="41" formatCode="General">
                        <c:v>-7.471370037453184</c:v>
                      </c:pt>
                      <c:pt idx="42" formatCode="General">
                        <c:v>-7.5007782771535583</c:v>
                      </c:pt>
                      <c:pt idx="43" formatCode="General">
                        <c:v>-7.5301865168539326</c:v>
                      </c:pt>
                      <c:pt idx="44" formatCode="General">
                        <c:v>-7.5595947565543069</c:v>
                      </c:pt>
                      <c:pt idx="45" formatCode="General">
                        <c:v>-7.5890029962546812</c:v>
                      </c:pt>
                      <c:pt idx="46" formatCode="General">
                        <c:v>-7.6184112359550564</c:v>
                      </c:pt>
                      <c:pt idx="47" formatCode="General">
                        <c:v>-7.6478194756554307</c:v>
                      </c:pt>
                      <c:pt idx="48" formatCode="General">
                        <c:v>-7.6772277153558051</c:v>
                      </c:pt>
                      <c:pt idx="49" formatCode="General">
                        <c:v>-7.7066359550561794</c:v>
                      </c:pt>
                      <c:pt idx="50" formatCode="General">
                        <c:v>-7.7360441947565537</c:v>
                      </c:pt>
                      <c:pt idx="51" formatCode="General">
                        <c:v>-7.7654249249249245</c:v>
                      </c:pt>
                      <c:pt idx="52" formatCode="General">
                        <c:v>-7.7930450450450452</c:v>
                      </c:pt>
                      <c:pt idx="53" formatCode="General">
                        <c:v>-7.8206651651651651</c:v>
                      </c:pt>
                      <c:pt idx="54" formatCode="General">
                        <c:v>-7.8482852852852849</c:v>
                      </c:pt>
                      <c:pt idx="55" formatCode="General">
                        <c:v>-7.8759054054054056</c:v>
                      </c:pt>
                      <c:pt idx="56" formatCode="General">
                        <c:v>-7.9035255255255255</c:v>
                      </c:pt>
                      <c:pt idx="57" formatCode="General">
                        <c:v>-7.9311456456456453</c:v>
                      </c:pt>
                      <c:pt idx="58" formatCode="General">
                        <c:v>-7.958765765765766</c:v>
                      </c:pt>
                      <c:pt idx="59" formatCode="General">
                        <c:v>-7.9863858858858858</c:v>
                      </c:pt>
                      <c:pt idx="60" formatCode="General">
                        <c:v>-8.0140060060060065</c:v>
                      </c:pt>
                      <c:pt idx="61" formatCode="General">
                        <c:v>-8.0416261261261255</c:v>
                      </c:pt>
                      <c:pt idx="62" formatCode="General">
                        <c:v>-8.0679999999999996</c:v>
                      </c:pt>
                      <c:pt idx="63" formatCode="General">
                        <c:v>-8.0939999999999994</c:v>
                      </c:pt>
                      <c:pt idx="64" formatCode="General">
                        <c:v>-8.1199999999999992</c:v>
                      </c:pt>
                      <c:pt idx="65" formatCode="General">
                        <c:v>-8.1460000000000008</c:v>
                      </c:pt>
                      <c:pt idx="66" formatCode="General">
                        <c:v>-8.1720000000000006</c:v>
                      </c:pt>
                      <c:pt idx="67" formatCode="General">
                        <c:v>-8.1975294117647053</c:v>
                      </c:pt>
                      <c:pt idx="68" formatCode="General">
                        <c:v>-8.2227647058823532</c:v>
                      </c:pt>
                      <c:pt idx="69" formatCode="General">
                        <c:v>-8.2479999999999993</c:v>
                      </c:pt>
                      <c:pt idx="70" formatCode="General">
                        <c:v>-8.2736060606060597</c:v>
                      </c:pt>
                      <c:pt idx="71" formatCode="General">
                        <c:v>-8.2992121212121219</c:v>
                      </c:pt>
                      <c:pt idx="72" formatCode="General">
                        <c:v>-8.3241879699248127</c:v>
                      </c:pt>
                      <c:pt idx="73" formatCode="General">
                        <c:v>-8.3484285714285722</c:v>
                      </c:pt>
                      <c:pt idx="74" formatCode="General">
                        <c:v>-8.3726691729323317</c:v>
                      </c:pt>
                      <c:pt idx="75" formatCode="General">
                        <c:v>-8.3969097744360912</c:v>
                      </c:pt>
                      <c:pt idx="76" formatCode="General">
                        <c:v>-8.4211503759398507</c:v>
                      </c:pt>
                      <c:pt idx="77" formatCode="General">
                        <c:v>-8.4453909774436084</c:v>
                      </c:pt>
                      <c:pt idx="78" formatCode="General">
                        <c:v>-8.469631578947368</c:v>
                      </c:pt>
                      <c:pt idx="79" formatCode="General">
                        <c:v>-8.4938721804511275</c:v>
                      </c:pt>
                      <c:pt idx="80" formatCode="General">
                        <c:v>-8.518112781954887</c:v>
                      </c:pt>
                      <c:pt idx="81" formatCode="General">
                        <c:v>-8.5423533834586465</c:v>
                      </c:pt>
                      <c:pt idx="82" formatCode="General">
                        <c:v>-8.5662388059701495</c:v>
                      </c:pt>
                      <c:pt idx="83" formatCode="General">
                        <c:v>-8.5889402985074632</c:v>
                      </c:pt>
                      <c:pt idx="84" formatCode="General">
                        <c:v>-8.6116417910447769</c:v>
                      </c:pt>
                      <c:pt idx="85" formatCode="General">
                        <c:v>-8.6343432835820888</c:v>
                      </c:pt>
                      <c:pt idx="86" formatCode="General">
                        <c:v>-8.6570447761194025</c:v>
                      </c:pt>
                      <c:pt idx="87" formatCode="General">
                        <c:v>-8.6797462686567162</c:v>
                      </c:pt>
                      <c:pt idx="88" formatCode="General">
                        <c:v>-8.7024477611940299</c:v>
                      </c:pt>
                      <c:pt idx="89" formatCode="General">
                        <c:v>-8.7251492537313435</c:v>
                      </c:pt>
                      <c:pt idx="90" formatCode="General">
                        <c:v>-8.7478507462686572</c:v>
                      </c:pt>
                      <c:pt idx="91" formatCode="General">
                        <c:v>-8.7705522388059709</c:v>
                      </c:pt>
                      <c:pt idx="92" formatCode="General">
                        <c:v>-8.7932537313432828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F3C-4648-9C26-0B0A07188C01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-18.878558558558559</c:v>
                      </c:pt>
                      <c:pt idx="1">
                        <c:v>-18.874654654654655</c:v>
                      </c:pt>
                      <c:pt idx="2" formatCode="General">
                        <c:v>-18.870750750750751</c:v>
                      </c:pt>
                      <c:pt idx="3" formatCode="General">
                        <c:v>-18.879431137724552</c:v>
                      </c:pt>
                      <c:pt idx="4" formatCode="General">
                        <c:v>-18.891107784431139</c:v>
                      </c:pt>
                      <c:pt idx="5" formatCode="General">
                        <c:v>-18.903712574850299</c:v>
                      </c:pt>
                      <c:pt idx="6" formatCode="General">
                        <c:v>-18.919281437125747</c:v>
                      </c:pt>
                      <c:pt idx="7" formatCode="General">
                        <c:v>-18.934850299401198</c:v>
                      </c:pt>
                      <c:pt idx="8" formatCode="General">
                        <c:v>-18.953023952095808</c:v>
                      </c:pt>
                      <c:pt idx="9" formatCode="General">
                        <c:v>-18.97248502994012</c:v>
                      </c:pt>
                      <c:pt idx="10" formatCode="General">
                        <c:v>-18.991946107784429</c:v>
                      </c:pt>
                      <c:pt idx="11" formatCode="General">
                        <c:v>-19.011407185628741</c:v>
                      </c:pt>
                      <c:pt idx="12" formatCode="General">
                        <c:v>-19.030868263473053</c:v>
                      </c:pt>
                      <c:pt idx="13" formatCode="General">
                        <c:v>-19.046197604790418</c:v>
                      </c:pt>
                      <c:pt idx="14" formatCode="General">
                        <c:v>-19.057874251497005</c:v>
                      </c:pt>
                      <c:pt idx="15" formatCode="General">
                        <c:v>-19.069550898203595</c:v>
                      </c:pt>
                      <c:pt idx="16" formatCode="General">
                        <c:v>-19.028708708708709</c:v>
                      </c:pt>
                      <c:pt idx="17" formatCode="General">
                        <c:v>-18.985765765765766</c:v>
                      </c:pt>
                      <c:pt idx="18" formatCode="General">
                        <c:v>-18.970898203592814</c:v>
                      </c:pt>
                      <c:pt idx="19" formatCode="General">
                        <c:v>-18.998143712574851</c:v>
                      </c:pt>
                      <c:pt idx="20" formatCode="General">
                        <c:v>-19.025389221556889</c:v>
                      </c:pt>
                      <c:pt idx="21" formatCode="General">
                        <c:v>-19.052634730538923</c:v>
                      </c:pt>
                      <c:pt idx="22" formatCode="General">
                        <c:v>-19.079880239520961</c:v>
                      </c:pt>
                      <c:pt idx="23" formatCode="General">
                        <c:v>-19.107125748502995</c:v>
                      </c:pt>
                      <c:pt idx="24" formatCode="General">
                        <c:v>-19.134371257485032</c:v>
                      </c:pt>
                      <c:pt idx="25" formatCode="General">
                        <c:v>-19.161616766467066</c:v>
                      </c:pt>
                      <c:pt idx="26" formatCode="General">
                        <c:v>-19.188862275449104</c:v>
                      </c:pt>
                      <c:pt idx="27" formatCode="General">
                        <c:v>-19.216107784431138</c:v>
                      </c:pt>
                      <c:pt idx="28" formatCode="General">
                        <c:v>-19.243353293413172</c:v>
                      </c:pt>
                      <c:pt idx="29" formatCode="General">
                        <c:v>-19.27059880239521</c:v>
                      </c:pt>
                      <c:pt idx="30" formatCode="General">
                        <c:v>-19.297844311377244</c:v>
                      </c:pt>
                      <c:pt idx="31" formatCode="General">
                        <c:v>-19.324022471910112</c:v>
                      </c:pt>
                      <c:pt idx="32" formatCode="General">
                        <c:v>-19.349340823970035</c:v>
                      </c:pt>
                      <c:pt idx="33" formatCode="General">
                        <c:v>-19.374659176029962</c:v>
                      </c:pt>
                      <c:pt idx="34" formatCode="General">
                        <c:v>-19.399977528089888</c:v>
                      </c:pt>
                      <c:pt idx="35" formatCode="General">
                        <c:v>-19.425295880149811</c:v>
                      </c:pt>
                      <c:pt idx="36" formatCode="General">
                        <c:v>-19.450614232209738</c:v>
                      </c:pt>
                      <c:pt idx="37" formatCode="General">
                        <c:v>-19.475932584269664</c:v>
                      </c:pt>
                      <c:pt idx="38" formatCode="General">
                        <c:v>-19.501250936329587</c:v>
                      </c:pt>
                      <c:pt idx="39" formatCode="General">
                        <c:v>-19.526569288389513</c:v>
                      </c:pt>
                      <c:pt idx="40" formatCode="General">
                        <c:v>-19.55188764044944</c:v>
                      </c:pt>
                      <c:pt idx="41" formatCode="General">
                        <c:v>-19.576928838951311</c:v>
                      </c:pt>
                      <c:pt idx="42" formatCode="General">
                        <c:v>-19.601273408239702</c:v>
                      </c:pt>
                      <c:pt idx="43" formatCode="General">
                        <c:v>-19.625617977528091</c:v>
                      </c:pt>
                      <c:pt idx="44" formatCode="General">
                        <c:v>-19.649962546816479</c:v>
                      </c:pt>
                      <c:pt idx="45" formatCode="General">
                        <c:v>-19.67430711610487</c:v>
                      </c:pt>
                      <c:pt idx="46" formatCode="General">
                        <c:v>-19.698651685393259</c:v>
                      </c:pt>
                      <c:pt idx="47" formatCode="General">
                        <c:v>-19.722996254681647</c:v>
                      </c:pt>
                      <c:pt idx="48" formatCode="General">
                        <c:v>-19.747340823970038</c:v>
                      </c:pt>
                      <c:pt idx="49" formatCode="General">
                        <c:v>-19.771685393258426</c:v>
                      </c:pt>
                      <c:pt idx="50" formatCode="General">
                        <c:v>-19.796029962546818</c:v>
                      </c:pt>
                      <c:pt idx="51" formatCode="General">
                        <c:v>-19.820345345345345</c:v>
                      </c:pt>
                      <c:pt idx="52" formatCode="General">
                        <c:v>-19.842792792792793</c:v>
                      </c:pt>
                      <c:pt idx="53" formatCode="General">
                        <c:v>-19.86524024024024</c:v>
                      </c:pt>
                      <c:pt idx="54" formatCode="General">
                        <c:v>-19.887687687687688</c:v>
                      </c:pt>
                      <c:pt idx="55" formatCode="General">
                        <c:v>-19.910135135135135</c:v>
                      </c:pt>
                      <c:pt idx="56" formatCode="General">
                        <c:v>-19.932582582582583</c:v>
                      </c:pt>
                      <c:pt idx="57" formatCode="General">
                        <c:v>-19.955030030030031</c:v>
                      </c:pt>
                      <c:pt idx="58" formatCode="General">
                        <c:v>-19.977477477477478</c:v>
                      </c:pt>
                      <c:pt idx="59" formatCode="General">
                        <c:v>-19.999924924924926</c:v>
                      </c:pt>
                      <c:pt idx="60" formatCode="General">
                        <c:v>-20.022372372372374</c:v>
                      </c:pt>
                      <c:pt idx="61" formatCode="General">
                        <c:v>-20.044819819819821</c:v>
                      </c:pt>
                      <c:pt idx="62" formatCode="General">
                        <c:v>-20.067647058823528</c:v>
                      </c:pt>
                      <c:pt idx="63" formatCode="General">
                        <c:v>-20.090588235294117</c:v>
                      </c:pt>
                      <c:pt idx="64" formatCode="General">
                        <c:v>-20.113030303030303</c:v>
                      </c:pt>
                      <c:pt idx="65" formatCode="General">
                        <c:v>-20.132727272727273</c:v>
                      </c:pt>
                      <c:pt idx="66" formatCode="General">
                        <c:v>-20.152424242424242</c:v>
                      </c:pt>
                      <c:pt idx="67" formatCode="General">
                        <c:v>-20.171764705882353</c:v>
                      </c:pt>
                      <c:pt idx="68" formatCode="General">
                        <c:v>-20.190882352941177</c:v>
                      </c:pt>
                      <c:pt idx="69" formatCode="General">
                        <c:v>-20.21</c:v>
                      </c:pt>
                      <c:pt idx="70" formatCode="General">
                        <c:v>-20.22969696969697</c:v>
                      </c:pt>
                      <c:pt idx="71" formatCode="General">
                        <c:v>-20.24939393939394</c:v>
                      </c:pt>
                      <c:pt idx="72" formatCode="General">
                        <c:v>-20.269022556390979</c:v>
                      </c:pt>
                      <c:pt idx="73" formatCode="General">
                        <c:v>-20.28857142857143</c:v>
                      </c:pt>
                      <c:pt idx="74" formatCode="General">
                        <c:v>-20.308120300751881</c:v>
                      </c:pt>
                      <c:pt idx="75" formatCode="General">
                        <c:v>-20.327669172932332</c:v>
                      </c:pt>
                      <c:pt idx="76" formatCode="General">
                        <c:v>-20.347218045112783</c:v>
                      </c:pt>
                      <c:pt idx="77" formatCode="General">
                        <c:v>-20.366766917293234</c:v>
                      </c:pt>
                      <c:pt idx="78" formatCode="General">
                        <c:v>-20.386315789473684</c:v>
                      </c:pt>
                      <c:pt idx="79" formatCode="General">
                        <c:v>-20.405864661654135</c:v>
                      </c:pt>
                      <c:pt idx="80" formatCode="General">
                        <c:v>-20.425413533834586</c:v>
                      </c:pt>
                      <c:pt idx="81" formatCode="General">
                        <c:v>-20.444962406015037</c:v>
                      </c:pt>
                      <c:pt idx="82" formatCode="General">
                        <c:v>-20.464253731343284</c:v>
                      </c:pt>
                      <c:pt idx="83" formatCode="General">
                        <c:v>-20.48268656716418</c:v>
                      </c:pt>
                      <c:pt idx="84" formatCode="General">
                        <c:v>-20.501119402985076</c:v>
                      </c:pt>
                      <c:pt idx="85" formatCode="General">
                        <c:v>-20.519552238805971</c:v>
                      </c:pt>
                      <c:pt idx="86" formatCode="General">
                        <c:v>-20.537985074626867</c:v>
                      </c:pt>
                      <c:pt idx="87" formatCode="General">
                        <c:v>-20.55641791044776</c:v>
                      </c:pt>
                      <c:pt idx="88" formatCode="General">
                        <c:v>-20.574850746268655</c:v>
                      </c:pt>
                      <c:pt idx="89" formatCode="General">
                        <c:v>-20.593283582089551</c:v>
                      </c:pt>
                      <c:pt idx="90" formatCode="General">
                        <c:v>-20.611716417910447</c:v>
                      </c:pt>
                      <c:pt idx="91" formatCode="General">
                        <c:v>-20.630149253731343</c:v>
                      </c:pt>
                      <c:pt idx="92" formatCode="General">
                        <c:v>-20.648582089552239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F3C-4648-9C26-0B0A07188C01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-59.785315315315316</c:v>
                      </c:pt>
                      <c:pt idx="1">
                        <c:v>-57.064294294294292</c:v>
                      </c:pt>
                      <c:pt idx="2" formatCode="General">
                        <c:v>-54.343273273273276</c:v>
                      </c:pt>
                      <c:pt idx="3" formatCode="General">
                        <c:v>-51.679131736526941</c:v>
                      </c:pt>
                      <c:pt idx="4" formatCode="General">
                        <c:v>-49.028532934131732</c:v>
                      </c:pt>
                      <c:pt idx="5" formatCode="General">
                        <c:v>-46.442904191616762</c:v>
                      </c:pt>
                      <c:pt idx="6" formatCode="General">
                        <c:v>-44.064760479041915</c:v>
                      </c:pt>
                      <c:pt idx="7" formatCode="General">
                        <c:v>-41.686616766467068</c:v>
                      </c:pt>
                      <c:pt idx="8" formatCode="General">
                        <c:v>-39.548113772455089</c:v>
                      </c:pt>
                      <c:pt idx="9" formatCode="General">
                        <c:v>-37.528053892215567</c:v>
                      </c:pt>
                      <c:pt idx="10" formatCode="General">
                        <c:v>-35.541856287425148</c:v>
                      </c:pt>
                      <c:pt idx="11" formatCode="General">
                        <c:v>-33.860419161676646</c:v>
                      </c:pt>
                      <c:pt idx="12" formatCode="General">
                        <c:v>-32.178982035928144</c:v>
                      </c:pt>
                      <c:pt idx="13" formatCode="General">
                        <c:v>-30.619431137724554</c:v>
                      </c:pt>
                      <c:pt idx="14" formatCode="General">
                        <c:v>-29.167634730538925</c:v>
                      </c:pt>
                      <c:pt idx="15" formatCode="General">
                        <c:v>-27.715838323353292</c:v>
                      </c:pt>
                      <c:pt idx="16" formatCode="General">
                        <c:v>-27.333423423423422</c:v>
                      </c:pt>
                      <c:pt idx="17" formatCode="General">
                        <c:v>-26.993783783783783</c:v>
                      </c:pt>
                      <c:pt idx="18" formatCode="General">
                        <c:v>-26.995508982035929</c:v>
                      </c:pt>
                      <c:pt idx="19" formatCode="General">
                        <c:v>-27.509281437125747</c:v>
                      </c:pt>
                      <c:pt idx="20" formatCode="General">
                        <c:v>-28.023053892215568</c:v>
                      </c:pt>
                      <c:pt idx="21" formatCode="General">
                        <c:v>-28.530359281437125</c:v>
                      </c:pt>
                      <c:pt idx="22" formatCode="General">
                        <c:v>-29.036347305389221</c:v>
                      </c:pt>
                      <c:pt idx="23" formatCode="General">
                        <c:v>-29.540299401197604</c:v>
                      </c:pt>
                      <c:pt idx="24" formatCode="General">
                        <c:v>-30.038502994011978</c:v>
                      </c:pt>
                      <c:pt idx="25" formatCode="General">
                        <c:v>-30.536706586826348</c:v>
                      </c:pt>
                      <c:pt idx="26" formatCode="General">
                        <c:v>-31.026826347305391</c:v>
                      </c:pt>
                      <c:pt idx="27" formatCode="General">
                        <c:v>-31.513353293413175</c:v>
                      </c:pt>
                      <c:pt idx="28" formatCode="General">
                        <c:v>-31.998443113772456</c:v>
                      </c:pt>
                      <c:pt idx="29" formatCode="General">
                        <c:v>-32.47329341317365</c:v>
                      </c:pt>
                      <c:pt idx="30" formatCode="General">
                        <c:v>-32.948143712574847</c:v>
                      </c:pt>
                      <c:pt idx="31" formatCode="General">
                        <c:v>-33.403235955056175</c:v>
                      </c:pt>
                      <c:pt idx="32" formatCode="General">
                        <c:v>-33.842411985018728</c:v>
                      </c:pt>
                      <c:pt idx="33" formatCode="General">
                        <c:v>-34.281588014981274</c:v>
                      </c:pt>
                      <c:pt idx="34" formatCode="General">
                        <c:v>-34.72076404494382</c:v>
                      </c:pt>
                      <c:pt idx="35" formatCode="General">
                        <c:v>-35.159940074906366</c:v>
                      </c:pt>
                      <c:pt idx="36" formatCode="General">
                        <c:v>-35.599116104868912</c:v>
                      </c:pt>
                      <c:pt idx="37" formatCode="General">
                        <c:v>-36.038292134831465</c:v>
                      </c:pt>
                      <c:pt idx="38" formatCode="General">
                        <c:v>-36.477468164794011</c:v>
                      </c:pt>
                      <c:pt idx="39" formatCode="General">
                        <c:v>-36.916644194756557</c:v>
                      </c:pt>
                      <c:pt idx="40" formatCode="General">
                        <c:v>-37.355820224719103</c:v>
                      </c:pt>
                      <c:pt idx="41" formatCode="General">
                        <c:v>-37.774209737827718</c:v>
                      </c:pt>
                      <c:pt idx="42" formatCode="General">
                        <c:v>-38.1403520599251</c:v>
                      </c:pt>
                      <c:pt idx="43" formatCode="General">
                        <c:v>-38.506494382022474</c:v>
                      </c:pt>
                      <c:pt idx="44" formatCode="General">
                        <c:v>-38.872636704119856</c:v>
                      </c:pt>
                      <c:pt idx="45" formatCode="General">
                        <c:v>-39.23877902621723</c:v>
                      </c:pt>
                      <c:pt idx="46" formatCode="General">
                        <c:v>-39.604921348314612</c:v>
                      </c:pt>
                      <c:pt idx="47" formatCode="General">
                        <c:v>-39.971063670411986</c:v>
                      </c:pt>
                      <c:pt idx="48" formatCode="General">
                        <c:v>-40.337205992509368</c:v>
                      </c:pt>
                      <c:pt idx="49" formatCode="General">
                        <c:v>-40.703348314606743</c:v>
                      </c:pt>
                      <c:pt idx="50" formatCode="General">
                        <c:v>-41.069490636704124</c:v>
                      </c:pt>
                      <c:pt idx="51" formatCode="General">
                        <c:v>-41.434354354354355</c:v>
                      </c:pt>
                      <c:pt idx="52" formatCode="General">
                        <c:v>-41.71738738738739</c:v>
                      </c:pt>
                      <c:pt idx="53" formatCode="General">
                        <c:v>-42.000420420420419</c:v>
                      </c:pt>
                      <c:pt idx="54" formatCode="General">
                        <c:v>-42.283453453453454</c:v>
                      </c:pt>
                      <c:pt idx="55" formatCode="General">
                        <c:v>-42.56648648648649</c:v>
                      </c:pt>
                      <c:pt idx="56" formatCode="General">
                        <c:v>-42.849519519519518</c:v>
                      </c:pt>
                      <c:pt idx="57" formatCode="General">
                        <c:v>-43.132552552552553</c:v>
                      </c:pt>
                      <c:pt idx="58" formatCode="General">
                        <c:v>-43.415585585585582</c:v>
                      </c:pt>
                      <c:pt idx="59" formatCode="General">
                        <c:v>-43.698618618618617</c:v>
                      </c:pt>
                      <c:pt idx="60" formatCode="General">
                        <c:v>-43.981651651651653</c:v>
                      </c:pt>
                      <c:pt idx="61" formatCode="General">
                        <c:v>-44.264684684684681</c:v>
                      </c:pt>
                      <c:pt idx="62" formatCode="General">
                        <c:v>-44.497647058823524</c:v>
                      </c:pt>
                      <c:pt idx="63" formatCode="General">
                        <c:v>-44.715588235294113</c:v>
                      </c:pt>
                      <c:pt idx="64" formatCode="General">
                        <c:v>-44.93151515151515</c:v>
                      </c:pt>
                      <c:pt idx="65" formatCode="General">
                        <c:v>-45.136363636363633</c:v>
                      </c:pt>
                      <c:pt idx="66" formatCode="General">
                        <c:v>-45.341212121212124</c:v>
                      </c:pt>
                      <c:pt idx="67" formatCode="General">
                        <c:v>-45.523529411764706</c:v>
                      </c:pt>
                      <c:pt idx="68" formatCode="General">
                        <c:v>-45.691764705882356</c:v>
                      </c:pt>
                      <c:pt idx="69" formatCode="General">
                        <c:v>-45.86</c:v>
                      </c:pt>
                      <c:pt idx="70" formatCode="General">
                        <c:v>-46.013636363636365</c:v>
                      </c:pt>
                      <c:pt idx="71" formatCode="General">
                        <c:v>-46.167272727272724</c:v>
                      </c:pt>
                      <c:pt idx="72" formatCode="General">
                        <c:v>-46.288796992481203</c:v>
                      </c:pt>
                      <c:pt idx="73" formatCode="General">
                        <c:v>-46.372857142857143</c:v>
                      </c:pt>
                      <c:pt idx="74" formatCode="General">
                        <c:v>-46.456917293233083</c:v>
                      </c:pt>
                      <c:pt idx="75" formatCode="General">
                        <c:v>-46.540977443609023</c:v>
                      </c:pt>
                      <c:pt idx="76" formatCode="General">
                        <c:v>-46.625037593984963</c:v>
                      </c:pt>
                      <c:pt idx="77" formatCode="General">
                        <c:v>-46.709097744360903</c:v>
                      </c:pt>
                      <c:pt idx="78" formatCode="General">
                        <c:v>-46.793157894736844</c:v>
                      </c:pt>
                      <c:pt idx="79" formatCode="General">
                        <c:v>-46.877218045112784</c:v>
                      </c:pt>
                      <c:pt idx="80" formatCode="General">
                        <c:v>-46.961278195488724</c:v>
                      </c:pt>
                      <c:pt idx="81" formatCode="General">
                        <c:v>-47.045338345864664</c:v>
                      </c:pt>
                      <c:pt idx="82" formatCode="General">
                        <c:v>-47.104179104477609</c:v>
                      </c:pt>
                      <c:pt idx="83" formatCode="General">
                        <c:v>-47.078955223880598</c:v>
                      </c:pt>
                      <c:pt idx="84" formatCode="General">
                        <c:v>-47.05373134328358</c:v>
                      </c:pt>
                      <c:pt idx="85" formatCode="General">
                        <c:v>-47.028507462686569</c:v>
                      </c:pt>
                      <c:pt idx="86" formatCode="General">
                        <c:v>-47.003283582089551</c:v>
                      </c:pt>
                      <c:pt idx="87" formatCode="General">
                        <c:v>-46.978059701492541</c:v>
                      </c:pt>
                      <c:pt idx="88" formatCode="General">
                        <c:v>-46.952835820895523</c:v>
                      </c:pt>
                      <c:pt idx="89" formatCode="General">
                        <c:v>-46.927611940298512</c:v>
                      </c:pt>
                      <c:pt idx="90" formatCode="General">
                        <c:v>-46.902388059701494</c:v>
                      </c:pt>
                      <c:pt idx="91" formatCode="General">
                        <c:v>-46.877164179104476</c:v>
                      </c:pt>
                      <c:pt idx="92" formatCode="General">
                        <c:v>-46.851940298507465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F3C-4648-9C26-0B0A07188C01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-15.70018018018018</c:v>
                      </c:pt>
                      <c:pt idx="1">
                        <c:v>-14.888168168168168</c:v>
                      </c:pt>
                      <c:pt idx="2" formatCode="General">
                        <c:v>-14.076156156156156</c:v>
                      </c:pt>
                      <c:pt idx="3" formatCode="General">
                        <c:v>-13.171796407185628</c:v>
                      </c:pt>
                      <c:pt idx="4" formatCode="General">
                        <c:v>-12.245449101796405</c:v>
                      </c:pt>
                      <c:pt idx="5" formatCode="General">
                        <c:v>-11.336365269461076</c:v>
                      </c:pt>
                      <c:pt idx="6" formatCode="General">
                        <c:v>-10.482413173652693</c:v>
                      </c:pt>
                      <c:pt idx="7" formatCode="General">
                        <c:v>-9.628461077844312</c:v>
                      </c:pt>
                      <c:pt idx="8" formatCode="General">
                        <c:v>-8.8943293413173663</c:v>
                      </c:pt>
                      <c:pt idx="9" formatCode="General">
                        <c:v>-8.2194191616766474</c:v>
                      </c:pt>
                      <c:pt idx="10" formatCode="General">
                        <c:v>-7.5707814371257482</c:v>
                      </c:pt>
                      <c:pt idx="11" formatCode="General">
                        <c:v>-7.1585958083832333</c:v>
                      </c:pt>
                      <c:pt idx="12" formatCode="General">
                        <c:v>-6.7464101796407192</c:v>
                      </c:pt>
                      <c:pt idx="13" formatCode="General">
                        <c:v>-6.4751167664670657</c:v>
                      </c:pt>
                      <c:pt idx="14" formatCode="General">
                        <c:v>-6.3283802395209579</c:v>
                      </c:pt>
                      <c:pt idx="15" formatCode="General">
                        <c:v>-6.18164371257485</c:v>
                      </c:pt>
                      <c:pt idx="16" formatCode="General">
                        <c:v>-6.4226216216216221</c:v>
                      </c:pt>
                      <c:pt idx="17" formatCode="General">
                        <c:v>-6.6791081081081085</c:v>
                      </c:pt>
                      <c:pt idx="18" formatCode="General">
                        <c:v>-6.8345568862275448</c:v>
                      </c:pt>
                      <c:pt idx="19" formatCode="General">
                        <c:v>-6.8384491017964075</c:v>
                      </c:pt>
                      <c:pt idx="20" formatCode="General">
                        <c:v>-6.8423413173652694</c:v>
                      </c:pt>
                      <c:pt idx="21" formatCode="General">
                        <c:v>-6.8627245508982035</c:v>
                      </c:pt>
                      <c:pt idx="22" formatCode="General">
                        <c:v>-6.8864670658682634</c:v>
                      </c:pt>
                      <c:pt idx="23" formatCode="General">
                        <c:v>-6.911838323353293</c:v>
                      </c:pt>
                      <c:pt idx="24" formatCode="General">
                        <c:v>-6.9418083832335329</c:v>
                      </c:pt>
                      <c:pt idx="25" formatCode="General">
                        <c:v>-6.9717784431137719</c:v>
                      </c:pt>
                      <c:pt idx="26" formatCode="General">
                        <c:v>-7.0028263473053896</c:v>
                      </c:pt>
                      <c:pt idx="27" formatCode="General">
                        <c:v>-7.0343532934131741</c:v>
                      </c:pt>
                      <c:pt idx="28" formatCode="General">
                        <c:v>-7.0658802395209586</c:v>
                      </c:pt>
                      <c:pt idx="29" formatCode="General">
                        <c:v>-7.0974071856287431</c:v>
                      </c:pt>
                      <c:pt idx="30" formatCode="General">
                        <c:v>-7.1289341317365267</c:v>
                      </c:pt>
                      <c:pt idx="31" formatCode="General">
                        <c:v>-7.1602584269662923</c:v>
                      </c:pt>
                      <c:pt idx="32" formatCode="General">
                        <c:v>-7.1914194756554304</c:v>
                      </c:pt>
                      <c:pt idx="33" formatCode="General">
                        <c:v>-7.2225805243445693</c:v>
                      </c:pt>
                      <c:pt idx="34" formatCode="General">
                        <c:v>-7.2537415730337083</c:v>
                      </c:pt>
                      <c:pt idx="35" formatCode="General">
                        <c:v>-7.2849026217228463</c:v>
                      </c:pt>
                      <c:pt idx="36" formatCode="General">
                        <c:v>-7.3160636704119852</c:v>
                      </c:pt>
                      <c:pt idx="37" formatCode="General">
                        <c:v>-7.3472247191011233</c:v>
                      </c:pt>
                      <c:pt idx="38" formatCode="General">
                        <c:v>-7.3783857677902622</c:v>
                      </c:pt>
                      <c:pt idx="39" formatCode="General">
                        <c:v>-7.4095468164794012</c:v>
                      </c:pt>
                      <c:pt idx="40" formatCode="General">
                        <c:v>-7.4407078651685392</c:v>
                      </c:pt>
                      <c:pt idx="41" formatCode="General">
                        <c:v>-7.471370037453184</c:v>
                      </c:pt>
                      <c:pt idx="42" formatCode="General">
                        <c:v>-7.5007782771535583</c:v>
                      </c:pt>
                      <c:pt idx="43" formatCode="General">
                        <c:v>-7.5301865168539326</c:v>
                      </c:pt>
                      <c:pt idx="44" formatCode="General">
                        <c:v>-7.5595947565543069</c:v>
                      </c:pt>
                      <c:pt idx="45" formatCode="General">
                        <c:v>-7.5890029962546812</c:v>
                      </c:pt>
                      <c:pt idx="46" formatCode="General">
                        <c:v>-7.6184112359550564</c:v>
                      </c:pt>
                      <c:pt idx="47" formatCode="General">
                        <c:v>-7.6478194756554307</c:v>
                      </c:pt>
                      <c:pt idx="48" formatCode="General">
                        <c:v>-7.6772277153558051</c:v>
                      </c:pt>
                      <c:pt idx="49" formatCode="General">
                        <c:v>-7.7066359550561794</c:v>
                      </c:pt>
                      <c:pt idx="50" formatCode="General">
                        <c:v>-7.7360441947565537</c:v>
                      </c:pt>
                      <c:pt idx="51" formatCode="General">
                        <c:v>-7.7654249249249245</c:v>
                      </c:pt>
                      <c:pt idx="52" formatCode="General">
                        <c:v>-7.7930450450450452</c:v>
                      </c:pt>
                      <c:pt idx="53" formatCode="General">
                        <c:v>-7.8206651651651651</c:v>
                      </c:pt>
                      <c:pt idx="54" formatCode="General">
                        <c:v>-7.8482852852852849</c:v>
                      </c:pt>
                      <c:pt idx="55" formatCode="General">
                        <c:v>-7.8759054054054056</c:v>
                      </c:pt>
                      <c:pt idx="56" formatCode="General">
                        <c:v>-7.9035255255255255</c:v>
                      </c:pt>
                      <c:pt idx="57" formatCode="General">
                        <c:v>-7.9311456456456453</c:v>
                      </c:pt>
                      <c:pt idx="58" formatCode="General">
                        <c:v>-7.958765765765766</c:v>
                      </c:pt>
                      <c:pt idx="59" formatCode="General">
                        <c:v>-7.9863858858858858</c:v>
                      </c:pt>
                      <c:pt idx="60" formatCode="General">
                        <c:v>-8.0140060060060065</c:v>
                      </c:pt>
                      <c:pt idx="61" formatCode="General">
                        <c:v>-8.0416261261261255</c:v>
                      </c:pt>
                      <c:pt idx="62" formatCode="General">
                        <c:v>-8.0679999999999996</c:v>
                      </c:pt>
                      <c:pt idx="63" formatCode="General">
                        <c:v>-8.0939999999999994</c:v>
                      </c:pt>
                      <c:pt idx="64" formatCode="General">
                        <c:v>-8.1199999999999992</c:v>
                      </c:pt>
                      <c:pt idx="65" formatCode="General">
                        <c:v>-8.1460000000000008</c:v>
                      </c:pt>
                      <c:pt idx="66" formatCode="General">
                        <c:v>-8.1720000000000006</c:v>
                      </c:pt>
                      <c:pt idx="67" formatCode="General">
                        <c:v>-8.1975294117647053</c:v>
                      </c:pt>
                      <c:pt idx="68" formatCode="General">
                        <c:v>-8.2227647058823532</c:v>
                      </c:pt>
                      <c:pt idx="69" formatCode="General">
                        <c:v>-8.2479999999999993</c:v>
                      </c:pt>
                      <c:pt idx="70" formatCode="General">
                        <c:v>-8.2736060606060597</c:v>
                      </c:pt>
                      <c:pt idx="71" formatCode="General">
                        <c:v>-8.2992121212121219</c:v>
                      </c:pt>
                      <c:pt idx="72" formatCode="General">
                        <c:v>-8.3241879699248127</c:v>
                      </c:pt>
                      <c:pt idx="73" formatCode="General">
                        <c:v>-8.3484285714285722</c:v>
                      </c:pt>
                      <c:pt idx="74" formatCode="General">
                        <c:v>-8.3726691729323317</c:v>
                      </c:pt>
                      <c:pt idx="75" formatCode="General">
                        <c:v>-8.3969097744360912</c:v>
                      </c:pt>
                      <c:pt idx="76" formatCode="General">
                        <c:v>-8.4211503759398507</c:v>
                      </c:pt>
                      <c:pt idx="77" formatCode="General">
                        <c:v>-8.4453909774436084</c:v>
                      </c:pt>
                      <c:pt idx="78" formatCode="General">
                        <c:v>-8.469631578947368</c:v>
                      </c:pt>
                      <c:pt idx="79" formatCode="General">
                        <c:v>-8.4938721804511275</c:v>
                      </c:pt>
                      <c:pt idx="80" formatCode="General">
                        <c:v>-8.518112781954887</c:v>
                      </c:pt>
                      <c:pt idx="81" formatCode="General">
                        <c:v>-8.5423533834586465</c:v>
                      </c:pt>
                      <c:pt idx="82" formatCode="General">
                        <c:v>-8.5662388059701495</c:v>
                      </c:pt>
                      <c:pt idx="83" formatCode="General">
                        <c:v>-8.5889402985074632</c:v>
                      </c:pt>
                      <c:pt idx="84" formatCode="General">
                        <c:v>-8.6116417910447769</c:v>
                      </c:pt>
                      <c:pt idx="85" formatCode="General">
                        <c:v>-8.6343432835820888</c:v>
                      </c:pt>
                      <c:pt idx="86" formatCode="General">
                        <c:v>-8.6570447761194025</c:v>
                      </c:pt>
                      <c:pt idx="87" formatCode="General">
                        <c:v>-8.6797462686567162</c:v>
                      </c:pt>
                      <c:pt idx="88" formatCode="General">
                        <c:v>-8.7024477611940299</c:v>
                      </c:pt>
                      <c:pt idx="89" formatCode="General">
                        <c:v>-8.7251492537313435</c:v>
                      </c:pt>
                      <c:pt idx="90" formatCode="General">
                        <c:v>-8.7478507462686572</c:v>
                      </c:pt>
                      <c:pt idx="91" formatCode="General">
                        <c:v>-8.7705522388059709</c:v>
                      </c:pt>
                      <c:pt idx="92" formatCode="General">
                        <c:v>-8.7932537313432828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F3C-4648-9C26-0B0A07188C01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-22.018918918918921</c:v>
                      </c:pt>
                      <c:pt idx="1">
                        <c:v>-21.69099099099099</c:v>
                      </c:pt>
                      <c:pt idx="2" formatCode="General">
                        <c:v>-21.363063063063063</c:v>
                      </c:pt>
                      <c:pt idx="3" formatCode="General">
                        <c:v>-21.328293413173654</c:v>
                      </c:pt>
                      <c:pt idx="4" formatCode="General">
                        <c:v>-21.363323353293413</c:v>
                      </c:pt>
                      <c:pt idx="5" formatCode="General">
                        <c:v>-21.428053892215569</c:v>
                      </c:pt>
                      <c:pt idx="6" formatCode="General">
                        <c:v>-21.587634730538923</c:v>
                      </c:pt>
                      <c:pt idx="7" formatCode="General">
                        <c:v>-21.747215568862277</c:v>
                      </c:pt>
                      <c:pt idx="8" formatCode="General">
                        <c:v>-21.901586826347305</c:v>
                      </c:pt>
                      <c:pt idx="9" formatCode="General">
                        <c:v>-22.053383233532934</c:v>
                      </c:pt>
                      <c:pt idx="10" formatCode="General">
                        <c:v>-22.201287425149701</c:v>
                      </c:pt>
                      <c:pt idx="11" formatCode="General">
                        <c:v>-22.314161676646709</c:v>
                      </c:pt>
                      <c:pt idx="12" formatCode="General">
                        <c:v>-22.427035928143713</c:v>
                      </c:pt>
                      <c:pt idx="13" formatCode="General">
                        <c:v>-22.544041916167664</c:v>
                      </c:pt>
                      <c:pt idx="14" formatCode="General">
                        <c:v>-22.664700598802394</c:v>
                      </c:pt>
                      <c:pt idx="15" formatCode="General">
                        <c:v>-22.785359281437124</c:v>
                      </c:pt>
                      <c:pt idx="16" formatCode="General">
                        <c:v>-22.883843843843842</c:v>
                      </c:pt>
                      <c:pt idx="17" formatCode="General">
                        <c:v>-22.98144144144144</c:v>
                      </c:pt>
                      <c:pt idx="18" formatCode="General">
                        <c:v>-23.1162874251497</c:v>
                      </c:pt>
                      <c:pt idx="19" formatCode="General">
                        <c:v>-23.307005988023953</c:v>
                      </c:pt>
                      <c:pt idx="20" formatCode="General">
                        <c:v>-23.497724550898205</c:v>
                      </c:pt>
                      <c:pt idx="21" formatCode="General">
                        <c:v>-23.691676646706586</c:v>
                      </c:pt>
                      <c:pt idx="22" formatCode="General">
                        <c:v>-23.8862874251497</c:v>
                      </c:pt>
                      <c:pt idx="23" formatCode="General">
                        <c:v>-24.078862275449104</c:v>
                      </c:pt>
                      <c:pt idx="24" formatCode="General">
                        <c:v>-24.265688622754492</c:v>
                      </c:pt>
                      <c:pt idx="25" formatCode="General">
                        <c:v>-24.45251497005988</c:v>
                      </c:pt>
                      <c:pt idx="26" formatCode="General">
                        <c:v>-24.639341317365272</c:v>
                      </c:pt>
                      <c:pt idx="27" formatCode="General">
                        <c:v>-24.82616766467066</c:v>
                      </c:pt>
                      <c:pt idx="28" formatCode="General">
                        <c:v>-25.012994011976048</c:v>
                      </c:pt>
                      <c:pt idx="29" formatCode="General">
                        <c:v>-25.199820359281436</c:v>
                      </c:pt>
                      <c:pt idx="30" formatCode="General">
                        <c:v>-25.386646706586827</c:v>
                      </c:pt>
                      <c:pt idx="31" formatCode="General">
                        <c:v>-25.567617977528091</c:v>
                      </c:pt>
                      <c:pt idx="32" formatCode="General">
                        <c:v>-25.743872659176031</c:v>
                      </c:pt>
                      <c:pt idx="33" formatCode="General">
                        <c:v>-25.920127340823971</c:v>
                      </c:pt>
                      <c:pt idx="34" formatCode="General">
                        <c:v>-26.096382022471911</c:v>
                      </c:pt>
                      <c:pt idx="35" formatCode="General">
                        <c:v>-26.272636704119851</c:v>
                      </c:pt>
                      <c:pt idx="36" formatCode="General">
                        <c:v>-26.448891385767791</c:v>
                      </c:pt>
                      <c:pt idx="37" formatCode="General">
                        <c:v>-26.625146067415731</c:v>
                      </c:pt>
                      <c:pt idx="38" formatCode="General">
                        <c:v>-26.801400749063671</c:v>
                      </c:pt>
                      <c:pt idx="39" formatCode="General">
                        <c:v>-26.977655430711611</c:v>
                      </c:pt>
                      <c:pt idx="40" formatCode="General">
                        <c:v>-27.153910112359551</c:v>
                      </c:pt>
                      <c:pt idx="41" formatCode="General">
                        <c:v>-27.327670411985022</c:v>
                      </c:pt>
                      <c:pt idx="42" formatCode="General">
                        <c:v>-27.495161048689141</c:v>
                      </c:pt>
                      <c:pt idx="43" formatCode="General">
                        <c:v>-27.662651685393261</c:v>
                      </c:pt>
                      <c:pt idx="44" formatCode="General">
                        <c:v>-27.83014232209738</c:v>
                      </c:pt>
                      <c:pt idx="45" formatCode="General">
                        <c:v>-27.9976329588015</c:v>
                      </c:pt>
                      <c:pt idx="46" formatCode="General">
                        <c:v>-28.165123595505619</c:v>
                      </c:pt>
                      <c:pt idx="47" formatCode="General">
                        <c:v>-28.332614232209739</c:v>
                      </c:pt>
                      <c:pt idx="48" formatCode="General">
                        <c:v>-28.500104868913859</c:v>
                      </c:pt>
                      <c:pt idx="49" formatCode="General">
                        <c:v>-28.667595505617978</c:v>
                      </c:pt>
                      <c:pt idx="50" formatCode="General">
                        <c:v>-28.835086142322098</c:v>
                      </c:pt>
                      <c:pt idx="51" formatCode="General">
                        <c:v>-29.002447447447448</c:v>
                      </c:pt>
                      <c:pt idx="52" formatCode="General">
                        <c:v>-29.161531531531534</c:v>
                      </c:pt>
                      <c:pt idx="53" formatCode="General">
                        <c:v>-29.320615615615615</c:v>
                      </c:pt>
                      <c:pt idx="54" formatCode="General">
                        <c:v>-29.479699699699701</c:v>
                      </c:pt>
                      <c:pt idx="55" formatCode="General">
                        <c:v>-29.638783783783783</c:v>
                      </c:pt>
                      <c:pt idx="56" formatCode="General">
                        <c:v>-29.797867867867868</c:v>
                      </c:pt>
                      <c:pt idx="57" formatCode="General">
                        <c:v>-29.95695195195195</c:v>
                      </c:pt>
                      <c:pt idx="58" formatCode="General">
                        <c:v>-30.116036036036036</c:v>
                      </c:pt>
                      <c:pt idx="59" formatCode="General">
                        <c:v>-30.275120120120121</c:v>
                      </c:pt>
                      <c:pt idx="60" formatCode="General">
                        <c:v>-30.434204204204203</c:v>
                      </c:pt>
                      <c:pt idx="61" formatCode="General">
                        <c:v>-30.593288288288289</c:v>
                      </c:pt>
                      <c:pt idx="62" formatCode="General">
                        <c:v>-30.747647058823528</c:v>
                      </c:pt>
                      <c:pt idx="63" formatCode="General">
                        <c:v>-30.900588235294119</c:v>
                      </c:pt>
                      <c:pt idx="64" formatCode="General">
                        <c:v>-31.053636363636365</c:v>
                      </c:pt>
                      <c:pt idx="65" formatCode="General">
                        <c:v>-31.207272727272727</c:v>
                      </c:pt>
                      <c:pt idx="66" formatCode="General">
                        <c:v>-31.360909090909093</c:v>
                      </c:pt>
                      <c:pt idx="67" formatCode="General">
                        <c:v>-31.511764705882353</c:v>
                      </c:pt>
                      <c:pt idx="68" formatCode="General">
                        <c:v>-31.660882352941176</c:v>
                      </c:pt>
                      <c:pt idx="69" formatCode="General">
                        <c:v>-31.81</c:v>
                      </c:pt>
                      <c:pt idx="70" formatCode="General">
                        <c:v>-31.963636363636365</c:v>
                      </c:pt>
                      <c:pt idx="71" formatCode="General">
                        <c:v>-32.117272727272727</c:v>
                      </c:pt>
                      <c:pt idx="72" formatCode="General">
                        <c:v>-32.269022556390979</c:v>
                      </c:pt>
                      <c:pt idx="73" formatCode="General">
                        <c:v>-32.418571428571433</c:v>
                      </c:pt>
                      <c:pt idx="74" formatCode="General">
                        <c:v>-32.568120300751879</c:v>
                      </c:pt>
                      <c:pt idx="75" formatCode="General">
                        <c:v>-32.717669172932332</c:v>
                      </c:pt>
                      <c:pt idx="76" formatCode="General">
                        <c:v>-32.867218045112779</c:v>
                      </c:pt>
                      <c:pt idx="77" formatCode="General">
                        <c:v>-33.016766917293232</c:v>
                      </c:pt>
                      <c:pt idx="78" formatCode="General">
                        <c:v>-33.166315789473686</c:v>
                      </c:pt>
                      <c:pt idx="79" formatCode="General">
                        <c:v>-33.315864661654132</c:v>
                      </c:pt>
                      <c:pt idx="80" formatCode="General">
                        <c:v>-33.465413533834585</c:v>
                      </c:pt>
                      <c:pt idx="81" formatCode="General">
                        <c:v>-33.614962406015032</c:v>
                      </c:pt>
                      <c:pt idx="82" formatCode="General">
                        <c:v>-33.763358208955218</c:v>
                      </c:pt>
                      <c:pt idx="83" formatCode="General">
                        <c:v>-33.907910447761189</c:v>
                      </c:pt>
                      <c:pt idx="84" formatCode="General">
                        <c:v>-34.052462686567161</c:v>
                      </c:pt>
                      <c:pt idx="85" formatCode="General">
                        <c:v>-34.197014925373132</c:v>
                      </c:pt>
                      <c:pt idx="86" formatCode="General">
                        <c:v>-34.341567164179104</c:v>
                      </c:pt>
                      <c:pt idx="87" formatCode="General">
                        <c:v>-34.486119402985075</c:v>
                      </c:pt>
                      <c:pt idx="88" formatCode="General">
                        <c:v>-34.630671641791039</c:v>
                      </c:pt>
                      <c:pt idx="89" formatCode="General">
                        <c:v>-34.775223880597011</c:v>
                      </c:pt>
                      <c:pt idx="90" formatCode="General">
                        <c:v>-34.919776119402982</c:v>
                      </c:pt>
                      <c:pt idx="91" formatCode="General">
                        <c:v>-35.064328358208954</c:v>
                      </c:pt>
                      <c:pt idx="92" formatCode="General">
                        <c:v>-35.208880597014925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F3C-4648-9C26-0B0A07188C01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F3C-4648-9C26-0B0A07188C01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F3C-4648-9C26-0B0A07188C01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F3C-4648-9C26-0B0A07188C01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F3C-4648-9C26-0B0A07188C0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</c:valAx>
      <c:valAx>
        <c:axId val="938775583"/>
        <c:scaling>
          <c:orientation val="minMax"/>
          <c:max val="-20"/>
          <c:min val="-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GeSe2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6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303</c:v>
                </c:pt>
                <c:pt idx="1">
                  <c:v>316</c:v>
                </c:pt>
                <c:pt idx="2">
                  <c:v>329</c:v>
                </c:pt>
                <c:pt idx="3">
                  <c:v>342</c:v>
                </c:pt>
                <c:pt idx="4">
                  <c:v>355</c:v>
                </c:pt>
                <c:pt idx="5">
                  <c:v>368</c:v>
                </c:pt>
                <c:pt idx="6">
                  <c:v>381</c:v>
                </c:pt>
                <c:pt idx="7">
                  <c:v>394</c:v>
                </c:pt>
                <c:pt idx="8">
                  <c:v>407</c:v>
                </c:pt>
                <c:pt idx="9">
                  <c:v>420</c:v>
                </c:pt>
                <c:pt idx="10">
                  <c:v>433</c:v>
                </c:pt>
                <c:pt idx="11">
                  <c:v>446</c:v>
                </c:pt>
                <c:pt idx="12">
                  <c:v>459</c:v>
                </c:pt>
                <c:pt idx="13">
                  <c:v>472</c:v>
                </c:pt>
                <c:pt idx="14">
                  <c:v>485</c:v>
                </c:pt>
                <c:pt idx="15">
                  <c:v>498</c:v>
                </c:pt>
                <c:pt idx="16">
                  <c:v>511</c:v>
                </c:pt>
                <c:pt idx="17">
                  <c:v>524</c:v>
                </c:pt>
                <c:pt idx="18">
                  <c:v>537</c:v>
                </c:pt>
                <c:pt idx="19">
                  <c:v>550</c:v>
                </c:pt>
                <c:pt idx="20">
                  <c:v>563</c:v>
                </c:pt>
                <c:pt idx="21">
                  <c:v>576</c:v>
                </c:pt>
                <c:pt idx="22">
                  <c:v>589</c:v>
                </c:pt>
                <c:pt idx="23">
                  <c:v>602</c:v>
                </c:pt>
                <c:pt idx="24">
                  <c:v>615</c:v>
                </c:pt>
                <c:pt idx="25">
                  <c:v>628</c:v>
                </c:pt>
                <c:pt idx="26">
                  <c:v>641</c:v>
                </c:pt>
                <c:pt idx="27">
                  <c:v>654</c:v>
                </c:pt>
                <c:pt idx="28">
                  <c:v>667</c:v>
                </c:pt>
                <c:pt idx="29">
                  <c:v>680</c:v>
                </c:pt>
                <c:pt idx="30">
                  <c:v>693</c:v>
                </c:pt>
                <c:pt idx="31">
                  <c:v>706</c:v>
                </c:pt>
                <c:pt idx="32">
                  <c:v>719</c:v>
                </c:pt>
                <c:pt idx="33">
                  <c:v>732</c:v>
                </c:pt>
                <c:pt idx="34">
                  <c:v>745</c:v>
                </c:pt>
                <c:pt idx="35">
                  <c:v>758</c:v>
                </c:pt>
                <c:pt idx="36">
                  <c:v>771</c:v>
                </c:pt>
                <c:pt idx="37">
                  <c:v>784</c:v>
                </c:pt>
                <c:pt idx="38">
                  <c:v>797</c:v>
                </c:pt>
                <c:pt idx="39">
                  <c:v>810</c:v>
                </c:pt>
                <c:pt idx="40">
                  <c:v>823</c:v>
                </c:pt>
                <c:pt idx="41">
                  <c:v>836</c:v>
                </c:pt>
                <c:pt idx="42">
                  <c:v>849</c:v>
                </c:pt>
                <c:pt idx="43">
                  <c:v>862</c:v>
                </c:pt>
                <c:pt idx="44">
                  <c:v>875</c:v>
                </c:pt>
                <c:pt idx="45">
                  <c:v>888</c:v>
                </c:pt>
                <c:pt idx="46">
                  <c:v>901</c:v>
                </c:pt>
                <c:pt idx="47">
                  <c:v>914</c:v>
                </c:pt>
                <c:pt idx="48">
                  <c:v>927</c:v>
                </c:pt>
                <c:pt idx="49">
                  <c:v>940</c:v>
                </c:pt>
                <c:pt idx="50">
                  <c:v>953</c:v>
                </c:pt>
                <c:pt idx="51">
                  <c:v>966</c:v>
                </c:pt>
                <c:pt idx="52">
                  <c:v>979</c:v>
                </c:pt>
                <c:pt idx="53">
                  <c:v>992</c:v>
                </c:pt>
                <c:pt idx="54">
                  <c:v>1005</c:v>
                </c:pt>
                <c:pt idx="55">
                  <c:v>1018</c:v>
                </c:pt>
                <c:pt idx="56">
                  <c:v>1031</c:v>
                </c:pt>
                <c:pt idx="57">
                  <c:v>1044</c:v>
                </c:pt>
                <c:pt idx="58">
                  <c:v>1057</c:v>
                </c:pt>
                <c:pt idx="59">
                  <c:v>1070</c:v>
                </c:pt>
                <c:pt idx="60">
                  <c:v>1083</c:v>
                </c:pt>
                <c:pt idx="61">
                  <c:v>1096</c:v>
                </c:pt>
                <c:pt idx="62">
                  <c:v>1109</c:v>
                </c:pt>
                <c:pt idx="63">
                  <c:v>1122</c:v>
                </c:pt>
                <c:pt idx="64">
                  <c:v>1135</c:v>
                </c:pt>
                <c:pt idx="65">
                  <c:v>1148</c:v>
                </c:pt>
                <c:pt idx="66">
                  <c:v>1161</c:v>
                </c:pt>
                <c:pt idx="67">
                  <c:v>1174</c:v>
                </c:pt>
                <c:pt idx="68">
                  <c:v>1187</c:v>
                </c:pt>
                <c:pt idx="69">
                  <c:v>1200</c:v>
                </c:pt>
                <c:pt idx="70">
                  <c:v>1213</c:v>
                </c:pt>
                <c:pt idx="71">
                  <c:v>1226</c:v>
                </c:pt>
                <c:pt idx="72">
                  <c:v>1239</c:v>
                </c:pt>
                <c:pt idx="73">
                  <c:v>1252</c:v>
                </c:pt>
                <c:pt idx="74">
                  <c:v>1265</c:v>
                </c:pt>
                <c:pt idx="75">
                  <c:v>1278</c:v>
                </c:pt>
                <c:pt idx="76">
                  <c:v>1291</c:v>
                </c:pt>
                <c:pt idx="77">
                  <c:v>1304</c:v>
                </c:pt>
                <c:pt idx="78">
                  <c:v>1317</c:v>
                </c:pt>
                <c:pt idx="79">
                  <c:v>1330</c:v>
                </c:pt>
                <c:pt idx="80">
                  <c:v>1343</c:v>
                </c:pt>
                <c:pt idx="81">
                  <c:v>1356</c:v>
                </c:pt>
                <c:pt idx="82">
                  <c:v>1369</c:v>
                </c:pt>
                <c:pt idx="83">
                  <c:v>1382</c:v>
                </c:pt>
                <c:pt idx="84">
                  <c:v>1395</c:v>
                </c:pt>
                <c:pt idx="85">
                  <c:v>1408</c:v>
                </c:pt>
                <c:pt idx="86">
                  <c:v>1421</c:v>
                </c:pt>
                <c:pt idx="87">
                  <c:v>1434</c:v>
                </c:pt>
                <c:pt idx="88">
                  <c:v>1447</c:v>
                </c:pt>
                <c:pt idx="89">
                  <c:v>1460</c:v>
                </c:pt>
                <c:pt idx="90">
                  <c:v>1473</c:v>
                </c:pt>
                <c:pt idx="91">
                  <c:v>1486</c:v>
                </c:pt>
                <c:pt idx="92">
                  <c:v>1499</c:v>
                </c:pt>
              </c:numCache>
              <c:extLst xmlns:c15="http://schemas.microsoft.com/office/drawing/2012/chart"/>
            </c:numRef>
          </c:xVal>
          <c:yVal>
            <c:numRef>
              <c:f>EVALUATION!$B$107:$CP$107</c:f>
              <c:numCache>
                <c:formatCode>0</c:formatCode>
                <c:ptCount val="93"/>
                <c:pt idx="0">
                  <c:v>-58.474144144144148</c:v>
                </c:pt>
                <c:pt idx="1">
                  <c:v>-56.69786786786787</c:v>
                </c:pt>
                <c:pt idx="2" formatCode="General">
                  <c:v>-54.921591591591593</c:v>
                </c:pt>
                <c:pt idx="3" formatCode="General">
                  <c:v>-53.84437125748503</c:v>
                </c:pt>
                <c:pt idx="4" formatCode="General">
                  <c:v>-52.933592814371252</c:v>
                </c:pt>
                <c:pt idx="5" formatCode="General">
                  <c:v>-52.120269461077839</c:v>
                </c:pt>
                <c:pt idx="6" formatCode="General">
                  <c:v>-51.618173652694608</c:v>
                </c:pt>
                <c:pt idx="7" formatCode="General">
                  <c:v>-51.11607784431137</c:v>
                </c:pt>
                <c:pt idx="8" formatCode="General">
                  <c:v>-50.697595808383234</c:v>
                </c:pt>
                <c:pt idx="9" formatCode="General">
                  <c:v>-50.320440119760477</c:v>
                </c:pt>
                <c:pt idx="10" formatCode="General">
                  <c:v>-49.952937125748505</c:v>
                </c:pt>
                <c:pt idx="11" formatCode="General">
                  <c:v>-49.672308383233535</c:v>
                </c:pt>
                <c:pt idx="12" formatCode="General">
                  <c:v>-49.391679640718564</c:v>
                </c:pt>
                <c:pt idx="13" formatCode="General">
                  <c:v>-49.155880239520954</c:v>
                </c:pt>
                <c:pt idx="14" formatCode="General">
                  <c:v>-48.9597125748503</c:v>
                </c:pt>
                <c:pt idx="15" formatCode="General">
                  <c:v>-48.76354491017964</c:v>
                </c:pt>
                <c:pt idx="16" formatCode="General">
                  <c:v>-48.908027027027025</c:v>
                </c:pt>
                <c:pt idx="17" formatCode="General">
                  <c:v>-49.066135135135134</c:v>
                </c:pt>
                <c:pt idx="18" formatCode="General">
                  <c:v>-49.332568862275451</c:v>
                </c:pt>
                <c:pt idx="19" formatCode="General">
                  <c:v>-49.761491017964069</c:v>
                </c:pt>
                <c:pt idx="20" formatCode="General">
                  <c:v>-50.190413173652694</c:v>
                </c:pt>
                <c:pt idx="21" formatCode="General">
                  <c:v>-50.603329341317362</c:v>
                </c:pt>
                <c:pt idx="22" formatCode="General">
                  <c:v>-51.012985029940118</c:v>
                </c:pt>
                <c:pt idx="23" formatCode="General">
                  <c:v>-51.422640718562874</c:v>
                </c:pt>
                <c:pt idx="24" formatCode="General">
                  <c:v>-51.832296407185623</c:v>
                </c:pt>
                <c:pt idx="25" formatCode="General">
                  <c:v>-52.241952095808379</c:v>
                </c:pt>
                <c:pt idx="26" formatCode="General">
                  <c:v>-52.651607784431135</c:v>
                </c:pt>
                <c:pt idx="27" formatCode="General">
                  <c:v>-53.061263473053891</c:v>
                </c:pt>
                <c:pt idx="28" formatCode="General">
                  <c:v>-53.470919161676647</c:v>
                </c:pt>
                <c:pt idx="29" formatCode="General">
                  <c:v>-53.880574850299404</c:v>
                </c:pt>
                <c:pt idx="30" formatCode="General">
                  <c:v>-54.29023053892216</c:v>
                </c:pt>
                <c:pt idx="31" formatCode="General">
                  <c:v>-54.685494382022469</c:v>
                </c:pt>
                <c:pt idx="32" formatCode="General">
                  <c:v>-55.069164794007492</c:v>
                </c:pt>
                <c:pt idx="33" formatCode="General">
                  <c:v>-55.452835205992507</c:v>
                </c:pt>
                <c:pt idx="34" formatCode="General">
                  <c:v>-55.836505617977529</c:v>
                </c:pt>
                <c:pt idx="35" formatCode="General">
                  <c:v>-56.220176029962545</c:v>
                </c:pt>
                <c:pt idx="36" formatCode="General">
                  <c:v>-56.603846441947567</c:v>
                </c:pt>
                <c:pt idx="37" formatCode="General">
                  <c:v>-56.987516853932583</c:v>
                </c:pt>
                <c:pt idx="38" formatCode="General">
                  <c:v>-57.371187265917598</c:v>
                </c:pt>
                <c:pt idx="39" formatCode="General">
                  <c:v>-57.754857677902621</c:v>
                </c:pt>
                <c:pt idx="40" formatCode="General">
                  <c:v>-58.138528089887636</c:v>
                </c:pt>
                <c:pt idx="41" formatCode="General">
                  <c:v>-58.516710861423221</c:v>
                </c:pt>
                <c:pt idx="42" formatCode="General">
                  <c:v>-58.881100374531833</c:v>
                </c:pt>
                <c:pt idx="43" formatCode="General">
                  <c:v>-59.245489887640446</c:v>
                </c:pt>
                <c:pt idx="44" formatCode="General">
                  <c:v>-59.609879400749058</c:v>
                </c:pt>
                <c:pt idx="45" formatCode="General">
                  <c:v>-59.974268913857678</c:v>
                </c:pt>
                <c:pt idx="46" formatCode="General">
                  <c:v>-60.33865842696629</c:v>
                </c:pt>
                <c:pt idx="47" formatCode="General">
                  <c:v>-60.703047940074903</c:v>
                </c:pt>
                <c:pt idx="48" formatCode="General">
                  <c:v>-61.067437453183516</c:v>
                </c:pt>
                <c:pt idx="49" formatCode="General">
                  <c:v>-61.431826966292128</c:v>
                </c:pt>
                <c:pt idx="50" formatCode="General">
                  <c:v>-61.796216479400748</c:v>
                </c:pt>
                <c:pt idx="51" formatCode="General">
                  <c:v>-62.160341317365265</c:v>
                </c:pt>
                <c:pt idx="52" formatCode="General">
                  <c:v>-62.507526946107781</c:v>
                </c:pt>
                <c:pt idx="53" formatCode="General">
                  <c:v>-62.854712574850296</c:v>
                </c:pt>
                <c:pt idx="54" formatCode="General">
                  <c:v>-63.199893491124257</c:v>
                </c:pt>
                <c:pt idx="55" formatCode="General">
                  <c:v>-63.54258579881656</c:v>
                </c:pt>
                <c:pt idx="56" formatCode="General">
                  <c:v>-63.885278106508871</c:v>
                </c:pt>
                <c:pt idx="57" formatCode="General">
                  <c:v>-64.234999999999999</c:v>
                </c:pt>
                <c:pt idx="58" formatCode="General">
                  <c:v>-64.585999999999999</c:v>
                </c:pt>
                <c:pt idx="59" formatCode="General">
                  <c:v>-64.934333333333328</c:v>
                </c:pt>
                <c:pt idx="60" formatCode="General">
                  <c:v>-65.276666666666671</c:v>
                </c:pt>
                <c:pt idx="61" formatCode="General">
                  <c:v>-65.619</c:v>
                </c:pt>
                <c:pt idx="62" formatCode="General">
                  <c:v>-65.95688059701493</c:v>
                </c:pt>
                <c:pt idx="63" formatCode="General">
                  <c:v>-66.29342537313434</c:v>
                </c:pt>
                <c:pt idx="64" formatCode="General">
                  <c:v>-66.629970149253737</c:v>
                </c:pt>
                <c:pt idx="65" formatCode="General">
                  <c:v>-66.966514925373133</c:v>
                </c:pt>
                <c:pt idx="66" formatCode="General">
                  <c:v>-67.303059701492543</c:v>
                </c:pt>
                <c:pt idx="67" formatCode="General">
                  <c:v>-67.63960447761194</c:v>
                </c:pt>
                <c:pt idx="68" formatCode="General">
                  <c:v>-67.97614925373135</c:v>
                </c:pt>
                <c:pt idx="69" formatCode="General">
                  <c:v>-68.312694029850746</c:v>
                </c:pt>
                <c:pt idx="70" formatCode="General">
                  <c:v>-68.649238805970157</c:v>
                </c:pt>
                <c:pt idx="71" formatCode="General">
                  <c:v>-68.985783582089553</c:v>
                </c:pt>
                <c:pt idx="72" formatCode="General">
                  <c:v>-69.332157894736838</c:v>
                </c:pt>
                <c:pt idx="73" formatCode="General">
                  <c:v>-69.69</c:v>
                </c:pt>
                <c:pt idx="74" formatCode="General">
                  <c:v>-70.047842105263157</c:v>
                </c:pt>
                <c:pt idx="75" formatCode="General">
                  <c:v>-70.405684210526317</c:v>
                </c:pt>
                <c:pt idx="76" formatCode="General">
                  <c:v>-70.763526315789477</c:v>
                </c:pt>
                <c:pt idx="77" formatCode="General">
                  <c:v>-71.121368421052637</c:v>
                </c:pt>
                <c:pt idx="78" formatCode="General">
                  <c:v>-71.479210526315796</c:v>
                </c:pt>
                <c:pt idx="79" formatCode="General">
                  <c:v>-71.837052631578956</c:v>
                </c:pt>
                <c:pt idx="80" formatCode="General">
                  <c:v>-72.194894736842102</c:v>
                </c:pt>
                <c:pt idx="81" formatCode="General">
                  <c:v>-72.552736842105261</c:v>
                </c:pt>
                <c:pt idx="82" formatCode="General">
                  <c:v>-72.905382352941174</c:v>
                </c:pt>
                <c:pt idx="83" formatCode="General">
                  <c:v>-73.240705882352955</c:v>
                </c:pt>
                <c:pt idx="84" formatCode="General">
                  <c:v>-73.576029411764722</c:v>
                </c:pt>
                <c:pt idx="85" formatCode="General">
                  <c:v>-73.921484848484852</c:v>
                </c:pt>
                <c:pt idx="86" formatCode="General">
                  <c:v>-74.273272727272726</c:v>
                </c:pt>
                <c:pt idx="87" formatCode="General">
                  <c:v>-74.623558823529407</c:v>
                </c:pt>
                <c:pt idx="88" formatCode="General">
                  <c:v>-74.955823529411774</c:v>
                </c:pt>
                <c:pt idx="89" formatCode="General">
                  <c:v>-75.288088235294126</c:v>
                </c:pt>
                <c:pt idx="90" formatCode="General">
                  <c:v>-75.624090909090924</c:v>
                </c:pt>
                <c:pt idx="91" formatCode="General">
                  <c:v>-75.964454545454558</c:v>
                </c:pt>
                <c:pt idx="92" formatCode="General">
                  <c:v>-76.304818181818192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DFD-4AA5-9149-6FDDA7C4FDBD}"/>
            </c:ext>
          </c:extLst>
        </c:ser>
        <c:ser>
          <c:idx val="36"/>
          <c:order val="36"/>
          <c:spPr>
            <a:ln w="1905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303</c:v>
                </c:pt>
                <c:pt idx="1">
                  <c:v>316</c:v>
                </c:pt>
                <c:pt idx="2">
                  <c:v>329</c:v>
                </c:pt>
                <c:pt idx="3">
                  <c:v>342</c:v>
                </c:pt>
                <c:pt idx="4">
                  <c:v>355</c:v>
                </c:pt>
                <c:pt idx="5">
                  <c:v>368</c:v>
                </c:pt>
                <c:pt idx="6">
                  <c:v>381</c:v>
                </c:pt>
                <c:pt idx="7">
                  <c:v>394</c:v>
                </c:pt>
                <c:pt idx="8">
                  <c:v>407</c:v>
                </c:pt>
                <c:pt idx="9">
                  <c:v>420</c:v>
                </c:pt>
                <c:pt idx="10">
                  <c:v>433</c:v>
                </c:pt>
                <c:pt idx="11">
                  <c:v>446</c:v>
                </c:pt>
                <c:pt idx="12">
                  <c:v>459</c:v>
                </c:pt>
                <c:pt idx="13">
                  <c:v>472</c:v>
                </c:pt>
                <c:pt idx="14">
                  <c:v>485</c:v>
                </c:pt>
                <c:pt idx="15">
                  <c:v>498</c:v>
                </c:pt>
                <c:pt idx="16">
                  <c:v>511</c:v>
                </c:pt>
                <c:pt idx="17">
                  <c:v>524</c:v>
                </c:pt>
                <c:pt idx="18">
                  <c:v>537</c:v>
                </c:pt>
                <c:pt idx="19">
                  <c:v>550</c:v>
                </c:pt>
                <c:pt idx="20">
                  <c:v>563</c:v>
                </c:pt>
                <c:pt idx="21">
                  <c:v>576</c:v>
                </c:pt>
                <c:pt idx="22">
                  <c:v>589</c:v>
                </c:pt>
                <c:pt idx="23">
                  <c:v>602</c:v>
                </c:pt>
                <c:pt idx="24">
                  <c:v>615</c:v>
                </c:pt>
                <c:pt idx="25">
                  <c:v>628</c:v>
                </c:pt>
                <c:pt idx="26">
                  <c:v>641</c:v>
                </c:pt>
                <c:pt idx="27">
                  <c:v>654</c:v>
                </c:pt>
                <c:pt idx="28">
                  <c:v>667</c:v>
                </c:pt>
                <c:pt idx="29">
                  <c:v>680</c:v>
                </c:pt>
                <c:pt idx="30">
                  <c:v>693</c:v>
                </c:pt>
                <c:pt idx="31">
                  <c:v>706</c:v>
                </c:pt>
                <c:pt idx="32">
                  <c:v>719</c:v>
                </c:pt>
                <c:pt idx="33">
                  <c:v>732</c:v>
                </c:pt>
                <c:pt idx="34">
                  <c:v>745</c:v>
                </c:pt>
                <c:pt idx="35">
                  <c:v>758</c:v>
                </c:pt>
                <c:pt idx="36">
                  <c:v>771</c:v>
                </c:pt>
                <c:pt idx="37">
                  <c:v>784</c:v>
                </c:pt>
                <c:pt idx="38">
                  <c:v>797</c:v>
                </c:pt>
                <c:pt idx="39">
                  <c:v>810</c:v>
                </c:pt>
                <c:pt idx="40">
                  <c:v>823</c:v>
                </c:pt>
                <c:pt idx="41">
                  <c:v>836</c:v>
                </c:pt>
                <c:pt idx="42">
                  <c:v>849</c:v>
                </c:pt>
                <c:pt idx="43">
                  <c:v>862</c:v>
                </c:pt>
                <c:pt idx="44">
                  <c:v>875</c:v>
                </c:pt>
                <c:pt idx="45">
                  <c:v>888</c:v>
                </c:pt>
                <c:pt idx="46">
                  <c:v>901</c:v>
                </c:pt>
                <c:pt idx="47">
                  <c:v>914</c:v>
                </c:pt>
                <c:pt idx="48">
                  <c:v>927</c:v>
                </c:pt>
                <c:pt idx="49">
                  <c:v>940</c:v>
                </c:pt>
                <c:pt idx="50">
                  <c:v>953</c:v>
                </c:pt>
                <c:pt idx="51">
                  <c:v>966</c:v>
                </c:pt>
                <c:pt idx="52">
                  <c:v>979</c:v>
                </c:pt>
                <c:pt idx="53">
                  <c:v>992</c:v>
                </c:pt>
                <c:pt idx="54">
                  <c:v>1005</c:v>
                </c:pt>
                <c:pt idx="55">
                  <c:v>1018</c:v>
                </c:pt>
                <c:pt idx="56">
                  <c:v>1031</c:v>
                </c:pt>
                <c:pt idx="57">
                  <c:v>1044</c:v>
                </c:pt>
                <c:pt idx="58">
                  <c:v>1057</c:v>
                </c:pt>
                <c:pt idx="59">
                  <c:v>1070</c:v>
                </c:pt>
                <c:pt idx="60">
                  <c:v>1083</c:v>
                </c:pt>
                <c:pt idx="61">
                  <c:v>1096</c:v>
                </c:pt>
                <c:pt idx="62">
                  <c:v>1109</c:v>
                </c:pt>
                <c:pt idx="63">
                  <c:v>1122</c:v>
                </c:pt>
                <c:pt idx="64">
                  <c:v>1135</c:v>
                </c:pt>
                <c:pt idx="65">
                  <c:v>1148</c:v>
                </c:pt>
                <c:pt idx="66">
                  <c:v>1161</c:v>
                </c:pt>
                <c:pt idx="67">
                  <c:v>1174</c:v>
                </c:pt>
                <c:pt idx="68">
                  <c:v>1187</c:v>
                </c:pt>
                <c:pt idx="69">
                  <c:v>1200</c:v>
                </c:pt>
                <c:pt idx="70">
                  <c:v>1213</c:v>
                </c:pt>
                <c:pt idx="71">
                  <c:v>1226</c:v>
                </c:pt>
                <c:pt idx="72">
                  <c:v>1239</c:v>
                </c:pt>
                <c:pt idx="73">
                  <c:v>1252</c:v>
                </c:pt>
                <c:pt idx="74">
                  <c:v>1265</c:v>
                </c:pt>
                <c:pt idx="75">
                  <c:v>1278</c:v>
                </c:pt>
                <c:pt idx="76">
                  <c:v>1291</c:v>
                </c:pt>
                <c:pt idx="77">
                  <c:v>1304</c:v>
                </c:pt>
                <c:pt idx="78">
                  <c:v>1317</c:v>
                </c:pt>
                <c:pt idx="79">
                  <c:v>1330</c:v>
                </c:pt>
                <c:pt idx="80">
                  <c:v>1343</c:v>
                </c:pt>
                <c:pt idx="81">
                  <c:v>1356</c:v>
                </c:pt>
                <c:pt idx="82">
                  <c:v>1369</c:v>
                </c:pt>
                <c:pt idx="83">
                  <c:v>1382</c:v>
                </c:pt>
                <c:pt idx="84">
                  <c:v>1395</c:v>
                </c:pt>
                <c:pt idx="85">
                  <c:v>1408</c:v>
                </c:pt>
                <c:pt idx="86">
                  <c:v>1421</c:v>
                </c:pt>
                <c:pt idx="87">
                  <c:v>1434</c:v>
                </c:pt>
                <c:pt idx="88">
                  <c:v>1447</c:v>
                </c:pt>
                <c:pt idx="89">
                  <c:v>1460</c:v>
                </c:pt>
                <c:pt idx="90">
                  <c:v>1473</c:v>
                </c:pt>
                <c:pt idx="91">
                  <c:v>1486</c:v>
                </c:pt>
                <c:pt idx="92">
                  <c:v>1499</c:v>
                </c:pt>
              </c:numCache>
              <c:extLst xmlns:c15="http://schemas.microsoft.com/office/drawing/2012/chart"/>
            </c:numRef>
          </c:xVal>
          <c:yVal>
            <c:numRef>
              <c:f>EVALUATION!$B$137:$CP$137</c:f>
              <c:numCache>
                <c:formatCode>0</c:formatCode>
                <c:ptCount val="93"/>
                <c:pt idx="0">
                  <c:v>-59.738018018018018</c:v>
                </c:pt>
                <c:pt idx="1">
                  <c:v>-58.270150150150151</c:v>
                </c:pt>
                <c:pt idx="2" formatCode="General">
                  <c:v>-56.802282282282285</c:v>
                </c:pt>
                <c:pt idx="3" formatCode="General">
                  <c:v>-55.828383233532939</c:v>
                </c:pt>
                <c:pt idx="4" formatCode="General">
                  <c:v>-54.97209580838323</c:v>
                </c:pt>
                <c:pt idx="5" formatCode="General">
                  <c:v>-54.192473053892215</c:v>
                </c:pt>
                <c:pt idx="6" formatCode="General">
                  <c:v>-53.657682634730534</c:v>
                </c:pt>
                <c:pt idx="7" formatCode="General">
                  <c:v>-53.122892215568861</c:v>
                </c:pt>
                <c:pt idx="8" formatCode="General">
                  <c:v>-52.697502994011977</c:v>
                </c:pt>
                <c:pt idx="9" formatCode="General">
                  <c:v>-52.326185628742515</c:v>
                </c:pt>
                <c:pt idx="10" formatCode="General">
                  <c:v>-51.973356287425155</c:v>
                </c:pt>
                <c:pt idx="11" formatCode="General">
                  <c:v>-51.78691916167665</c:v>
                </c:pt>
                <c:pt idx="12" formatCode="General">
                  <c:v>-51.600482035928145</c:v>
                </c:pt>
                <c:pt idx="13" formatCode="General">
                  <c:v>-51.563200598802396</c:v>
                </c:pt>
                <c:pt idx="14" formatCode="General">
                  <c:v>-51.657781437125749</c:v>
                </c:pt>
                <c:pt idx="15" formatCode="General">
                  <c:v>-51.752362275449102</c:v>
                </c:pt>
                <c:pt idx="16" formatCode="General">
                  <c:v>-52.190309309309306</c:v>
                </c:pt>
                <c:pt idx="17" formatCode="General">
                  <c:v>-52.64199099099099</c:v>
                </c:pt>
                <c:pt idx="18" formatCode="General">
                  <c:v>-53.067131736526946</c:v>
                </c:pt>
                <c:pt idx="19" formatCode="General">
                  <c:v>-53.452461077844312</c:v>
                </c:pt>
                <c:pt idx="20" formatCode="General">
                  <c:v>-53.837790419161678</c:v>
                </c:pt>
                <c:pt idx="21" formatCode="General">
                  <c:v>-54.24607784431138</c:v>
                </c:pt>
                <c:pt idx="22" formatCode="General">
                  <c:v>-54.659041916167666</c:v>
                </c:pt>
                <c:pt idx="23" formatCode="General">
                  <c:v>-55.069562874251496</c:v>
                </c:pt>
                <c:pt idx="24" formatCode="General">
                  <c:v>-55.473185628742513</c:v>
                </c:pt>
                <c:pt idx="25" formatCode="General">
                  <c:v>-55.876808383233538</c:v>
                </c:pt>
                <c:pt idx="26" formatCode="General">
                  <c:v>-56.28150898203593</c:v>
                </c:pt>
                <c:pt idx="27" formatCode="General">
                  <c:v>-56.686688622754488</c:v>
                </c:pt>
                <c:pt idx="28" formatCode="General">
                  <c:v>-57.091868263473046</c:v>
                </c:pt>
                <c:pt idx="29" formatCode="General">
                  <c:v>-57.497047904191611</c:v>
                </c:pt>
                <c:pt idx="30" formatCode="General">
                  <c:v>-57.902227544910176</c:v>
                </c:pt>
                <c:pt idx="31" formatCode="General">
                  <c:v>-58.295494382022468</c:v>
                </c:pt>
                <c:pt idx="32" formatCode="General">
                  <c:v>-58.679164794007491</c:v>
                </c:pt>
                <c:pt idx="33" formatCode="General">
                  <c:v>-59.062835205992513</c:v>
                </c:pt>
                <c:pt idx="34" formatCode="General">
                  <c:v>-59.446505617977529</c:v>
                </c:pt>
                <c:pt idx="35" formatCode="General">
                  <c:v>-59.830176029962551</c:v>
                </c:pt>
                <c:pt idx="36" formatCode="General">
                  <c:v>-60.213846441947567</c:v>
                </c:pt>
                <c:pt idx="37" formatCode="General">
                  <c:v>-60.597516853932589</c:v>
                </c:pt>
                <c:pt idx="38" formatCode="General">
                  <c:v>-60.981187265917605</c:v>
                </c:pt>
                <c:pt idx="39" formatCode="General">
                  <c:v>-61.364857677902627</c:v>
                </c:pt>
                <c:pt idx="40" formatCode="General">
                  <c:v>-61.748528089887643</c:v>
                </c:pt>
                <c:pt idx="41" formatCode="General">
                  <c:v>-62.126710861423227</c:v>
                </c:pt>
                <c:pt idx="42" formatCode="General">
                  <c:v>-62.49110037453184</c:v>
                </c:pt>
                <c:pt idx="43" formatCode="General">
                  <c:v>-62.855489887640452</c:v>
                </c:pt>
                <c:pt idx="44" formatCode="General">
                  <c:v>-63.219879400749065</c:v>
                </c:pt>
                <c:pt idx="45" formatCode="General">
                  <c:v>-63.584268913857684</c:v>
                </c:pt>
                <c:pt idx="46" formatCode="General">
                  <c:v>-63.948658426966297</c:v>
                </c:pt>
                <c:pt idx="47" formatCode="General">
                  <c:v>-64.31304794007491</c:v>
                </c:pt>
                <c:pt idx="48" formatCode="General">
                  <c:v>-64.677437453183529</c:v>
                </c:pt>
                <c:pt idx="49" formatCode="General">
                  <c:v>-65.041826966292135</c:v>
                </c:pt>
                <c:pt idx="50" formatCode="General">
                  <c:v>-65.406216479400754</c:v>
                </c:pt>
                <c:pt idx="51" formatCode="General">
                  <c:v>-65.770319819819818</c:v>
                </c:pt>
                <c:pt idx="52" formatCode="General">
                  <c:v>-66.116108108108108</c:v>
                </c:pt>
                <c:pt idx="53" formatCode="General">
                  <c:v>-66.461896396396398</c:v>
                </c:pt>
                <c:pt idx="54" formatCode="General">
                  <c:v>-66.807684684684688</c:v>
                </c:pt>
                <c:pt idx="55" formatCode="General">
                  <c:v>-67.153472972972978</c:v>
                </c:pt>
                <c:pt idx="56" formatCode="General">
                  <c:v>-67.499261261261253</c:v>
                </c:pt>
                <c:pt idx="57" formatCode="General">
                  <c:v>-67.845049549549543</c:v>
                </c:pt>
                <c:pt idx="58" formatCode="General">
                  <c:v>-68.190837837837833</c:v>
                </c:pt>
                <c:pt idx="59" formatCode="General">
                  <c:v>-68.536626126126123</c:v>
                </c:pt>
                <c:pt idx="60" formatCode="General">
                  <c:v>-68.882414414414413</c:v>
                </c:pt>
                <c:pt idx="61" formatCode="General">
                  <c:v>-69.228202702702703</c:v>
                </c:pt>
                <c:pt idx="62" formatCode="General">
                  <c:v>-69.563294117647061</c:v>
                </c:pt>
                <c:pt idx="63" formatCode="General">
                  <c:v>-69.89517647058824</c:v>
                </c:pt>
                <c:pt idx="64" formatCode="General">
                  <c:v>-70.227272727272734</c:v>
                </c:pt>
                <c:pt idx="65" formatCode="General">
                  <c:v>-70.560545454545462</c:v>
                </c:pt>
                <c:pt idx="66" formatCode="General">
                  <c:v>-70.89381818181819</c:v>
                </c:pt>
                <c:pt idx="67" formatCode="General">
                  <c:v>-71.221058823529418</c:v>
                </c:pt>
                <c:pt idx="68" formatCode="General">
                  <c:v>-71.544529411764699</c:v>
                </c:pt>
                <c:pt idx="69" formatCode="General">
                  <c:v>-71.867999999999995</c:v>
                </c:pt>
                <c:pt idx="70" formatCode="General">
                  <c:v>-72.200878787878793</c:v>
                </c:pt>
                <c:pt idx="71" formatCode="General">
                  <c:v>-72.533757575757576</c:v>
                </c:pt>
                <c:pt idx="72" formatCode="General">
                  <c:v>-72.86223308270678</c:v>
                </c:pt>
                <c:pt idx="73" formatCode="General">
                  <c:v>-73.185571428571436</c:v>
                </c:pt>
                <c:pt idx="74" formatCode="General">
                  <c:v>-73.508909774436091</c:v>
                </c:pt>
                <c:pt idx="75" formatCode="General">
                  <c:v>-73.832248120300747</c:v>
                </c:pt>
                <c:pt idx="76" formatCode="General">
                  <c:v>-74.155586466165417</c:v>
                </c:pt>
                <c:pt idx="77" formatCode="General">
                  <c:v>-74.478924812030073</c:v>
                </c:pt>
                <c:pt idx="78" formatCode="General">
                  <c:v>-74.802263157894728</c:v>
                </c:pt>
                <c:pt idx="79" formatCode="General">
                  <c:v>-75.125601503759384</c:v>
                </c:pt>
                <c:pt idx="80" formatCode="General">
                  <c:v>-75.448939849624054</c:v>
                </c:pt>
                <c:pt idx="81" formatCode="General">
                  <c:v>-75.77227819548871</c:v>
                </c:pt>
                <c:pt idx="82" formatCode="General">
                  <c:v>-76.09295522388058</c:v>
                </c:pt>
                <c:pt idx="83" formatCode="General">
                  <c:v>-76.404761194029845</c:v>
                </c:pt>
                <c:pt idx="84" formatCode="General">
                  <c:v>-76.716567164179096</c:v>
                </c:pt>
                <c:pt idx="85" formatCode="General">
                  <c:v>-77.028373134328348</c:v>
                </c:pt>
                <c:pt idx="86" formatCode="General">
                  <c:v>-77.340179104477599</c:v>
                </c:pt>
                <c:pt idx="87" formatCode="General">
                  <c:v>-77.651985074626865</c:v>
                </c:pt>
                <c:pt idx="88" formatCode="General">
                  <c:v>-77.963791044776116</c:v>
                </c:pt>
                <c:pt idx="89" formatCode="General">
                  <c:v>-78.275597014925367</c:v>
                </c:pt>
                <c:pt idx="90" formatCode="General">
                  <c:v>-78.587402985074618</c:v>
                </c:pt>
                <c:pt idx="91" formatCode="General">
                  <c:v>-78.899208955223884</c:v>
                </c:pt>
                <c:pt idx="92" formatCode="General">
                  <c:v>-79.211014925373135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3DFD-4AA5-9149-6FDDA7C4FDBD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FD-4AA5-9149-6FDDA7C4FDBD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731</c:v>
                </c:pt>
                <c:pt idx="1">
                  <c:v>731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-199.33052238805971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DFD-4AA5-9149-6FDDA7C4F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-15.207297297297297</c:v>
                      </c:pt>
                      <c:pt idx="1">
                        <c:v>-14.82081081081081</c:v>
                      </c:pt>
                      <c:pt idx="2" formatCode="General">
                        <c:v>-14.434324324324324</c:v>
                      </c:pt>
                      <c:pt idx="3" formatCode="General">
                        <c:v>-13.712395209580837</c:v>
                      </c:pt>
                      <c:pt idx="4" formatCode="General">
                        <c:v>-12.910598802395208</c:v>
                      </c:pt>
                      <c:pt idx="5" formatCode="General">
                        <c:v>-12.087455089820359</c:v>
                      </c:pt>
                      <c:pt idx="6" formatCode="General">
                        <c:v>-11.196137724550898</c:v>
                      </c:pt>
                      <c:pt idx="7" formatCode="General">
                        <c:v>-10.304820359281438</c:v>
                      </c:pt>
                      <c:pt idx="8" formatCode="General">
                        <c:v>-9.491907185628742</c:v>
                      </c:pt>
                      <c:pt idx="9" formatCode="General">
                        <c:v>-8.7177455089820359</c:v>
                      </c:pt>
                      <c:pt idx="10" formatCode="General">
                        <c:v>-7.9532365269461076</c:v>
                      </c:pt>
                      <c:pt idx="11" formatCode="General">
                        <c:v>-7.2756017964071864</c:v>
                      </c:pt>
                      <c:pt idx="12" formatCode="General">
                        <c:v>-6.5979670658682643</c:v>
                      </c:pt>
                      <c:pt idx="13" formatCode="General">
                        <c:v>-5.9610299401197615</c:v>
                      </c:pt>
                      <c:pt idx="14" formatCode="General">
                        <c:v>-5.3600718562874254</c:v>
                      </c:pt>
                      <c:pt idx="15" formatCode="General">
                        <c:v>-4.7591137724550894</c:v>
                      </c:pt>
                      <c:pt idx="16" formatCode="General">
                        <c:v>-4.5126516516516508</c:v>
                      </c:pt>
                      <c:pt idx="17" formatCode="General">
                        <c:v>-4.2803693693693692</c:v>
                      </c:pt>
                      <c:pt idx="18" formatCode="General">
                        <c:v>-4.1537664670658687</c:v>
                      </c:pt>
                      <c:pt idx="19" formatCode="General">
                        <c:v>-4.1856826347305391</c:v>
                      </c:pt>
                      <c:pt idx="20" formatCode="General">
                        <c:v>-4.2175988023952096</c:v>
                      </c:pt>
                      <c:pt idx="21" formatCode="General">
                        <c:v>-4.249676646706587</c:v>
                      </c:pt>
                      <c:pt idx="22" formatCode="General">
                        <c:v>-4.2817874251497008</c:v>
                      </c:pt>
                      <c:pt idx="23" formatCode="General">
                        <c:v>-4.3138982035928146</c:v>
                      </c:pt>
                      <c:pt idx="24" formatCode="General">
                        <c:v>-4.3460089820359284</c:v>
                      </c:pt>
                      <c:pt idx="25" formatCode="General">
                        <c:v>-4.3781197604790414</c:v>
                      </c:pt>
                      <c:pt idx="26" formatCode="General">
                        <c:v>-4.4102305389221552</c:v>
                      </c:pt>
                      <c:pt idx="27" formatCode="General">
                        <c:v>-4.442341317365269</c:v>
                      </c:pt>
                      <c:pt idx="28" formatCode="General">
                        <c:v>-4.4744520958083829</c:v>
                      </c:pt>
                      <c:pt idx="29" formatCode="General">
                        <c:v>-4.5065628742514967</c:v>
                      </c:pt>
                      <c:pt idx="30" formatCode="General">
                        <c:v>-4.5386736526946105</c:v>
                      </c:pt>
                      <c:pt idx="31" formatCode="General">
                        <c:v>-4.5702584269662925</c:v>
                      </c:pt>
                      <c:pt idx="32" formatCode="General">
                        <c:v>-4.6014194756554305</c:v>
                      </c:pt>
                      <c:pt idx="33" formatCode="General">
                        <c:v>-4.6325805243445695</c:v>
                      </c:pt>
                      <c:pt idx="34" formatCode="General">
                        <c:v>-4.6637415730337084</c:v>
                      </c:pt>
                      <c:pt idx="35" formatCode="General">
                        <c:v>-4.6949026217228464</c:v>
                      </c:pt>
                      <c:pt idx="36" formatCode="General">
                        <c:v>-4.7260636704119854</c:v>
                      </c:pt>
                      <c:pt idx="37" formatCode="General">
                        <c:v>-4.7572247191011234</c:v>
                      </c:pt>
                      <c:pt idx="38" formatCode="General">
                        <c:v>-4.7883857677902624</c:v>
                      </c:pt>
                      <c:pt idx="39" formatCode="General">
                        <c:v>-4.8195468164794013</c:v>
                      </c:pt>
                      <c:pt idx="40" formatCode="General">
                        <c:v>-4.8507078651685394</c:v>
                      </c:pt>
                      <c:pt idx="41" formatCode="General">
                        <c:v>-4.8813700374531841</c:v>
                      </c:pt>
                      <c:pt idx="42" formatCode="General">
                        <c:v>-4.9107782771535584</c:v>
                      </c:pt>
                      <c:pt idx="43" formatCode="General">
                        <c:v>-4.9401865168539327</c:v>
                      </c:pt>
                      <c:pt idx="44" formatCode="General">
                        <c:v>-4.969594756554307</c:v>
                      </c:pt>
                      <c:pt idx="45" formatCode="General">
                        <c:v>-4.9990029962546814</c:v>
                      </c:pt>
                      <c:pt idx="46" formatCode="General">
                        <c:v>-5.0284112359550566</c:v>
                      </c:pt>
                      <c:pt idx="47" formatCode="General">
                        <c:v>-5.0578194756554309</c:v>
                      </c:pt>
                      <c:pt idx="48" formatCode="General">
                        <c:v>-5.0872277153558052</c:v>
                      </c:pt>
                      <c:pt idx="49" formatCode="General">
                        <c:v>-5.1166359550561795</c:v>
                      </c:pt>
                      <c:pt idx="50" formatCode="General">
                        <c:v>-5.1460441947565538</c:v>
                      </c:pt>
                      <c:pt idx="51" formatCode="General">
                        <c:v>-5.1754311377245505</c:v>
                      </c:pt>
                      <c:pt idx="52" formatCode="General">
                        <c:v>-5.2034550898203591</c:v>
                      </c:pt>
                      <c:pt idx="53" formatCode="General">
                        <c:v>-5.2314790419161676</c:v>
                      </c:pt>
                      <c:pt idx="54" formatCode="General">
                        <c:v>-5.2591834319526622</c:v>
                      </c:pt>
                      <c:pt idx="55" formatCode="General">
                        <c:v>-5.2864911242603547</c:v>
                      </c:pt>
                      <c:pt idx="56" formatCode="General">
                        <c:v>-5.3137988165680472</c:v>
                      </c:pt>
                      <c:pt idx="57" formatCode="General">
                        <c:v>-5.3416666666666668</c:v>
                      </c:pt>
                      <c:pt idx="58" formatCode="General">
                        <c:v>-5.3696363636363635</c:v>
                      </c:pt>
                      <c:pt idx="59" formatCode="General">
                        <c:v>-5.3973636363636368</c:v>
                      </c:pt>
                      <c:pt idx="60" formatCode="General">
                        <c:v>-5.4245454545454548</c:v>
                      </c:pt>
                      <c:pt idx="61" formatCode="General">
                        <c:v>-5.4517272727272728</c:v>
                      </c:pt>
                      <c:pt idx="62" formatCode="General">
                        <c:v>-5.4825522388059706</c:v>
                      </c:pt>
                      <c:pt idx="63" formatCode="General">
                        <c:v>-5.5144701492537314</c:v>
                      </c:pt>
                      <c:pt idx="64" formatCode="General">
                        <c:v>-5.546388059701493</c:v>
                      </c:pt>
                      <c:pt idx="65" formatCode="General">
                        <c:v>-5.5783059701492537</c:v>
                      </c:pt>
                      <c:pt idx="66" formatCode="General">
                        <c:v>-5.6102238805970153</c:v>
                      </c:pt>
                      <c:pt idx="67" formatCode="General">
                        <c:v>-5.642141791044776</c:v>
                      </c:pt>
                      <c:pt idx="68" formatCode="General">
                        <c:v>-5.6740597014925376</c:v>
                      </c:pt>
                      <c:pt idx="69" formatCode="General">
                        <c:v>-5.7059776119402983</c:v>
                      </c:pt>
                      <c:pt idx="70" formatCode="General">
                        <c:v>-5.7378955223880599</c:v>
                      </c:pt>
                      <c:pt idx="71" formatCode="General">
                        <c:v>-5.7698134328358206</c:v>
                      </c:pt>
                      <c:pt idx="72" formatCode="General">
                        <c:v>-5.8141127819548872</c:v>
                      </c:pt>
                      <c:pt idx="73" formatCode="General">
                        <c:v>-5.8728571428571428</c:v>
                      </c:pt>
                      <c:pt idx="74" formatCode="General">
                        <c:v>-5.9316015037593983</c:v>
                      </c:pt>
                      <c:pt idx="75" formatCode="General">
                        <c:v>-5.9903458646616539</c:v>
                      </c:pt>
                      <c:pt idx="76" formatCode="General">
                        <c:v>-6.0490902255639094</c:v>
                      </c:pt>
                      <c:pt idx="77" formatCode="General">
                        <c:v>-6.107834586466165</c:v>
                      </c:pt>
                      <c:pt idx="78" formatCode="General">
                        <c:v>-6.1665789473684214</c:v>
                      </c:pt>
                      <c:pt idx="79" formatCode="General">
                        <c:v>-6.2253233082706769</c:v>
                      </c:pt>
                      <c:pt idx="80" formatCode="General">
                        <c:v>-6.2840676691729325</c:v>
                      </c:pt>
                      <c:pt idx="81" formatCode="General">
                        <c:v>-6.342812030075188</c:v>
                      </c:pt>
                      <c:pt idx="82" formatCode="General">
                        <c:v>-6.4000882352941177</c:v>
                      </c:pt>
                      <c:pt idx="83" formatCode="General">
                        <c:v>-6.4524705882352942</c:v>
                      </c:pt>
                      <c:pt idx="84" formatCode="General">
                        <c:v>-6.5048529411764706</c:v>
                      </c:pt>
                      <c:pt idx="85" formatCode="General">
                        <c:v>-6.5572424242424248</c:v>
                      </c:pt>
                      <c:pt idx="86" formatCode="General">
                        <c:v>-6.6096363636363638</c:v>
                      </c:pt>
                      <c:pt idx="87" formatCode="General">
                        <c:v>-6.6617941176470588</c:v>
                      </c:pt>
                      <c:pt idx="88" formatCode="General">
                        <c:v>-6.7111176470588241</c:v>
                      </c:pt>
                      <c:pt idx="89" formatCode="General">
                        <c:v>-6.7604411764705885</c:v>
                      </c:pt>
                      <c:pt idx="90" formatCode="General">
                        <c:v>-6.8095454545454546</c:v>
                      </c:pt>
                      <c:pt idx="91" formatCode="General">
                        <c:v>-6.858393939393939</c:v>
                      </c:pt>
                      <c:pt idx="92" formatCode="General">
                        <c:v>-6.9072424242424235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3DFD-4AA5-9149-6FDDA7C4FDBD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-15.207297297297297</c:v>
                      </c:pt>
                      <c:pt idx="1">
                        <c:v>-14.82081081081081</c:v>
                      </c:pt>
                      <c:pt idx="2" formatCode="General">
                        <c:v>-14.434324324324324</c:v>
                      </c:pt>
                      <c:pt idx="3" formatCode="General">
                        <c:v>-13.712395209580837</c:v>
                      </c:pt>
                      <c:pt idx="4" formatCode="General">
                        <c:v>-12.910598802395208</c:v>
                      </c:pt>
                      <c:pt idx="5" formatCode="General">
                        <c:v>-12.087455089820359</c:v>
                      </c:pt>
                      <c:pt idx="6" formatCode="General">
                        <c:v>-11.196137724550898</c:v>
                      </c:pt>
                      <c:pt idx="7" formatCode="General">
                        <c:v>-10.304820359281438</c:v>
                      </c:pt>
                      <c:pt idx="8" formatCode="General">
                        <c:v>-9.491907185628742</c:v>
                      </c:pt>
                      <c:pt idx="9" formatCode="General">
                        <c:v>-8.7177455089820359</c:v>
                      </c:pt>
                      <c:pt idx="10" formatCode="General">
                        <c:v>-7.9532365269461076</c:v>
                      </c:pt>
                      <c:pt idx="11" formatCode="General">
                        <c:v>-7.2756017964071864</c:v>
                      </c:pt>
                      <c:pt idx="12" formatCode="General">
                        <c:v>-6.5979670658682643</c:v>
                      </c:pt>
                      <c:pt idx="13" formatCode="General">
                        <c:v>-5.9610299401197615</c:v>
                      </c:pt>
                      <c:pt idx="14" formatCode="General">
                        <c:v>-5.3600718562874254</c:v>
                      </c:pt>
                      <c:pt idx="15" formatCode="General">
                        <c:v>-4.7591137724550894</c:v>
                      </c:pt>
                      <c:pt idx="16" formatCode="General">
                        <c:v>-4.5126516516516508</c:v>
                      </c:pt>
                      <c:pt idx="17" formatCode="General">
                        <c:v>-4.2803693693693692</c:v>
                      </c:pt>
                      <c:pt idx="18" formatCode="General">
                        <c:v>-4.1537664670658687</c:v>
                      </c:pt>
                      <c:pt idx="19" formatCode="General">
                        <c:v>-4.1856826347305391</c:v>
                      </c:pt>
                      <c:pt idx="20" formatCode="General">
                        <c:v>-4.2175988023952096</c:v>
                      </c:pt>
                      <c:pt idx="21" formatCode="General">
                        <c:v>-4.249676646706587</c:v>
                      </c:pt>
                      <c:pt idx="22" formatCode="General">
                        <c:v>-4.2817874251497008</c:v>
                      </c:pt>
                      <c:pt idx="23" formatCode="General">
                        <c:v>-4.3138982035928146</c:v>
                      </c:pt>
                      <c:pt idx="24" formatCode="General">
                        <c:v>-4.3460089820359284</c:v>
                      </c:pt>
                      <c:pt idx="25" formatCode="General">
                        <c:v>-4.3781197604790414</c:v>
                      </c:pt>
                      <c:pt idx="26" formatCode="General">
                        <c:v>-4.4102305389221552</c:v>
                      </c:pt>
                      <c:pt idx="27" formatCode="General">
                        <c:v>-4.442341317365269</c:v>
                      </c:pt>
                      <c:pt idx="28" formatCode="General">
                        <c:v>-4.4744520958083829</c:v>
                      </c:pt>
                      <c:pt idx="29" formatCode="General">
                        <c:v>-4.5065628742514967</c:v>
                      </c:pt>
                      <c:pt idx="30" formatCode="General">
                        <c:v>-4.5386736526946105</c:v>
                      </c:pt>
                      <c:pt idx="31" formatCode="General">
                        <c:v>-4.5702584269662925</c:v>
                      </c:pt>
                      <c:pt idx="32" formatCode="General">
                        <c:v>-4.6014194756554305</c:v>
                      </c:pt>
                      <c:pt idx="33" formatCode="General">
                        <c:v>-4.6325805243445695</c:v>
                      </c:pt>
                      <c:pt idx="34" formatCode="General">
                        <c:v>-4.6637415730337084</c:v>
                      </c:pt>
                      <c:pt idx="35" formatCode="General">
                        <c:v>-4.6949026217228464</c:v>
                      </c:pt>
                      <c:pt idx="36" formatCode="General">
                        <c:v>-4.7260636704119854</c:v>
                      </c:pt>
                      <c:pt idx="37" formatCode="General">
                        <c:v>-4.7572247191011234</c:v>
                      </c:pt>
                      <c:pt idx="38" formatCode="General">
                        <c:v>-4.7883857677902624</c:v>
                      </c:pt>
                      <c:pt idx="39" formatCode="General">
                        <c:v>-4.8195468164794013</c:v>
                      </c:pt>
                      <c:pt idx="40" formatCode="General">
                        <c:v>-4.8507078651685394</c:v>
                      </c:pt>
                      <c:pt idx="41" formatCode="General">
                        <c:v>-4.8813700374531841</c:v>
                      </c:pt>
                      <c:pt idx="42" formatCode="General">
                        <c:v>-4.9107782771535584</c:v>
                      </c:pt>
                      <c:pt idx="43" formatCode="General">
                        <c:v>-4.9401865168539327</c:v>
                      </c:pt>
                      <c:pt idx="44" formatCode="General">
                        <c:v>-4.969594756554307</c:v>
                      </c:pt>
                      <c:pt idx="45" formatCode="General">
                        <c:v>-4.9990029962546814</c:v>
                      </c:pt>
                      <c:pt idx="46" formatCode="General">
                        <c:v>-5.0284112359550566</c:v>
                      </c:pt>
                      <c:pt idx="47" formatCode="General">
                        <c:v>-5.0578194756554309</c:v>
                      </c:pt>
                      <c:pt idx="48" formatCode="General">
                        <c:v>-5.0872277153558052</c:v>
                      </c:pt>
                      <c:pt idx="49" formatCode="General">
                        <c:v>-5.1166359550561795</c:v>
                      </c:pt>
                      <c:pt idx="50" formatCode="General">
                        <c:v>-5.1460441947565538</c:v>
                      </c:pt>
                      <c:pt idx="51" formatCode="General">
                        <c:v>-5.1754311377245505</c:v>
                      </c:pt>
                      <c:pt idx="52" formatCode="General">
                        <c:v>-5.2034550898203591</c:v>
                      </c:pt>
                      <c:pt idx="53" formatCode="General">
                        <c:v>-5.2314790419161676</c:v>
                      </c:pt>
                      <c:pt idx="54" formatCode="General">
                        <c:v>-5.2591834319526622</c:v>
                      </c:pt>
                      <c:pt idx="55" formatCode="General">
                        <c:v>-5.2864911242603547</c:v>
                      </c:pt>
                      <c:pt idx="56" formatCode="General">
                        <c:v>-5.3137988165680472</c:v>
                      </c:pt>
                      <c:pt idx="57" formatCode="General">
                        <c:v>-5.3416666666666668</c:v>
                      </c:pt>
                      <c:pt idx="58" formatCode="General">
                        <c:v>-5.3696363636363635</c:v>
                      </c:pt>
                      <c:pt idx="59" formatCode="General">
                        <c:v>-5.3973636363636368</c:v>
                      </c:pt>
                      <c:pt idx="60" formatCode="General">
                        <c:v>-5.4245454545454548</c:v>
                      </c:pt>
                      <c:pt idx="61" formatCode="General">
                        <c:v>-5.4517272727272728</c:v>
                      </c:pt>
                      <c:pt idx="62" formatCode="General">
                        <c:v>-5.4825522388059706</c:v>
                      </c:pt>
                      <c:pt idx="63" formatCode="General">
                        <c:v>-5.5144701492537314</c:v>
                      </c:pt>
                      <c:pt idx="64" formatCode="General">
                        <c:v>-5.546388059701493</c:v>
                      </c:pt>
                      <c:pt idx="65" formatCode="General">
                        <c:v>-5.5783059701492537</c:v>
                      </c:pt>
                      <c:pt idx="66" formatCode="General">
                        <c:v>-5.6102238805970153</c:v>
                      </c:pt>
                      <c:pt idx="67" formatCode="General">
                        <c:v>-5.642141791044776</c:v>
                      </c:pt>
                      <c:pt idx="68" formatCode="General">
                        <c:v>-5.6740597014925376</c:v>
                      </c:pt>
                      <c:pt idx="69" formatCode="General">
                        <c:v>-5.7059776119402983</c:v>
                      </c:pt>
                      <c:pt idx="70" formatCode="General">
                        <c:v>-5.7378955223880599</c:v>
                      </c:pt>
                      <c:pt idx="71" formatCode="General">
                        <c:v>-5.7698134328358206</c:v>
                      </c:pt>
                      <c:pt idx="72" formatCode="General">
                        <c:v>-5.8141127819548872</c:v>
                      </c:pt>
                      <c:pt idx="73" formatCode="General">
                        <c:v>-5.8728571428571428</c:v>
                      </c:pt>
                      <c:pt idx="74" formatCode="General">
                        <c:v>-5.9316015037593983</c:v>
                      </c:pt>
                      <c:pt idx="75" formatCode="General">
                        <c:v>-5.9903458646616539</c:v>
                      </c:pt>
                      <c:pt idx="76" formatCode="General">
                        <c:v>-6.0490902255639094</c:v>
                      </c:pt>
                      <c:pt idx="77" formatCode="General">
                        <c:v>-6.107834586466165</c:v>
                      </c:pt>
                      <c:pt idx="78" formatCode="General">
                        <c:v>-6.1665789473684214</c:v>
                      </c:pt>
                      <c:pt idx="79" formatCode="General">
                        <c:v>-6.2253233082706769</c:v>
                      </c:pt>
                      <c:pt idx="80" formatCode="General">
                        <c:v>-6.2840676691729325</c:v>
                      </c:pt>
                      <c:pt idx="81" formatCode="General">
                        <c:v>-6.342812030075188</c:v>
                      </c:pt>
                      <c:pt idx="82" formatCode="General">
                        <c:v>-6.4000882352941177</c:v>
                      </c:pt>
                      <c:pt idx="83" formatCode="General">
                        <c:v>-6.4524705882352942</c:v>
                      </c:pt>
                      <c:pt idx="84" formatCode="General">
                        <c:v>-6.5048529411764706</c:v>
                      </c:pt>
                      <c:pt idx="85" formatCode="General">
                        <c:v>-6.5572424242424248</c:v>
                      </c:pt>
                      <c:pt idx="86" formatCode="General">
                        <c:v>-6.6096363636363638</c:v>
                      </c:pt>
                      <c:pt idx="87" formatCode="General">
                        <c:v>-6.6617941176470588</c:v>
                      </c:pt>
                      <c:pt idx="88" formatCode="General">
                        <c:v>-6.7111176470588241</c:v>
                      </c:pt>
                      <c:pt idx="89" formatCode="General">
                        <c:v>-6.7604411764705885</c:v>
                      </c:pt>
                      <c:pt idx="90" formatCode="General">
                        <c:v>-6.8095454545454546</c:v>
                      </c:pt>
                      <c:pt idx="91" formatCode="General">
                        <c:v>-6.858393939393939</c:v>
                      </c:pt>
                      <c:pt idx="92" formatCode="General">
                        <c:v>-6.9072424242424235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DFD-4AA5-9149-6FDDA7C4FDBD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-36.840720720720718</c:v>
                      </c:pt>
                      <c:pt idx="1">
                        <c:v>-35.759339339339341</c:v>
                      </c:pt>
                      <c:pt idx="2" formatCode="General">
                        <c:v>-34.677957957957958</c:v>
                      </c:pt>
                      <c:pt idx="3" formatCode="General">
                        <c:v>-33.778383233532935</c:v>
                      </c:pt>
                      <c:pt idx="4" formatCode="General">
                        <c:v>-32.922095808383233</c:v>
                      </c:pt>
                      <c:pt idx="5" formatCode="General">
                        <c:v>-32.103862275449096</c:v>
                      </c:pt>
                      <c:pt idx="6" formatCode="General">
                        <c:v>-31.407155688622751</c:v>
                      </c:pt>
                      <c:pt idx="7" formatCode="General">
                        <c:v>-30.710449101796403</c:v>
                      </c:pt>
                      <c:pt idx="8" formatCode="General">
                        <c:v>-30.094751497005987</c:v>
                      </c:pt>
                      <c:pt idx="9" formatCode="General">
                        <c:v>-29.519092814371255</c:v>
                      </c:pt>
                      <c:pt idx="10" formatCode="General">
                        <c:v>-28.953086826347306</c:v>
                      </c:pt>
                      <c:pt idx="11" formatCode="General">
                        <c:v>-28.473955089820361</c:v>
                      </c:pt>
                      <c:pt idx="12" formatCode="General">
                        <c:v>-27.994823353293413</c:v>
                      </c:pt>
                      <c:pt idx="13" formatCode="General">
                        <c:v>-27.55845508982036</c:v>
                      </c:pt>
                      <c:pt idx="14" formatCode="General">
                        <c:v>-27.159892215568863</c:v>
                      </c:pt>
                      <c:pt idx="15" formatCode="General">
                        <c:v>-26.761329341317367</c:v>
                      </c:pt>
                      <c:pt idx="16" formatCode="General">
                        <c:v>-26.710339339339342</c:v>
                      </c:pt>
                      <c:pt idx="17" formatCode="General">
                        <c:v>-26.673252252252254</c:v>
                      </c:pt>
                      <c:pt idx="18" formatCode="General">
                        <c:v>-26.743167664670661</c:v>
                      </c:pt>
                      <c:pt idx="19" formatCode="General">
                        <c:v>-26.973586826347304</c:v>
                      </c:pt>
                      <c:pt idx="20" formatCode="General">
                        <c:v>-27.204005988023951</c:v>
                      </c:pt>
                      <c:pt idx="21" formatCode="General">
                        <c:v>-27.426502994011976</c:v>
                      </c:pt>
                      <c:pt idx="22" formatCode="General">
                        <c:v>-27.64738622754491</c:v>
                      </c:pt>
                      <c:pt idx="23" formatCode="General">
                        <c:v>-27.868269461077844</c:v>
                      </c:pt>
                      <c:pt idx="24" formatCode="General">
                        <c:v>-28.089152694610778</c:v>
                      </c:pt>
                      <c:pt idx="25" formatCode="General">
                        <c:v>-28.310035928143712</c:v>
                      </c:pt>
                      <c:pt idx="26" formatCode="General">
                        <c:v>-28.530919161676646</c:v>
                      </c:pt>
                      <c:pt idx="27" formatCode="General">
                        <c:v>-28.75180239520958</c:v>
                      </c:pt>
                      <c:pt idx="28" formatCode="General">
                        <c:v>-28.972685628742518</c:v>
                      </c:pt>
                      <c:pt idx="29" formatCode="General">
                        <c:v>-29.193568862275452</c:v>
                      </c:pt>
                      <c:pt idx="30" formatCode="General">
                        <c:v>-29.414452095808386</c:v>
                      </c:pt>
                      <c:pt idx="31" formatCode="General">
                        <c:v>-29.627876404494383</c:v>
                      </c:pt>
                      <c:pt idx="32" formatCode="General">
                        <c:v>-29.835292134831462</c:v>
                      </c:pt>
                      <c:pt idx="33" formatCode="General">
                        <c:v>-30.042707865168541</c:v>
                      </c:pt>
                      <c:pt idx="34" formatCode="General">
                        <c:v>-30.25012359550562</c:v>
                      </c:pt>
                      <c:pt idx="35" formatCode="General">
                        <c:v>-30.457539325842699</c:v>
                      </c:pt>
                      <c:pt idx="36" formatCode="General">
                        <c:v>-30.664955056179778</c:v>
                      </c:pt>
                      <c:pt idx="37" formatCode="General">
                        <c:v>-30.872370786516857</c:v>
                      </c:pt>
                      <c:pt idx="38" formatCode="General">
                        <c:v>-31.079786516853936</c:v>
                      </c:pt>
                      <c:pt idx="39" formatCode="General">
                        <c:v>-31.287202247191011</c:v>
                      </c:pt>
                      <c:pt idx="40" formatCode="General">
                        <c:v>-31.49461797752809</c:v>
                      </c:pt>
                      <c:pt idx="41" formatCode="General">
                        <c:v>-31.699040449438204</c:v>
                      </c:pt>
                      <c:pt idx="42" formatCode="General">
                        <c:v>-31.895939325842697</c:v>
                      </c:pt>
                      <c:pt idx="43" formatCode="General">
                        <c:v>-32.092838202247194</c:v>
                      </c:pt>
                      <c:pt idx="44" formatCode="General">
                        <c:v>-32.289737078651683</c:v>
                      </c:pt>
                      <c:pt idx="45" formatCode="General">
                        <c:v>-32.48663595505618</c:v>
                      </c:pt>
                      <c:pt idx="46" formatCode="General">
                        <c:v>-32.683534831460676</c:v>
                      </c:pt>
                      <c:pt idx="47" formatCode="General">
                        <c:v>-32.880433707865166</c:v>
                      </c:pt>
                      <c:pt idx="48" formatCode="General">
                        <c:v>-33.077332584269662</c:v>
                      </c:pt>
                      <c:pt idx="49" formatCode="General">
                        <c:v>-33.274231460674159</c:v>
                      </c:pt>
                      <c:pt idx="50" formatCode="General">
                        <c:v>-33.471130337078648</c:v>
                      </c:pt>
                      <c:pt idx="51" formatCode="General">
                        <c:v>-33.667886227544912</c:v>
                      </c:pt>
                      <c:pt idx="52" formatCode="General">
                        <c:v>-33.85549101796407</c:v>
                      </c:pt>
                      <c:pt idx="53" formatCode="General">
                        <c:v>-34.043095808383235</c:v>
                      </c:pt>
                      <c:pt idx="54" formatCode="General">
                        <c:v>-34.229538461538461</c:v>
                      </c:pt>
                      <c:pt idx="55" formatCode="General">
                        <c:v>-34.414538461538463</c:v>
                      </c:pt>
                      <c:pt idx="56" formatCode="General">
                        <c:v>-34.599538461538458</c:v>
                      </c:pt>
                      <c:pt idx="57" formatCode="General">
                        <c:v>-34.788333333333334</c:v>
                      </c:pt>
                      <c:pt idx="58" formatCode="General">
                        <c:v>-34.977818181818186</c:v>
                      </c:pt>
                      <c:pt idx="59" formatCode="General">
                        <c:v>-35.165848484848489</c:v>
                      </c:pt>
                      <c:pt idx="60" formatCode="General">
                        <c:v>-35.350606060606061</c:v>
                      </c:pt>
                      <c:pt idx="61" formatCode="General">
                        <c:v>-35.535363636363641</c:v>
                      </c:pt>
                      <c:pt idx="62" formatCode="General">
                        <c:v>-35.719716417910448</c:v>
                      </c:pt>
                      <c:pt idx="63" formatCode="General">
                        <c:v>-35.903947761194033</c:v>
                      </c:pt>
                      <c:pt idx="64" formatCode="General">
                        <c:v>-36.088179104477618</c:v>
                      </c:pt>
                      <c:pt idx="65" formatCode="General">
                        <c:v>-36.272410447761196</c:v>
                      </c:pt>
                      <c:pt idx="66" formatCode="General">
                        <c:v>-36.456641791044781</c:v>
                      </c:pt>
                      <c:pt idx="67" formatCode="General">
                        <c:v>-36.640873134328359</c:v>
                      </c:pt>
                      <c:pt idx="68" formatCode="General">
                        <c:v>-36.825104477611944</c:v>
                      </c:pt>
                      <c:pt idx="69" formatCode="General">
                        <c:v>-37.009335820895529</c:v>
                      </c:pt>
                      <c:pt idx="70" formatCode="General">
                        <c:v>-37.193567164179107</c:v>
                      </c:pt>
                      <c:pt idx="71" formatCode="General">
                        <c:v>-37.377798507462693</c:v>
                      </c:pt>
                      <c:pt idx="72" formatCode="General">
                        <c:v>-37.573135338345871</c:v>
                      </c:pt>
                      <c:pt idx="73" formatCode="General">
                        <c:v>-37.781428571428577</c:v>
                      </c:pt>
                      <c:pt idx="74" formatCode="General">
                        <c:v>-37.989721804511284</c:v>
                      </c:pt>
                      <c:pt idx="75" formatCode="General">
                        <c:v>-38.19801503759399</c:v>
                      </c:pt>
                      <c:pt idx="76" formatCode="General">
                        <c:v>-38.406308270676689</c:v>
                      </c:pt>
                      <c:pt idx="77" formatCode="General">
                        <c:v>-38.614601503759395</c:v>
                      </c:pt>
                      <c:pt idx="78" formatCode="General">
                        <c:v>-38.822894736842102</c:v>
                      </c:pt>
                      <c:pt idx="79" formatCode="General">
                        <c:v>-39.031187969924808</c:v>
                      </c:pt>
                      <c:pt idx="80" formatCode="General">
                        <c:v>-39.239481203007514</c:v>
                      </c:pt>
                      <c:pt idx="81" formatCode="General">
                        <c:v>-39.447774436090221</c:v>
                      </c:pt>
                      <c:pt idx="82" formatCode="General">
                        <c:v>-39.652735294117647</c:v>
                      </c:pt>
                      <c:pt idx="83" formatCode="General">
                        <c:v>-39.846588235294114</c:v>
                      </c:pt>
                      <c:pt idx="84" formatCode="General">
                        <c:v>-40.040441176470587</c:v>
                      </c:pt>
                      <c:pt idx="85" formatCode="General">
                        <c:v>-40.239363636363635</c:v>
                      </c:pt>
                      <c:pt idx="86" formatCode="General">
                        <c:v>-40.441454545454548</c:v>
                      </c:pt>
                      <c:pt idx="87" formatCode="General">
                        <c:v>-40.642676470588235</c:v>
                      </c:pt>
                      <c:pt idx="88" formatCode="General">
                        <c:v>-40.833470588235294</c:v>
                      </c:pt>
                      <c:pt idx="89" formatCode="General">
                        <c:v>-41.024264705882352</c:v>
                      </c:pt>
                      <c:pt idx="90" formatCode="General">
                        <c:v>-41.216818181818184</c:v>
                      </c:pt>
                      <c:pt idx="91" formatCode="General">
                        <c:v>-41.411424242424246</c:v>
                      </c:pt>
                      <c:pt idx="92" formatCode="General">
                        <c:v>-41.606030303030302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DFD-4AA5-9149-6FDDA7C4FDBD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-60.182792792792796</c:v>
                      </c:pt>
                      <c:pt idx="1">
                        <c:v>-57.996606606606605</c:v>
                      </c:pt>
                      <c:pt idx="2" formatCode="General">
                        <c:v>-55.810420420420421</c:v>
                      </c:pt>
                      <c:pt idx="3" formatCode="General">
                        <c:v>-53.356017964071853</c:v>
                      </c:pt>
                      <c:pt idx="4" formatCode="General">
                        <c:v>-50.837754491017961</c:v>
                      </c:pt>
                      <c:pt idx="5" formatCode="General">
                        <c:v>-48.33898203592814</c:v>
                      </c:pt>
                      <c:pt idx="6" formatCode="General">
                        <c:v>-45.902455089820357</c:v>
                      </c:pt>
                      <c:pt idx="7" formatCode="General">
                        <c:v>-43.465928143712574</c:v>
                      </c:pt>
                      <c:pt idx="8" formatCode="General">
                        <c:v>-41.258622754491014</c:v>
                      </c:pt>
                      <c:pt idx="9" formatCode="General">
                        <c:v>-39.164610778443112</c:v>
                      </c:pt>
                      <c:pt idx="10" formatCode="General">
                        <c:v>-37.097844311377244</c:v>
                      </c:pt>
                      <c:pt idx="11" formatCode="General">
                        <c:v>-35.276287425149704</c:v>
                      </c:pt>
                      <c:pt idx="12" formatCode="General">
                        <c:v>-33.454730538922156</c:v>
                      </c:pt>
                      <c:pt idx="13" formatCode="General">
                        <c:v>-31.748862275449106</c:v>
                      </c:pt>
                      <c:pt idx="14" formatCode="General">
                        <c:v>-30.145269461077845</c:v>
                      </c:pt>
                      <c:pt idx="15" formatCode="General">
                        <c:v>-28.541676646706588</c:v>
                      </c:pt>
                      <c:pt idx="16" formatCode="General">
                        <c:v>-27.327597597597595</c:v>
                      </c:pt>
                      <c:pt idx="17" formatCode="General">
                        <c:v>-26.129099099099097</c:v>
                      </c:pt>
                      <c:pt idx="18" formatCode="General">
                        <c:v>-25.61550898203593</c:v>
                      </c:pt>
                      <c:pt idx="19" formatCode="General">
                        <c:v>-26.129281437125748</c:v>
                      </c:pt>
                      <c:pt idx="20" formatCode="General">
                        <c:v>-26.643053892215569</c:v>
                      </c:pt>
                      <c:pt idx="21" formatCode="General">
                        <c:v>-27.13823353293413</c:v>
                      </c:pt>
                      <c:pt idx="22" formatCode="General">
                        <c:v>-27.629625748502992</c:v>
                      </c:pt>
                      <c:pt idx="23" formatCode="General">
                        <c:v>-28.121017964071857</c:v>
                      </c:pt>
                      <c:pt idx="24" formatCode="General">
                        <c:v>-28.612410179640719</c:v>
                      </c:pt>
                      <c:pt idx="25" formatCode="General">
                        <c:v>-29.103802395209581</c:v>
                      </c:pt>
                      <c:pt idx="26" formatCode="General">
                        <c:v>-29.595194610778446</c:v>
                      </c:pt>
                      <c:pt idx="27" formatCode="General">
                        <c:v>-30.086586826347308</c:v>
                      </c:pt>
                      <c:pt idx="28" formatCode="General">
                        <c:v>-30.577979041916169</c:v>
                      </c:pt>
                      <c:pt idx="29" formatCode="General">
                        <c:v>-31.069371257485031</c:v>
                      </c:pt>
                      <c:pt idx="30" formatCode="General">
                        <c:v>-31.560763473053896</c:v>
                      </c:pt>
                      <c:pt idx="31" formatCode="General">
                        <c:v>-32.022696629213485</c:v>
                      </c:pt>
                      <c:pt idx="32" formatCode="General">
                        <c:v>-32.460898876404499</c:v>
                      </c:pt>
                      <c:pt idx="33" formatCode="General">
                        <c:v>-32.899101123595507</c:v>
                      </c:pt>
                      <c:pt idx="34" formatCode="General">
                        <c:v>-33.337303370786522</c:v>
                      </c:pt>
                      <c:pt idx="35" formatCode="General">
                        <c:v>-33.775505617977529</c:v>
                      </c:pt>
                      <c:pt idx="36" formatCode="General">
                        <c:v>-34.213707865168544</c:v>
                      </c:pt>
                      <c:pt idx="37" formatCode="General">
                        <c:v>-34.651910112359552</c:v>
                      </c:pt>
                      <c:pt idx="38" formatCode="General">
                        <c:v>-35.090112359550567</c:v>
                      </c:pt>
                      <c:pt idx="39" formatCode="General">
                        <c:v>-35.528314606741574</c:v>
                      </c:pt>
                      <c:pt idx="40" formatCode="General">
                        <c:v>-35.966516853932589</c:v>
                      </c:pt>
                      <c:pt idx="41" formatCode="General">
                        <c:v>-36.38448689138577</c:v>
                      </c:pt>
                      <c:pt idx="42" formatCode="General">
                        <c:v>-36.751602996254682</c:v>
                      </c:pt>
                      <c:pt idx="43" formatCode="General">
                        <c:v>-37.118719101123595</c:v>
                      </c:pt>
                      <c:pt idx="44" formatCode="General">
                        <c:v>-37.485835205992508</c:v>
                      </c:pt>
                      <c:pt idx="45" formatCode="General">
                        <c:v>-37.852951310861421</c:v>
                      </c:pt>
                      <c:pt idx="46" formatCode="General">
                        <c:v>-38.220067415730334</c:v>
                      </c:pt>
                      <c:pt idx="47" formatCode="General">
                        <c:v>-38.587183520599254</c:v>
                      </c:pt>
                      <c:pt idx="48" formatCode="General">
                        <c:v>-38.954299625468167</c:v>
                      </c:pt>
                      <c:pt idx="49" formatCode="General">
                        <c:v>-39.32141573033708</c:v>
                      </c:pt>
                      <c:pt idx="50" formatCode="General">
                        <c:v>-39.688531835205993</c:v>
                      </c:pt>
                      <c:pt idx="51" formatCode="General">
                        <c:v>-40.054850299401195</c:v>
                      </c:pt>
                      <c:pt idx="52" formatCode="General">
                        <c:v>-40.370119760479042</c:v>
                      </c:pt>
                      <c:pt idx="53" formatCode="General">
                        <c:v>-40.685389221556882</c:v>
                      </c:pt>
                      <c:pt idx="54" formatCode="General">
                        <c:v>-40.988698224852072</c:v>
                      </c:pt>
                      <c:pt idx="55" formatCode="General">
                        <c:v>-41.277159763313605</c:v>
                      </c:pt>
                      <c:pt idx="56" formatCode="General">
                        <c:v>-41.565621301775145</c:v>
                      </c:pt>
                      <c:pt idx="57" formatCode="General">
                        <c:v>-41.843333333333334</c:v>
                      </c:pt>
                      <c:pt idx="58" formatCode="General">
                        <c:v>-42.119090909090907</c:v>
                      </c:pt>
                      <c:pt idx="59" formatCode="General">
                        <c:v>-42.38636363636364</c:v>
                      </c:pt>
                      <c:pt idx="60" formatCode="General">
                        <c:v>-42.634545454545453</c:v>
                      </c:pt>
                      <c:pt idx="61" formatCode="General">
                        <c:v>-42.882727272727273</c:v>
                      </c:pt>
                      <c:pt idx="62" formatCode="General">
                        <c:v>-43.08328358208955</c:v>
                      </c:pt>
                      <c:pt idx="63" formatCode="General">
                        <c:v>-43.269552238805971</c:v>
                      </c:pt>
                      <c:pt idx="64" formatCode="General">
                        <c:v>-43.455820895522386</c:v>
                      </c:pt>
                      <c:pt idx="65" formatCode="General">
                        <c:v>-43.642089552238801</c:v>
                      </c:pt>
                      <c:pt idx="66" formatCode="General">
                        <c:v>-43.828358208955223</c:v>
                      </c:pt>
                      <c:pt idx="67" formatCode="General">
                        <c:v>-44.014626865671637</c:v>
                      </c:pt>
                      <c:pt idx="68" formatCode="General">
                        <c:v>-44.200895522388059</c:v>
                      </c:pt>
                      <c:pt idx="69" formatCode="General">
                        <c:v>-44.387164179104474</c:v>
                      </c:pt>
                      <c:pt idx="70" formatCode="General">
                        <c:v>-44.573432835820896</c:v>
                      </c:pt>
                      <c:pt idx="71" formatCode="General">
                        <c:v>-44.75970149253731</c:v>
                      </c:pt>
                      <c:pt idx="72" formatCode="General">
                        <c:v>-44.898796992481202</c:v>
                      </c:pt>
                      <c:pt idx="73" formatCode="General">
                        <c:v>-44.982857142857142</c:v>
                      </c:pt>
                      <c:pt idx="74" formatCode="General">
                        <c:v>-45.066917293233082</c:v>
                      </c:pt>
                      <c:pt idx="75" formatCode="General">
                        <c:v>-45.150977443609023</c:v>
                      </c:pt>
                      <c:pt idx="76" formatCode="General">
                        <c:v>-45.235037593984963</c:v>
                      </c:pt>
                      <c:pt idx="77" formatCode="General">
                        <c:v>-45.319097744360903</c:v>
                      </c:pt>
                      <c:pt idx="78" formatCode="General">
                        <c:v>-45.403157894736843</c:v>
                      </c:pt>
                      <c:pt idx="79" formatCode="General">
                        <c:v>-45.487218045112783</c:v>
                      </c:pt>
                      <c:pt idx="80" formatCode="General">
                        <c:v>-45.571278195488723</c:v>
                      </c:pt>
                      <c:pt idx="81" formatCode="General">
                        <c:v>-45.655338345864664</c:v>
                      </c:pt>
                      <c:pt idx="82" formatCode="General">
                        <c:v>-45.723529411764702</c:v>
                      </c:pt>
                      <c:pt idx="83" formatCode="General">
                        <c:v>-45.738823529411761</c:v>
                      </c:pt>
                      <c:pt idx="84" formatCode="General">
                        <c:v>-45.75411764705882</c:v>
                      </c:pt>
                      <c:pt idx="85" formatCode="General">
                        <c:v>-45.755151515151518</c:v>
                      </c:pt>
                      <c:pt idx="86" formatCode="General">
                        <c:v>-45.74727272727273</c:v>
                      </c:pt>
                      <c:pt idx="87" formatCode="General">
                        <c:v>-45.737058823529416</c:v>
                      </c:pt>
                      <c:pt idx="88" formatCode="General">
                        <c:v>-45.698823529411769</c:v>
                      </c:pt>
                      <c:pt idx="89" formatCode="General">
                        <c:v>-45.660588235294121</c:v>
                      </c:pt>
                      <c:pt idx="90" formatCode="General">
                        <c:v>-45.609090909090909</c:v>
                      </c:pt>
                      <c:pt idx="91" formatCode="General">
                        <c:v>-45.542121212121209</c:v>
                      </c:pt>
                      <c:pt idx="92" formatCode="General">
                        <c:v>-45.475151515151516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DFD-4AA5-9149-6FDDA7C4FDBD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-15.207297297297297</c:v>
                      </c:pt>
                      <c:pt idx="1">
                        <c:v>-14.82081081081081</c:v>
                      </c:pt>
                      <c:pt idx="2" formatCode="General">
                        <c:v>-14.434324324324324</c:v>
                      </c:pt>
                      <c:pt idx="3" formatCode="General">
                        <c:v>-13.712395209580837</c:v>
                      </c:pt>
                      <c:pt idx="4" formatCode="General">
                        <c:v>-12.910598802395208</c:v>
                      </c:pt>
                      <c:pt idx="5" formatCode="General">
                        <c:v>-12.087455089820359</c:v>
                      </c:pt>
                      <c:pt idx="6" formatCode="General">
                        <c:v>-11.196137724550898</c:v>
                      </c:pt>
                      <c:pt idx="7" formatCode="General">
                        <c:v>-10.304820359281438</c:v>
                      </c:pt>
                      <c:pt idx="8" formatCode="General">
                        <c:v>-9.491907185628742</c:v>
                      </c:pt>
                      <c:pt idx="9" formatCode="General">
                        <c:v>-8.7177455089820359</c:v>
                      </c:pt>
                      <c:pt idx="10" formatCode="General">
                        <c:v>-7.9532365269461076</c:v>
                      </c:pt>
                      <c:pt idx="11" formatCode="General">
                        <c:v>-7.2756017964071864</c:v>
                      </c:pt>
                      <c:pt idx="12" formatCode="General">
                        <c:v>-6.5979670658682643</c:v>
                      </c:pt>
                      <c:pt idx="13" formatCode="General">
                        <c:v>-5.9610299401197615</c:v>
                      </c:pt>
                      <c:pt idx="14" formatCode="General">
                        <c:v>-5.3600718562874254</c:v>
                      </c:pt>
                      <c:pt idx="15" formatCode="General">
                        <c:v>-4.7591137724550894</c:v>
                      </c:pt>
                      <c:pt idx="16" formatCode="General">
                        <c:v>-4.5126516516516508</c:v>
                      </c:pt>
                      <c:pt idx="17" formatCode="General">
                        <c:v>-4.2803693693693692</c:v>
                      </c:pt>
                      <c:pt idx="18" formatCode="General">
                        <c:v>-4.1537664670658687</c:v>
                      </c:pt>
                      <c:pt idx="19" formatCode="General">
                        <c:v>-4.1856826347305391</c:v>
                      </c:pt>
                      <c:pt idx="20" formatCode="General">
                        <c:v>-4.2175988023952096</c:v>
                      </c:pt>
                      <c:pt idx="21" formatCode="General">
                        <c:v>-4.249676646706587</c:v>
                      </c:pt>
                      <c:pt idx="22" formatCode="General">
                        <c:v>-4.2817874251497008</c:v>
                      </c:pt>
                      <c:pt idx="23" formatCode="General">
                        <c:v>-4.3138982035928146</c:v>
                      </c:pt>
                      <c:pt idx="24" formatCode="General">
                        <c:v>-4.3460089820359284</c:v>
                      </c:pt>
                      <c:pt idx="25" formatCode="General">
                        <c:v>-4.3781197604790414</c:v>
                      </c:pt>
                      <c:pt idx="26" formatCode="General">
                        <c:v>-4.4102305389221552</c:v>
                      </c:pt>
                      <c:pt idx="27" formatCode="General">
                        <c:v>-4.442341317365269</c:v>
                      </c:pt>
                      <c:pt idx="28" formatCode="General">
                        <c:v>-4.4744520958083829</c:v>
                      </c:pt>
                      <c:pt idx="29" formatCode="General">
                        <c:v>-4.5065628742514967</c:v>
                      </c:pt>
                      <c:pt idx="30" formatCode="General">
                        <c:v>-4.5386736526946105</c:v>
                      </c:pt>
                      <c:pt idx="31" formatCode="General">
                        <c:v>-4.5702584269662925</c:v>
                      </c:pt>
                      <c:pt idx="32" formatCode="General">
                        <c:v>-4.6014194756554305</c:v>
                      </c:pt>
                      <c:pt idx="33" formatCode="General">
                        <c:v>-4.6325805243445695</c:v>
                      </c:pt>
                      <c:pt idx="34" formatCode="General">
                        <c:v>-4.6637415730337084</c:v>
                      </c:pt>
                      <c:pt idx="35" formatCode="General">
                        <c:v>-4.6949026217228464</c:v>
                      </c:pt>
                      <c:pt idx="36" formatCode="General">
                        <c:v>-4.7260636704119854</c:v>
                      </c:pt>
                      <c:pt idx="37" formatCode="General">
                        <c:v>-4.7572247191011234</c:v>
                      </c:pt>
                      <c:pt idx="38" formatCode="General">
                        <c:v>-4.7883857677902624</c:v>
                      </c:pt>
                      <c:pt idx="39" formatCode="General">
                        <c:v>-4.8195468164794013</c:v>
                      </c:pt>
                      <c:pt idx="40" formatCode="General">
                        <c:v>-4.8507078651685394</c:v>
                      </c:pt>
                      <c:pt idx="41" formatCode="General">
                        <c:v>-4.8813700374531841</c:v>
                      </c:pt>
                      <c:pt idx="42" formatCode="General">
                        <c:v>-4.9107782771535584</c:v>
                      </c:pt>
                      <c:pt idx="43" formatCode="General">
                        <c:v>-4.9401865168539327</c:v>
                      </c:pt>
                      <c:pt idx="44" formatCode="General">
                        <c:v>-4.969594756554307</c:v>
                      </c:pt>
                      <c:pt idx="45" formatCode="General">
                        <c:v>-4.9990029962546814</c:v>
                      </c:pt>
                      <c:pt idx="46" formatCode="General">
                        <c:v>-5.0284112359550566</c:v>
                      </c:pt>
                      <c:pt idx="47" formatCode="General">
                        <c:v>-5.0578194756554309</c:v>
                      </c:pt>
                      <c:pt idx="48" formatCode="General">
                        <c:v>-5.0872277153558052</c:v>
                      </c:pt>
                      <c:pt idx="49" formatCode="General">
                        <c:v>-5.1166359550561795</c:v>
                      </c:pt>
                      <c:pt idx="50" formatCode="General">
                        <c:v>-5.1460441947565538</c:v>
                      </c:pt>
                      <c:pt idx="51" formatCode="General">
                        <c:v>-5.1754311377245505</c:v>
                      </c:pt>
                      <c:pt idx="52" formatCode="General">
                        <c:v>-5.2034550898203591</c:v>
                      </c:pt>
                      <c:pt idx="53" formatCode="General">
                        <c:v>-5.2314790419161676</c:v>
                      </c:pt>
                      <c:pt idx="54" formatCode="General">
                        <c:v>-5.2591834319526622</c:v>
                      </c:pt>
                      <c:pt idx="55" formatCode="General">
                        <c:v>-5.2864911242603547</c:v>
                      </c:pt>
                      <c:pt idx="56" formatCode="General">
                        <c:v>-5.3137988165680472</c:v>
                      </c:pt>
                      <c:pt idx="57" formatCode="General">
                        <c:v>-5.3416666666666668</c:v>
                      </c:pt>
                      <c:pt idx="58" formatCode="General">
                        <c:v>-5.3696363636363635</c:v>
                      </c:pt>
                      <c:pt idx="59" formatCode="General">
                        <c:v>-5.3973636363636368</c:v>
                      </c:pt>
                      <c:pt idx="60" formatCode="General">
                        <c:v>-5.4245454545454548</c:v>
                      </c:pt>
                      <c:pt idx="61" formatCode="General">
                        <c:v>-5.4517272727272728</c:v>
                      </c:pt>
                      <c:pt idx="62" formatCode="General">
                        <c:v>-5.4825522388059706</c:v>
                      </c:pt>
                      <c:pt idx="63" formatCode="General">
                        <c:v>-5.5144701492537314</c:v>
                      </c:pt>
                      <c:pt idx="64" formatCode="General">
                        <c:v>-5.546388059701493</c:v>
                      </c:pt>
                      <c:pt idx="65" formatCode="General">
                        <c:v>-5.5783059701492537</c:v>
                      </c:pt>
                      <c:pt idx="66" formatCode="General">
                        <c:v>-5.6102238805970153</c:v>
                      </c:pt>
                      <c:pt idx="67" formatCode="General">
                        <c:v>-5.642141791044776</c:v>
                      </c:pt>
                      <c:pt idx="68" formatCode="General">
                        <c:v>-5.6740597014925376</c:v>
                      </c:pt>
                      <c:pt idx="69" formatCode="General">
                        <c:v>-5.7059776119402983</c:v>
                      </c:pt>
                      <c:pt idx="70" formatCode="General">
                        <c:v>-5.7378955223880599</c:v>
                      </c:pt>
                      <c:pt idx="71" formatCode="General">
                        <c:v>-5.7698134328358206</c:v>
                      </c:pt>
                      <c:pt idx="72" formatCode="General">
                        <c:v>-5.8141127819548872</c:v>
                      </c:pt>
                      <c:pt idx="73" formatCode="General">
                        <c:v>-5.8728571428571428</c:v>
                      </c:pt>
                      <c:pt idx="74" formatCode="General">
                        <c:v>-5.9316015037593983</c:v>
                      </c:pt>
                      <c:pt idx="75" formatCode="General">
                        <c:v>-5.9903458646616539</c:v>
                      </c:pt>
                      <c:pt idx="76" formatCode="General">
                        <c:v>-6.0490902255639094</c:v>
                      </c:pt>
                      <c:pt idx="77" formatCode="General">
                        <c:v>-6.107834586466165</c:v>
                      </c:pt>
                      <c:pt idx="78" formatCode="General">
                        <c:v>-6.1665789473684214</c:v>
                      </c:pt>
                      <c:pt idx="79" formatCode="General">
                        <c:v>-6.2253233082706769</c:v>
                      </c:pt>
                      <c:pt idx="80" formatCode="General">
                        <c:v>-6.2840676691729325</c:v>
                      </c:pt>
                      <c:pt idx="81" formatCode="General">
                        <c:v>-6.342812030075188</c:v>
                      </c:pt>
                      <c:pt idx="82" formatCode="General">
                        <c:v>-6.4000882352941177</c:v>
                      </c:pt>
                      <c:pt idx="83" formatCode="General">
                        <c:v>-6.4524705882352942</c:v>
                      </c:pt>
                      <c:pt idx="84" formatCode="General">
                        <c:v>-6.5048529411764706</c:v>
                      </c:pt>
                      <c:pt idx="85" formatCode="General">
                        <c:v>-6.5572424242424248</c:v>
                      </c:pt>
                      <c:pt idx="86" formatCode="General">
                        <c:v>-6.6096363636363638</c:v>
                      </c:pt>
                      <c:pt idx="87" formatCode="General">
                        <c:v>-6.6617941176470588</c:v>
                      </c:pt>
                      <c:pt idx="88" formatCode="General">
                        <c:v>-6.7111176470588241</c:v>
                      </c:pt>
                      <c:pt idx="89" formatCode="General">
                        <c:v>-6.7604411764705885</c:v>
                      </c:pt>
                      <c:pt idx="90" formatCode="General">
                        <c:v>-6.8095454545454546</c:v>
                      </c:pt>
                      <c:pt idx="91" formatCode="General">
                        <c:v>-6.858393939393939</c:v>
                      </c:pt>
                      <c:pt idx="92" formatCode="General">
                        <c:v>-6.9072424242424235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DFD-4AA5-9149-6FDDA7C4FDBD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-21.633423423423423</c:v>
                      </c:pt>
                      <c:pt idx="1">
                        <c:v>-20.938528528528529</c:v>
                      </c:pt>
                      <c:pt idx="2" formatCode="General">
                        <c:v>-20.243633633633632</c:v>
                      </c:pt>
                      <c:pt idx="3" formatCode="General">
                        <c:v>-20.065988023952094</c:v>
                      </c:pt>
                      <c:pt idx="4" formatCode="General">
                        <c:v>-20.011497005988023</c:v>
                      </c:pt>
                      <c:pt idx="5" formatCode="General">
                        <c:v>-20.01640718562874</c:v>
                      </c:pt>
                      <c:pt idx="6" formatCode="General">
                        <c:v>-20.211017964071857</c:v>
                      </c:pt>
                      <c:pt idx="7" formatCode="General">
                        <c:v>-20.40562874251497</c:v>
                      </c:pt>
                      <c:pt idx="8" formatCode="General">
                        <c:v>-20.602844311377243</c:v>
                      </c:pt>
                      <c:pt idx="9" formatCode="General">
                        <c:v>-20.801347305389221</c:v>
                      </c:pt>
                      <c:pt idx="10" formatCode="General">
                        <c:v>-20.999850299401199</c:v>
                      </c:pt>
                      <c:pt idx="11" formatCode="General">
                        <c:v>-21.198353293413174</c:v>
                      </c:pt>
                      <c:pt idx="12" formatCode="General">
                        <c:v>-21.396856287425148</c:v>
                      </c:pt>
                      <c:pt idx="13" formatCode="General">
                        <c:v>-21.597425149700598</c:v>
                      </c:pt>
                      <c:pt idx="14" formatCode="General">
                        <c:v>-21.799820359281437</c:v>
                      </c:pt>
                      <c:pt idx="15" formatCode="General">
                        <c:v>-22.002215568862276</c:v>
                      </c:pt>
                      <c:pt idx="16" formatCode="General">
                        <c:v>-22.19768768768769</c:v>
                      </c:pt>
                      <c:pt idx="17" formatCode="General">
                        <c:v>-22.392882882882883</c:v>
                      </c:pt>
                      <c:pt idx="18" formatCode="General">
                        <c:v>-22.589401197604793</c:v>
                      </c:pt>
                      <c:pt idx="19" formatCode="General">
                        <c:v>-22.787904191616768</c:v>
                      </c:pt>
                      <c:pt idx="20" formatCode="General">
                        <c:v>-22.986407185628742</c:v>
                      </c:pt>
                      <c:pt idx="21" formatCode="General">
                        <c:v>-23.17682634730539</c:v>
                      </c:pt>
                      <c:pt idx="22" formatCode="General">
                        <c:v>-23.365598802395208</c:v>
                      </c:pt>
                      <c:pt idx="23" formatCode="General">
                        <c:v>-23.55437125748503</c:v>
                      </c:pt>
                      <c:pt idx="24" formatCode="General">
                        <c:v>-23.743143712574849</c:v>
                      </c:pt>
                      <c:pt idx="25" formatCode="General">
                        <c:v>-23.931916167664671</c:v>
                      </c:pt>
                      <c:pt idx="26" formatCode="General">
                        <c:v>-24.120688622754493</c:v>
                      </c:pt>
                      <c:pt idx="27" formatCode="General">
                        <c:v>-24.309461077844311</c:v>
                      </c:pt>
                      <c:pt idx="28" formatCode="General">
                        <c:v>-24.498233532934133</c:v>
                      </c:pt>
                      <c:pt idx="29" formatCode="General">
                        <c:v>-24.687005988023952</c:v>
                      </c:pt>
                      <c:pt idx="30" formatCode="General">
                        <c:v>-24.875778443113774</c:v>
                      </c:pt>
                      <c:pt idx="31" formatCode="General">
                        <c:v>-25.057617977528093</c:v>
                      </c:pt>
                      <c:pt idx="32" formatCode="General">
                        <c:v>-25.233872659176033</c:v>
                      </c:pt>
                      <c:pt idx="33" formatCode="General">
                        <c:v>-25.410127340823973</c:v>
                      </c:pt>
                      <c:pt idx="34" formatCode="General">
                        <c:v>-25.586382022471913</c:v>
                      </c:pt>
                      <c:pt idx="35" formatCode="General">
                        <c:v>-25.762636704119853</c:v>
                      </c:pt>
                      <c:pt idx="36" formatCode="General">
                        <c:v>-25.938891385767793</c:v>
                      </c:pt>
                      <c:pt idx="37" formatCode="General">
                        <c:v>-26.115146067415729</c:v>
                      </c:pt>
                      <c:pt idx="38" formatCode="General">
                        <c:v>-26.291400749063669</c:v>
                      </c:pt>
                      <c:pt idx="39" formatCode="General">
                        <c:v>-26.467655430711609</c:v>
                      </c:pt>
                      <c:pt idx="40" formatCode="General">
                        <c:v>-26.643910112359549</c:v>
                      </c:pt>
                      <c:pt idx="41" formatCode="General">
                        <c:v>-26.81767041198502</c:v>
                      </c:pt>
                      <c:pt idx="42" formatCode="General">
                        <c:v>-26.98516104868914</c:v>
                      </c:pt>
                      <c:pt idx="43" formatCode="General">
                        <c:v>-27.152651685393259</c:v>
                      </c:pt>
                      <c:pt idx="44" formatCode="General">
                        <c:v>-27.320142322097379</c:v>
                      </c:pt>
                      <c:pt idx="45" formatCode="General">
                        <c:v>-27.487632958801498</c:v>
                      </c:pt>
                      <c:pt idx="46" formatCode="General">
                        <c:v>-27.655123595505618</c:v>
                      </c:pt>
                      <c:pt idx="47" formatCode="General">
                        <c:v>-27.822614232209737</c:v>
                      </c:pt>
                      <c:pt idx="48" formatCode="General">
                        <c:v>-27.990104868913857</c:v>
                      </c:pt>
                      <c:pt idx="49" formatCode="General">
                        <c:v>-28.157595505617977</c:v>
                      </c:pt>
                      <c:pt idx="50" formatCode="General">
                        <c:v>-28.325086142322096</c:v>
                      </c:pt>
                      <c:pt idx="51" formatCode="General">
                        <c:v>-28.492455089820357</c:v>
                      </c:pt>
                      <c:pt idx="52" formatCode="General">
                        <c:v>-28.652035928143711</c:v>
                      </c:pt>
                      <c:pt idx="53" formatCode="General">
                        <c:v>-28.811616766467065</c:v>
                      </c:pt>
                      <c:pt idx="54" formatCode="General">
                        <c:v>-28.970355029585797</c:v>
                      </c:pt>
                      <c:pt idx="55" formatCode="General">
                        <c:v>-29.128047337278105</c:v>
                      </c:pt>
                      <c:pt idx="56" formatCode="General">
                        <c:v>-29.285739644970413</c:v>
                      </c:pt>
                      <c:pt idx="57" formatCode="General">
                        <c:v>-29.446666666666665</c:v>
                      </c:pt>
                      <c:pt idx="58" formatCode="General">
                        <c:v>-29.608181818181816</c:v>
                      </c:pt>
                      <c:pt idx="59" formatCode="General">
                        <c:v>-29.768484848484846</c:v>
                      </c:pt>
                      <c:pt idx="60" formatCode="General">
                        <c:v>-29.926060606060606</c:v>
                      </c:pt>
                      <c:pt idx="61" formatCode="General">
                        <c:v>-30.083636363636366</c:v>
                      </c:pt>
                      <c:pt idx="62" formatCode="General">
                        <c:v>-30.237164179104479</c:v>
                      </c:pt>
                      <c:pt idx="63" formatCode="General">
                        <c:v>-30.389477611940301</c:v>
                      </c:pt>
                      <c:pt idx="64" formatCode="General">
                        <c:v>-30.541791044776119</c:v>
                      </c:pt>
                      <c:pt idx="65" formatCode="General">
                        <c:v>-30.69410447761194</c:v>
                      </c:pt>
                      <c:pt idx="66" formatCode="General">
                        <c:v>-30.846417910447762</c:v>
                      </c:pt>
                      <c:pt idx="67" formatCode="General">
                        <c:v>-30.998731343283584</c:v>
                      </c:pt>
                      <c:pt idx="68" formatCode="General">
                        <c:v>-31.151044776119406</c:v>
                      </c:pt>
                      <c:pt idx="69" formatCode="General">
                        <c:v>-31.303358208955224</c:v>
                      </c:pt>
                      <c:pt idx="70" formatCode="General">
                        <c:v>-31.455671641791046</c:v>
                      </c:pt>
                      <c:pt idx="71" formatCode="General">
                        <c:v>-31.607985074626868</c:v>
                      </c:pt>
                      <c:pt idx="72" formatCode="General">
                        <c:v>-31.759022556390978</c:v>
                      </c:pt>
                      <c:pt idx="73" formatCode="General">
                        <c:v>-31.908571428571431</c:v>
                      </c:pt>
                      <c:pt idx="74" formatCode="General">
                        <c:v>-32.058120300751881</c:v>
                      </c:pt>
                      <c:pt idx="75" formatCode="General">
                        <c:v>-32.207669172932334</c:v>
                      </c:pt>
                      <c:pt idx="76" formatCode="General">
                        <c:v>-32.357218045112781</c:v>
                      </c:pt>
                      <c:pt idx="77" formatCode="General">
                        <c:v>-32.506766917293234</c:v>
                      </c:pt>
                      <c:pt idx="78" formatCode="General">
                        <c:v>-32.65631578947368</c:v>
                      </c:pt>
                      <c:pt idx="79" formatCode="General">
                        <c:v>-32.805864661654134</c:v>
                      </c:pt>
                      <c:pt idx="80" formatCode="General">
                        <c:v>-32.955413533834587</c:v>
                      </c:pt>
                      <c:pt idx="81" formatCode="General">
                        <c:v>-33.104962406015034</c:v>
                      </c:pt>
                      <c:pt idx="82" formatCode="General">
                        <c:v>-33.252647058823527</c:v>
                      </c:pt>
                      <c:pt idx="83" formatCode="General">
                        <c:v>-33.394117647058827</c:v>
                      </c:pt>
                      <c:pt idx="84" formatCode="General">
                        <c:v>-33.535588235294121</c:v>
                      </c:pt>
                      <c:pt idx="85" formatCode="General">
                        <c:v>-33.682121212121217</c:v>
                      </c:pt>
                      <c:pt idx="86" formatCode="General">
                        <c:v>-33.831818181818186</c:v>
                      </c:pt>
                      <c:pt idx="87" formatCode="General">
                        <c:v>-33.980882352941173</c:v>
                      </c:pt>
                      <c:pt idx="88" formatCode="General">
                        <c:v>-34.122352941176473</c:v>
                      </c:pt>
                      <c:pt idx="89" formatCode="General">
                        <c:v>-34.263823529411766</c:v>
                      </c:pt>
                      <c:pt idx="90" formatCode="General">
                        <c:v>-34.407272727272733</c:v>
                      </c:pt>
                      <c:pt idx="91" formatCode="General">
                        <c:v>-34.553030303030305</c:v>
                      </c:pt>
                      <c:pt idx="92" formatCode="General">
                        <c:v>-34.698787878787883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DFD-4AA5-9149-6FDDA7C4FDBD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-185.26585585585585</c:v>
                      </c:pt>
                      <c:pt idx="1">
                        <c:v>-178.80879879879882</c:v>
                      </c:pt>
                      <c:pt idx="2" formatCode="General">
                        <c:v>-172.35174174174176</c:v>
                      </c:pt>
                      <c:pt idx="3" formatCode="General">
                        <c:v>-166.91</c:v>
                      </c:pt>
                      <c:pt idx="4" formatCode="General">
                        <c:v>-161.71</c:v>
                      </c:pt>
                      <c:pt idx="5" formatCode="General">
                        <c:v>-156.72718562874252</c:v>
                      </c:pt>
                      <c:pt idx="6" formatCode="General">
                        <c:v>-152.43796407185627</c:v>
                      </c:pt>
                      <c:pt idx="7" formatCode="General">
                        <c:v>-148.14874251497005</c:v>
                      </c:pt>
                      <c:pt idx="8" formatCode="General">
                        <c:v>-144.32577844311376</c:v>
                      </c:pt>
                      <c:pt idx="9" formatCode="General">
                        <c:v>-140.73326347305388</c:v>
                      </c:pt>
                      <c:pt idx="10" formatCode="General">
                        <c:v>-137.19523952095807</c:v>
                      </c:pt>
                      <c:pt idx="11" formatCode="General">
                        <c:v>-134.14763473053893</c:v>
                      </c:pt>
                      <c:pt idx="12" formatCode="General">
                        <c:v>-131.10002994011978</c:v>
                      </c:pt>
                      <c:pt idx="13" formatCode="General">
                        <c:v>-128.29000000000002</c:v>
                      </c:pt>
                      <c:pt idx="14" formatCode="General">
                        <c:v>-125.69000000000001</c:v>
                      </c:pt>
                      <c:pt idx="15" formatCode="General">
                        <c:v>-123.09</c:v>
                      </c:pt>
                      <c:pt idx="16" formatCode="General">
                        <c:v>-121.24825825825826</c:v>
                      </c:pt>
                      <c:pt idx="17" formatCode="General">
                        <c:v>-119.43684684684683</c:v>
                      </c:pt>
                      <c:pt idx="18" formatCode="General">
                        <c:v>-118.99922155688623</c:v>
                      </c:pt>
                      <c:pt idx="19" formatCode="General">
                        <c:v>-120.62227544910179</c:v>
                      </c:pt>
                      <c:pt idx="20" formatCode="General">
                        <c:v>-122.24532934131737</c:v>
                      </c:pt>
                      <c:pt idx="21" formatCode="General">
                        <c:v>-123.80694610778444</c:v>
                      </c:pt>
                      <c:pt idx="22" formatCode="General">
                        <c:v>-125.35604790419163</c:v>
                      </c:pt>
                      <c:pt idx="23" formatCode="General">
                        <c:v>-126.90514970059881</c:v>
                      </c:pt>
                      <c:pt idx="24" formatCode="General">
                        <c:v>-128.454251497006</c:v>
                      </c:pt>
                      <c:pt idx="25" formatCode="General">
                        <c:v>-130.00335329341317</c:v>
                      </c:pt>
                      <c:pt idx="26" formatCode="General">
                        <c:v>-131.55245508982037</c:v>
                      </c:pt>
                      <c:pt idx="27" formatCode="General">
                        <c:v>-133.10155688622754</c:v>
                      </c:pt>
                      <c:pt idx="28" formatCode="General">
                        <c:v>-134.65065868263474</c:v>
                      </c:pt>
                      <c:pt idx="29" formatCode="General">
                        <c:v>-136.19976047904191</c:v>
                      </c:pt>
                      <c:pt idx="30" formatCode="General">
                        <c:v>-137.74886227544911</c:v>
                      </c:pt>
                      <c:pt idx="31" formatCode="General">
                        <c:v>-139.21824719101124</c:v>
                      </c:pt>
                      <c:pt idx="32" formatCode="General">
                        <c:v>-140.62341573033709</c:v>
                      </c:pt>
                      <c:pt idx="33" formatCode="General">
                        <c:v>-142.02858426966293</c:v>
                      </c:pt>
                      <c:pt idx="34" formatCode="General">
                        <c:v>-143.43375280898877</c:v>
                      </c:pt>
                      <c:pt idx="35" formatCode="General">
                        <c:v>-144.83892134831461</c:v>
                      </c:pt>
                      <c:pt idx="36" formatCode="General">
                        <c:v>-146.24408988764046</c:v>
                      </c:pt>
                      <c:pt idx="37" formatCode="General">
                        <c:v>-147.6492584269663</c:v>
                      </c:pt>
                      <c:pt idx="38" formatCode="General">
                        <c:v>-149.05442696629214</c:v>
                      </c:pt>
                      <c:pt idx="39" formatCode="General">
                        <c:v>-150.45959550561798</c:v>
                      </c:pt>
                      <c:pt idx="40" formatCode="General">
                        <c:v>-151.86476404494383</c:v>
                      </c:pt>
                      <c:pt idx="41" formatCode="General">
                        <c:v>-153.2219850187266</c:v>
                      </c:pt>
                      <c:pt idx="42" formatCode="General">
                        <c:v>-154.45868913857677</c:v>
                      </c:pt>
                      <c:pt idx="43" formatCode="General">
                        <c:v>-155.69539325842698</c:v>
                      </c:pt>
                      <c:pt idx="44" formatCode="General">
                        <c:v>-156.93209737827715</c:v>
                      </c:pt>
                      <c:pt idx="45" formatCode="General">
                        <c:v>-158.16880149812735</c:v>
                      </c:pt>
                      <c:pt idx="46" formatCode="General">
                        <c:v>-159.40550561797752</c:v>
                      </c:pt>
                      <c:pt idx="47" formatCode="General">
                        <c:v>-160.64220973782773</c:v>
                      </c:pt>
                      <c:pt idx="48" formatCode="General">
                        <c:v>-161.8789138576779</c:v>
                      </c:pt>
                      <c:pt idx="49" formatCode="General">
                        <c:v>-163.1156179775281</c:v>
                      </c:pt>
                      <c:pt idx="50" formatCode="General">
                        <c:v>-164.35232209737828</c:v>
                      </c:pt>
                      <c:pt idx="51" formatCode="General">
                        <c:v>-165.58706586826347</c:v>
                      </c:pt>
                      <c:pt idx="52" formatCode="General">
                        <c:v>-166.69634730538922</c:v>
                      </c:pt>
                      <c:pt idx="53" formatCode="General">
                        <c:v>-167.80562874251495</c:v>
                      </c:pt>
                      <c:pt idx="54" formatCode="General">
                        <c:v>-168.88846153846151</c:v>
                      </c:pt>
                      <c:pt idx="55" formatCode="General">
                        <c:v>-169.93846153846152</c:v>
                      </c:pt>
                      <c:pt idx="56" formatCode="General">
                        <c:v>-170.98846153846151</c:v>
                      </c:pt>
                      <c:pt idx="57" formatCode="General">
                        <c:v>-172.02666666666664</c:v>
                      </c:pt>
                      <c:pt idx="58" formatCode="General">
                        <c:v>-173.06272727272727</c:v>
                      </c:pt>
                      <c:pt idx="59" formatCode="General">
                        <c:v>-174.07818181818183</c:v>
                      </c:pt>
                      <c:pt idx="60" formatCode="General">
                        <c:v>-175.04727272727274</c:v>
                      </c:pt>
                      <c:pt idx="61" formatCode="General">
                        <c:v>-176.01636363636365</c:v>
                      </c:pt>
                      <c:pt idx="62" formatCode="General">
                        <c:v>-176.87805970149256</c:v>
                      </c:pt>
                      <c:pt idx="63" formatCode="General">
                        <c:v>-177.70753731343285</c:v>
                      </c:pt>
                      <c:pt idx="64" formatCode="General">
                        <c:v>-178.53701492537314</c:v>
                      </c:pt>
                      <c:pt idx="65" formatCode="General">
                        <c:v>-179.36649253731343</c:v>
                      </c:pt>
                      <c:pt idx="66" formatCode="General">
                        <c:v>-180.19597014925375</c:v>
                      </c:pt>
                      <c:pt idx="67" formatCode="General">
                        <c:v>-181.02544776119404</c:v>
                      </c:pt>
                      <c:pt idx="68" formatCode="General">
                        <c:v>-181.85492537313434</c:v>
                      </c:pt>
                      <c:pt idx="69" formatCode="General">
                        <c:v>-182.68440298507466</c:v>
                      </c:pt>
                      <c:pt idx="70" formatCode="General">
                        <c:v>-183.51388059701495</c:v>
                      </c:pt>
                      <c:pt idx="71" formatCode="General">
                        <c:v>-184.34335820895524</c:v>
                      </c:pt>
                      <c:pt idx="72" formatCode="General">
                        <c:v>-185.07466165413535</c:v>
                      </c:pt>
                      <c:pt idx="73" formatCode="General">
                        <c:v>-185.69142857142859</c:v>
                      </c:pt>
                      <c:pt idx="74" formatCode="General">
                        <c:v>-186.30819548872182</c:v>
                      </c:pt>
                      <c:pt idx="75" formatCode="General">
                        <c:v>-186.92496240601506</c:v>
                      </c:pt>
                      <c:pt idx="76" formatCode="General">
                        <c:v>-187.54172932330829</c:v>
                      </c:pt>
                      <c:pt idx="77" formatCode="General">
                        <c:v>-188.15849624060152</c:v>
                      </c:pt>
                      <c:pt idx="78" formatCode="General">
                        <c:v>-188.77526315789473</c:v>
                      </c:pt>
                      <c:pt idx="79" formatCode="General">
                        <c:v>-189.39203007518796</c:v>
                      </c:pt>
                      <c:pt idx="80" formatCode="General">
                        <c:v>-190.00879699248119</c:v>
                      </c:pt>
                      <c:pt idx="81" formatCode="General">
                        <c:v>-190.62556390977443</c:v>
                      </c:pt>
                      <c:pt idx="82" formatCode="General">
                        <c:v>-191.20499999999998</c:v>
                      </c:pt>
                      <c:pt idx="83" formatCode="General">
                        <c:v>-191.66</c:v>
                      </c:pt>
                      <c:pt idx="84" formatCode="General">
                        <c:v>-192.11500000000001</c:v>
                      </c:pt>
                      <c:pt idx="85" formatCode="General">
                        <c:v>-192.55666666666667</c:v>
                      </c:pt>
                      <c:pt idx="86" formatCode="General">
                        <c:v>-192.99</c:v>
                      </c:pt>
                      <c:pt idx="87" formatCode="General">
                        <c:v>-193.41676470588234</c:v>
                      </c:pt>
                      <c:pt idx="88" formatCode="General">
                        <c:v>-193.76470588235293</c:v>
                      </c:pt>
                      <c:pt idx="89" formatCode="General">
                        <c:v>-194.11264705882354</c:v>
                      </c:pt>
                      <c:pt idx="90" formatCode="General">
                        <c:v>-194.44</c:v>
                      </c:pt>
                      <c:pt idx="91" formatCode="General">
                        <c:v>-194.74333333333334</c:v>
                      </c:pt>
                      <c:pt idx="92" formatCode="General">
                        <c:v>-195.04666666666665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DFD-4AA5-9149-6FDDA7C4FDBD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-30.414594594594593</c:v>
                      </c:pt>
                      <c:pt idx="1">
                        <c:v>-29.641621621621621</c:v>
                      </c:pt>
                      <c:pt idx="2" formatCode="General">
                        <c:v>-28.868648648648648</c:v>
                      </c:pt>
                      <c:pt idx="3" formatCode="General">
                        <c:v>-27.424790419161674</c:v>
                      </c:pt>
                      <c:pt idx="4" formatCode="General">
                        <c:v>-25.821197604790417</c:v>
                      </c:pt>
                      <c:pt idx="5" formatCode="General">
                        <c:v>-24.174910179640719</c:v>
                      </c:pt>
                      <c:pt idx="6" formatCode="General">
                        <c:v>-22.392275449101795</c:v>
                      </c:pt>
                      <c:pt idx="7" formatCode="General">
                        <c:v>-20.609640718562876</c:v>
                      </c:pt>
                      <c:pt idx="8" formatCode="General">
                        <c:v>-18.983814371257484</c:v>
                      </c:pt>
                      <c:pt idx="9" formatCode="General">
                        <c:v>-17.435491017964072</c:v>
                      </c:pt>
                      <c:pt idx="10" formatCode="General">
                        <c:v>-15.906473053892215</c:v>
                      </c:pt>
                      <c:pt idx="11" formatCode="General">
                        <c:v>-14.551203592814373</c:v>
                      </c:pt>
                      <c:pt idx="12" formatCode="General">
                        <c:v>-13.195934131736529</c:v>
                      </c:pt>
                      <c:pt idx="13" formatCode="General">
                        <c:v>-11.922059880239523</c:v>
                      </c:pt>
                      <c:pt idx="14" formatCode="General">
                        <c:v>-10.720143712574851</c:v>
                      </c:pt>
                      <c:pt idx="15" formatCode="General">
                        <c:v>-9.5182275449101788</c:v>
                      </c:pt>
                      <c:pt idx="16" formatCode="General">
                        <c:v>-9.0253033033033017</c:v>
                      </c:pt>
                      <c:pt idx="17" formatCode="General">
                        <c:v>-8.5607387387387384</c:v>
                      </c:pt>
                      <c:pt idx="18" formatCode="General">
                        <c:v>-8.3075329341317374</c:v>
                      </c:pt>
                      <c:pt idx="19" formatCode="General">
                        <c:v>-8.3713652694610783</c:v>
                      </c:pt>
                      <c:pt idx="20" formatCode="General">
                        <c:v>-8.4351976047904191</c:v>
                      </c:pt>
                      <c:pt idx="21" formatCode="General">
                        <c:v>-8.4993532934131739</c:v>
                      </c:pt>
                      <c:pt idx="22" formatCode="General">
                        <c:v>-8.5635748502994016</c:v>
                      </c:pt>
                      <c:pt idx="23" formatCode="General">
                        <c:v>-8.6277964071856292</c:v>
                      </c:pt>
                      <c:pt idx="24" formatCode="General">
                        <c:v>-8.6920179640718569</c:v>
                      </c:pt>
                      <c:pt idx="25" formatCode="General">
                        <c:v>-8.7562395209580828</c:v>
                      </c:pt>
                      <c:pt idx="26" formatCode="General">
                        <c:v>-8.8204610778443104</c:v>
                      </c:pt>
                      <c:pt idx="27" formatCode="General">
                        <c:v>-8.8846826347305381</c:v>
                      </c:pt>
                      <c:pt idx="28" formatCode="General">
                        <c:v>-8.9489041916167658</c:v>
                      </c:pt>
                      <c:pt idx="29" formatCode="General">
                        <c:v>-9.0131257485029934</c:v>
                      </c:pt>
                      <c:pt idx="30" formatCode="General">
                        <c:v>-9.0773473053892211</c:v>
                      </c:pt>
                      <c:pt idx="31" formatCode="General">
                        <c:v>-9.140516853932585</c:v>
                      </c:pt>
                      <c:pt idx="32" formatCode="General">
                        <c:v>-9.202838951310861</c:v>
                      </c:pt>
                      <c:pt idx="33" formatCode="General">
                        <c:v>-9.2651610486891389</c:v>
                      </c:pt>
                      <c:pt idx="34" formatCode="General">
                        <c:v>-9.3274831460674168</c:v>
                      </c:pt>
                      <c:pt idx="35" formatCode="General">
                        <c:v>-9.3898052434456929</c:v>
                      </c:pt>
                      <c:pt idx="36" formatCode="General">
                        <c:v>-9.4521273408239708</c:v>
                      </c:pt>
                      <c:pt idx="37" formatCode="General">
                        <c:v>-9.5144494382022469</c:v>
                      </c:pt>
                      <c:pt idx="38" formatCode="General">
                        <c:v>-9.5767715355805247</c:v>
                      </c:pt>
                      <c:pt idx="39" formatCode="General">
                        <c:v>-9.6390936329588026</c:v>
                      </c:pt>
                      <c:pt idx="40" formatCode="General">
                        <c:v>-9.7014157303370787</c:v>
                      </c:pt>
                      <c:pt idx="41" formatCode="General">
                        <c:v>-9.7627400749063682</c:v>
                      </c:pt>
                      <c:pt idx="42" formatCode="General">
                        <c:v>-9.8215565543071168</c:v>
                      </c:pt>
                      <c:pt idx="43" formatCode="General">
                        <c:v>-9.8803730337078655</c:v>
                      </c:pt>
                      <c:pt idx="44" formatCode="General">
                        <c:v>-9.9391895131086141</c:v>
                      </c:pt>
                      <c:pt idx="45" formatCode="General">
                        <c:v>-9.9980059925093627</c:v>
                      </c:pt>
                      <c:pt idx="46" formatCode="General">
                        <c:v>-10.056822471910113</c:v>
                      </c:pt>
                      <c:pt idx="47" formatCode="General">
                        <c:v>-10.115638951310862</c:v>
                      </c:pt>
                      <c:pt idx="48" formatCode="General">
                        <c:v>-10.17445543071161</c:v>
                      </c:pt>
                      <c:pt idx="49" formatCode="General">
                        <c:v>-10.233271910112359</c:v>
                      </c:pt>
                      <c:pt idx="50" formatCode="General">
                        <c:v>-10.292088389513108</c:v>
                      </c:pt>
                      <c:pt idx="51" formatCode="General">
                        <c:v>-10.350862275449101</c:v>
                      </c:pt>
                      <c:pt idx="52" formatCode="General">
                        <c:v>-10.406910179640718</c:v>
                      </c:pt>
                      <c:pt idx="53" formatCode="General">
                        <c:v>-10.462958083832335</c:v>
                      </c:pt>
                      <c:pt idx="54" formatCode="General">
                        <c:v>-10.518366863905324</c:v>
                      </c:pt>
                      <c:pt idx="55" formatCode="General">
                        <c:v>-10.572982248520709</c:v>
                      </c:pt>
                      <c:pt idx="56" formatCode="General">
                        <c:v>-10.627597633136094</c:v>
                      </c:pt>
                      <c:pt idx="57" formatCode="General">
                        <c:v>-10.683333333333334</c:v>
                      </c:pt>
                      <c:pt idx="58" formatCode="General">
                        <c:v>-10.739272727272727</c:v>
                      </c:pt>
                      <c:pt idx="59" formatCode="General">
                        <c:v>-10.794727272727274</c:v>
                      </c:pt>
                      <c:pt idx="60" formatCode="General">
                        <c:v>-10.84909090909091</c:v>
                      </c:pt>
                      <c:pt idx="61" formatCode="General">
                        <c:v>-10.903454545454546</c:v>
                      </c:pt>
                      <c:pt idx="62" formatCode="General">
                        <c:v>-10.965104477611941</c:v>
                      </c:pt>
                      <c:pt idx="63" formatCode="General">
                        <c:v>-11.028940298507463</c:v>
                      </c:pt>
                      <c:pt idx="64" formatCode="General">
                        <c:v>-11.092776119402986</c:v>
                      </c:pt>
                      <c:pt idx="65" formatCode="General">
                        <c:v>-11.156611940298507</c:v>
                      </c:pt>
                      <c:pt idx="66" formatCode="General">
                        <c:v>-11.220447761194031</c:v>
                      </c:pt>
                      <c:pt idx="67" formatCode="General">
                        <c:v>-11.284283582089552</c:v>
                      </c:pt>
                      <c:pt idx="68" formatCode="General">
                        <c:v>-11.348119402985075</c:v>
                      </c:pt>
                      <c:pt idx="69" formatCode="General">
                        <c:v>-11.411955223880597</c:v>
                      </c:pt>
                      <c:pt idx="70" formatCode="General">
                        <c:v>-11.47579104477612</c:v>
                      </c:pt>
                      <c:pt idx="71" formatCode="General">
                        <c:v>-11.539626865671641</c:v>
                      </c:pt>
                      <c:pt idx="72" formatCode="General">
                        <c:v>-11.628225563909774</c:v>
                      </c:pt>
                      <c:pt idx="73" formatCode="General">
                        <c:v>-11.745714285714286</c:v>
                      </c:pt>
                      <c:pt idx="74" formatCode="General">
                        <c:v>-11.863203007518797</c:v>
                      </c:pt>
                      <c:pt idx="75" formatCode="General">
                        <c:v>-11.980691729323308</c:v>
                      </c:pt>
                      <c:pt idx="76" formatCode="General">
                        <c:v>-12.098180451127819</c:v>
                      </c:pt>
                      <c:pt idx="77" formatCode="General">
                        <c:v>-12.21566917293233</c:v>
                      </c:pt>
                      <c:pt idx="78" formatCode="General">
                        <c:v>-12.333157894736843</c:v>
                      </c:pt>
                      <c:pt idx="79" formatCode="General">
                        <c:v>-12.450646616541354</c:v>
                      </c:pt>
                      <c:pt idx="80" formatCode="General">
                        <c:v>-12.568135338345865</c:v>
                      </c:pt>
                      <c:pt idx="81" formatCode="General">
                        <c:v>-12.685624060150376</c:v>
                      </c:pt>
                      <c:pt idx="82" formatCode="General">
                        <c:v>-12.800176470588235</c:v>
                      </c:pt>
                      <c:pt idx="83" formatCode="General">
                        <c:v>-12.904941176470588</c:v>
                      </c:pt>
                      <c:pt idx="84" formatCode="General">
                        <c:v>-13.009705882352941</c:v>
                      </c:pt>
                      <c:pt idx="85" formatCode="General">
                        <c:v>-13.11448484848485</c:v>
                      </c:pt>
                      <c:pt idx="86" formatCode="General">
                        <c:v>-13.219272727272728</c:v>
                      </c:pt>
                      <c:pt idx="87" formatCode="General">
                        <c:v>-13.323588235294118</c:v>
                      </c:pt>
                      <c:pt idx="88" formatCode="General">
                        <c:v>-13.422235294117648</c:v>
                      </c:pt>
                      <c:pt idx="89" formatCode="General">
                        <c:v>-13.520882352941177</c:v>
                      </c:pt>
                      <c:pt idx="90" formatCode="General">
                        <c:v>-13.619090909090909</c:v>
                      </c:pt>
                      <c:pt idx="91" formatCode="General">
                        <c:v>-13.716787878787878</c:v>
                      </c:pt>
                      <c:pt idx="92" formatCode="General">
                        <c:v>-13.814484848484847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DFD-4AA5-9149-6FDDA7C4FDBD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-15.207297297297297</c:v>
                      </c:pt>
                      <c:pt idx="1">
                        <c:v>-14.82081081081081</c:v>
                      </c:pt>
                      <c:pt idx="2" formatCode="General">
                        <c:v>-14.434324324324324</c:v>
                      </c:pt>
                      <c:pt idx="3" formatCode="General">
                        <c:v>-13.712395209580837</c:v>
                      </c:pt>
                      <c:pt idx="4" formatCode="General">
                        <c:v>-12.910598802395208</c:v>
                      </c:pt>
                      <c:pt idx="5" formatCode="General">
                        <c:v>-12.087455089820359</c:v>
                      </c:pt>
                      <c:pt idx="6" formatCode="General">
                        <c:v>-11.196137724550898</c:v>
                      </c:pt>
                      <c:pt idx="7" formatCode="General">
                        <c:v>-10.304820359281438</c:v>
                      </c:pt>
                      <c:pt idx="8" formatCode="General">
                        <c:v>-9.491907185628742</c:v>
                      </c:pt>
                      <c:pt idx="9" formatCode="General">
                        <c:v>-8.7177455089820359</c:v>
                      </c:pt>
                      <c:pt idx="10" formatCode="General">
                        <c:v>-7.9532365269461076</c:v>
                      </c:pt>
                      <c:pt idx="11" formatCode="General">
                        <c:v>-7.2756017964071864</c:v>
                      </c:pt>
                      <c:pt idx="12" formatCode="General">
                        <c:v>-6.5979670658682643</c:v>
                      </c:pt>
                      <c:pt idx="13" formatCode="General">
                        <c:v>-5.9610299401197615</c:v>
                      </c:pt>
                      <c:pt idx="14" formatCode="General">
                        <c:v>-5.3600718562874254</c:v>
                      </c:pt>
                      <c:pt idx="15" formatCode="General">
                        <c:v>-4.7591137724550894</c:v>
                      </c:pt>
                      <c:pt idx="16" formatCode="General">
                        <c:v>-4.5126516516516508</c:v>
                      </c:pt>
                      <c:pt idx="17" formatCode="General">
                        <c:v>-4.2803693693693692</c:v>
                      </c:pt>
                      <c:pt idx="18" formatCode="General">
                        <c:v>-4.1537664670658687</c:v>
                      </c:pt>
                      <c:pt idx="19" formatCode="General">
                        <c:v>-4.1856826347305391</c:v>
                      </c:pt>
                      <c:pt idx="20" formatCode="General">
                        <c:v>-4.2175988023952096</c:v>
                      </c:pt>
                      <c:pt idx="21" formatCode="General">
                        <c:v>-4.249676646706587</c:v>
                      </c:pt>
                      <c:pt idx="22" formatCode="General">
                        <c:v>-4.2817874251497008</c:v>
                      </c:pt>
                      <c:pt idx="23" formatCode="General">
                        <c:v>-4.3138982035928146</c:v>
                      </c:pt>
                      <c:pt idx="24" formatCode="General">
                        <c:v>-4.3460089820359284</c:v>
                      </c:pt>
                      <c:pt idx="25" formatCode="General">
                        <c:v>-4.3781197604790414</c:v>
                      </c:pt>
                      <c:pt idx="26" formatCode="General">
                        <c:v>-4.4102305389221552</c:v>
                      </c:pt>
                      <c:pt idx="27" formatCode="General">
                        <c:v>-4.442341317365269</c:v>
                      </c:pt>
                      <c:pt idx="28" formatCode="General">
                        <c:v>-4.4744520958083829</c:v>
                      </c:pt>
                      <c:pt idx="29" formatCode="General">
                        <c:v>-4.5065628742514967</c:v>
                      </c:pt>
                      <c:pt idx="30" formatCode="General">
                        <c:v>-4.5386736526946105</c:v>
                      </c:pt>
                      <c:pt idx="31" formatCode="General">
                        <c:v>-4.5702584269662925</c:v>
                      </c:pt>
                      <c:pt idx="32" formatCode="General">
                        <c:v>-4.6014194756554305</c:v>
                      </c:pt>
                      <c:pt idx="33" formatCode="General">
                        <c:v>-4.6325805243445695</c:v>
                      </c:pt>
                      <c:pt idx="34" formatCode="General">
                        <c:v>-4.6637415730337084</c:v>
                      </c:pt>
                      <c:pt idx="35" formatCode="General">
                        <c:v>-4.6949026217228464</c:v>
                      </c:pt>
                      <c:pt idx="36" formatCode="General">
                        <c:v>-4.7260636704119854</c:v>
                      </c:pt>
                      <c:pt idx="37" formatCode="General">
                        <c:v>-4.7572247191011234</c:v>
                      </c:pt>
                      <c:pt idx="38" formatCode="General">
                        <c:v>-4.7883857677902624</c:v>
                      </c:pt>
                      <c:pt idx="39" formatCode="General">
                        <c:v>-4.8195468164794013</c:v>
                      </c:pt>
                      <c:pt idx="40" formatCode="General">
                        <c:v>-4.8507078651685394</c:v>
                      </c:pt>
                      <c:pt idx="41" formatCode="General">
                        <c:v>-4.8813700374531841</c:v>
                      </c:pt>
                      <c:pt idx="42" formatCode="General">
                        <c:v>-4.9107782771535584</c:v>
                      </c:pt>
                      <c:pt idx="43" formatCode="General">
                        <c:v>-4.9401865168539327</c:v>
                      </c:pt>
                      <c:pt idx="44" formatCode="General">
                        <c:v>-4.969594756554307</c:v>
                      </c:pt>
                      <c:pt idx="45" formatCode="General">
                        <c:v>-4.9990029962546814</c:v>
                      </c:pt>
                      <c:pt idx="46" formatCode="General">
                        <c:v>-5.0284112359550566</c:v>
                      </c:pt>
                      <c:pt idx="47" formatCode="General">
                        <c:v>-5.0578194756554309</c:v>
                      </c:pt>
                      <c:pt idx="48" formatCode="General">
                        <c:v>-5.0872277153558052</c:v>
                      </c:pt>
                      <c:pt idx="49" formatCode="General">
                        <c:v>-5.1166359550561795</c:v>
                      </c:pt>
                      <c:pt idx="50" formatCode="General">
                        <c:v>-5.1460441947565538</c:v>
                      </c:pt>
                      <c:pt idx="51" formatCode="General">
                        <c:v>-5.1754311377245505</c:v>
                      </c:pt>
                      <c:pt idx="52" formatCode="General">
                        <c:v>-5.2034550898203591</c:v>
                      </c:pt>
                      <c:pt idx="53" formatCode="General">
                        <c:v>-5.2314790419161676</c:v>
                      </c:pt>
                      <c:pt idx="54" formatCode="General">
                        <c:v>-5.2591834319526622</c:v>
                      </c:pt>
                      <c:pt idx="55" formatCode="General">
                        <c:v>-5.2864911242603547</c:v>
                      </c:pt>
                      <c:pt idx="56" formatCode="General">
                        <c:v>-5.3137988165680472</c:v>
                      </c:pt>
                      <c:pt idx="57" formatCode="General">
                        <c:v>-5.3416666666666668</c:v>
                      </c:pt>
                      <c:pt idx="58" formatCode="General">
                        <c:v>-5.3696363636363635</c:v>
                      </c:pt>
                      <c:pt idx="59" formatCode="General">
                        <c:v>-5.3973636363636368</c:v>
                      </c:pt>
                      <c:pt idx="60" formatCode="General">
                        <c:v>-5.4245454545454548</c:v>
                      </c:pt>
                      <c:pt idx="61" formatCode="General">
                        <c:v>-5.4517272727272728</c:v>
                      </c:pt>
                      <c:pt idx="62" formatCode="General">
                        <c:v>-5.4825522388059706</c:v>
                      </c:pt>
                      <c:pt idx="63" formatCode="General">
                        <c:v>-5.5144701492537314</c:v>
                      </c:pt>
                      <c:pt idx="64" formatCode="General">
                        <c:v>-5.546388059701493</c:v>
                      </c:pt>
                      <c:pt idx="65" formatCode="General">
                        <c:v>-5.5783059701492537</c:v>
                      </c:pt>
                      <c:pt idx="66" formatCode="General">
                        <c:v>-5.6102238805970153</c:v>
                      </c:pt>
                      <c:pt idx="67" formatCode="General">
                        <c:v>-5.642141791044776</c:v>
                      </c:pt>
                      <c:pt idx="68" formatCode="General">
                        <c:v>-5.6740597014925376</c:v>
                      </c:pt>
                      <c:pt idx="69" formatCode="General">
                        <c:v>-5.7059776119402983</c:v>
                      </c:pt>
                      <c:pt idx="70" formatCode="General">
                        <c:v>-5.7378955223880599</c:v>
                      </c:pt>
                      <c:pt idx="71" formatCode="General">
                        <c:v>-5.7698134328358206</c:v>
                      </c:pt>
                      <c:pt idx="72" formatCode="General">
                        <c:v>-5.8141127819548872</c:v>
                      </c:pt>
                      <c:pt idx="73" formatCode="General">
                        <c:v>-5.8728571428571428</c:v>
                      </c:pt>
                      <c:pt idx="74" formatCode="General">
                        <c:v>-5.9316015037593983</c:v>
                      </c:pt>
                      <c:pt idx="75" formatCode="General">
                        <c:v>-5.9903458646616539</c:v>
                      </c:pt>
                      <c:pt idx="76" formatCode="General">
                        <c:v>-6.0490902255639094</c:v>
                      </c:pt>
                      <c:pt idx="77" formatCode="General">
                        <c:v>-6.107834586466165</c:v>
                      </c:pt>
                      <c:pt idx="78" formatCode="General">
                        <c:v>-6.1665789473684214</c:v>
                      </c:pt>
                      <c:pt idx="79" formatCode="General">
                        <c:v>-6.2253233082706769</c:v>
                      </c:pt>
                      <c:pt idx="80" formatCode="General">
                        <c:v>-6.2840676691729325</c:v>
                      </c:pt>
                      <c:pt idx="81" formatCode="General">
                        <c:v>-6.342812030075188</c:v>
                      </c:pt>
                      <c:pt idx="82" formatCode="General">
                        <c:v>-6.4000882352941177</c:v>
                      </c:pt>
                      <c:pt idx="83" formatCode="General">
                        <c:v>-6.4524705882352942</c:v>
                      </c:pt>
                      <c:pt idx="84" formatCode="General">
                        <c:v>-6.5048529411764706</c:v>
                      </c:pt>
                      <c:pt idx="85" formatCode="General">
                        <c:v>-6.5572424242424248</c:v>
                      </c:pt>
                      <c:pt idx="86" formatCode="General">
                        <c:v>-6.6096363636363638</c:v>
                      </c:pt>
                      <c:pt idx="87" formatCode="General">
                        <c:v>-6.6617941176470588</c:v>
                      </c:pt>
                      <c:pt idx="88" formatCode="General">
                        <c:v>-6.7111176470588241</c:v>
                      </c:pt>
                      <c:pt idx="89" formatCode="General">
                        <c:v>-6.7604411764705885</c:v>
                      </c:pt>
                      <c:pt idx="90" formatCode="General">
                        <c:v>-6.8095454545454546</c:v>
                      </c:pt>
                      <c:pt idx="91" formatCode="General">
                        <c:v>-6.858393939393939</c:v>
                      </c:pt>
                      <c:pt idx="92" formatCode="General">
                        <c:v>-6.9072424242424235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DFD-4AA5-9149-6FDDA7C4FDB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-19.021441441441443</c:v>
                      </c:pt>
                      <c:pt idx="1">
                        <c:v>-19.025345345345347</c:v>
                      </c:pt>
                      <c:pt idx="2" formatCode="General">
                        <c:v>-19.029249249249251</c:v>
                      </c:pt>
                      <c:pt idx="3" formatCode="General">
                        <c:v>-19.039431137724552</c:v>
                      </c:pt>
                      <c:pt idx="4" formatCode="General">
                        <c:v>-19.051107784431139</c:v>
                      </c:pt>
                      <c:pt idx="5" formatCode="General">
                        <c:v>-19.064640718562874</c:v>
                      </c:pt>
                      <c:pt idx="6" formatCode="General">
                        <c:v>-19.084101796407186</c:v>
                      </c:pt>
                      <c:pt idx="7" formatCode="General">
                        <c:v>-19.103562874251498</c:v>
                      </c:pt>
                      <c:pt idx="8" formatCode="General">
                        <c:v>-19.125628742514969</c:v>
                      </c:pt>
                      <c:pt idx="9" formatCode="General">
                        <c:v>-19.148982035928146</c:v>
                      </c:pt>
                      <c:pt idx="10" formatCode="General">
                        <c:v>-19.172335329341319</c:v>
                      </c:pt>
                      <c:pt idx="11" formatCode="General">
                        <c:v>-19.195688622754492</c:v>
                      </c:pt>
                      <c:pt idx="12" formatCode="General">
                        <c:v>-19.219041916167665</c:v>
                      </c:pt>
                      <c:pt idx="13" formatCode="General">
                        <c:v>-19.244461077844313</c:v>
                      </c:pt>
                      <c:pt idx="14" formatCode="General">
                        <c:v>-19.271706586826348</c:v>
                      </c:pt>
                      <c:pt idx="15" formatCode="General">
                        <c:v>-19.298952095808385</c:v>
                      </c:pt>
                      <c:pt idx="16" formatCode="General">
                        <c:v>-19.213663663663663</c:v>
                      </c:pt>
                      <c:pt idx="17" formatCode="General">
                        <c:v>-19.123873873873872</c:v>
                      </c:pt>
                      <c:pt idx="18" formatCode="General">
                        <c:v>-19.063772455089822</c:v>
                      </c:pt>
                      <c:pt idx="19" formatCode="General">
                        <c:v>-19.048203592814371</c:v>
                      </c:pt>
                      <c:pt idx="20" formatCode="General">
                        <c:v>-19.032634730538923</c:v>
                      </c:pt>
                      <c:pt idx="21" formatCode="General">
                        <c:v>-19.052634730538923</c:v>
                      </c:pt>
                      <c:pt idx="22" formatCode="General">
                        <c:v>-19.079880239520957</c:v>
                      </c:pt>
                      <c:pt idx="23" formatCode="General">
                        <c:v>-19.107125748502995</c:v>
                      </c:pt>
                      <c:pt idx="24" formatCode="General">
                        <c:v>-19.134371257485029</c:v>
                      </c:pt>
                      <c:pt idx="25" formatCode="General">
                        <c:v>-19.161616766467066</c:v>
                      </c:pt>
                      <c:pt idx="26" formatCode="General">
                        <c:v>-19.1888622754491</c:v>
                      </c:pt>
                      <c:pt idx="27" formatCode="General">
                        <c:v>-19.216107784431138</c:v>
                      </c:pt>
                      <c:pt idx="28" formatCode="General">
                        <c:v>-19.243353293413172</c:v>
                      </c:pt>
                      <c:pt idx="29" formatCode="General">
                        <c:v>-19.27059880239521</c:v>
                      </c:pt>
                      <c:pt idx="30" formatCode="General">
                        <c:v>-19.297844311377244</c:v>
                      </c:pt>
                      <c:pt idx="31" formatCode="General">
                        <c:v>-19.324022471910112</c:v>
                      </c:pt>
                      <c:pt idx="32" formatCode="General">
                        <c:v>-19.349340823970035</c:v>
                      </c:pt>
                      <c:pt idx="33" formatCode="General">
                        <c:v>-19.374659176029962</c:v>
                      </c:pt>
                      <c:pt idx="34" formatCode="General">
                        <c:v>-19.399977528089888</c:v>
                      </c:pt>
                      <c:pt idx="35" formatCode="General">
                        <c:v>-19.425295880149811</c:v>
                      </c:pt>
                      <c:pt idx="36" formatCode="General">
                        <c:v>-19.450614232209738</c:v>
                      </c:pt>
                      <c:pt idx="37" formatCode="General">
                        <c:v>-19.475932584269664</c:v>
                      </c:pt>
                      <c:pt idx="38" formatCode="General">
                        <c:v>-19.501250936329587</c:v>
                      </c:pt>
                      <c:pt idx="39" formatCode="General">
                        <c:v>-19.526569288389513</c:v>
                      </c:pt>
                      <c:pt idx="40" formatCode="General">
                        <c:v>-19.55188764044944</c:v>
                      </c:pt>
                      <c:pt idx="41" formatCode="General">
                        <c:v>-19.576928838951311</c:v>
                      </c:pt>
                      <c:pt idx="42" formatCode="General">
                        <c:v>-19.601273408239702</c:v>
                      </c:pt>
                      <c:pt idx="43" formatCode="General">
                        <c:v>-19.625617977528091</c:v>
                      </c:pt>
                      <c:pt idx="44" formatCode="General">
                        <c:v>-19.649962546816479</c:v>
                      </c:pt>
                      <c:pt idx="45" formatCode="General">
                        <c:v>-19.67430711610487</c:v>
                      </c:pt>
                      <c:pt idx="46" formatCode="General">
                        <c:v>-19.698651685393259</c:v>
                      </c:pt>
                      <c:pt idx="47" formatCode="General">
                        <c:v>-19.722996254681647</c:v>
                      </c:pt>
                      <c:pt idx="48" formatCode="General">
                        <c:v>-19.747340823970038</c:v>
                      </c:pt>
                      <c:pt idx="49" formatCode="General">
                        <c:v>-19.771685393258426</c:v>
                      </c:pt>
                      <c:pt idx="50" formatCode="General">
                        <c:v>-19.796029962546818</c:v>
                      </c:pt>
                      <c:pt idx="51" formatCode="General">
                        <c:v>-19.820359281437128</c:v>
                      </c:pt>
                      <c:pt idx="52" formatCode="General">
                        <c:v>-19.843712574850301</c:v>
                      </c:pt>
                      <c:pt idx="53" formatCode="General">
                        <c:v>-19.867065868263474</c:v>
                      </c:pt>
                      <c:pt idx="54" formatCode="General">
                        <c:v>-19.890295857988164</c:v>
                      </c:pt>
                      <c:pt idx="55" formatCode="General">
                        <c:v>-19.913372781065089</c:v>
                      </c:pt>
                      <c:pt idx="56" formatCode="General">
                        <c:v>-19.936449704142014</c:v>
                      </c:pt>
                      <c:pt idx="57" formatCode="General">
                        <c:v>-19.96</c:v>
                      </c:pt>
                      <c:pt idx="58" formatCode="General">
                        <c:v>-19.983636363636364</c:v>
                      </c:pt>
                      <c:pt idx="59" formatCode="General">
                        <c:v>-20.006060606060608</c:v>
                      </c:pt>
                      <c:pt idx="60" formatCode="General">
                        <c:v>-20.025757575757577</c:v>
                      </c:pt>
                      <c:pt idx="61" formatCode="General">
                        <c:v>-20.045454545454547</c:v>
                      </c:pt>
                      <c:pt idx="62" formatCode="General">
                        <c:v>-20.065671641791045</c:v>
                      </c:pt>
                      <c:pt idx="63" formatCode="General">
                        <c:v>-20.086044776119405</c:v>
                      </c:pt>
                      <c:pt idx="64" formatCode="General">
                        <c:v>-20.106417910447764</c:v>
                      </c:pt>
                      <c:pt idx="65" formatCode="General">
                        <c:v>-20.12679104477612</c:v>
                      </c:pt>
                      <c:pt idx="66" formatCode="General">
                        <c:v>-20.147164179104479</c:v>
                      </c:pt>
                      <c:pt idx="67" formatCode="General">
                        <c:v>-20.167537313432838</c:v>
                      </c:pt>
                      <c:pt idx="68" formatCode="General">
                        <c:v>-20.187910447761194</c:v>
                      </c:pt>
                      <c:pt idx="69" formatCode="General">
                        <c:v>-20.208283582089553</c:v>
                      </c:pt>
                      <c:pt idx="70" formatCode="General">
                        <c:v>-20.228656716417913</c:v>
                      </c:pt>
                      <c:pt idx="71" formatCode="General">
                        <c:v>-20.249029850746272</c:v>
                      </c:pt>
                      <c:pt idx="72" formatCode="General">
                        <c:v>-20.269022556390979</c:v>
                      </c:pt>
                      <c:pt idx="73" formatCode="General">
                        <c:v>-20.28857142857143</c:v>
                      </c:pt>
                      <c:pt idx="74" formatCode="General">
                        <c:v>-20.308120300751881</c:v>
                      </c:pt>
                      <c:pt idx="75" formatCode="General">
                        <c:v>-20.327669172932332</c:v>
                      </c:pt>
                      <c:pt idx="76" formatCode="General">
                        <c:v>-20.347218045112783</c:v>
                      </c:pt>
                      <c:pt idx="77" formatCode="General">
                        <c:v>-20.366766917293234</c:v>
                      </c:pt>
                      <c:pt idx="78" formatCode="General">
                        <c:v>-20.386315789473684</c:v>
                      </c:pt>
                      <c:pt idx="79" formatCode="General">
                        <c:v>-20.405864661654135</c:v>
                      </c:pt>
                      <c:pt idx="80" formatCode="General">
                        <c:v>-20.425413533834586</c:v>
                      </c:pt>
                      <c:pt idx="81" formatCode="General">
                        <c:v>-20.444962406015037</c:v>
                      </c:pt>
                      <c:pt idx="82" formatCode="General">
                        <c:v>-20.464411764705883</c:v>
                      </c:pt>
                      <c:pt idx="83" formatCode="General">
                        <c:v>-20.483529411764707</c:v>
                      </c:pt>
                      <c:pt idx="84" formatCode="General">
                        <c:v>-20.502647058823531</c:v>
                      </c:pt>
                      <c:pt idx="85" formatCode="General">
                        <c:v>-20.522121212121213</c:v>
                      </c:pt>
                      <c:pt idx="86" formatCode="General">
                        <c:v>-20.541818181818183</c:v>
                      </c:pt>
                      <c:pt idx="87" formatCode="General">
                        <c:v>-20.561176470588233</c:v>
                      </c:pt>
                      <c:pt idx="88" formatCode="General">
                        <c:v>-20.576470588235296</c:v>
                      </c:pt>
                      <c:pt idx="89" formatCode="General">
                        <c:v>-20.591764705882355</c:v>
                      </c:pt>
                      <c:pt idx="90" formatCode="General">
                        <c:v>-20.609090909090909</c:v>
                      </c:pt>
                      <c:pt idx="91" formatCode="General">
                        <c:v>-20.628787878787879</c:v>
                      </c:pt>
                      <c:pt idx="92" formatCode="General">
                        <c:v>-20.648484848484848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DFD-4AA5-9149-6FDDA7C4FDB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-15.207297297297297</c:v>
                      </c:pt>
                      <c:pt idx="1">
                        <c:v>-14.82081081081081</c:v>
                      </c:pt>
                      <c:pt idx="2" formatCode="General">
                        <c:v>-14.434324324324324</c:v>
                      </c:pt>
                      <c:pt idx="3" formatCode="General">
                        <c:v>-13.712395209580837</c:v>
                      </c:pt>
                      <c:pt idx="4" formatCode="General">
                        <c:v>-12.910598802395208</c:v>
                      </c:pt>
                      <c:pt idx="5" formatCode="General">
                        <c:v>-12.087455089820359</c:v>
                      </c:pt>
                      <c:pt idx="6" formatCode="General">
                        <c:v>-11.196137724550898</c:v>
                      </c:pt>
                      <c:pt idx="7" formatCode="General">
                        <c:v>-10.304820359281438</c:v>
                      </c:pt>
                      <c:pt idx="8" formatCode="General">
                        <c:v>-9.491907185628742</c:v>
                      </c:pt>
                      <c:pt idx="9" formatCode="General">
                        <c:v>-8.7177455089820359</c:v>
                      </c:pt>
                      <c:pt idx="10" formatCode="General">
                        <c:v>-7.9532365269461076</c:v>
                      </c:pt>
                      <c:pt idx="11" formatCode="General">
                        <c:v>-7.2756017964071864</c:v>
                      </c:pt>
                      <c:pt idx="12" formatCode="General">
                        <c:v>-6.5979670658682643</c:v>
                      </c:pt>
                      <c:pt idx="13" formatCode="General">
                        <c:v>-5.9610299401197615</c:v>
                      </c:pt>
                      <c:pt idx="14" formatCode="General">
                        <c:v>-5.3600718562874254</c:v>
                      </c:pt>
                      <c:pt idx="15" formatCode="General">
                        <c:v>-4.7591137724550894</c:v>
                      </c:pt>
                      <c:pt idx="16" formatCode="General">
                        <c:v>-4.5126516516516508</c:v>
                      </c:pt>
                      <c:pt idx="17" formatCode="General">
                        <c:v>-4.2803693693693692</c:v>
                      </c:pt>
                      <c:pt idx="18" formatCode="General">
                        <c:v>-4.1537664670658687</c:v>
                      </c:pt>
                      <c:pt idx="19" formatCode="General">
                        <c:v>-4.1856826347305391</c:v>
                      </c:pt>
                      <c:pt idx="20" formatCode="General">
                        <c:v>-4.2175988023952096</c:v>
                      </c:pt>
                      <c:pt idx="21" formatCode="General">
                        <c:v>-4.249676646706587</c:v>
                      </c:pt>
                      <c:pt idx="22" formatCode="General">
                        <c:v>-4.2817874251497008</c:v>
                      </c:pt>
                      <c:pt idx="23" formatCode="General">
                        <c:v>-4.3138982035928146</c:v>
                      </c:pt>
                      <c:pt idx="24" formatCode="General">
                        <c:v>-4.3460089820359284</c:v>
                      </c:pt>
                      <c:pt idx="25" formatCode="General">
                        <c:v>-4.3781197604790414</c:v>
                      </c:pt>
                      <c:pt idx="26" formatCode="General">
                        <c:v>-4.4102305389221552</c:v>
                      </c:pt>
                      <c:pt idx="27" formatCode="General">
                        <c:v>-4.442341317365269</c:v>
                      </c:pt>
                      <c:pt idx="28" formatCode="General">
                        <c:v>-4.4744520958083829</c:v>
                      </c:pt>
                      <c:pt idx="29" formatCode="General">
                        <c:v>-4.5065628742514967</c:v>
                      </c:pt>
                      <c:pt idx="30" formatCode="General">
                        <c:v>-4.5386736526946105</c:v>
                      </c:pt>
                      <c:pt idx="31" formatCode="General">
                        <c:v>-4.5702584269662925</c:v>
                      </c:pt>
                      <c:pt idx="32" formatCode="General">
                        <c:v>-4.6014194756554305</c:v>
                      </c:pt>
                      <c:pt idx="33" formatCode="General">
                        <c:v>-4.6325805243445695</c:v>
                      </c:pt>
                      <c:pt idx="34" formatCode="General">
                        <c:v>-4.6637415730337084</c:v>
                      </c:pt>
                      <c:pt idx="35" formatCode="General">
                        <c:v>-4.6949026217228464</c:v>
                      </c:pt>
                      <c:pt idx="36" formatCode="General">
                        <c:v>-4.7260636704119854</c:v>
                      </c:pt>
                      <c:pt idx="37" formatCode="General">
                        <c:v>-4.7572247191011234</c:v>
                      </c:pt>
                      <c:pt idx="38" formatCode="General">
                        <c:v>-4.7883857677902624</c:v>
                      </c:pt>
                      <c:pt idx="39" formatCode="General">
                        <c:v>-4.8195468164794013</c:v>
                      </c:pt>
                      <c:pt idx="40" formatCode="General">
                        <c:v>-4.8507078651685394</c:v>
                      </c:pt>
                      <c:pt idx="41" formatCode="General">
                        <c:v>-4.8813700374531841</c:v>
                      </c:pt>
                      <c:pt idx="42" formatCode="General">
                        <c:v>-4.9107782771535584</c:v>
                      </c:pt>
                      <c:pt idx="43" formatCode="General">
                        <c:v>-4.9401865168539327</c:v>
                      </c:pt>
                      <c:pt idx="44" formatCode="General">
                        <c:v>-4.969594756554307</c:v>
                      </c:pt>
                      <c:pt idx="45" formatCode="General">
                        <c:v>-4.9990029962546814</c:v>
                      </c:pt>
                      <c:pt idx="46" formatCode="General">
                        <c:v>-5.0284112359550566</c:v>
                      </c:pt>
                      <c:pt idx="47" formatCode="General">
                        <c:v>-5.0578194756554309</c:v>
                      </c:pt>
                      <c:pt idx="48" formatCode="General">
                        <c:v>-5.0872277153558052</c:v>
                      </c:pt>
                      <c:pt idx="49" formatCode="General">
                        <c:v>-5.1166359550561795</c:v>
                      </c:pt>
                      <c:pt idx="50" formatCode="General">
                        <c:v>-5.1460441947565538</c:v>
                      </c:pt>
                      <c:pt idx="51" formatCode="General">
                        <c:v>-5.1754311377245505</c:v>
                      </c:pt>
                      <c:pt idx="52" formatCode="General">
                        <c:v>-5.2034550898203591</c:v>
                      </c:pt>
                      <c:pt idx="53" formatCode="General">
                        <c:v>-5.2314790419161676</c:v>
                      </c:pt>
                      <c:pt idx="54" formatCode="General">
                        <c:v>-5.2591834319526622</c:v>
                      </c:pt>
                      <c:pt idx="55" formatCode="General">
                        <c:v>-5.2864911242603547</c:v>
                      </c:pt>
                      <c:pt idx="56" formatCode="General">
                        <c:v>-5.3137988165680472</c:v>
                      </c:pt>
                      <c:pt idx="57" formatCode="General">
                        <c:v>-5.3416666666666668</c:v>
                      </c:pt>
                      <c:pt idx="58" formatCode="General">
                        <c:v>-5.3696363636363635</c:v>
                      </c:pt>
                      <c:pt idx="59" formatCode="General">
                        <c:v>-5.3973636363636368</c:v>
                      </c:pt>
                      <c:pt idx="60" formatCode="General">
                        <c:v>-5.4245454545454548</c:v>
                      </c:pt>
                      <c:pt idx="61" formatCode="General">
                        <c:v>-5.4517272727272728</c:v>
                      </c:pt>
                      <c:pt idx="62" formatCode="General">
                        <c:v>-5.4825522388059706</c:v>
                      </c:pt>
                      <c:pt idx="63" formatCode="General">
                        <c:v>-5.5144701492537314</c:v>
                      </c:pt>
                      <c:pt idx="64" formatCode="General">
                        <c:v>-5.546388059701493</c:v>
                      </c:pt>
                      <c:pt idx="65" formatCode="General">
                        <c:v>-5.5783059701492537</c:v>
                      </c:pt>
                      <c:pt idx="66" formatCode="General">
                        <c:v>-5.6102238805970153</c:v>
                      </c:pt>
                      <c:pt idx="67" formatCode="General">
                        <c:v>-5.642141791044776</c:v>
                      </c:pt>
                      <c:pt idx="68" formatCode="General">
                        <c:v>-5.6740597014925376</c:v>
                      </c:pt>
                      <c:pt idx="69" formatCode="General">
                        <c:v>-5.7059776119402983</c:v>
                      </c:pt>
                      <c:pt idx="70" formatCode="General">
                        <c:v>-5.7378955223880599</c:v>
                      </c:pt>
                      <c:pt idx="71" formatCode="General">
                        <c:v>-5.7698134328358206</c:v>
                      </c:pt>
                      <c:pt idx="72" formatCode="General">
                        <c:v>-5.8141127819548872</c:v>
                      </c:pt>
                      <c:pt idx="73" formatCode="General">
                        <c:v>-5.8728571428571428</c:v>
                      </c:pt>
                      <c:pt idx="74" formatCode="General">
                        <c:v>-5.9316015037593983</c:v>
                      </c:pt>
                      <c:pt idx="75" formatCode="General">
                        <c:v>-5.9903458646616539</c:v>
                      </c:pt>
                      <c:pt idx="76" formatCode="General">
                        <c:v>-6.0490902255639094</c:v>
                      </c:pt>
                      <c:pt idx="77" formatCode="General">
                        <c:v>-6.107834586466165</c:v>
                      </c:pt>
                      <c:pt idx="78" formatCode="General">
                        <c:v>-6.1665789473684214</c:v>
                      </c:pt>
                      <c:pt idx="79" formatCode="General">
                        <c:v>-6.2253233082706769</c:v>
                      </c:pt>
                      <c:pt idx="80" formatCode="General">
                        <c:v>-6.2840676691729325</c:v>
                      </c:pt>
                      <c:pt idx="81" formatCode="General">
                        <c:v>-6.342812030075188</c:v>
                      </c:pt>
                      <c:pt idx="82" formatCode="General">
                        <c:v>-6.4000882352941177</c:v>
                      </c:pt>
                      <c:pt idx="83" formatCode="General">
                        <c:v>-6.4524705882352942</c:v>
                      </c:pt>
                      <c:pt idx="84" formatCode="General">
                        <c:v>-6.5048529411764706</c:v>
                      </c:pt>
                      <c:pt idx="85" formatCode="General">
                        <c:v>-6.5572424242424248</c:v>
                      </c:pt>
                      <c:pt idx="86" formatCode="General">
                        <c:v>-6.6096363636363638</c:v>
                      </c:pt>
                      <c:pt idx="87" formatCode="General">
                        <c:v>-6.6617941176470588</c:v>
                      </c:pt>
                      <c:pt idx="88" formatCode="General">
                        <c:v>-6.7111176470588241</c:v>
                      </c:pt>
                      <c:pt idx="89" formatCode="General">
                        <c:v>-6.7604411764705885</c:v>
                      </c:pt>
                      <c:pt idx="90" formatCode="General">
                        <c:v>-6.8095454545454546</c:v>
                      </c:pt>
                      <c:pt idx="91" formatCode="General">
                        <c:v>-6.858393939393939</c:v>
                      </c:pt>
                      <c:pt idx="92" formatCode="General">
                        <c:v>-6.9072424242424235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DFD-4AA5-9149-6FDDA7C4FDB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-19.021441441441443</c:v>
                      </c:pt>
                      <c:pt idx="1">
                        <c:v>-19.025345345345347</c:v>
                      </c:pt>
                      <c:pt idx="2" formatCode="General">
                        <c:v>-19.029249249249251</c:v>
                      </c:pt>
                      <c:pt idx="3" formatCode="General">
                        <c:v>-19.039431137724552</c:v>
                      </c:pt>
                      <c:pt idx="4" formatCode="General">
                        <c:v>-19.051107784431139</c:v>
                      </c:pt>
                      <c:pt idx="5" formatCode="General">
                        <c:v>-19.064640718562874</c:v>
                      </c:pt>
                      <c:pt idx="6" formatCode="General">
                        <c:v>-19.084101796407186</c:v>
                      </c:pt>
                      <c:pt idx="7" formatCode="General">
                        <c:v>-19.103562874251498</c:v>
                      </c:pt>
                      <c:pt idx="8" formatCode="General">
                        <c:v>-19.125628742514969</c:v>
                      </c:pt>
                      <c:pt idx="9" formatCode="General">
                        <c:v>-19.148982035928146</c:v>
                      </c:pt>
                      <c:pt idx="10" formatCode="General">
                        <c:v>-19.172335329341319</c:v>
                      </c:pt>
                      <c:pt idx="11" formatCode="General">
                        <c:v>-19.195688622754492</c:v>
                      </c:pt>
                      <c:pt idx="12" formatCode="General">
                        <c:v>-19.219041916167665</c:v>
                      </c:pt>
                      <c:pt idx="13" formatCode="General">
                        <c:v>-19.244461077844313</c:v>
                      </c:pt>
                      <c:pt idx="14" formatCode="General">
                        <c:v>-19.271706586826348</c:v>
                      </c:pt>
                      <c:pt idx="15" formatCode="General">
                        <c:v>-19.298952095808385</c:v>
                      </c:pt>
                      <c:pt idx="16" formatCode="General">
                        <c:v>-19.213663663663663</c:v>
                      </c:pt>
                      <c:pt idx="17" formatCode="General">
                        <c:v>-19.123873873873872</c:v>
                      </c:pt>
                      <c:pt idx="18" formatCode="General">
                        <c:v>-19.063772455089822</c:v>
                      </c:pt>
                      <c:pt idx="19" formatCode="General">
                        <c:v>-19.048203592814371</c:v>
                      </c:pt>
                      <c:pt idx="20" formatCode="General">
                        <c:v>-19.032634730538923</c:v>
                      </c:pt>
                      <c:pt idx="21" formatCode="General">
                        <c:v>-19.052634730538923</c:v>
                      </c:pt>
                      <c:pt idx="22" formatCode="General">
                        <c:v>-19.079880239520957</c:v>
                      </c:pt>
                      <c:pt idx="23" formatCode="General">
                        <c:v>-19.107125748502995</c:v>
                      </c:pt>
                      <c:pt idx="24" formatCode="General">
                        <c:v>-19.134371257485029</c:v>
                      </c:pt>
                      <c:pt idx="25" formatCode="General">
                        <c:v>-19.161616766467066</c:v>
                      </c:pt>
                      <c:pt idx="26" formatCode="General">
                        <c:v>-19.1888622754491</c:v>
                      </c:pt>
                      <c:pt idx="27" formatCode="General">
                        <c:v>-19.216107784431138</c:v>
                      </c:pt>
                      <c:pt idx="28" formatCode="General">
                        <c:v>-19.243353293413172</c:v>
                      </c:pt>
                      <c:pt idx="29" formatCode="General">
                        <c:v>-19.27059880239521</c:v>
                      </c:pt>
                      <c:pt idx="30" formatCode="General">
                        <c:v>-19.297844311377244</c:v>
                      </c:pt>
                      <c:pt idx="31" formatCode="General">
                        <c:v>-19.324022471910112</c:v>
                      </c:pt>
                      <c:pt idx="32" formatCode="General">
                        <c:v>-19.349340823970035</c:v>
                      </c:pt>
                      <c:pt idx="33" formatCode="General">
                        <c:v>-19.374659176029962</c:v>
                      </c:pt>
                      <c:pt idx="34" formatCode="General">
                        <c:v>-19.399977528089888</c:v>
                      </c:pt>
                      <c:pt idx="35" formatCode="General">
                        <c:v>-19.425295880149811</c:v>
                      </c:pt>
                      <c:pt idx="36" formatCode="General">
                        <c:v>-19.450614232209738</c:v>
                      </c:pt>
                      <c:pt idx="37" formatCode="General">
                        <c:v>-19.475932584269664</c:v>
                      </c:pt>
                      <c:pt idx="38" formatCode="General">
                        <c:v>-19.501250936329587</c:v>
                      </c:pt>
                      <c:pt idx="39" formatCode="General">
                        <c:v>-19.526569288389513</c:v>
                      </c:pt>
                      <c:pt idx="40" formatCode="General">
                        <c:v>-19.55188764044944</c:v>
                      </c:pt>
                      <c:pt idx="41" formatCode="General">
                        <c:v>-19.576928838951311</c:v>
                      </c:pt>
                      <c:pt idx="42" formatCode="General">
                        <c:v>-19.601273408239702</c:v>
                      </c:pt>
                      <c:pt idx="43" formatCode="General">
                        <c:v>-19.625617977528091</c:v>
                      </c:pt>
                      <c:pt idx="44" formatCode="General">
                        <c:v>-19.649962546816479</c:v>
                      </c:pt>
                      <c:pt idx="45" formatCode="General">
                        <c:v>-19.67430711610487</c:v>
                      </c:pt>
                      <c:pt idx="46" formatCode="General">
                        <c:v>-19.698651685393259</c:v>
                      </c:pt>
                      <c:pt idx="47" formatCode="General">
                        <c:v>-19.722996254681647</c:v>
                      </c:pt>
                      <c:pt idx="48" formatCode="General">
                        <c:v>-19.747340823970038</c:v>
                      </c:pt>
                      <c:pt idx="49" formatCode="General">
                        <c:v>-19.771685393258426</c:v>
                      </c:pt>
                      <c:pt idx="50" formatCode="General">
                        <c:v>-19.796029962546818</c:v>
                      </c:pt>
                      <c:pt idx="51" formatCode="General">
                        <c:v>-19.820359281437128</c:v>
                      </c:pt>
                      <c:pt idx="52" formatCode="General">
                        <c:v>-19.843712574850301</c:v>
                      </c:pt>
                      <c:pt idx="53" formatCode="General">
                        <c:v>-19.867065868263474</c:v>
                      </c:pt>
                      <c:pt idx="54" formatCode="General">
                        <c:v>-19.890295857988164</c:v>
                      </c:pt>
                      <c:pt idx="55" formatCode="General">
                        <c:v>-19.913372781065089</c:v>
                      </c:pt>
                      <c:pt idx="56" formatCode="General">
                        <c:v>-19.936449704142014</c:v>
                      </c:pt>
                      <c:pt idx="57" formatCode="General">
                        <c:v>-19.96</c:v>
                      </c:pt>
                      <c:pt idx="58" formatCode="General">
                        <c:v>-19.983636363636364</c:v>
                      </c:pt>
                      <c:pt idx="59" formatCode="General">
                        <c:v>-20.006060606060608</c:v>
                      </c:pt>
                      <c:pt idx="60" formatCode="General">
                        <c:v>-20.025757575757577</c:v>
                      </c:pt>
                      <c:pt idx="61" formatCode="General">
                        <c:v>-20.045454545454547</c:v>
                      </c:pt>
                      <c:pt idx="62" formatCode="General">
                        <c:v>-20.065671641791045</c:v>
                      </c:pt>
                      <c:pt idx="63" formatCode="General">
                        <c:v>-20.086044776119405</c:v>
                      </c:pt>
                      <c:pt idx="64" formatCode="General">
                        <c:v>-20.106417910447764</c:v>
                      </c:pt>
                      <c:pt idx="65" formatCode="General">
                        <c:v>-20.12679104477612</c:v>
                      </c:pt>
                      <c:pt idx="66" formatCode="General">
                        <c:v>-20.147164179104479</c:v>
                      </c:pt>
                      <c:pt idx="67" formatCode="General">
                        <c:v>-20.167537313432838</c:v>
                      </c:pt>
                      <c:pt idx="68" formatCode="General">
                        <c:v>-20.187910447761194</c:v>
                      </c:pt>
                      <c:pt idx="69" formatCode="General">
                        <c:v>-20.208283582089553</c:v>
                      </c:pt>
                      <c:pt idx="70" formatCode="General">
                        <c:v>-20.228656716417913</c:v>
                      </c:pt>
                      <c:pt idx="71" formatCode="General">
                        <c:v>-20.249029850746272</c:v>
                      </c:pt>
                      <c:pt idx="72" formatCode="General">
                        <c:v>-20.269022556390979</c:v>
                      </c:pt>
                      <c:pt idx="73" formatCode="General">
                        <c:v>-20.28857142857143</c:v>
                      </c:pt>
                      <c:pt idx="74" formatCode="General">
                        <c:v>-20.308120300751881</c:v>
                      </c:pt>
                      <c:pt idx="75" formatCode="General">
                        <c:v>-20.327669172932332</c:v>
                      </c:pt>
                      <c:pt idx="76" formatCode="General">
                        <c:v>-20.347218045112783</c:v>
                      </c:pt>
                      <c:pt idx="77" formatCode="General">
                        <c:v>-20.366766917293234</c:v>
                      </c:pt>
                      <c:pt idx="78" formatCode="General">
                        <c:v>-20.386315789473684</c:v>
                      </c:pt>
                      <c:pt idx="79" formatCode="General">
                        <c:v>-20.405864661654135</c:v>
                      </c:pt>
                      <c:pt idx="80" formatCode="General">
                        <c:v>-20.425413533834586</c:v>
                      </c:pt>
                      <c:pt idx="81" formatCode="General">
                        <c:v>-20.444962406015037</c:v>
                      </c:pt>
                      <c:pt idx="82" formatCode="General">
                        <c:v>-20.464411764705883</c:v>
                      </c:pt>
                      <c:pt idx="83" formatCode="General">
                        <c:v>-20.483529411764707</c:v>
                      </c:pt>
                      <c:pt idx="84" formatCode="General">
                        <c:v>-20.502647058823531</c:v>
                      </c:pt>
                      <c:pt idx="85" formatCode="General">
                        <c:v>-20.522121212121213</c:v>
                      </c:pt>
                      <c:pt idx="86" formatCode="General">
                        <c:v>-20.541818181818183</c:v>
                      </c:pt>
                      <c:pt idx="87" formatCode="General">
                        <c:v>-20.561176470588233</c:v>
                      </c:pt>
                      <c:pt idx="88" formatCode="General">
                        <c:v>-20.576470588235296</c:v>
                      </c:pt>
                      <c:pt idx="89" formatCode="General">
                        <c:v>-20.591764705882355</c:v>
                      </c:pt>
                      <c:pt idx="90" formatCode="General">
                        <c:v>-20.609090909090909</c:v>
                      </c:pt>
                      <c:pt idx="91" formatCode="General">
                        <c:v>-20.628787878787879</c:v>
                      </c:pt>
                      <c:pt idx="92" formatCode="General">
                        <c:v>-20.648484848484848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DFD-4AA5-9149-6FDDA7C4FDB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-60.182792792792796</c:v>
                      </c:pt>
                      <c:pt idx="1">
                        <c:v>-57.996606606606605</c:v>
                      </c:pt>
                      <c:pt idx="2" formatCode="General">
                        <c:v>-55.810420420420421</c:v>
                      </c:pt>
                      <c:pt idx="3" formatCode="General">
                        <c:v>-53.356017964071853</c:v>
                      </c:pt>
                      <c:pt idx="4" formatCode="General">
                        <c:v>-50.837754491017961</c:v>
                      </c:pt>
                      <c:pt idx="5" formatCode="General">
                        <c:v>-48.33898203592814</c:v>
                      </c:pt>
                      <c:pt idx="6" formatCode="General">
                        <c:v>-45.902455089820357</c:v>
                      </c:pt>
                      <c:pt idx="7" formatCode="General">
                        <c:v>-43.465928143712574</c:v>
                      </c:pt>
                      <c:pt idx="8" formatCode="General">
                        <c:v>-41.258622754491014</c:v>
                      </c:pt>
                      <c:pt idx="9" formatCode="General">
                        <c:v>-39.164610778443112</c:v>
                      </c:pt>
                      <c:pt idx="10" formatCode="General">
                        <c:v>-37.097844311377244</c:v>
                      </c:pt>
                      <c:pt idx="11" formatCode="General">
                        <c:v>-35.276287425149704</c:v>
                      </c:pt>
                      <c:pt idx="12" formatCode="General">
                        <c:v>-33.454730538922156</c:v>
                      </c:pt>
                      <c:pt idx="13" formatCode="General">
                        <c:v>-31.748862275449106</c:v>
                      </c:pt>
                      <c:pt idx="14" formatCode="General">
                        <c:v>-30.145269461077845</c:v>
                      </c:pt>
                      <c:pt idx="15" formatCode="General">
                        <c:v>-28.541676646706588</c:v>
                      </c:pt>
                      <c:pt idx="16" formatCode="General">
                        <c:v>-27.327597597597595</c:v>
                      </c:pt>
                      <c:pt idx="17" formatCode="General">
                        <c:v>-26.129099099099097</c:v>
                      </c:pt>
                      <c:pt idx="18" formatCode="General">
                        <c:v>-25.61550898203593</c:v>
                      </c:pt>
                      <c:pt idx="19" formatCode="General">
                        <c:v>-26.129281437125748</c:v>
                      </c:pt>
                      <c:pt idx="20" formatCode="General">
                        <c:v>-26.643053892215569</c:v>
                      </c:pt>
                      <c:pt idx="21" formatCode="General">
                        <c:v>-27.13823353293413</c:v>
                      </c:pt>
                      <c:pt idx="22" formatCode="General">
                        <c:v>-27.629625748502992</c:v>
                      </c:pt>
                      <c:pt idx="23" formatCode="General">
                        <c:v>-28.121017964071857</c:v>
                      </c:pt>
                      <c:pt idx="24" formatCode="General">
                        <c:v>-28.612410179640719</c:v>
                      </c:pt>
                      <c:pt idx="25" formatCode="General">
                        <c:v>-29.103802395209581</c:v>
                      </c:pt>
                      <c:pt idx="26" formatCode="General">
                        <c:v>-29.595194610778446</c:v>
                      </c:pt>
                      <c:pt idx="27" formatCode="General">
                        <c:v>-30.086586826347308</c:v>
                      </c:pt>
                      <c:pt idx="28" formatCode="General">
                        <c:v>-30.577979041916169</c:v>
                      </c:pt>
                      <c:pt idx="29" formatCode="General">
                        <c:v>-31.069371257485031</c:v>
                      </c:pt>
                      <c:pt idx="30" formatCode="General">
                        <c:v>-31.560763473053896</c:v>
                      </c:pt>
                      <c:pt idx="31" formatCode="General">
                        <c:v>-32.022696629213485</c:v>
                      </c:pt>
                      <c:pt idx="32" formatCode="General">
                        <c:v>-32.460898876404499</c:v>
                      </c:pt>
                      <c:pt idx="33" formatCode="General">
                        <c:v>-32.899101123595507</c:v>
                      </c:pt>
                      <c:pt idx="34" formatCode="General">
                        <c:v>-33.337303370786522</c:v>
                      </c:pt>
                      <c:pt idx="35" formatCode="General">
                        <c:v>-33.775505617977529</c:v>
                      </c:pt>
                      <c:pt idx="36" formatCode="General">
                        <c:v>-34.213707865168544</c:v>
                      </c:pt>
                      <c:pt idx="37" formatCode="General">
                        <c:v>-34.651910112359552</c:v>
                      </c:pt>
                      <c:pt idx="38" formatCode="General">
                        <c:v>-35.090112359550567</c:v>
                      </c:pt>
                      <c:pt idx="39" formatCode="General">
                        <c:v>-35.528314606741574</c:v>
                      </c:pt>
                      <c:pt idx="40" formatCode="General">
                        <c:v>-35.966516853932589</c:v>
                      </c:pt>
                      <c:pt idx="41" formatCode="General">
                        <c:v>-36.38448689138577</c:v>
                      </c:pt>
                      <c:pt idx="42" formatCode="General">
                        <c:v>-36.751602996254682</c:v>
                      </c:pt>
                      <c:pt idx="43" formatCode="General">
                        <c:v>-37.118719101123595</c:v>
                      </c:pt>
                      <c:pt idx="44" formatCode="General">
                        <c:v>-37.485835205992508</c:v>
                      </c:pt>
                      <c:pt idx="45" formatCode="General">
                        <c:v>-37.852951310861421</c:v>
                      </c:pt>
                      <c:pt idx="46" formatCode="General">
                        <c:v>-38.220067415730334</c:v>
                      </c:pt>
                      <c:pt idx="47" formatCode="General">
                        <c:v>-38.587183520599254</c:v>
                      </c:pt>
                      <c:pt idx="48" formatCode="General">
                        <c:v>-38.954299625468167</c:v>
                      </c:pt>
                      <c:pt idx="49" formatCode="General">
                        <c:v>-39.32141573033708</c:v>
                      </c:pt>
                      <c:pt idx="50" formatCode="General">
                        <c:v>-39.688531835205993</c:v>
                      </c:pt>
                      <c:pt idx="51" formatCode="General">
                        <c:v>-40.054850299401195</c:v>
                      </c:pt>
                      <c:pt idx="52" formatCode="General">
                        <c:v>-40.370119760479042</c:v>
                      </c:pt>
                      <c:pt idx="53" formatCode="General">
                        <c:v>-40.685389221556882</c:v>
                      </c:pt>
                      <c:pt idx="54" formatCode="General">
                        <c:v>-40.988698224852072</c:v>
                      </c:pt>
                      <c:pt idx="55" formatCode="General">
                        <c:v>-41.277159763313605</c:v>
                      </c:pt>
                      <c:pt idx="56" formatCode="General">
                        <c:v>-41.565621301775145</c:v>
                      </c:pt>
                      <c:pt idx="57" formatCode="General">
                        <c:v>-41.843333333333334</c:v>
                      </c:pt>
                      <c:pt idx="58" formatCode="General">
                        <c:v>-42.119090909090907</c:v>
                      </c:pt>
                      <c:pt idx="59" formatCode="General">
                        <c:v>-42.38636363636364</c:v>
                      </c:pt>
                      <c:pt idx="60" formatCode="General">
                        <c:v>-42.634545454545453</c:v>
                      </c:pt>
                      <c:pt idx="61" formatCode="General">
                        <c:v>-42.882727272727273</c:v>
                      </c:pt>
                      <c:pt idx="62" formatCode="General">
                        <c:v>-43.08328358208955</c:v>
                      </c:pt>
                      <c:pt idx="63" formatCode="General">
                        <c:v>-43.269552238805971</c:v>
                      </c:pt>
                      <c:pt idx="64" formatCode="General">
                        <c:v>-43.455820895522386</c:v>
                      </c:pt>
                      <c:pt idx="65" formatCode="General">
                        <c:v>-43.642089552238801</c:v>
                      </c:pt>
                      <c:pt idx="66" formatCode="General">
                        <c:v>-43.828358208955223</c:v>
                      </c:pt>
                      <c:pt idx="67" formatCode="General">
                        <c:v>-44.014626865671637</c:v>
                      </c:pt>
                      <c:pt idx="68" formatCode="General">
                        <c:v>-44.200895522388059</c:v>
                      </c:pt>
                      <c:pt idx="69" formatCode="General">
                        <c:v>-44.387164179104474</c:v>
                      </c:pt>
                      <c:pt idx="70" formatCode="General">
                        <c:v>-44.573432835820896</c:v>
                      </c:pt>
                      <c:pt idx="71" formatCode="General">
                        <c:v>-44.75970149253731</c:v>
                      </c:pt>
                      <c:pt idx="72" formatCode="General">
                        <c:v>-44.898796992481202</c:v>
                      </c:pt>
                      <c:pt idx="73" formatCode="General">
                        <c:v>-44.982857142857142</c:v>
                      </c:pt>
                      <c:pt idx="74" formatCode="General">
                        <c:v>-45.066917293233082</c:v>
                      </c:pt>
                      <c:pt idx="75" formatCode="General">
                        <c:v>-45.150977443609023</c:v>
                      </c:pt>
                      <c:pt idx="76" formatCode="General">
                        <c:v>-45.235037593984963</c:v>
                      </c:pt>
                      <c:pt idx="77" formatCode="General">
                        <c:v>-45.319097744360903</c:v>
                      </c:pt>
                      <c:pt idx="78" formatCode="General">
                        <c:v>-45.403157894736843</c:v>
                      </c:pt>
                      <c:pt idx="79" formatCode="General">
                        <c:v>-45.487218045112783</c:v>
                      </c:pt>
                      <c:pt idx="80" formatCode="General">
                        <c:v>-45.571278195488723</c:v>
                      </c:pt>
                      <c:pt idx="81" formatCode="General">
                        <c:v>-45.655338345864664</c:v>
                      </c:pt>
                      <c:pt idx="82" formatCode="General">
                        <c:v>-45.723529411764702</c:v>
                      </c:pt>
                      <c:pt idx="83" formatCode="General">
                        <c:v>-45.738823529411761</c:v>
                      </c:pt>
                      <c:pt idx="84" formatCode="General">
                        <c:v>-45.75411764705882</c:v>
                      </c:pt>
                      <c:pt idx="85" formatCode="General">
                        <c:v>-45.755151515151518</c:v>
                      </c:pt>
                      <c:pt idx="86" formatCode="General">
                        <c:v>-45.74727272727273</c:v>
                      </c:pt>
                      <c:pt idx="87" formatCode="General">
                        <c:v>-45.737058823529416</c:v>
                      </c:pt>
                      <c:pt idx="88" formatCode="General">
                        <c:v>-45.698823529411769</c:v>
                      </c:pt>
                      <c:pt idx="89" formatCode="General">
                        <c:v>-45.660588235294121</c:v>
                      </c:pt>
                      <c:pt idx="90" formatCode="General">
                        <c:v>-45.609090909090909</c:v>
                      </c:pt>
                      <c:pt idx="91" formatCode="General">
                        <c:v>-45.542121212121209</c:v>
                      </c:pt>
                      <c:pt idx="92" formatCode="General">
                        <c:v>-45.475151515151516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DFD-4AA5-9149-6FDDA7C4FDB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-15.207297297297297</c:v>
                      </c:pt>
                      <c:pt idx="1">
                        <c:v>-14.82081081081081</c:v>
                      </c:pt>
                      <c:pt idx="2" formatCode="General">
                        <c:v>-14.434324324324324</c:v>
                      </c:pt>
                      <c:pt idx="3" formatCode="General">
                        <c:v>-13.712395209580837</c:v>
                      </c:pt>
                      <c:pt idx="4" formatCode="General">
                        <c:v>-12.910598802395208</c:v>
                      </c:pt>
                      <c:pt idx="5" formatCode="General">
                        <c:v>-12.087455089820359</c:v>
                      </c:pt>
                      <c:pt idx="6" formatCode="General">
                        <c:v>-11.196137724550898</c:v>
                      </c:pt>
                      <c:pt idx="7" formatCode="General">
                        <c:v>-10.304820359281438</c:v>
                      </c:pt>
                      <c:pt idx="8" formatCode="General">
                        <c:v>-9.491907185628742</c:v>
                      </c:pt>
                      <c:pt idx="9" formatCode="General">
                        <c:v>-8.7177455089820359</c:v>
                      </c:pt>
                      <c:pt idx="10" formatCode="General">
                        <c:v>-7.9532365269461076</c:v>
                      </c:pt>
                      <c:pt idx="11" formatCode="General">
                        <c:v>-7.2756017964071864</c:v>
                      </c:pt>
                      <c:pt idx="12" formatCode="General">
                        <c:v>-6.5979670658682643</c:v>
                      </c:pt>
                      <c:pt idx="13" formatCode="General">
                        <c:v>-5.9610299401197615</c:v>
                      </c:pt>
                      <c:pt idx="14" formatCode="General">
                        <c:v>-5.3600718562874254</c:v>
                      </c:pt>
                      <c:pt idx="15" formatCode="General">
                        <c:v>-4.7591137724550894</c:v>
                      </c:pt>
                      <c:pt idx="16" formatCode="General">
                        <c:v>-4.5126516516516508</c:v>
                      </c:pt>
                      <c:pt idx="17" formatCode="General">
                        <c:v>-4.2803693693693692</c:v>
                      </c:pt>
                      <c:pt idx="18" formatCode="General">
                        <c:v>-4.1537664670658687</c:v>
                      </c:pt>
                      <c:pt idx="19" formatCode="General">
                        <c:v>-4.1856826347305391</c:v>
                      </c:pt>
                      <c:pt idx="20" formatCode="General">
                        <c:v>-4.2175988023952096</c:v>
                      </c:pt>
                      <c:pt idx="21" formatCode="General">
                        <c:v>-4.249676646706587</c:v>
                      </c:pt>
                      <c:pt idx="22" formatCode="General">
                        <c:v>-4.2817874251497008</c:v>
                      </c:pt>
                      <c:pt idx="23" formatCode="General">
                        <c:v>-4.3138982035928146</c:v>
                      </c:pt>
                      <c:pt idx="24" formatCode="General">
                        <c:v>-4.3460089820359284</c:v>
                      </c:pt>
                      <c:pt idx="25" formatCode="General">
                        <c:v>-4.3781197604790414</c:v>
                      </c:pt>
                      <c:pt idx="26" formatCode="General">
                        <c:v>-4.4102305389221552</c:v>
                      </c:pt>
                      <c:pt idx="27" formatCode="General">
                        <c:v>-4.442341317365269</c:v>
                      </c:pt>
                      <c:pt idx="28" formatCode="General">
                        <c:v>-4.4744520958083829</c:v>
                      </c:pt>
                      <c:pt idx="29" formatCode="General">
                        <c:v>-4.5065628742514967</c:v>
                      </c:pt>
                      <c:pt idx="30" formatCode="General">
                        <c:v>-4.5386736526946105</c:v>
                      </c:pt>
                      <c:pt idx="31" formatCode="General">
                        <c:v>-4.5702584269662925</c:v>
                      </c:pt>
                      <c:pt idx="32" formatCode="General">
                        <c:v>-4.6014194756554305</c:v>
                      </c:pt>
                      <c:pt idx="33" formatCode="General">
                        <c:v>-4.6325805243445695</c:v>
                      </c:pt>
                      <c:pt idx="34" formatCode="General">
                        <c:v>-4.6637415730337084</c:v>
                      </c:pt>
                      <c:pt idx="35" formatCode="General">
                        <c:v>-4.6949026217228464</c:v>
                      </c:pt>
                      <c:pt idx="36" formatCode="General">
                        <c:v>-4.7260636704119854</c:v>
                      </c:pt>
                      <c:pt idx="37" formatCode="General">
                        <c:v>-4.7572247191011234</c:v>
                      </c:pt>
                      <c:pt idx="38" formatCode="General">
                        <c:v>-4.7883857677902624</c:v>
                      </c:pt>
                      <c:pt idx="39" formatCode="General">
                        <c:v>-4.8195468164794013</c:v>
                      </c:pt>
                      <c:pt idx="40" formatCode="General">
                        <c:v>-4.8507078651685394</c:v>
                      </c:pt>
                      <c:pt idx="41" formatCode="General">
                        <c:v>-4.8813700374531841</c:v>
                      </c:pt>
                      <c:pt idx="42" formatCode="General">
                        <c:v>-4.9107782771535584</c:v>
                      </c:pt>
                      <c:pt idx="43" formatCode="General">
                        <c:v>-4.9401865168539327</c:v>
                      </c:pt>
                      <c:pt idx="44" formatCode="General">
                        <c:v>-4.969594756554307</c:v>
                      </c:pt>
                      <c:pt idx="45" formatCode="General">
                        <c:v>-4.9990029962546814</c:v>
                      </c:pt>
                      <c:pt idx="46" formatCode="General">
                        <c:v>-5.0284112359550566</c:v>
                      </c:pt>
                      <c:pt idx="47" formatCode="General">
                        <c:v>-5.0578194756554309</c:v>
                      </c:pt>
                      <c:pt idx="48" formatCode="General">
                        <c:v>-5.0872277153558052</c:v>
                      </c:pt>
                      <c:pt idx="49" formatCode="General">
                        <c:v>-5.1166359550561795</c:v>
                      </c:pt>
                      <c:pt idx="50" formatCode="General">
                        <c:v>-5.1460441947565538</c:v>
                      </c:pt>
                      <c:pt idx="51" formatCode="General">
                        <c:v>-5.1754311377245505</c:v>
                      </c:pt>
                      <c:pt idx="52" formatCode="General">
                        <c:v>-5.2034550898203591</c:v>
                      </c:pt>
                      <c:pt idx="53" formatCode="General">
                        <c:v>-5.2314790419161676</c:v>
                      </c:pt>
                      <c:pt idx="54" formatCode="General">
                        <c:v>-5.2591834319526622</c:v>
                      </c:pt>
                      <c:pt idx="55" formatCode="General">
                        <c:v>-5.2864911242603547</c:v>
                      </c:pt>
                      <c:pt idx="56" formatCode="General">
                        <c:v>-5.3137988165680472</c:v>
                      </c:pt>
                      <c:pt idx="57" formatCode="General">
                        <c:v>-5.3416666666666668</c:v>
                      </c:pt>
                      <c:pt idx="58" formatCode="General">
                        <c:v>-5.3696363636363635</c:v>
                      </c:pt>
                      <c:pt idx="59" formatCode="General">
                        <c:v>-5.3973636363636368</c:v>
                      </c:pt>
                      <c:pt idx="60" formatCode="General">
                        <c:v>-5.4245454545454548</c:v>
                      </c:pt>
                      <c:pt idx="61" formatCode="General">
                        <c:v>-5.4517272727272728</c:v>
                      </c:pt>
                      <c:pt idx="62" formatCode="General">
                        <c:v>-5.4825522388059706</c:v>
                      </c:pt>
                      <c:pt idx="63" formatCode="General">
                        <c:v>-5.5144701492537314</c:v>
                      </c:pt>
                      <c:pt idx="64" formatCode="General">
                        <c:v>-5.546388059701493</c:v>
                      </c:pt>
                      <c:pt idx="65" formatCode="General">
                        <c:v>-5.5783059701492537</c:v>
                      </c:pt>
                      <c:pt idx="66" formatCode="General">
                        <c:v>-5.6102238805970153</c:v>
                      </c:pt>
                      <c:pt idx="67" formatCode="General">
                        <c:v>-5.642141791044776</c:v>
                      </c:pt>
                      <c:pt idx="68" formatCode="General">
                        <c:v>-5.6740597014925376</c:v>
                      </c:pt>
                      <c:pt idx="69" formatCode="General">
                        <c:v>-5.7059776119402983</c:v>
                      </c:pt>
                      <c:pt idx="70" formatCode="General">
                        <c:v>-5.7378955223880599</c:v>
                      </c:pt>
                      <c:pt idx="71" formatCode="General">
                        <c:v>-5.7698134328358206</c:v>
                      </c:pt>
                      <c:pt idx="72" formatCode="General">
                        <c:v>-5.8141127819548872</c:v>
                      </c:pt>
                      <c:pt idx="73" formatCode="General">
                        <c:v>-5.8728571428571428</c:v>
                      </c:pt>
                      <c:pt idx="74" formatCode="General">
                        <c:v>-5.9316015037593983</c:v>
                      </c:pt>
                      <c:pt idx="75" formatCode="General">
                        <c:v>-5.9903458646616539</c:v>
                      </c:pt>
                      <c:pt idx="76" formatCode="General">
                        <c:v>-6.0490902255639094</c:v>
                      </c:pt>
                      <c:pt idx="77" formatCode="General">
                        <c:v>-6.107834586466165</c:v>
                      </c:pt>
                      <c:pt idx="78" formatCode="General">
                        <c:v>-6.1665789473684214</c:v>
                      </c:pt>
                      <c:pt idx="79" formatCode="General">
                        <c:v>-6.2253233082706769</c:v>
                      </c:pt>
                      <c:pt idx="80" formatCode="General">
                        <c:v>-6.2840676691729325</c:v>
                      </c:pt>
                      <c:pt idx="81" formatCode="General">
                        <c:v>-6.342812030075188</c:v>
                      </c:pt>
                      <c:pt idx="82" formatCode="General">
                        <c:v>-6.4000882352941177</c:v>
                      </c:pt>
                      <c:pt idx="83" formatCode="General">
                        <c:v>-6.4524705882352942</c:v>
                      </c:pt>
                      <c:pt idx="84" formatCode="General">
                        <c:v>-6.5048529411764706</c:v>
                      </c:pt>
                      <c:pt idx="85" formatCode="General">
                        <c:v>-6.5572424242424248</c:v>
                      </c:pt>
                      <c:pt idx="86" formatCode="General">
                        <c:v>-6.6096363636363638</c:v>
                      </c:pt>
                      <c:pt idx="87" formatCode="General">
                        <c:v>-6.6617941176470588</c:v>
                      </c:pt>
                      <c:pt idx="88" formatCode="General">
                        <c:v>-6.7111176470588241</c:v>
                      </c:pt>
                      <c:pt idx="89" formatCode="General">
                        <c:v>-6.7604411764705885</c:v>
                      </c:pt>
                      <c:pt idx="90" formatCode="General">
                        <c:v>-6.8095454545454546</c:v>
                      </c:pt>
                      <c:pt idx="91" formatCode="General">
                        <c:v>-6.858393939393939</c:v>
                      </c:pt>
                      <c:pt idx="92" formatCode="General">
                        <c:v>-6.9072424242424235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DFD-4AA5-9149-6FDDA7C4FDB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-21.633423423423423</c:v>
                      </c:pt>
                      <c:pt idx="1">
                        <c:v>-20.938528528528529</c:v>
                      </c:pt>
                      <c:pt idx="2" formatCode="General">
                        <c:v>-20.243633633633632</c:v>
                      </c:pt>
                      <c:pt idx="3" formatCode="General">
                        <c:v>-20.065988023952094</c:v>
                      </c:pt>
                      <c:pt idx="4" formatCode="General">
                        <c:v>-20.011497005988023</c:v>
                      </c:pt>
                      <c:pt idx="5" formatCode="General">
                        <c:v>-20.01640718562874</c:v>
                      </c:pt>
                      <c:pt idx="6" formatCode="General">
                        <c:v>-20.211017964071857</c:v>
                      </c:pt>
                      <c:pt idx="7" formatCode="General">
                        <c:v>-20.40562874251497</c:v>
                      </c:pt>
                      <c:pt idx="8" formatCode="General">
                        <c:v>-20.602844311377243</c:v>
                      </c:pt>
                      <c:pt idx="9" formatCode="General">
                        <c:v>-20.801347305389221</c:v>
                      </c:pt>
                      <c:pt idx="10" formatCode="General">
                        <c:v>-20.999850299401199</c:v>
                      </c:pt>
                      <c:pt idx="11" formatCode="General">
                        <c:v>-21.198353293413174</c:v>
                      </c:pt>
                      <c:pt idx="12" formatCode="General">
                        <c:v>-21.396856287425148</c:v>
                      </c:pt>
                      <c:pt idx="13" formatCode="General">
                        <c:v>-21.597425149700598</c:v>
                      </c:pt>
                      <c:pt idx="14" formatCode="General">
                        <c:v>-21.799820359281437</c:v>
                      </c:pt>
                      <c:pt idx="15" formatCode="General">
                        <c:v>-22.002215568862276</c:v>
                      </c:pt>
                      <c:pt idx="16" formatCode="General">
                        <c:v>-22.19768768768769</c:v>
                      </c:pt>
                      <c:pt idx="17" formatCode="General">
                        <c:v>-22.392882882882883</c:v>
                      </c:pt>
                      <c:pt idx="18" formatCode="General">
                        <c:v>-22.589401197604793</c:v>
                      </c:pt>
                      <c:pt idx="19" formatCode="General">
                        <c:v>-22.787904191616768</c:v>
                      </c:pt>
                      <c:pt idx="20" formatCode="General">
                        <c:v>-22.986407185628742</c:v>
                      </c:pt>
                      <c:pt idx="21" formatCode="General">
                        <c:v>-23.17682634730539</c:v>
                      </c:pt>
                      <c:pt idx="22" formatCode="General">
                        <c:v>-23.365598802395208</c:v>
                      </c:pt>
                      <c:pt idx="23" formatCode="General">
                        <c:v>-23.55437125748503</c:v>
                      </c:pt>
                      <c:pt idx="24" formatCode="General">
                        <c:v>-23.743143712574849</c:v>
                      </c:pt>
                      <c:pt idx="25" formatCode="General">
                        <c:v>-23.931916167664671</c:v>
                      </c:pt>
                      <c:pt idx="26" formatCode="General">
                        <c:v>-24.120688622754493</c:v>
                      </c:pt>
                      <c:pt idx="27" formatCode="General">
                        <c:v>-24.309461077844311</c:v>
                      </c:pt>
                      <c:pt idx="28" formatCode="General">
                        <c:v>-24.498233532934133</c:v>
                      </c:pt>
                      <c:pt idx="29" formatCode="General">
                        <c:v>-24.687005988023952</c:v>
                      </c:pt>
                      <c:pt idx="30" formatCode="General">
                        <c:v>-24.875778443113774</c:v>
                      </c:pt>
                      <c:pt idx="31" formatCode="General">
                        <c:v>-25.057617977528093</c:v>
                      </c:pt>
                      <c:pt idx="32" formatCode="General">
                        <c:v>-25.233872659176033</c:v>
                      </c:pt>
                      <c:pt idx="33" formatCode="General">
                        <c:v>-25.410127340823973</c:v>
                      </c:pt>
                      <c:pt idx="34" formatCode="General">
                        <c:v>-25.586382022471913</c:v>
                      </c:pt>
                      <c:pt idx="35" formatCode="General">
                        <c:v>-25.762636704119853</c:v>
                      </c:pt>
                      <c:pt idx="36" formatCode="General">
                        <c:v>-25.938891385767793</c:v>
                      </c:pt>
                      <c:pt idx="37" formatCode="General">
                        <c:v>-26.115146067415729</c:v>
                      </c:pt>
                      <c:pt idx="38" formatCode="General">
                        <c:v>-26.291400749063669</c:v>
                      </c:pt>
                      <c:pt idx="39" formatCode="General">
                        <c:v>-26.467655430711609</c:v>
                      </c:pt>
                      <c:pt idx="40" formatCode="General">
                        <c:v>-26.643910112359549</c:v>
                      </c:pt>
                      <c:pt idx="41" formatCode="General">
                        <c:v>-26.81767041198502</c:v>
                      </c:pt>
                      <c:pt idx="42" formatCode="General">
                        <c:v>-26.98516104868914</c:v>
                      </c:pt>
                      <c:pt idx="43" formatCode="General">
                        <c:v>-27.152651685393259</c:v>
                      </c:pt>
                      <c:pt idx="44" formatCode="General">
                        <c:v>-27.320142322097379</c:v>
                      </c:pt>
                      <c:pt idx="45" formatCode="General">
                        <c:v>-27.487632958801498</c:v>
                      </c:pt>
                      <c:pt idx="46" formatCode="General">
                        <c:v>-27.655123595505618</c:v>
                      </c:pt>
                      <c:pt idx="47" formatCode="General">
                        <c:v>-27.822614232209737</c:v>
                      </c:pt>
                      <c:pt idx="48" formatCode="General">
                        <c:v>-27.990104868913857</c:v>
                      </c:pt>
                      <c:pt idx="49" formatCode="General">
                        <c:v>-28.157595505617977</c:v>
                      </c:pt>
                      <c:pt idx="50" formatCode="General">
                        <c:v>-28.325086142322096</c:v>
                      </c:pt>
                      <c:pt idx="51" formatCode="General">
                        <c:v>-28.492455089820357</c:v>
                      </c:pt>
                      <c:pt idx="52" formatCode="General">
                        <c:v>-28.652035928143711</c:v>
                      </c:pt>
                      <c:pt idx="53" formatCode="General">
                        <c:v>-28.811616766467065</c:v>
                      </c:pt>
                      <c:pt idx="54" formatCode="General">
                        <c:v>-28.970355029585797</c:v>
                      </c:pt>
                      <c:pt idx="55" formatCode="General">
                        <c:v>-29.128047337278105</c:v>
                      </c:pt>
                      <c:pt idx="56" formatCode="General">
                        <c:v>-29.285739644970413</c:v>
                      </c:pt>
                      <c:pt idx="57" formatCode="General">
                        <c:v>-29.446666666666665</c:v>
                      </c:pt>
                      <c:pt idx="58" formatCode="General">
                        <c:v>-29.608181818181816</c:v>
                      </c:pt>
                      <c:pt idx="59" formatCode="General">
                        <c:v>-29.768484848484846</c:v>
                      </c:pt>
                      <c:pt idx="60" formatCode="General">
                        <c:v>-29.926060606060606</c:v>
                      </c:pt>
                      <c:pt idx="61" formatCode="General">
                        <c:v>-30.083636363636366</c:v>
                      </c:pt>
                      <c:pt idx="62" formatCode="General">
                        <c:v>-30.237164179104479</c:v>
                      </c:pt>
                      <c:pt idx="63" formatCode="General">
                        <c:v>-30.389477611940301</c:v>
                      </c:pt>
                      <c:pt idx="64" formatCode="General">
                        <c:v>-30.541791044776119</c:v>
                      </c:pt>
                      <c:pt idx="65" formatCode="General">
                        <c:v>-30.69410447761194</c:v>
                      </c:pt>
                      <c:pt idx="66" formatCode="General">
                        <c:v>-30.846417910447762</c:v>
                      </c:pt>
                      <c:pt idx="67" formatCode="General">
                        <c:v>-30.998731343283584</c:v>
                      </c:pt>
                      <c:pt idx="68" formatCode="General">
                        <c:v>-31.151044776119406</c:v>
                      </c:pt>
                      <c:pt idx="69" formatCode="General">
                        <c:v>-31.303358208955224</c:v>
                      </c:pt>
                      <c:pt idx="70" formatCode="General">
                        <c:v>-31.455671641791046</c:v>
                      </c:pt>
                      <c:pt idx="71" formatCode="General">
                        <c:v>-31.607985074626868</c:v>
                      </c:pt>
                      <c:pt idx="72" formatCode="General">
                        <c:v>-31.759022556390978</c:v>
                      </c:pt>
                      <c:pt idx="73" formatCode="General">
                        <c:v>-31.908571428571431</c:v>
                      </c:pt>
                      <c:pt idx="74" formatCode="General">
                        <c:v>-32.058120300751881</c:v>
                      </c:pt>
                      <c:pt idx="75" formatCode="General">
                        <c:v>-32.207669172932334</c:v>
                      </c:pt>
                      <c:pt idx="76" formatCode="General">
                        <c:v>-32.357218045112781</c:v>
                      </c:pt>
                      <c:pt idx="77" formatCode="General">
                        <c:v>-32.506766917293234</c:v>
                      </c:pt>
                      <c:pt idx="78" formatCode="General">
                        <c:v>-32.65631578947368</c:v>
                      </c:pt>
                      <c:pt idx="79" formatCode="General">
                        <c:v>-32.805864661654134</c:v>
                      </c:pt>
                      <c:pt idx="80" formatCode="General">
                        <c:v>-32.955413533834587</c:v>
                      </c:pt>
                      <c:pt idx="81" formatCode="General">
                        <c:v>-33.104962406015034</c:v>
                      </c:pt>
                      <c:pt idx="82" formatCode="General">
                        <c:v>-33.252647058823527</c:v>
                      </c:pt>
                      <c:pt idx="83" formatCode="General">
                        <c:v>-33.394117647058827</c:v>
                      </c:pt>
                      <c:pt idx="84" formatCode="General">
                        <c:v>-33.535588235294121</c:v>
                      </c:pt>
                      <c:pt idx="85" formatCode="General">
                        <c:v>-33.682121212121217</c:v>
                      </c:pt>
                      <c:pt idx="86" formatCode="General">
                        <c:v>-33.831818181818186</c:v>
                      </c:pt>
                      <c:pt idx="87" formatCode="General">
                        <c:v>-33.980882352941173</c:v>
                      </c:pt>
                      <c:pt idx="88" formatCode="General">
                        <c:v>-34.122352941176473</c:v>
                      </c:pt>
                      <c:pt idx="89" formatCode="General">
                        <c:v>-34.263823529411766</c:v>
                      </c:pt>
                      <c:pt idx="90" formatCode="General">
                        <c:v>-34.407272727272733</c:v>
                      </c:pt>
                      <c:pt idx="91" formatCode="General">
                        <c:v>-34.553030303030305</c:v>
                      </c:pt>
                      <c:pt idx="92" formatCode="General">
                        <c:v>-34.698787878787883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DFD-4AA5-9149-6FDDA7C4FDB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DFD-4AA5-9149-6FDDA7C4FDB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DFD-4AA5-9149-6FDDA7C4FDB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DFD-4AA5-9149-6FDDA7C4FDB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DFD-4AA5-9149-6FDDA7C4FDBD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DFD-4AA5-9149-6FDDA7C4FDBD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DFD-4AA5-9149-6FDDA7C4FDBD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DFD-4AA5-9149-6FDDA7C4FDBD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DFD-4AA5-9149-6FDDA7C4FDBD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DFD-4AA5-9149-6FDDA7C4FDBD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DFD-4AA5-9149-6FDDA7C4FDBD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DFD-4AA5-9149-6FDDA7C4FDBD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DFD-4AA5-9149-6FDDA7C4FDBD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DFD-4AA5-9149-6FDDA7C4FDBD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DFD-4AA5-9149-6FDDA7C4FDBD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DFD-4AA5-9149-6FDDA7C4FDBD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-37.719099099099097</c:v>
                      </c:pt>
                      <c:pt idx="1">
                        <c:v>-36.579159159159161</c:v>
                      </c:pt>
                      <c:pt idx="2" formatCode="General">
                        <c:v>-35.439219219219218</c:v>
                      </c:pt>
                      <c:pt idx="3" formatCode="General">
                        <c:v>-34.500089820359278</c:v>
                      </c:pt>
                      <c:pt idx="4" formatCode="General">
                        <c:v>-33.60877245508982</c:v>
                      </c:pt>
                      <c:pt idx="5" formatCode="General">
                        <c:v>-32.764419161676642</c:v>
                      </c:pt>
                      <c:pt idx="6" formatCode="General">
                        <c:v>-32.070047904191618</c:v>
                      </c:pt>
                      <c:pt idx="7" formatCode="General">
                        <c:v>-31.375676646706587</c:v>
                      </c:pt>
                      <c:pt idx="8" formatCode="General">
                        <c:v>-30.795916167664672</c:v>
                      </c:pt>
                      <c:pt idx="9" formatCode="General">
                        <c:v>-30.272802395209581</c:v>
                      </c:pt>
                      <c:pt idx="10" formatCode="General">
                        <c:v>-29.77206886227545</c:v>
                      </c:pt>
                      <c:pt idx="11" formatCode="General">
                        <c:v>-29.472757485029941</c:v>
                      </c:pt>
                      <c:pt idx="12" formatCode="General">
                        <c:v>-29.173446107784432</c:v>
                      </c:pt>
                      <c:pt idx="13" formatCode="General">
                        <c:v>-29.019158682634732</c:v>
                      </c:pt>
                      <c:pt idx="14" formatCode="General">
                        <c:v>-28.993080838323355</c:v>
                      </c:pt>
                      <c:pt idx="15" formatCode="General">
                        <c:v>-28.967002994011978</c:v>
                      </c:pt>
                      <c:pt idx="16" formatCode="General">
                        <c:v>-29.306465465465465</c:v>
                      </c:pt>
                      <c:pt idx="17" formatCode="General">
                        <c:v>-29.66054954954955</c:v>
                      </c:pt>
                      <c:pt idx="18" formatCode="General">
                        <c:v>-29.950844311377246</c:v>
                      </c:pt>
                      <c:pt idx="19" formatCode="General">
                        <c:v>-30.145455089820359</c:v>
                      </c:pt>
                      <c:pt idx="20" formatCode="General">
                        <c:v>-30.340065868263473</c:v>
                      </c:pt>
                      <c:pt idx="21" formatCode="General">
                        <c:v>-30.55440119760479</c:v>
                      </c:pt>
                      <c:pt idx="22" formatCode="General">
                        <c:v>-30.772754491017963</c:v>
                      </c:pt>
                      <c:pt idx="23" formatCode="General">
                        <c:v>-30.990700598802395</c:v>
                      </c:pt>
                      <c:pt idx="24" formatCode="General">
                        <c:v>-31.207497005988024</c:v>
                      </c:pt>
                      <c:pt idx="25" formatCode="General">
                        <c:v>-31.424293413173654</c:v>
                      </c:pt>
                      <c:pt idx="26" formatCode="General">
                        <c:v>-31.642167664670659</c:v>
                      </c:pt>
                      <c:pt idx="27" formatCode="General">
                        <c:v>-31.860520958083832</c:v>
                      </c:pt>
                      <c:pt idx="28" formatCode="General">
                        <c:v>-32.078874251497005</c:v>
                      </c:pt>
                      <c:pt idx="29" formatCode="General">
                        <c:v>-32.297227544910179</c:v>
                      </c:pt>
                      <c:pt idx="30" formatCode="General">
                        <c:v>-32.515580838323352</c:v>
                      </c:pt>
                      <c:pt idx="31" formatCode="General">
                        <c:v>-32.727876404494381</c:v>
                      </c:pt>
                      <c:pt idx="32" formatCode="General">
                        <c:v>-32.935292134831464</c:v>
                      </c:pt>
                      <c:pt idx="33" formatCode="General">
                        <c:v>-33.142707865168539</c:v>
                      </c:pt>
                      <c:pt idx="34" formatCode="General">
                        <c:v>-33.350123595505622</c:v>
                      </c:pt>
                      <c:pt idx="35" formatCode="General">
                        <c:v>-33.557539325842697</c:v>
                      </c:pt>
                      <c:pt idx="36" formatCode="General">
                        <c:v>-33.76495505617978</c:v>
                      </c:pt>
                      <c:pt idx="37" formatCode="General">
                        <c:v>-33.972370786516855</c:v>
                      </c:pt>
                      <c:pt idx="38" formatCode="General">
                        <c:v>-34.179786516853937</c:v>
                      </c:pt>
                      <c:pt idx="39" formatCode="General">
                        <c:v>-34.387202247191013</c:v>
                      </c:pt>
                      <c:pt idx="40" formatCode="General">
                        <c:v>-34.594617977528095</c:v>
                      </c:pt>
                      <c:pt idx="41" formatCode="General">
                        <c:v>-34.799040449438202</c:v>
                      </c:pt>
                      <c:pt idx="42" formatCode="General">
                        <c:v>-34.995939325842699</c:v>
                      </c:pt>
                      <c:pt idx="43" formatCode="General">
                        <c:v>-35.192838202247195</c:v>
                      </c:pt>
                      <c:pt idx="44" formatCode="General">
                        <c:v>-35.389737078651684</c:v>
                      </c:pt>
                      <c:pt idx="45" formatCode="General">
                        <c:v>-35.586635955056181</c:v>
                      </c:pt>
                      <c:pt idx="46" formatCode="General">
                        <c:v>-35.783534831460678</c:v>
                      </c:pt>
                      <c:pt idx="47" formatCode="General">
                        <c:v>-35.980433707865167</c:v>
                      </c:pt>
                      <c:pt idx="48" formatCode="General">
                        <c:v>-36.177332584269664</c:v>
                      </c:pt>
                      <c:pt idx="49" formatCode="General">
                        <c:v>-36.37423146067416</c:v>
                      </c:pt>
                      <c:pt idx="50" formatCode="General">
                        <c:v>-36.571130337078657</c:v>
                      </c:pt>
                      <c:pt idx="51" formatCode="General">
                        <c:v>-36.767872372372373</c:v>
                      </c:pt>
                      <c:pt idx="52" formatCode="General">
                        <c:v>-36.954576576576578</c:v>
                      </c:pt>
                      <c:pt idx="53" formatCode="General">
                        <c:v>-37.141280780780782</c:v>
                      </c:pt>
                      <c:pt idx="54" formatCode="General">
                        <c:v>-37.327984984984987</c:v>
                      </c:pt>
                      <c:pt idx="55" formatCode="General">
                        <c:v>-37.514689189189191</c:v>
                      </c:pt>
                      <c:pt idx="56" formatCode="General">
                        <c:v>-37.701393393393396</c:v>
                      </c:pt>
                      <c:pt idx="57" formatCode="General">
                        <c:v>-37.888097597597593</c:v>
                      </c:pt>
                      <c:pt idx="58" formatCode="General">
                        <c:v>-38.074801801801797</c:v>
                      </c:pt>
                      <c:pt idx="59" formatCode="General">
                        <c:v>-38.261506006006002</c:v>
                      </c:pt>
                      <c:pt idx="60" formatCode="General">
                        <c:v>-38.448210210210206</c:v>
                      </c:pt>
                      <c:pt idx="61" formatCode="General">
                        <c:v>-38.634914414414411</c:v>
                      </c:pt>
                      <c:pt idx="62" formatCode="General">
                        <c:v>-38.815647058823529</c:v>
                      </c:pt>
                      <c:pt idx="63" formatCode="General">
                        <c:v>-38.994588235294117</c:v>
                      </c:pt>
                      <c:pt idx="64" formatCode="General">
                        <c:v>-39.173636363636362</c:v>
                      </c:pt>
                      <c:pt idx="65" formatCode="General">
                        <c:v>-39.353272727272731</c:v>
                      </c:pt>
                      <c:pt idx="66" formatCode="General">
                        <c:v>-39.532909090909094</c:v>
                      </c:pt>
                      <c:pt idx="67" formatCode="General">
                        <c:v>-39.709294117647062</c:v>
                      </c:pt>
                      <c:pt idx="68" formatCode="General">
                        <c:v>-39.883647058823527</c:v>
                      </c:pt>
                      <c:pt idx="69" formatCode="General">
                        <c:v>-40.058</c:v>
                      </c:pt>
                      <c:pt idx="70" formatCode="General">
                        <c:v>-40.237242424242424</c:v>
                      </c:pt>
                      <c:pt idx="71" formatCode="General">
                        <c:v>-40.416484848484849</c:v>
                      </c:pt>
                      <c:pt idx="72" formatCode="General">
                        <c:v>-40.593210526315794</c:v>
                      </c:pt>
                      <c:pt idx="73" formatCode="General">
                        <c:v>-40.767000000000003</c:v>
                      </c:pt>
                      <c:pt idx="74" formatCode="General">
                        <c:v>-40.940789473684212</c:v>
                      </c:pt>
                      <c:pt idx="75" formatCode="General">
                        <c:v>-41.114578947368422</c:v>
                      </c:pt>
                      <c:pt idx="76" formatCode="General">
                        <c:v>-41.288368421052631</c:v>
                      </c:pt>
                      <c:pt idx="77" formatCode="General">
                        <c:v>-41.462157894736841</c:v>
                      </c:pt>
                      <c:pt idx="78" formatCode="General">
                        <c:v>-41.63594736842105</c:v>
                      </c:pt>
                      <c:pt idx="79" formatCode="General">
                        <c:v>-41.809736842105259</c:v>
                      </c:pt>
                      <c:pt idx="80" formatCode="General">
                        <c:v>-41.983526315789469</c:v>
                      </c:pt>
                      <c:pt idx="81" formatCode="General">
                        <c:v>-42.157315789473685</c:v>
                      </c:pt>
                      <c:pt idx="82" formatCode="General">
                        <c:v>-42.329597014925369</c:v>
                      </c:pt>
                      <c:pt idx="83" formatCode="General">
                        <c:v>-42.496850746268656</c:v>
                      </c:pt>
                      <c:pt idx="84" formatCode="General">
                        <c:v>-42.664104477611936</c:v>
                      </c:pt>
                      <c:pt idx="85" formatCode="General">
                        <c:v>-42.831358208955223</c:v>
                      </c:pt>
                      <c:pt idx="86" formatCode="General">
                        <c:v>-42.998611940298503</c:v>
                      </c:pt>
                      <c:pt idx="87" formatCode="General">
                        <c:v>-43.165865671641789</c:v>
                      </c:pt>
                      <c:pt idx="88" formatCode="General">
                        <c:v>-43.333119402985076</c:v>
                      </c:pt>
                      <c:pt idx="89" formatCode="General">
                        <c:v>-43.500373134328356</c:v>
                      </c:pt>
                      <c:pt idx="90" formatCode="General">
                        <c:v>-43.667626865671643</c:v>
                      </c:pt>
                      <c:pt idx="91" formatCode="General">
                        <c:v>-43.834880597014923</c:v>
                      </c:pt>
                      <c:pt idx="92" formatCode="General">
                        <c:v>-44.00213432835821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DFD-4AA5-9149-6FDDA7C4FDBD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-22.018918918918921</c:v>
                      </c:pt>
                      <c:pt idx="1">
                        <c:v>-21.69099099099099</c:v>
                      </c:pt>
                      <c:pt idx="2" formatCode="General">
                        <c:v>-21.363063063063063</c:v>
                      </c:pt>
                      <c:pt idx="3" formatCode="General">
                        <c:v>-21.328293413173654</c:v>
                      </c:pt>
                      <c:pt idx="4" formatCode="General">
                        <c:v>-21.363323353293413</c:v>
                      </c:pt>
                      <c:pt idx="5" formatCode="General">
                        <c:v>-21.428053892215569</c:v>
                      </c:pt>
                      <c:pt idx="6" formatCode="General">
                        <c:v>-21.587634730538923</c:v>
                      </c:pt>
                      <c:pt idx="7" formatCode="General">
                        <c:v>-21.747215568862277</c:v>
                      </c:pt>
                      <c:pt idx="8" formatCode="General">
                        <c:v>-21.901586826347305</c:v>
                      </c:pt>
                      <c:pt idx="9" formatCode="General">
                        <c:v>-22.053383233532934</c:v>
                      </c:pt>
                      <c:pt idx="10" formatCode="General">
                        <c:v>-22.201287425149701</c:v>
                      </c:pt>
                      <c:pt idx="11" formatCode="General">
                        <c:v>-22.314161676646709</c:v>
                      </c:pt>
                      <c:pt idx="12" formatCode="General">
                        <c:v>-22.427035928143713</c:v>
                      </c:pt>
                      <c:pt idx="13" formatCode="General">
                        <c:v>-22.544041916167664</c:v>
                      </c:pt>
                      <c:pt idx="14" formatCode="General">
                        <c:v>-22.664700598802394</c:v>
                      </c:pt>
                      <c:pt idx="15" formatCode="General">
                        <c:v>-22.785359281437124</c:v>
                      </c:pt>
                      <c:pt idx="16" formatCode="General">
                        <c:v>-22.883843843843842</c:v>
                      </c:pt>
                      <c:pt idx="17" formatCode="General">
                        <c:v>-22.98144144144144</c:v>
                      </c:pt>
                      <c:pt idx="18" formatCode="General">
                        <c:v>-23.1162874251497</c:v>
                      </c:pt>
                      <c:pt idx="19" formatCode="General">
                        <c:v>-23.307005988023953</c:v>
                      </c:pt>
                      <c:pt idx="20" formatCode="General">
                        <c:v>-23.497724550898205</c:v>
                      </c:pt>
                      <c:pt idx="21" formatCode="General">
                        <c:v>-23.691676646706586</c:v>
                      </c:pt>
                      <c:pt idx="22" formatCode="General">
                        <c:v>-23.8862874251497</c:v>
                      </c:pt>
                      <c:pt idx="23" formatCode="General">
                        <c:v>-24.078862275449104</c:v>
                      </c:pt>
                      <c:pt idx="24" formatCode="General">
                        <c:v>-24.265688622754492</c:v>
                      </c:pt>
                      <c:pt idx="25" formatCode="General">
                        <c:v>-24.45251497005988</c:v>
                      </c:pt>
                      <c:pt idx="26" formatCode="General">
                        <c:v>-24.639341317365272</c:v>
                      </c:pt>
                      <c:pt idx="27" formatCode="General">
                        <c:v>-24.82616766467066</c:v>
                      </c:pt>
                      <c:pt idx="28" formatCode="General">
                        <c:v>-25.012994011976048</c:v>
                      </c:pt>
                      <c:pt idx="29" formatCode="General">
                        <c:v>-25.199820359281436</c:v>
                      </c:pt>
                      <c:pt idx="30" formatCode="General">
                        <c:v>-25.386646706586827</c:v>
                      </c:pt>
                      <c:pt idx="31" formatCode="General">
                        <c:v>-25.567617977528091</c:v>
                      </c:pt>
                      <c:pt idx="32" formatCode="General">
                        <c:v>-25.743872659176031</c:v>
                      </c:pt>
                      <c:pt idx="33" formatCode="General">
                        <c:v>-25.920127340823971</c:v>
                      </c:pt>
                      <c:pt idx="34" formatCode="General">
                        <c:v>-26.096382022471911</c:v>
                      </c:pt>
                      <c:pt idx="35" formatCode="General">
                        <c:v>-26.272636704119851</c:v>
                      </c:pt>
                      <c:pt idx="36" formatCode="General">
                        <c:v>-26.448891385767791</c:v>
                      </c:pt>
                      <c:pt idx="37" formatCode="General">
                        <c:v>-26.625146067415731</c:v>
                      </c:pt>
                      <c:pt idx="38" formatCode="General">
                        <c:v>-26.801400749063671</c:v>
                      </c:pt>
                      <c:pt idx="39" formatCode="General">
                        <c:v>-26.977655430711611</c:v>
                      </c:pt>
                      <c:pt idx="40" formatCode="General">
                        <c:v>-27.153910112359551</c:v>
                      </c:pt>
                      <c:pt idx="41" formatCode="General">
                        <c:v>-27.327670411985022</c:v>
                      </c:pt>
                      <c:pt idx="42" formatCode="General">
                        <c:v>-27.495161048689141</c:v>
                      </c:pt>
                      <c:pt idx="43" formatCode="General">
                        <c:v>-27.662651685393261</c:v>
                      </c:pt>
                      <c:pt idx="44" formatCode="General">
                        <c:v>-27.83014232209738</c:v>
                      </c:pt>
                      <c:pt idx="45" formatCode="General">
                        <c:v>-27.9976329588015</c:v>
                      </c:pt>
                      <c:pt idx="46" formatCode="General">
                        <c:v>-28.165123595505619</c:v>
                      </c:pt>
                      <c:pt idx="47" formatCode="General">
                        <c:v>-28.332614232209739</c:v>
                      </c:pt>
                      <c:pt idx="48" formatCode="General">
                        <c:v>-28.500104868913859</c:v>
                      </c:pt>
                      <c:pt idx="49" formatCode="General">
                        <c:v>-28.667595505617978</c:v>
                      </c:pt>
                      <c:pt idx="50" formatCode="General">
                        <c:v>-28.835086142322098</c:v>
                      </c:pt>
                      <c:pt idx="51" formatCode="General">
                        <c:v>-29.002447447447448</c:v>
                      </c:pt>
                      <c:pt idx="52" formatCode="General">
                        <c:v>-29.161531531531534</c:v>
                      </c:pt>
                      <c:pt idx="53" formatCode="General">
                        <c:v>-29.320615615615615</c:v>
                      </c:pt>
                      <c:pt idx="54" formatCode="General">
                        <c:v>-29.479699699699701</c:v>
                      </c:pt>
                      <c:pt idx="55" formatCode="General">
                        <c:v>-29.638783783783783</c:v>
                      </c:pt>
                      <c:pt idx="56" formatCode="General">
                        <c:v>-29.797867867867868</c:v>
                      </c:pt>
                      <c:pt idx="57" formatCode="General">
                        <c:v>-29.95695195195195</c:v>
                      </c:pt>
                      <c:pt idx="58" formatCode="General">
                        <c:v>-30.116036036036036</c:v>
                      </c:pt>
                      <c:pt idx="59" formatCode="General">
                        <c:v>-30.275120120120121</c:v>
                      </c:pt>
                      <c:pt idx="60" formatCode="General">
                        <c:v>-30.434204204204203</c:v>
                      </c:pt>
                      <c:pt idx="61" formatCode="General">
                        <c:v>-30.593288288288289</c:v>
                      </c:pt>
                      <c:pt idx="62" formatCode="General">
                        <c:v>-30.747647058823528</c:v>
                      </c:pt>
                      <c:pt idx="63" formatCode="General">
                        <c:v>-30.900588235294119</c:v>
                      </c:pt>
                      <c:pt idx="64" formatCode="General">
                        <c:v>-31.053636363636365</c:v>
                      </c:pt>
                      <c:pt idx="65" formatCode="General">
                        <c:v>-31.207272727272727</c:v>
                      </c:pt>
                      <c:pt idx="66" formatCode="General">
                        <c:v>-31.360909090909093</c:v>
                      </c:pt>
                      <c:pt idx="67" formatCode="General">
                        <c:v>-31.511764705882353</c:v>
                      </c:pt>
                      <c:pt idx="68" formatCode="General">
                        <c:v>-31.660882352941176</c:v>
                      </c:pt>
                      <c:pt idx="69" formatCode="General">
                        <c:v>-31.81</c:v>
                      </c:pt>
                      <c:pt idx="70" formatCode="General">
                        <c:v>-31.963636363636365</c:v>
                      </c:pt>
                      <c:pt idx="71" formatCode="General">
                        <c:v>-32.117272727272727</c:v>
                      </c:pt>
                      <c:pt idx="72" formatCode="General">
                        <c:v>-32.269022556390979</c:v>
                      </c:pt>
                      <c:pt idx="73" formatCode="General">
                        <c:v>-32.418571428571433</c:v>
                      </c:pt>
                      <c:pt idx="74" formatCode="General">
                        <c:v>-32.568120300751879</c:v>
                      </c:pt>
                      <c:pt idx="75" formatCode="General">
                        <c:v>-32.717669172932332</c:v>
                      </c:pt>
                      <c:pt idx="76" formatCode="General">
                        <c:v>-32.867218045112779</c:v>
                      </c:pt>
                      <c:pt idx="77" formatCode="General">
                        <c:v>-33.016766917293232</c:v>
                      </c:pt>
                      <c:pt idx="78" formatCode="General">
                        <c:v>-33.166315789473686</c:v>
                      </c:pt>
                      <c:pt idx="79" formatCode="General">
                        <c:v>-33.315864661654132</c:v>
                      </c:pt>
                      <c:pt idx="80" formatCode="General">
                        <c:v>-33.465413533834585</c:v>
                      </c:pt>
                      <c:pt idx="81" formatCode="General">
                        <c:v>-33.614962406015032</c:v>
                      </c:pt>
                      <c:pt idx="82" formatCode="General">
                        <c:v>-33.763358208955218</c:v>
                      </c:pt>
                      <c:pt idx="83" formatCode="General">
                        <c:v>-33.907910447761189</c:v>
                      </c:pt>
                      <c:pt idx="84" formatCode="General">
                        <c:v>-34.052462686567161</c:v>
                      </c:pt>
                      <c:pt idx="85" formatCode="General">
                        <c:v>-34.197014925373132</c:v>
                      </c:pt>
                      <c:pt idx="86" formatCode="General">
                        <c:v>-34.341567164179104</c:v>
                      </c:pt>
                      <c:pt idx="87" formatCode="General">
                        <c:v>-34.486119402985075</c:v>
                      </c:pt>
                      <c:pt idx="88" formatCode="General">
                        <c:v>-34.630671641791039</c:v>
                      </c:pt>
                      <c:pt idx="89" formatCode="General">
                        <c:v>-34.775223880597011</c:v>
                      </c:pt>
                      <c:pt idx="90" formatCode="General">
                        <c:v>-34.919776119402982</c:v>
                      </c:pt>
                      <c:pt idx="91" formatCode="General">
                        <c:v>-35.064328358208954</c:v>
                      </c:pt>
                      <c:pt idx="92" formatCode="General">
                        <c:v>-35.208880597014925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DFD-4AA5-9149-6FDDA7C4FDBD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-185.62738738738739</c:v>
                      </c:pt>
                      <c:pt idx="1">
                        <c:v>-179.20156156156156</c:v>
                      </c:pt>
                      <c:pt idx="2" formatCode="General">
                        <c:v>-172.77573573573576</c:v>
                      </c:pt>
                      <c:pt idx="3" formatCode="General">
                        <c:v>-167.34314371257486</c:v>
                      </c:pt>
                      <c:pt idx="4" formatCode="General">
                        <c:v>-162.14703592814371</c:v>
                      </c:pt>
                      <c:pt idx="5" formatCode="General">
                        <c:v>-157.16997005988023</c:v>
                      </c:pt>
                      <c:pt idx="6" formatCode="General">
                        <c:v>-152.89242514970059</c:v>
                      </c:pt>
                      <c:pt idx="7" formatCode="General">
                        <c:v>-148.61488023952094</c:v>
                      </c:pt>
                      <c:pt idx="8" formatCode="General">
                        <c:v>-144.8009880239521</c:v>
                      </c:pt>
                      <c:pt idx="9" formatCode="General">
                        <c:v>-141.21625748502993</c:v>
                      </c:pt>
                      <c:pt idx="10" formatCode="General">
                        <c:v>-137.6875748502994</c:v>
                      </c:pt>
                      <c:pt idx="11" formatCode="General">
                        <c:v>-134.66332335329341</c:v>
                      </c:pt>
                      <c:pt idx="12" formatCode="General">
                        <c:v>-131.63907185628744</c:v>
                      </c:pt>
                      <c:pt idx="13" formatCode="General">
                        <c:v>-128.87098802395209</c:v>
                      </c:pt>
                      <c:pt idx="14" formatCode="General">
                        <c:v>-126.32937125748504</c:v>
                      </c:pt>
                      <c:pt idx="15" formatCode="General">
                        <c:v>-123.78775449101796</c:v>
                      </c:pt>
                      <c:pt idx="16" formatCode="General">
                        <c:v>-123.31837837837838</c:v>
                      </c:pt>
                      <c:pt idx="17" formatCode="General">
                        <c:v>-122.93189189189189</c:v>
                      </c:pt>
                      <c:pt idx="18" formatCode="General">
                        <c:v>-123.33988023952097</c:v>
                      </c:pt>
                      <c:pt idx="19" formatCode="General">
                        <c:v>-124.93958083832335</c:v>
                      </c:pt>
                      <c:pt idx="20" formatCode="General">
                        <c:v>-126.53928143712575</c:v>
                      </c:pt>
                      <c:pt idx="21" formatCode="General">
                        <c:v>-128.13574850299401</c:v>
                      </c:pt>
                      <c:pt idx="22" formatCode="General">
                        <c:v>-129.73155688622754</c:v>
                      </c:pt>
                      <c:pt idx="23" formatCode="General">
                        <c:v>-131.31718562874252</c:v>
                      </c:pt>
                      <c:pt idx="24" formatCode="General">
                        <c:v>-132.87407185628743</c:v>
                      </c:pt>
                      <c:pt idx="25" formatCode="General">
                        <c:v>-134.43095808383234</c:v>
                      </c:pt>
                      <c:pt idx="26" formatCode="General">
                        <c:v>-135.97167664670658</c:v>
                      </c:pt>
                      <c:pt idx="27" formatCode="General">
                        <c:v>-137.50520958083831</c:v>
                      </c:pt>
                      <c:pt idx="28" formatCode="General">
                        <c:v>-139.03586826347305</c:v>
                      </c:pt>
                      <c:pt idx="29" formatCode="General">
                        <c:v>-140.54604790419162</c:v>
                      </c:pt>
                      <c:pt idx="30" formatCode="General">
                        <c:v>-142.05622754491017</c:v>
                      </c:pt>
                      <c:pt idx="31" formatCode="General">
                        <c:v>-143.50932584269663</c:v>
                      </c:pt>
                      <c:pt idx="32" formatCode="General">
                        <c:v>-144.91644194756554</c:v>
                      </c:pt>
                      <c:pt idx="33" formatCode="General">
                        <c:v>-146.32355805243446</c:v>
                      </c:pt>
                      <c:pt idx="34" formatCode="General">
                        <c:v>-147.73067415730338</c:v>
                      </c:pt>
                      <c:pt idx="35" formatCode="General">
                        <c:v>-149.13779026217227</c:v>
                      </c:pt>
                      <c:pt idx="36" formatCode="General">
                        <c:v>-150.54490636704119</c:v>
                      </c:pt>
                      <c:pt idx="37" formatCode="General">
                        <c:v>-151.95202247191011</c:v>
                      </c:pt>
                      <c:pt idx="38" formatCode="General">
                        <c:v>-153.35913857677903</c:v>
                      </c:pt>
                      <c:pt idx="39" formatCode="General">
                        <c:v>-154.76625468164795</c:v>
                      </c:pt>
                      <c:pt idx="40" formatCode="General">
                        <c:v>-156.17337078651687</c:v>
                      </c:pt>
                      <c:pt idx="41" formatCode="General">
                        <c:v>-157.53143071161051</c:v>
                      </c:pt>
                      <c:pt idx="42" formatCode="General">
                        <c:v>-158.76618726591761</c:v>
                      </c:pt>
                      <c:pt idx="43" formatCode="General">
                        <c:v>-160.00094382022473</c:v>
                      </c:pt>
                      <c:pt idx="44" formatCode="General">
                        <c:v>-161.23570037453186</c:v>
                      </c:pt>
                      <c:pt idx="45" formatCode="General">
                        <c:v>-162.47045692883896</c:v>
                      </c:pt>
                      <c:pt idx="46" formatCode="General">
                        <c:v>-163.70521348314608</c:v>
                      </c:pt>
                      <c:pt idx="47" formatCode="General">
                        <c:v>-164.93997003745321</c:v>
                      </c:pt>
                      <c:pt idx="48" formatCode="General">
                        <c:v>-166.1747265917603</c:v>
                      </c:pt>
                      <c:pt idx="49" formatCode="General">
                        <c:v>-167.40948314606743</c:v>
                      </c:pt>
                      <c:pt idx="50" formatCode="General">
                        <c:v>-168.64423970037456</c:v>
                      </c:pt>
                      <c:pt idx="51" formatCode="General">
                        <c:v>-169.87605105105106</c:v>
                      </c:pt>
                      <c:pt idx="52" formatCode="General">
                        <c:v>-170.91936936936938</c:v>
                      </c:pt>
                      <c:pt idx="53" formatCode="General">
                        <c:v>-171.96268768768769</c:v>
                      </c:pt>
                      <c:pt idx="54" formatCode="General">
                        <c:v>-173.00600600600603</c:v>
                      </c:pt>
                      <c:pt idx="55" formatCode="General">
                        <c:v>-174.04932432432435</c:v>
                      </c:pt>
                      <c:pt idx="56" formatCode="General">
                        <c:v>-175.09264264264266</c:v>
                      </c:pt>
                      <c:pt idx="57" formatCode="General">
                        <c:v>-176.13596096096097</c:v>
                      </c:pt>
                      <c:pt idx="58" formatCode="General">
                        <c:v>-177.17927927927929</c:v>
                      </c:pt>
                      <c:pt idx="59" formatCode="General">
                        <c:v>-178.2225975975976</c:v>
                      </c:pt>
                      <c:pt idx="60" formatCode="General">
                        <c:v>-179.26591591591594</c:v>
                      </c:pt>
                      <c:pt idx="61" formatCode="General">
                        <c:v>-180.30923423423425</c:v>
                      </c:pt>
                      <c:pt idx="62" formatCode="General">
                        <c:v>-181.23823529411766</c:v>
                      </c:pt>
                      <c:pt idx="63" formatCode="General">
                        <c:v>-182.13294117647058</c:v>
                      </c:pt>
                      <c:pt idx="64" formatCode="General">
                        <c:v>-183.02393939393937</c:v>
                      </c:pt>
                      <c:pt idx="65" formatCode="General">
                        <c:v>-183.89454545454547</c:v>
                      </c:pt>
                      <c:pt idx="66" formatCode="General">
                        <c:v>-184.76515151515153</c:v>
                      </c:pt>
                      <c:pt idx="67" formatCode="General">
                        <c:v>-185.58235294117648</c:v>
                      </c:pt>
                      <c:pt idx="68" formatCode="General">
                        <c:v>-186.36617647058824</c:v>
                      </c:pt>
                      <c:pt idx="69" formatCode="General">
                        <c:v>-187.14999999999998</c:v>
                      </c:pt>
                      <c:pt idx="70" formatCode="General">
                        <c:v>-187.91818181818181</c:v>
                      </c:pt>
                      <c:pt idx="71" formatCode="General">
                        <c:v>-188.68636363636364</c:v>
                      </c:pt>
                      <c:pt idx="72" formatCode="General">
                        <c:v>-189.38466165413536</c:v>
                      </c:pt>
                      <c:pt idx="73" formatCode="General">
                        <c:v>-190.00142857142859</c:v>
                      </c:pt>
                      <c:pt idx="74" formatCode="General">
                        <c:v>-190.61819548872182</c:v>
                      </c:pt>
                      <c:pt idx="75" formatCode="General">
                        <c:v>-191.23496240601506</c:v>
                      </c:pt>
                      <c:pt idx="76" formatCode="General">
                        <c:v>-191.85172932330829</c:v>
                      </c:pt>
                      <c:pt idx="77" formatCode="General">
                        <c:v>-192.46849624060152</c:v>
                      </c:pt>
                      <c:pt idx="78" formatCode="General">
                        <c:v>-193.08526315789473</c:v>
                      </c:pt>
                      <c:pt idx="79" formatCode="General">
                        <c:v>-193.70203007518796</c:v>
                      </c:pt>
                      <c:pt idx="80" formatCode="General">
                        <c:v>-194.3187969924812</c:v>
                      </c:pt>
                      <c:pt idx="81" formatCode="General">
                        <c:v>-194.93556390977443</c:v>
                      </c:pt>
                      <c:pt idx="82" formatCode="General">
                        <c:v>-195.49843283582089</c:v>
                      </c:pt>
                      <c:pt idx="83" formatCode="General">
                        <c:v>-195.88164179104479</c:v>
                      </c:pt>
                      <c:pt idx="84" formatCode="General">
                        <c:v>-196.26485074626865</c:v>
                      </c:pt>
                      <c:pt idx="85" formatCode="General">
                        <c:v>-196.64805970149254</c:v>
                      </c:pt>
                      <c:pt idx="86" formatCode="General">
                        <c:v>-197.03126865671643</c:v>
                      </c:pt>
                      <c:pt idx="87" formatCode="General">
                        <c:v>-197.4144776119403</c:v>
                      </c:pt>
                      <c:pt idx="88" formatCode="General">
                        <c:v>-197.79768656716419</c:v>
                      </c:pt>
                      <c:pt idx="89" formatCode="General">
                        <c:v>-198.18089552238806</c:v>
                      </c:pt>
                      <c:pt idx="90" formatCode="General">
                        <c:v>-198.56410447761195</c:v>
                      </c:pt>
                      <c:pt idx="91" formatCode="General">
                        <c:v>-198.94731343283584</c:v>
                      </c:pt>
                      <c:pt idx="92" formatCode="General">
                        <c:v>-199.33052238805971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DFD-4AA5-9149-6FDDA7C4FDBD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-15.70018018018018</c:v>
                      </c:pt>
                      <c:pt idx="1">
                        <c:v>-14.888168168168168</c:v>
                      </c:pt>
                      <c:pt idx="2" formatCode="General">
                        <c:v>-14.076156156156156</c:v>
                      </c:pt>
                      <c:pt idx="3" formatCode="General">
                        <c:v>-13.171796407185628</c:v>
                      </c:pt>
                      <c:pt idx="4" formatCode="General">
                        <c:v>-12.245449101796405</c:v>
                      </c:pt>
                      <c:pt idx="5" formatCode="General">
                        <c:v>-11.336365269461076</c:v>
                      </c:pt>
                      <c:pt idx="6" formatCode="General">
                        <c:v>-10.482413173652693</c:v>
                      </c:pt>
                      <c:pt idx="7" formatCode="General">
                        <c:v>-9.628461077844312</c:v>
                      </c:pt>
                      <c:pt idx="8" formatCode="General">
                        <c:v>-8.8943293413173663</c:v>
                      </c:pt>
                      <c:pt idx="9" formatCode="General">
                        <c:v>-8.2194191616766474</c:v>
                      </c:pt>
                      <c:pt idx="10" formatCode="General">
                        <c:v>-7.5707814371257482</c:v>
                      </c:pt>
                      <c:pt idx="11" formatCode="General">
                        <c:v>-7.1585958083832333</c:v>
                      </c:pt>
                      <c:pt idx="12" formatCode="General">
                        <c:v>-6.7464101796407192</c:v>
                      </c:pt>
                      <c:pt idx="13" formatCode="General">
                        <c:v>-6.4751167664670657</c:v>
                      </c:pt>
                      <c:pt idx="14" formatCode="General">
                        <c:v>-6.3283802395209579</c:v>
                      </c:pt>
                      <c:pt idx="15" formatCode="General">
                        <c:v>-6.18164371257485</c:v>
                      </c:pt>
                      <c:pt idx="16" formatCode="General">
                        <c:v>-6.4226216216216221</c:v>
                      </c:pt>
                      <c:pt idx="17" formatCode="General">
                        <c:v>-6.6791081081081085</c:v>
                      </c:pt>
                      <c:pt idx="18" formatCode="General">
                        <c:v>-6.8345568862275448</c:v>
                      </c:pt>
                      <c:pt idx="19" formatCode="General">
                        <c:v>-6.8384491017964075</c:v>
                      </c:pt>
                      <c:pt idx="20" formatCode="General">
                        <c:v>-6.8423413173652694</c:v>
                      </c:pt>
                      <c:pt idx="21" formatCode="General">
                        <c:v>-6.8627245508982035</c:v>
                      </c:pt>
                      <c:pt idx="22" formatCode="General">
                        <c:v>-6.8864670658682634</c:v>
                      </c:pt>
                      <c:pt idx="23" formatCode="General">
                        <c:v>-6.911838323353293</c:v>
                      </c:pt>
                      <c:pt idx="24" formatCode="General">
                        <c:v>-6.9418083832335329</c:v>
                      </c:pt>
                      <c:pt idx="25" formatCode="General">
                        <c:v>-6.9717784431137719</c:v>
                      </c:pt>
                      <c:pt idx="26" formatCode="General">
                        <c:v>-7.0028263473053896</c:v>
                      </c:pt>
                      <c:pt idx="27" formatCode="General">
                        <c:v>-7.0343532934131741</c:v>
                      </c:pt>
                      <c:pt idx="28" formatCode="General">
                        <c:v>-7.0658802395209586</c:v>
                      </c:pt>
                      <c:pt idx="29" formatCode="General">
                        <c:v>-7.0974071856287431</c:v>
                      </c:pt>
                      <c:pt idx="30" formatCode="General">
                        <c:v>-7.1289341317365267</c:v>
                      </c:pt>
                      <c:pt idx="31" formatCode="General">
                        <c:v>-7.1602584269662923</c:v>
                      </c:pt>
                      <c:pt idx="32" formatCode="General">
                        <c:v>-7.1914194756554304</c:v>
                      </c:pt>
                      <c:pt idx="33" formatCode="General">
                        <c:v>-7.2225805243445693</c:v>
                      </c:pt>
                      <c:pt idx="34" formatCode="General">
                        <c:v>-7.2537415730337083</c:v>
                      </c:pt>
                      <c:pt idx="35" formatCode="General">
                        <c:v>-7.2849026217228463</c:v>
                      </c:pt>
                      <c:pt idx="36" formatCode="General">
                        <c:v>-7.3160636704119852</c:v>
                      </c:pt>
                      <c:pt idx="37" formatCode="General">
                        <c:v>-7.3472247191011233</c:v>
                      </c:pt>
                      <c:pt idx="38" formatCode="General">
                        <c:v>-7.3783857677902622</c:v>
                      </c:pt>
                      <c:pt idx="39" formatCode="General">
                        <c:v>-7.4095468164794012</c:v>
                      </c:pt>
                      <c:pt idx="40" formatCode="General">
                        <c:v>-7.4407078651685392</c:v>
                      </c:pt>
                      <c:pt idx="41" formatCode="General">
                        <c:v>-7.471370037453184</c:v>
                      </c:pt>
                      <c:pt idx="42" formatCode="General">
                        <c:v>-7.5007782771535583</c:v>
                      </c:pt>
                      <c:pt idx="43" formatCode="General">
                        <c:v>-7.5301865168539326</c:v>
                      </c:pt>
                      <c:pt idx="44" formatCode="General">
                        <c:v>-7.5595947565543069</c:v>
                      </c:pt>
                      <c:pt idx="45" formatCode="General">
                        <c:v>-7.5890029962546812</c:v>
                      </c:pt>
                      <c:pt idx="46" formatCode="General">
                        <c:v>-7.6184112359550564</c:v>
                      </c:pt>
                      <c:pt idx="47" formatCode="General">
                        <c:v>-7.6478194756554307</c:v>
                      </c:pt>
                      <c:pt idx="48" formatCode="General">
                        <c:v>-7.6772277153558051</c:v>
                      </c:pt>
                      <c:pt idx="49" formatCode="General">
                        <c:v>-7.7066359550561794</c:v>
                      </c:pt>
                      <c:pt idx="50" formatCode="General">
                        <c:v>-7.7360441947565537</c:v>
                      </c:pt>
                      <c:pt idx="51" formatCode="General">
                        <c:v>-7.7654249249249245</c:v>
                      </c:pt>
                      <c:pt idx="52" formatCode="General">
                        <c:v>-7.7930450450450452</c:v>
                      </c:pt>
                      <c:pt idx="53" formatCode="General">
                        <c:v>-7.8206651651651651</c:v>
                      </c:pt>
                      <c:pt idx="54" formatCode="General">
                        <c:v>-7.8482852852852849</c:v>
                      </c:pt>
                      <c:pt idx="55" formatCode="General">
                        <c:v>-7.8759054054054056</c:v>
                      </c:pt>
                      <c:pt idx="56" formatCode="General">
                        <c:v>-7.9035255255255255</c:v>
                      </c:pt>
                      <c:pt idx="57" formatCode="General">
                        <c:v>-7.9311456456456453</c:v>
                      </c:pt>
                      <c:pt idx="58" formatCode="General">
                        <c:v>-7.958765765765766</c:v>
                      </c:pt>
                      <c:pt idx="59" formatCode="General">
                        <c:v>-7.9863858858858858</c:v>
                      </c:pt>
                      <c:pt idx="60" formatCode="General">
                        <c:v>-8.0140060060060065</c:v>
                      </c:pt>
                      <c:pt idx="61" formatCode="General">
                        <c:v>-8.0416261261261255</c:v>
                      </c:pt>
                      <c:pt idx="62" formatCode="General">
                        <c:v>-8.0679999999999996</c:v>
                      </c:pt>
                      <c:pt idx="63" formatCode="General">
                        <c:v>-8.0939999999999994</c:v>
                      </c:pt>
                      <c:pt idx="64" formatCode="General">
                        <c:v>-8.1199999999999992</c:v>
                      </c:pt>
                      <c:pt idx="65" formatCode="General">
                        <c:v>-8.1460000000000008</c:v>
                      </c:pt>
                      <c:pt idx="66" formatCode="General">
                        <c:v>-8.1720000000000006</c:v>
                      </c:pt>
                      <c:pt idx="67" formatCode="General">
                        <c:v>-8.1975294117647053</c:v>
                      </c:pt>
                      <c:pt idx="68" formatCode="General">
                        <c:v>-8.2227647058823532</c:v>
                      </c:pt>
                      <c:pt idx="69" formatCode="General">
                        <c:v>-8.2479999999999993</c:v>
                      </c:pt>
                      <c:pt idx="70" formatCode="General">
                        <c:v>-8.2736060606060597</c:v>
                      </c:pt>
                      <c:pt idx="71" formatCode="General">
                        <c:v>-8.2992121212121219</c:v>
                      </c:pt>
                      <c:pt idx="72" formatCode="General">
                        <c:v>-8.3241879699248127</c:v>
                      </c:pt>
                      <c:pt idx="73" formatCode="General">
                        <c:v>-8.3484285714285722</c:v>
                      </c:pt>
                      <c:pt idx="74" formatCode="General">
                        <c:v>-8.3726691729323317</c:v>
                      </c:pt>
                      <c:pt idx="75" formatCode="General">
                        <c:v>-8.3969097744360912</c:v>
                      </c:pt>
                      <c:pt idx="76" formatCode="General">
                        <c:v>-8.4211503759398507</c:v>
                      </c:pt>
                      <c:pt idx="77" formatCode="General">
                        <c:v>-8.4453909774436084</c:v>
                      </c:pt>
                      <c:pt idx="78" formatCode="General">
                        <c:v>-8.469631578947368</c:v>
                      </c:pt>
                      <c:pt idx="79" formatCode="General">
                        <c:v>-8.4938721804511275</c:v>
                      </c:pt>
                      <c:pt idx="80" formatCode="General">
                        <c:v>-8.518112781954887</c:v>
                      </c:pt>
                      <c:pt idx="81" formatCode="General">
                        <c:v>-8.5423533834586465</c:v>
                      </c:pt>
                      <c:pt idx="82" formatCode="General">
                        <c:v>-8.5662388059701495</c:v>
                      </c:pt>
                      <c:pt idx="83" formatCode="General">
                        <c:v>-8.5889402985074632</c:v>
                      </c:pt>
                      <c:pt idx="84" formatCode="General">
                        <c:v>-8.6116417910447769</c:v>
                      </c:pt>
                      <c:pt idx="85" formatCode="General">
                        <c:v>-8.6343432835820888</c:v>
                      </c:pt>
                      <c:pt idx="86" formatCode="General">
                        <c:v>-8.6570447761194025</c:v>
                      </c:pt>
                      <c:pt idx="87" formatCode="General">
                        <c:v>-8.6797462686567162</c:v>
                      </c:pt>
                      <c:pt idx="88" formatCode="General">
                        <c:v>-8.7024477611940299</c:v>
                      </c:pt>
                      <c:pt idx="89" formatCode="General">
                        <c:v>-8.7251492537313435</c:v>
                      </c:pt>
                      <c:pt idx="90" formatCode="General">
                        <c:v>-8.7478507462686572</c:v>
                      </c:pt>
                      <c:pt idx="91" formatCode="General">
                        <c:v>-8.7705522388059709</c:v>
                      </c:pt>
                      <c:pt idx="92" formatCode="General">
                        <c:v>-8.7932537313432828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DFD-4AA5-9149-6FDDA7C4FDBD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-18.878558558558559</c:v>
                      </c:pt>
                      <c:pt idx="1">
                        <c:v>-18.874654654654655</c:v>
                      </c:pt>
                      <c:pt idx="2" formatCode="General">
                        <c:v>-18.870750750750751</c:v>
                      </c:pt>
                      <c:pt idx="3" formatCode="General">
                        <c:v>-18.879431137724552</c:v>
                      </c:pt>
                      <c:pt idx="4" formatCode="General">
                        <c:v>-18.891107784431139</c:v>
                      </c:pt>
                      <c:pt idx="5" formatCode="General">
                        <c:v>-18.903712574850299</c:v>
                      </c:pt>
                      <c:pt idx="6" formatCode="General">
                        <c:v>-18.919281437125747</c:v>
                      </c:pt>
                      <c:pt idx="7" formatCode="General">
                        <c:v>-18.934850299401198</c:v>
                      </c:pt>
                      <c:pt idx="8" formatCode="General">
                        <c:v>-18.953023952095808</c:v>
                      </c:pt>
                      <c:pt idx="9" formatCode="General">
                        <c:v>-18.97248502994012</c:v>
                      </c:pt>
                      <c:pt idx="10" formatCode="General">
                        <c:v>-18.991946107784429</c:v>
                      </c:pt>
                      <c:pt idx="11" formatCode="General">
                        <c:v>-19.011407185628741</c:v>
                      </c:pt>
                      <c:pt idx="12" formatCode="General">
                        <c:v>-19.030868263473053</c:v>
                      </c:pt>
                      <c:pt idx="13" formatCode="General">
                        <c:v>-19.046197604790418</c:v>
                      </c:pt>
                      <c:pt idx="14" formatCode="General">
                        <c:v>-19.057874251497005</c:v>
                      </c:pt>
                      <c:pt idx="15" formatCode="General">
                        <c:v>-19.069550898203595</c:v>
                      </c:pt>
                      <c:pt idx="16" formatCode="General">
                        <c:v>-19.028708708708709</c:v>
                      </c:pt>
                      <c:pt idx="17" formatCode="General">
                        <c:v>-18.985765765765766</c:v>
                      </c:pt>
                      <c:pt idx="18" formatCode="General">
                        <c:v>-18.970898203592814</c:v>
                      </c:pt>
                      <c:pt idx="19" formatCode="General">
                        <c:v>-18.998143712574851</c:v>
                      </c:pt>
                      <c:pt idx="20" formatCode="General">
                        <c:v>-19.025389221556889</c:v>
                      </c:pt>
                      <c:pt idx="21" formatCode="General">
                        <c:v>-19.052634730538923</c:v>
                      </c:pt>
                      <c:pt idx="22" formatCode="General">
                        <c:v>-19.079880239520961</c:v>
                      </c:pt>
                      <c:pt idx="23" formatCode="General">
                        <c:v>-19.107125748502995</c:v>
                      </c:pt>
                      <c:pt idx="24" formatCode="General">
                        <c:v>-19.134371257485032</c:v>
                      </c:pt>
                      <c:pt idx="25" formatCode="General">
                        <c:v>-19.161616766467066</c:v>
                      </c:pt>
                      <c:pt idx="26" formatCode="General">
                        <c:v>-19.188862275449104</c:v>
                      </c:pt>
                      <c:pt idx="27" formatCode="General">
                        <c:v>-19.216107784431138</c:v>
                      </c:pt>
                      <c:pt idx="28" formatCode="General">
                        <c:v>-19.243353293413172</c:v>
                      </c:pt>
                      <c:pt idx="29" formatCode="General">
                        <c:v>-19.27059880239521</c:v>
                      </c:pt>
                      <c:pt idx="30" formatCode="General">
                        <c:v>-19.297844311377244</c:v>
                      </c:pt>
                      <c:pt idx="31" formatCode="General">
                        <c:v>-19.324022471910112</c:v>
                      </c:pt>
                      <c:pt idx="32" formatCode="General">
                        <c:v>-19.349340823970035</c:v>
                      </c:pt>
                      <c:pt idx="33" formatCode="General">
                        <c:v>-19.374659176029962</c:v>
                      </c:pt>
                      <c:pt idx="34" formatCode="General">
                        <c:v>-19.399977528089888</c:v>
                      </c:pt>
                      <c:pt idx="35" formatCode="General">
                        <c:v>-19.425295880149811</c:v>
                      </c:pt>
                      <c:pt idx="36" formatCode="General">
                        <c:v>-19.450614232209738</c:v>
                      </c:pt>
                      <c:pt idx="37" formatCode="General">
                        <c:v>-19.475932584269664</c:v>
                      </c:pt>
                      <c:pt idx="38" formatCode="General">
                        <c:v>-19.501250936329587</c:v>
                      </c:pt>
                      <c:pt idx="39" formatCode="General">
                        <c:v>-19.526569288389513</c:v>
                      </c:pt>
                      <c:pt idx="40" formatCode="General">
                        <c:v>-19.55188764044944</c:v>
                      </c:pt>
                      <c:pt idx="41" formatCode="General">
                        <c:v>-19.576928838951311</c:v>
                      </c:pt>
                      <c:pt idx="42" formatCode="General">
                        <c:v>-19.601273408239702</c:v>
                      </c:pt>
                      <c:pt idx="43" formatCode="General">
                        <c:v>-19.625617977528091</c:v>
                      </c:pt>
                      <c:pt idx="44" formatCode="General">
                        <c:v>-19.649962546816479</c:v>
                      </c:pt>
                      <c:pt idx="45" formatCode="General">
                        <c:v>-19.67430711610487</c:v>
                      </c:pt>
                      <c:pt idx="46" formatCode="General">
                        <c:v>-19.698651685393259</c:v>
                      </c:pt>
                      <c:pt idx="47" formatCode="General">
                        <c:v>-19.722996254681647</c:v>
                      </c:pt>
                      <c:pt idx="48" formatCode="General">
                        <c:v>-19.747340823970038</c:v>
                      </c:pt>
                      <c:pt idx="49" formatCode="General">
                        <c:v>-19.771685393258426</c:v>
                      </c:pt>
                      <c:pt idx="50" formatCode="General">
                        <c:v>-19.796029962546818</c:v>
                      </c:pt>
                      <c:pt idx="51" formatCode="General">
                        <c:v>-19.820345345345345</c:v>
                      </c:pt>
                      <c:pt idx="52" formatCode="General">
                        <c:v>-19.842792792792793</c:v>
                      </c:pt>
                      <c:pt idx="53" formatCode="General">
                        <c:v>-19.86524024024024</c:v>
                      </c:pt>
                      <c:pt idx="54" formatCode="General">
                        <c:v>-19.887687687687688</c:v>
                      </c:pt>
                      <c:pt idx="55" formatCode="General">
                        <c:v>-19.910135135135135</c:v>
                      </c:pt>
                      <c:pt idx="56" formatCode="General">
                        <c:v>-19.932582582582583</c:v>
                      </c:pt>
                      <c:pt idx="57" formatCode="General">
                        <c:v>-19.955030030030031</c:v>
                      </c:pt>
                      <c:pt idx="58" formatCode="General">
                        <c:v>-19.977477477477478</c:v>
                      </c:pt>
                      <c:pt idx="59" formatCode="General">
                        <c:v>-19.999924924924926</c:v>
                      </c:pt>
                      <c:pt idx="60" formatCode="General">
                        <c:v>-20.022372372372374</c:v>
                      </c:pt>
                      <c:pt idx="61" formatCode="General">
                        <c:v>-20.044819819819821</c:v>
                      </c:pt>
                      <c:pt idx="62" formatCode="General">
                        <c:v>-20.067647058823528</c:v>
                      </c:pt>
                      <c:pt idx="63" formatCode="General">
                        <c:v>-20.090588235294117</c:v>
                      </c:pt>
                      <c:pt idx="64" formatCode="General">
                        <c:v>-20.113030303030303</c:v>
                      </c:pt>
                      <c:pt idx="65" formatCode="General">
                        <c:v>-20.132727272727273</c:v>
                      </c:pt>
                      <c:pt idx="66" formatCode="General">
                        <c:v>-20.152424242424242</c:v>
                      </c:pt>
                      <c:pt idx="67" formatCode="General">
                        <c:v>-20.171764705882353</c:v>
                      </c:pt>
                      <c:pt idx="68" formatCode="General">
                        <c:v>-20.190882352941177</c:v>
                      </c:pt>
                      <c:pt idx="69" formatCode="General">
                        <c:v>-20.21</c:v>
                      </c:pt>
                      <c:pt idx="70" formatCode="General">
                        <c:v>-20.22969696969697</c:v>
                      </c:pt>
                      <c:pt idx="71" formatCode="General">
                        <c:v>-20.24939393939394</c:v>
                      </c:pt>
                      <c:pt idx="72" formatCode="General">
                        <c:v>-20.269022556390979</c:v>
                      </c:pt>
                      <c:pt idx="73" formatCode="General">
                        <c:v>-20.28857142857143</c:v>
                      </c:pt>
                      <c:pt idx="74" formatCode="General">
                        <c:v>-20.308120300751881</c:v>
                      </c:pt>
                      <c:pt idx="75" formatCode="General">
                        <c:v>-20.327669172932332</c:v>
                      </c:pt>
                      <c:pt idx="76" formatCode="General">
                        <c:v>-20.347218045112783</c:v>
                      </c:pt>
                      <c:pt idx="77" formatCode="General">
                        <c:v>-20.366766917293234</c:v>
                      </c:pt>
                      <c:pt idx="78" formatCode="General">
                        <c:v>-20.386315789473684</c:v>
                      </c:pt>
                      <c:pt idx="79" formatCode="General">
                        <c:v>-20.405864661654135</c:v>
                      </c:pt>
                      <c:pt idx="80" formatCode="General">
                        <c:v>-20.425413533834586</c:v>
                      </c:pt>
                      <c:pt idx="81" formatCode="General">
                        <c:v>-20.444962406015037</c:v>
                      </c:pt>
                      <c:pt idx="82" formatCode="General">
                        <c:v>-20.464253731343284</c:v>
                      </c:pt>
                      <c:pt idx="83" formatCode="General">
                        <c:v>-20.48268656716418</c:v>
                      </c:pt>
                      <c:pt idx="84" formatCode="General">
                        <c:v>-20.501119402985076</c:v>
                      </c:pt>
                      <c:pt idx="85" formatCode="General">
                        <c:v>-20.519552238805971</c:v>
                      </c:pt>
                      <c:pt idx="86" formatCode="General">
                        <c:v>-20.537985074626867</c:v>
                      </c:pt>
                      <c:pt idx="87" formatCode="General">
                        <c:v>-20.55641791044776</c:v>
                      </c:pt>
                      <c:pt idx="88" formatCode="General">
                        <c:v>-20.574850746268655</c:v>
                      </c:pt>
                      <c:pt idx="89" formatCode="General">
                        <c:v>-20.593283582089551</c:v>
                      </c:pt>
                      <c:pt idx="90" formatCode="General">
                        <c:v>-20.611716417910447</c:v>
                      </c:pt>
                      <c:pt idx="91" formatCode="General">
                        <c:v>-20.630149253731343</c:v>
                      </c:pt>
                      <c:pt idx="92" formatCode="General">
                        <c:v>-20.648582089552239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DFD-4AA5-9149-6FDDA7C4FDBD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-37.719099099099097</c:v>
                      </c:pt>
                      <c:pt idx="1">
                        <c:v>-36.579159159159161</c:v>
                      </c:pt>
                      <c:pt idx="2" formatCode="General">
                        <c:v>-35.439219219219218</c:v>
                      </c:pt>
                      <c:pt idx="3" formatCode="General">
                        <c:v>-34.500089820359278</c:v>
                      </c:pt>
                      <c:pt idx="4" formatCode="General">
                        <c:v>-33.60877245508982</c:v>
                      </c:pt>
                      <c:pt idx="5" formatCode="General">
                        <c:v>-32.764419161676642</c:v>
                      </c:pt>
                      <c:pt idx="6" formatCode="General">
                        <c:v>-32.070047904191618</c:v>
                      </c:pt>
                      <c:pt idx="7" formatCode="General">
                        <c:v>-31.375676646706587</c:v>
                      </c:pt>
                      <c:pt idx="8" formatCode="General">
                        <c:v>-30.795916167664672</c:v>
                      </c:pt>
                      <c:pt idx="9" formatCode="General">
                        <c:v>-30.272802395209581</c:v>
                      </c:pt>
                      <c:pt idx="10" formatCode="General">
                        <c:v>-29.77206886227545</c:v>
                      </c:pt>
                      <c:pt idx="11" formatCode="General">
                        <c:v>-29.472757485029941</c:v>
                      </c:pt>
                      <c:pt idx="12" formatCode="General">
                        <c:v>-29.173446107784432</c:v>
                      </c:pt>
                      <c:pt idx="13" formatCode="General">
                        <c:v>-29.019158682634732</c:v>
                      </c:pt>
                      <c:pt idx="14" formatCode="General">
                        <c:v>-28.993080838323355</c:v>
                      </c:pt>
                      <c:pt idx="15" formatCode="General">
                        <c:v>-28.967002994011978</c:v>
                      </c:pt>
                      <c:pt idx="16" formatCode="General">
                        <c:v>-29.306465465465465</c:v>
                      </c:pt>
                      <c:pt idx="17" formatCode="General">
                        <c:v>-29.66054954954955</c:v>
                      </c:pt>
                      <c:pt idx="18" formatCode="General">
                        <c:v>-29.950844311377246</c:v>
                      </c:pt>
                      <c:pt idx="19" formatCode="General">
                        <c:v>-30.145455089820359</c:v>
                      </c:pt>
                      <c:pt idx="20" formatCode="General">
                        <c:v>-30.340065868263473</c:v>
                      </c:pt>
                      <c:pt idx="21" formatCode="General">
                        <c:v>-30.55440119760479</c:v>
                      </c:pt>
                      <c:pt idx="22" formatCode="General">
                        <c:v>-30.772754491017963</c:v>
                      </c:pt>
                      <c:pt idx="23" formatCode="General">
                        <c:v>-30.990700598802395</c:v>
                      </c:pt>
                      <c:pt idx="24" formatCode="General">
                        <c:v>-31.207497005988024</c:v>
                      </c:pt>
                      <c:pt idx="25" formatCode="General">
                        <c:v>-31.424293413173654</c:v>
                      </c:pt>
                      <c:pt idx="26" formatCode="General">
                        <c:v>-31.642167664670659</c:v>
                      </c:pt>
                      <c:pt idx="27" formatCode="General">
                        <c:v>-31.860520958083832</c:v>
                      </c:pt>
                      <c:pt idx="28" formatCode="General">
                        <c:v>-32.078874251497005</c:v>
                      </c:pt>
                      <c:pt idx="29" formatCode="General">
                        <c:v>-32.297227544910179</c:v>
                      </c:pt>
                      <c:pt idx="30" formatCode="General">
                        <c:v>-32.515580838323352</c:v>
                      </c:pt>
                      <c:pt idx="31" formatCode="General">
                        <c:v>-32.727876404494381</c:v>
                      </c:pt>
                      <c:pt idx="32" formatCode="General">
                        <c:v>-32.935292134831464</c:v>
                      </c:pt>
                      <c:pt idx="33" formatCode="General">
                        <c:v>-33.142707865168539</c:v>
                      </c:pt>
                      <c:pt idx="34" formatCode="General">
                        <c:v>-33.350123595505622</c:v>
                      </c:pt>
                      <c:pt idx="35" formatCode="General">
                        <c:v>-33.557539325842697</c:v>
                      </c:pt>
                      <c:pt idx="36" formatCode="General">
                        <c:v>-33.76495505617978</c:v>
                      </c:pt>
                      <c:pt idx="37" formatCode="General">
                        <c:v>-33.972370786516855</c:v>
                      </c:pt>
                      <c:pt idx="38" formatCode="General">
                        <c:v>-34.179786516853937</c:v>
                      </c:pt>
                      <c:pt idx="39" formatCode="General">
                        <c:v>-34.387202247191013</c:v>
                      </c:pt>
                      <c:pt idx="40" formatCode="General">
                        <c:v>-34.594617977528095</c:v>
                      </c:pt>
                      <c:pt idx="41" formatCode="General">
                        <c:v>-34.799040449438202</c:v>
                      </c:pt>
                      <c:pt idx="42" formatCode="General">
                        <c:v>-34.995939325842699</c:v>
                      </c:pt>
                      <c:pt idx="43" formatCode="General">
                        <c:v>-35.192838202247195</c:v>
                      </c:pt>
                      <c:pt idx="44" formatCode="General">
                        <c:v>-35.389737078651684</c:v>
                      </c:pt>
                      <c:pt idx="45" formatCode="General">
                        <c:v>-35.586635955056181</c:v>
                      </c:pt>
                      <c:pt idx="46" formatCode="General">
                        <c:v>-35.783534831460678</c:v>
                      </c:pt>
                      <c:pt idx="47" formatCode="General">
                        <c:v>-35.980433707865167</c:v>
                      </c:pt>
                      <c:pt idx="48" formatCode="General">
                        <c:v>-36.177332584269664</c:v>
                      </c:pt>
                      <c:pt idx="49" formatCode="General">
                        <c:v>-36.37423146067416</c:v>
                      </c:pt>
                      <c:pt idx="50" formatCode="General">
                        <c:v>-36.571130337078657</c:v>
                      </c:pt>
                      <c:pt idx="51" formatCode="General">
                        <c:v>-36.767872372372373</c:v>
                      </c:pt>
                      <c:pt idx="52" formatCode="General">
                        <c:v>-36.954576576576578</c:v>
                      </c:pt>
                      <c:pt idx="53" formatCode="General">
                        <c:v>-37.141280780780782</c:v>
                      </c:pt>
                      <c:pt idx="54" formatCode="General">
                        <c:v>-37.327984984984987</c:v>
                      </c:pt>
                      <c:pt idx="55" formatCode="General">
                        <c:v>-37.514689189189191</c:v>
                      </c:pt>
                      <c:pt idx="56" formatCode="General">
                        <c:v>-37.701393393393396</c:v>
                      </c:pt>
                      <c:pt idx="57" formatCode="General">
                        <c:v>-37.888097597597593</c:v>
                      </c:pt>
                      <c:pt idx="58" formatCode="General">
                        <c:v>-38.074801801801797</c:v>
                      </c:pt>
                      <c:pt idx="59" formatCode="General">
                        <c:v>-38.261506006006002</c:v>
                      </c:pt>
                      <c:pt idx="60" formatCode="General">
                        <c:v>-38.448210210210206</c:v>
                      </c:pt>
                      <c:pt idx="61" formatCode="General">
                        <c:v>-38.634914414414411</c:v>
                      </c:pt>
                      <c:pt idx="62" formatCode="General">
                        <c:v>-38.815647058823529</c:v>
                      </c:pt>
                      <c:pt idx="63" formatCode="General">
                        <c:v>-38.994588235294117</c:v>
                      </c:pt>
                      <c:pt idx="64" formatCode="General">
                        <c:v>-39.173636363636362</c:v>
                      </c:pt>
                      <c:pt idx="65" formatCode="General">
                        <c:v>-39.353272727272731</c:v>
                      </c:pt>
                      <c:pt idx="66" formatCode="General">
                        <c:v>-39.532909090909094</c:v>
                      </c:pt>
                      <c:pt idx="67" formatCode="General">
                        <c:v>-39.709294117647062</c:v>
                      </c:pt>
                      <c:pt idx="68" formatCode="General">
                        <c:v>-39.883647058823527</c:v>
                      </c:pt>
                      <c:pt idx="69" formatCode="General">
                        <c:v>-40.058</c:v>
                      </c:pt>
                      <c:pt idx="70" formatCode="General">
                        <c:v>-40.237242424242424</c:v>
                      </c:pt>
                      <c:pt idx="71" formatCode="General">
                        <c:v>-40.416484848484849</c:v>
                      </c:pt>
                      <c:pt idx="72" formatCode="General">
                        <c:v>-40.593210526315794</c:v>
                      </c:pt>
                      <c:pt idx="73" formatCode="General">
                        <c:v>-40.767000000000003</c:v>
                      </c:pt>
                      <c:pt idx="74" formatCode="General">
                        <c:v>-40.940789473684212</c:v>
                      </c:pt>
                      <c:pt idx="75" formatCode="General">
                        <c:v>-41.114578947368422</c:v>
                      </c:pt>
                      <c:pt idx="76" formatCode="General">
                        <c:v>-41.288368421052631</c:v>
                      </c:pt>
                      <c:pt idx="77" formatCode="General">
                        <c:v>-41.462157894736841</c:v>
                      </c:pt>
                      <c:pt idx="78" formatCode="General">
                        <c:v>-41.63594736842105</c:v>
                      </c:pt>
                      <c:pt idx="79" formatCode="General">
                        <c:v>-41.809736842105259</c:v>
                      </c:pt>
                      <c:pt idx="80" formatCode="General">
                        <c:v>-41.983526315789469</c:v>
                      </c:pt>
                      <c:pt idx="81" formatCode="General">
                        <c:v>-42.157315789473685</c:v>
                      </c:pt>
                      <c:pt idx="82" formatCode="General">
                        <c:v>-42.329597014925369</c:v>
                      </c:pt>
                      <c:pt idx="83" formatCode="General">
                        <c:v>-42.496850746268656</c:v>
                      </c:pt>
                      <c:pt idx="84" formatCode="General">
                        <c:v>-42.664104477611936</c:v>
                      </c:pt>
                      <c:pt idx="85" formatCode="General">
                        <c:v>-42.831358208955223</c:v>
                      </c:pt>
                      <c:pt idx="86" formatCode="General">
                        <c:v>-42.998611940298503</c:v>
                      </c:pt>
                      <c:pt idx="87" formatCode="General">
                        <c:v>-43.165865671641789</c:v>
                      </c:pt>
                      <c:pt idx="88" formatCode="General">
                        <c:v>-43.333119402985076</c:v>
                      </c:pt>
                      <c:pt idx="89" formatCode="General">
                        <c:v>-43.500373134328356</c:v>
                      </c:pt>
                      <c:pt idx="90" formatCode="General">
                        <c:v>-43.667626865671643</c:v>
                      </c:pt>
                      <c:pt idx="91" formatCode="General">
                        <c:v>-43.834880597014923</c:v>
                      </c:pt>
                      <c:pt idx="92" formatCode="General">
                        <c:v>-44.00213432835821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DFD-4AA5-9149-6FDDA7C4FDBD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-185.62738738738739</c:v>
                      </c:pt>
                      <c:pt idx="1">
                        <c:v>-179.20156156156156</c:v>
                      </c:pt>
                      <c:pt idx="2" formatCode="General">
                        <c:v>-172.77573573573576</c:v>
                      </c:pt>
                      <c:pt idx="3" formatCode="General">
                        <c:v>-167.34314371257486</c:v>
                      </c:pt>
                      <c:pt idx="4" formatCode="General">
                        <c:v>-162.14703592814371</c:v>
                      </c:pt>
                      <c:pt idx="5" formatCode="General">
                        <c:v>-157.16997005988023</c:v>
                      </c:pt>
                      <c:pt idx="6" formatCode="General">
                        <c:v>-152.89242514970059</c:v>
                      </c:pt>
                      <c:pt idx="7" formatCode="General">
                        <c:v>-148.61488023952094</c:v>
                      </c:pt>
                      <c:pt idx="8" formatCode="General">
                        <c:v>-144.8009880239521</c:v>
                      </c:pt>
                      <c:pt idx="9" formatCode="General">
                        <c:v>-141.21625748502993</c:v>
                      </c:pt>
                      <c:pt idx="10" formatCode="General">
                        <c:v>-137.6875748502994</c:v>
                      </c:pt>
                      <c:pt idx="11" formatCode="General">
                        <c:v>-134.66332335329341</c:v>
                      </c:pt>
                      <c:pt idx="12" formatCode="General">
                        <c:v>-131.63907185628744</c:v>
                      </c:pt>
                      <c:pt idx="13" formatCode="General">
                        <c:v>-128.87098802395209</c:v>
                      </c:pt>
                      <c:pt idx="14" formatCode="General">
                        <c:v>-126.32937125748504</c:v>
                      </c:pt>
                      <c:pt idx="15" formatCode="General">
                        <c:v>-123.78775449101796</c:v>
                      </c:pt>
                      <c:pt idx="16" formatCode="General">
                        <c:v>-123.31837837837838</c:v>
                      </c:pt>
                      <c:pt idx="17" formatCode="General">
                        <c:v>-122.93189189189189</c:v>
                      </c:pt>
                      <c:pt idx="18" formatCode="General">
                        <c:v>-123.33988023952097</c:v>
                      </c:pt>
                      <c:pt idx="19" formatCode="General">
                        <c:v>-124.93958083832335</c:v>
                      </c:pt>
                      <c:pt idx="20" formatCode="General">
                        <c:v>-126.53928143712575</c:v>
                      </c:pt>
                      <c:pt idx="21" formatCode="General">
                        <c:v>-128.13574850299401</c:v>
                      </c:pt>
                      <c:pt idx="22" formatCode="General">
                        <c:v>-129.73155688622754</c:v>
                      </c:pt>
                      <c:pt idx="23" formatCode="General">
                        <c:v>-131.31718562874252</c:v>
                      </c:pt>
                      <c:pt idx="24" formatCode="General">
                        <c:v>-132.87407185628743</c:v>
                      </c:pt>
                      <c:pt idx="25" formatCode="General">
                        <c:v>-134.43095808383234</c:v>
                      </c:pt>
                      <c:pt idx="26" formatCode="General">
                        <c:v>-135.97167664670658</c:v>
                      </c:pt>
                      <c:pt idx="27" formatCode="General">
                        <c:v>-137.50520958083831</c:v>
                      </c:pt>
                      <c:pt idx="28" formatCode="General">
                        <c:v>-139.03586826347305</c:v>
                      </c:pt>
                      <c:pt idx="29" formatCode="General">
                        <c:v>-140.54604790419162</c:v>
                      </c:pt>
                      <c:pt idx="30" formatCode="General">
                        <c:v>-142.05622754491017</c:v>
                      </c:pt>
                      <c:pt idx="31" formatCode="General">
                        <c:v>-143.50932584269663</c:v>
                      </c:pt>
                      <c:pt idx="32" formatCode="General">
                        <c:v>-144.91644194756554</c:v>
                      </c:pt>
                      <c:pt idx="33" formatCode="General">
                        <c:v>-146.32355805243446</c:v>
                      </c:pt>
                      <c:pt idx="34" formatCode="General">
                        <c:v>-147.73067415730338</c:v>
                      </c:pt>
                      <c:pt idx="35" formatCode="General">
                        <c:v>-149.13779026217227</c:v>
                      </c:pt>
                      <c:pt idx="36" formatCode="General">
                        <c:v>-150.54490636704119</c:v>
                      </c:pt>
                      <c:pt idx="37" formatCode="General">
                        <c:v>-151.95202247191011</c:v>
                      </c:pt>
                      <c:pt idx="38" formatCode="General">
                        <c:v>-153.35913857677903</c:v>
                      </c:pt>
                      <c:pt idx="39" formatCode="General">
                        <c:v>-154.76625468164795</c:v>
                      </c:pt>
                      <c:pt idx="40" formatCode="General">
                        <c:v>-156.17337078651687</c:v>
                      </c:pt>
                      <c:pt idx="41" formatCode="General">
                        <c:v>-157.53143071161051</c:v>
                      </c:pt>
                      <c:pt idx="42" formatCode="General">
                        <c:v>-158.76618726591761</c:v>
                      </c:pt>
                      <c:pt idx="43" formatCode="General">
                        <c:v>-160.00094382022473</c:v>
                      </c:pt>
                      <c:pt idx="44" formatCode="General">
                        <c:v>-161.23570037453186</c:v>
                      </c:pt>
                      <c:pt idx="45" formatCode="General">
                        <c:v>-162.47045692883896</c:v>
                      </c:pt>
                      <c:pt idx="46" formatCode="General">
                        <c:v>-163.70521348314608</c:v>
                      </c:pt>
                      <c:pt idx="47" formatCode="General">
                        <c:v>-164.93997003745321</c:v>
                      </c:pt>
                      <c:pt idx="48" formatCode="General">
                        <c:v>-166.1747265917603</c:v>
                      </c:pt>
                      <c:pt idx="49" formatCode="General">
                        <c:v>-167.40948314606743</c:v>
                      </c:pt>
                      <c:pt idx="50" formatCode="General">
                        <c:v>-168.64423970037456</c:v>
                      </c:pt>
                      <c:pt idx="51" formatCode="General">
                        <c:v>-169.87605105105106</c:v>
                      </c:pt>
                      <c:pt idx="52" formatCode="General">
                        <c:v>-170.91936936936938</c:v>
                      </c:pt>
                      <c:pt idx="53" formatCode="General">
                        <c:v>-171.96268768768769</c:v>
                      </c:pt>
                      <c:pt idx="54" formatCode="General">
                        <c:v>-173.00600600600603</c:v>
                      </c:pt>
                      <c:pt idx="55" formatCode="General">
                        <c:v>-174.04932432432435</c:v>
                      </c:pt>
                      <c:pt idx="56" formatCode="General">
                        <c:v>-175.09264264264266</c:v>
                      </c:pt>
                      <c:pt idx="57" formatCode="General">
                        <c:v>-176.13596096096097</c:v>
                      </c:pt>
                      <c:pt idx="58" formatCode="General">
                        <c:v>-177.17927927927929</c:v>
                      </c:pt>
                      <c:pt idx="59" formatCode="General">
                        <c:v>-178.2225975975976</c:v>
                      </c:pt>
                      <c:pt idx="60" formatCode="General">
                        <c:v>-179.26591591591594</c:v>
                      </c:pt>
                      <c:pt idx="61" formatCode="General">
                        <c:v>-180.30923423423425</c:v>
                      </c:pt>
                      <c:pt idx="62" formatCode="General">
                        <c:v>-181.23823529411766</c:v>
                      </c:pt>
                      <c:pt idx="63" formatCode="General">
                        <c:v>-182.13294117647058</c:v>
                      </c:pt>
                      <c:pt idx="64" formatCode="General">
                        <c:v>-183.02393939393937</c:v>
                      </c:pt>
                      <c:pt idx="65" formatCode="General">
                        <c:v>-183.89454545454547</c:v>
                      </c:pt>
                      <c:pt idx="66" formatCode="General">
                        <c:v>-184.76515151515153</c:v>
                      </c:pt>
                      <c:pt idx="67" formatCode="General">
                        <c:v>-185.58235294117648</c:v>
                      </c:pt>
                      <c:pt idx="68" formatCode="General">
                        <c:v>-186.36617647058824</c:v>
                      </c:pt>
                      <c:pt idx="69" formatCode="General">
                        <c:v>-187.14999999999998</c:v>
                      </c:pt>
                      <c:pt idx="70" formatCode="General">
                        <c:v>-187.91818181818181</c:v>
                      </c:pt>
                      <c:pt idx="71" formatCode="General">
                        <c:v>-188.68636363636364</c:v>
                      </c:pt>
                      <c:pt idx="72" formatCode="General">
                        <c:v>-189.38466165413536</c:v>
                      </c:pt>
                      <c:pt idx="73" formatCode="General">
                        <c:v>-190.00142857142859</c:v>
                      </c:pt>
                      <c:pt idx="74" formatCode="General">
                        <c:v>-190.61819548872182</c:v>
                      </c:pt>
                      <c:pt idx="75" formatCode="General">
                        <c:v>-191.23496240601506</c:v>
                      </c:pt>
                      <c:pt idx="76" formatCode="General">
                        <c:v>-191.85172932330829</c:v>
                      </c:pt>
                      <c:pt idx="77" formatCode="General">
                        <c:v>-192.46849624060152</c:v>
                      </c:pt>
                      <c:pt idx="78" formatCode="General">
                        <c:v>-193.08526315789473</c:v>
                      </c:pt>
                      <c:pt idx="79" formatCode="General">
                        <c:v>-193.70203007518796</c:v>
                      </c:pt>
                      <c:pt idx="80" formatCode="General">
                        <c:v>-194.3187969924812</c:v>
                      </c:pt>
                      <c:pt idx="81" formatCode="General">
                        <c:v>-194.93556390977443</c:v>
                      </c:pt>
                      <c:pt idx="82" formatCode="General">
                        <c:v>-195.49843283582089</c:v>
                      </c:pt>
                      <c:pt idx="83" formatCode="General">
                        <c:v>-195.88164179104479</c:v>
                      </c:pt>
                      <c:pt idx="84" formatCode="General">
                        <c:v>-196.26485074626865</c:v>
                      </c:pt>
                      <c:pt idx="85" formatCode="General">
                        <c:v>-196.64805970149254</c:v>
                      </c:pt>
                      <c:pt idx="86" formatCode="General">
                        <c:v>-197.03126865671643</c:v>
                      </c:pt>
                      <c:pt idx="87" formatCode="General">
                        <c:v>-197.4144776119403</c:v>
                      </c:pt>
                      <c:pt idx="88" formatCode="General">
                        <c:v>-197.79768656716419</c:v>
                      </c:pt>
                      <c:pt idx="89" formatCode="General">
                        <c:v>-198.18089552238806</c:v>
                      </c:pt>
                      <c:pt idx="90" formatCode="General">
                        <c:v>-198.56410447761195</c:v>
                      </c:pt>
                      <c:pt idx="91" formatCode="General">
                        <c:v>-198.94731343283584</c:v>
                      </c:pt>
                      <c:pt idx="92" formatCode="General">
                        <c:v>-199.33052238805971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DFD-4AA5-9149-6FDDA7C4FDBD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-15.70018018018018</c:v>
                      </c:pt>
                      <c:pt idx="1">
                        <c:v>-14.888168168168168</c:v>
                      </c:pt>
                      <c:pt idx="2" formatCode="General">
                        <c:v>-14.076156156156156</c:v>
                      </c:pt>
                      <c:pt idx="3" formatCode="General">
                        <c:v>-13.171796407185628</c:v>
                      </c:pt>
                      <c:pt idx="4" formatCode="General">
                        <c:v>-12.245449101796405</c:v>
                      </c:pt>
                      <c:pt idx="5" formatCode="General">
                        <c:v>-11.336365269461076</c:v>
                      </c:pt>
                      <c:pt idx="6" formatCode="General">
                        <c:v>-10.482413173652693</c:v>
                      </c:pt>
                      <c:pt idx="7" formatCode="General">
                        <c:v>-9.628461077844312</c:v>
                      </c:pt>
                      <c:pt idx="8" formatCode="General">
                        <c:v>-8.8943293413173663</c:v>
                      </c:pt>
                      <c:pt idx="9" formatCode="General">
                        <c:v>-8.2194191616766474</c:v>
                      </c:pt>
                      <c:pt idx="10" formatCode="General">
                        <c:v>-7.5707814371257482</c:v>
                      </c:pt>
                      <c:pt idx="11" formatCode="General">
                        <c:v>-7.1585958083832333</c:v>
                      </c:pt>
                      <c:pt idx="12" formatCode="General">
                        <c:v>-6.7464101796407192</c:v>
                      </c:pt>
                      <c:pt idx="13" formatCode="General">
                        <c:v>-6.4751167664670657</c:v>
                      </c:pt>
                      <c:pt idx="14" formatCode="General">
                        <c:v>-6.3283802395209579</c:v>
                      </c:pt>
                      <c:pt idx="15" formatCode="General">
                        <c:v>-6.18164371257485</c:v>
                      </c:pt>
                      <c:pt idx="16" formatCode="General">
                        <c:v>-6.4226216216216221</c:v>
                      </c:pt>
                      <c:pt idx="17" formatCode="General">
                        <c:v>-6.6791081081081085</c:v>
                      </c:pt>
                      <c:pt idx="18" formatCode="General">
                        <c:v>-6.8345568862275448</c:v>
                      </c:pt>
                      <c:pt idx="19" formatCode="General">
                        <c:v>-6.8384491017964075</c:v>
                      </c:pt>
                      <c:pt idx="20" formatCode="General">
                        <c:v>-6.8423413173652694</c:v>
                      </c:pt>
                      <c:pt idx="21" formatCode="General">
                        <c:v>-6.8627245508982035</c:v>
                      </c:pt>
                      <c:pt idx="22" formatCode="General">
                        <c:v>-6.8864670658682634</c:v>
                      </c:pt>
                      <c:pt idx="23" formatCode="General">
                        <c:v>-6.911838323353293</c:v>
                      </c:pt>
                      <c:pt idx="24" formatCode="General">
                        <c:v>-6.9418083832335329</c:v>
                      </c:pt>
                      <c:pt idx="25" formatCode="General">
                        <c:v>-6.9717784431137719</c:v>
                      </c:pt>
                      <c:pt idx="26" formatCode="General">
                        <c:v>-7.0028263473053896</c:v>
                      </c:pt>
                      <c:pt idx="27" formatCode="General">
                        <c:v>-7.0343532934131741</c:v>
                      </c:pt>
                      <c:pt idx="28" formatCode="General">
                        <c:v>-7.0658802395209586</c:v>
                      </c:pt>
                      <c:pt idx="29" formatCode="General">
                        <c:v>-7.0974071856287431</c:v>
                      </c:pt>
                      <c:pt idx="30" formatCode="General">
                        <c:v>-7.1289341317365267</c:v>
                      </c:pt>
                      <c:pt idx="31" formatCode="General">
                        <c:v>-7.1602584269662923</c:v>
                      </c:pt>
                      <c:pt idx="32" formatCode="General">
                        <c:v>-7.1914194756554304</c:v>
                      </c:pt>
                      <c:pt idx="33" formatCode="General">
                        <c:v>-7.2225805243445693</c:v>
                      </c:pt>
                      <c:pt idx="34" formatCode="General">
                        <c:v>-7.2537415730337083</c:v>
                      </c:pt>
                      <c:pt idx="35" formatCode="General">
                        <c:v>-7.2849026217228463</c:v>
                      </c:pt>
                      <c:pt idx="36" formatCode="General">
                        <c:v>-7.3160636704119852</c:v>
                      </c:pt>
                      <c:pt idx="37" formatCode="General">
                        <c:v>-7.3472247191011233</c:v>
                      </c:pt>
                      <c:pt idx="38" formatCode="General">
                        <c:v>-7.3783857677902622</c:v>
                      </c:pt>
                      <c:pt idx="39" formatCode="General">
                        <c:v>-7.4095468164794012</c:v>
                      </c:pt>
                      <c:pt idx="40" formatCode="General">
                        <c:v>-7.4407078651685392</c:v>
                      </c:pt>
                      <c:pt idx="41" formatCode="General">
                        <c:v>-7.471370037453184</c:v>
                      </c:pt>
                      <c:pt idx="42" formatCode="General">
                        <c:v>-7.5007782771535583</c:v>
                      </c:pt>
                      <c:pt idx="43" formatCode="General">
                        <c:v>-7.5301865168539326</c:v>
                      </c:pt>
                      <c:pt idx="44" formatCode="General">
                        <c:v>-7.5595947565543069</c:v>
                      </c:pt>
                      <c:pt idx="45" formatCode="General">
                        <c:v>-7.5890029962546812</c:v>
                      </c:pt>
                      <c:pt idx="46" formatCode="General">
                        <c:v>-7.6184112359550564</c:v>
                      </c:pt>
                      <c:pt idx="47" formatCode="General">
                        <c:v>-7.6478194756554307</c:v>
                      </c:pt>
                      <c:pt idx="48" formatCode="General">
                        <c:v>-7.6772277153558051</c:v>
                      </c:pt>
                      <c:pt idx="49" formatCode="General">
                        <c:v>-7.7066359550561794</c:v>
                      </c:pt>
                      <c:pt idx="50" formatCode="General">
                        <c:v>-7.7360441947565537</c:v>
                      </c:pt>
                      <c:pt idx="51" formatCode="General">
                        <c:v>-7.7654249249249245</c:v>
                      </c:pt>
                      <c:pt idx="52" formatCode="General">
                        <c:v>-7.7930450450450452</c:v>
                      </c:pt>
                      <c:pt idx="53" formatCode="General">
                        <c:v>-7.8206651651651651</c:v>
                      </c:pt>
                      <c:pt idx="54" formatCode="General">
                        <c:v>-7.8482852852852849</c:v>
                      </c:pt>
                      <c:pt idx="55" formatCode="General">
                        <c:v>-7.8759054054054056</c:v>
                      </c:pt>
                      <c:pt idx="56" formatCode="General">
                        <c:v>-7.9035255255255255</c:v>
                      </c:pt>
                      <c:pt idx="57" formatCode="General">
                        <c:v>-7.9311456456456453</c:v>
                      </c:pt>
                      <c:pt idx="58" formatCode="General">
                        <c:v>-7.958765765765766</c:v>
                      </c:pt>
                      <c:pt idx="59" formatCode="General">
                        <c:v>-7.9863858858858858</c:v>
                      </c:pt>
                      <c:pt idx="60" formatCode="General">
                        <c:v>-8.0140060060060065</c:v>
                      </c:pt>
                      <c:pt idx="61" formatCode="General">
                        <c:v>-8.0416261261261255</c:v>
                      </c:pt>
                      <c:pt idx="62" formatCode="General">
                        <c:v>-8.0679999999999996</c:v>
                      </c:pt>
                      <c:pt idx="63" formatCode="General">
                        <c:v>-8.0939999999999994</c:v>
                      </c:pt>
                      <c:pt idx="64" formatCode="General">
                        <c:v>-8.1199999999999992</c:v>
                      </c:pt>
                      <c:pt idx="65" formatCode="General">
                        <c:v>-8.1460000000000008</c:v>
                      </c:pt>
                      <c:pt idx="66" formatCode="General">
                        <c:v>-8.1720000000000006</c:v>
                      </c:pt>
                      <c:pt idx="67" formatCode="General">
                        <c:v>-8.1975294117647053</c:v>
                      </c:pt>
                      <c:pt idx="68" formatCode="General">
                        <c:v>-8.2227647058823532</c:v>
                      </c:pt>
                      <c:pt idx="69" formatCode="General">
                        <c:v>-8.2479999999999993</c:v>
                      </c:pt>
                      <c:pt idx="70" formatCode="General">
                        <c:v>-8.2736060606060597</c:v>
                      </c:pt>
                      <c:pt idx="71" formatCode="General">
                        <c:v>-8.2992121212121219</c:v>
                      </c:pt>
                      <c:pt idx="72" formatCode="General">
                        <c:v>-8.3241879699248127</c:v>
                      </c:pt>
                      <c:pt idx="73" formatCode="General">
                        <c:v>-8.3484285714285722</c:v>
                      </c:pt>
                      <c:pt idx="74" formatCode="General">
                        <c:v>-8.3726691729323317</c:v>
                      </c:pt>
                      <c:pt idx="75" formatCode="General">
                        <c:v>-8.3969097744360912</c:v>
                      </c:pt>
                      <c:pt idx="76" formatCode="General">
                        <c:v>-8.4211503759398507</c:v>
                      </c:pt>
                      <c:pt idx="77" formatCode="General">
                        <c:v>-8.4453909774436084</c:v>
                      </c:pt>
                      <c:pt idx="78" formatCode="General">
                        <c:v>-8.469631578947368</c:v>
                      </c:pt>
                      <c:pt idx="79" formatCode="General">
                        <c:v>-8.4938721804511275</c:v>
                      </c:pt>
                      <c:pt idx="80" formatCode="General">
                        <c:v>-8.518112781954887</c:v>
                      </c:pt>
                      <c:pt idx="81" formatCode="General">
                        <c:v>-8.5423533834586465</c:v>
                      </c:pt>
                      <c:pt idx="82" formatCode="General">
                        <c:v>-8.5662388059701495</c:v>
                      </c:pt>
                      <c:pt idx="83" formatCode="General">
                        <c:v>-8.5889402985074632</c:v>
                      </c:pt>
                      <c:pt idx="84" formatCode="General">
                        <c:v>-8.6116417910447769</c:v>
                      </c:pt>
                      <c:pt idx="85" formatCode="General">
                        <c:v>-8.6343432835820888</c:v>
                      </c:pt>
                      <c:pt idx="86" formatCode="General">
                        <c:v>-8.6570447761194025</c:v>
                      </c:pt>
                      <c:pt idx="87" formatCode="General">
                        <c:v>-8.6797462686567162</c:v>
                      </c:pt>
                      <c:pt idx="88" formatCode="General">
                        <c:v>-8.7024477611940299</c:v>
                      </c:pt>
                      <c:pt idx="89" formatCode="General">
                        <c:v>-8.7251492537313435</c:v>
                      </c:pt>
                      <c:pt idx="90" formatCode="General">
                        <c:v>-8.7478507462686572</c:v>
                      </c:pt>
                      <c:pt idx="91" formatCode="General">
                        <c:v>-8.7705522388059709</c:v>
                      </c:pt>
                      <c:pt idx="92" formatCode="General">
                        <c:v>-8.7932537313432828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DFD-4AA5-9149-6FDDA7C4FDBD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-59.785315315315316</c:v>
                      </c:pt>
                      <c:pt idx="1">
                        <c:v>-57.064294294294292</c:v>
                      </c:pt>
                      <c:pt idx="2" formatCode="General">
                        <c:v>-54.343273273273276</c:v>
                      </c:pt>
                      <c:pt idx="3" formatCode="General">
                        <c:v>-51.679131736526941</c:v>
                      </c:pt>
                      <c:pt idx="4" formatCode="General">
                        <c:v>-49.028532934131732</c:v>
                      </c:pt>
                      <c:pt idx="5" formatCode="General">
                        <c:v>-46.442904191616762</c:v>
                      </c:pt>
                      <c:pt idx="6" formatCode="General">
                        <c:v>-44.064760479041915</c:v>
                      </c:pt>
                      <c:pt idx="7" formatCode="General">
                        <c:v>-41.686616766467068</c:v>
                      </c:pt>
                      <c:pt idx="8" formatCode="General">
                        <c:v>-39.548113772455089</c:v>
                      </c:pt>
                      <c:pt idx="9" formatCode="General">
                        <c:v>-37.528053892215567</c:v>
                      </c:pt>
                      <c:pt idx="10" formatCode="General">
                        <c:v>-35.541856287425148</c:v>
                      </c:pt>
                      <c:pt idx="11" formatCode="General">
                        <c:v>-33.860419161676646</c:v>
                      </c:pt>
                      <c:pt idx="12" formatCode="General">
                        <c:v>-32.178982035928144</c:v>
                      </c:pt>
                      <c:pt idx="13" formatCode="General">
                        <c:v>-30.619431137724554</c:v>
                      </c:pt>
                      <c:pt idx="14" formatCode="General">
                        <c:v>-29.167634730538925</c:v>
                      </c:pt>
                      <c:pt idx="15" formatCode="General">
                        <c:v>-27.715838323353292</c:v>
                      </c:pt>
                      <c:pt idx="16" formatCode="General">
                        <c:v>-27.333423423423422</c:v>
                      </c:pt>
                      <c:pt idx="17" formatCode="General">
                        <c:v>-26.993783783783783</c:v>
                      </c:pt>
                      <c:pt idx="18" formatCode="General">
                        <c:v>-26.995508982035929</c:v>
                      </c:pt>
                      <c:pt idx="19" formatCode="General">
                        <c:v>-27.509281437125747</c:v>
                      </c:pt>
                      <c:pt idx="20" formatCode="General">
                        <c:v>-28.023053892215568</c:v>
                      </c:pt>
                      <c:pt idx="21" formatCode="General">
                        <c:v>-28.530359281437125</c:v>
                      </c:pt>
                      <c:pt idx="22" formatCode="General">
                        <c:v>-29.036347305389221</c:v>
                      </c:pt>
                      <c:pt idx="23" formatCode="General">
                        <c:v>-29.540299401197604</c:v>
                      </c:pt>
                      <c:pt idx="24" formatCode="General">
                        <c:v>-30.038502994011978</c:v>
                      </c:pt>
                      <c:pt idx="25" formatCode="General">
                        <c:v>-30.536706586826348</c:v>
                      </c:pt>
                      <c:pt idx="26" formatCode="General">
                        <c:v>-31.026826347305391</c:v>
                      </c:pt>
                      <c:pt idx="27" formatCode="General">
                        <c:v>-31.513353293413175</c:v>
                      </c:pt>
                      <c:pt idx="28" formatCode="General">
                        <c:v>-31.998443113772456</c:v>
                      </c:pt>
                      <c:pt idx="29" formatCode="General">
                        <c:v>-32.47329341317365</c:v>
                      </c:pt>
                      <c:pt idx="30" formatCode="General">
                        <c:v>-32.948143712574847</c:v>
                      </c:pt>
                      <c:pt idx="31" formatCode="General">
                        <c:v>-33.403235955056175</c:v>
                      </c:pt>
                      <c:pt idx="32" formatCode="General">
                        <c:v>-33.842411985018728</c:v>
                      </c:pt>
                      <c:pt idx="33" formatCode="General">
                        <c:v>-34.281588014981274</c:v>
                      </c:pt>
                      <c:pt idx="34" formatCode="General">
                        <c:v>-34.72076404494382</c:v>
                      </c:pt>
                      <c:pt idx="35" formatCode="General">
                        <c:v>-35.159940074906366</c:v>
                      </c:pt>
                      <c:pt idx="36" formatCode="General">
                        <c:v>-35.599116104868912</c:v>
                      </c:pt>
                      <c:pt idx="37" formatCode="General">
                        <c:v>-36.038292134831465</c:v>
                      </c:pt>
                      <c:pt idx="38" formatCode="General">
                        <c:v>-36.477468164794011</c:v>
                      </c:pt>
                      <c:pt idx="39" formatCode="General">
                        <c:v>-36.916644194756557</c:v>
                      </c:pt>
                      <c:pt idx="40" formatCode="General">
                        <c:v>-37.355820224719103</c:v>
                      </c:pt>
                      <c:pt idx="41" formatCode="General">
                        <c:v>-37.774209737827718</c:v>
                      </c:pt>
                      <c:pt idx="42" formatCode="General">
                        <c:v>-38.1403520599251</c:v>
                      </c:pt>
                      <c:pt idx="43" formatCode="General">
                        <c:v>-38.506494382022474</c:v>
                      </c:pt>
                      <c:pt idx="44" formatCode="General">
                        <c:v>-38.872636704119856</c:v>
                      </c:pt>
                      <c:pt idx="45" formatCode="General">
                        <c:v>-39.23877902621723</c:v>
                      </c:pt>
                      <c:pt idx="46" formatCode="General">
                        <c:v>-39.604921348314612</c:v>
                      </c:pt>
                      <c:pt idx="47" formatCode="General">
                        <c:v>-39.971063670411986</c:v>
                      </c:pt>
                      <c:pt idx="48" formatCode="General">
                        <c:v>-40.337205992509368</c:v>
                      </c:pt>
                      <c:pt idx="49" formatCode="General">
                        <c:v>-40.703348314606743</c:v>
                      </c:pt>
                      <c:pt idx="50" formatCode="General">
                        <c:v>-41.069490636704124</c:v>
                      </c:pt>
                      <c:pt idx="51" formatCode="General">
                        <c:v>-41.434354354354355</c:v>
                      </c:pt>
                      <c:pt idx="52" formatCode="General">
                        <c:v>-41.71738738738739</c:v>
                      </c:pt>
                      <c:pt idx="53" formatCode="General">
                        <c:v>-42.000420420420419</c:v>
                      </c:pt>
                      <c:pt idx="54" formatCode="General">
                        <c:v>-42.283453453453454</c:v>
                      </c:pt>
                      <c:pt idx="55" formatCode="General">
                        <c:v>-42.56648648648649</c:v>
                      </c:pt>
                      <c:pt idx="56" formatCode="General">
                        <c:v>-42.849519519519518</c:v>
                      </c:pt>
                      <c:pt idx="57" formatCode="General">
                        <c:v>-43.132552552552553</c:v>
                      </c:pt>
                      <c:pt idx="58" formatCode="General">
                        <c:v>-43.415585585585582</c:v>
                      </c:pt>
                      <c:pt idx="59" formatCode="General">
                        <c:v>-43.698618618618617</c:v>
                      </c:pt>
                      <c:pt idx="60" formatCode="General">
                        <c:v>-43.981651651651653</c:v>
                      </c:pt>
                      <c:pt idx="61" formatCode="General">
                        <c:v>-44.264684684684681</c:v>
                      </c:pt>
                      <c:pt idx="62" formatCode="General">
                        <c:v>-44.497647058823524</c:v>
                      </c:pt>
                      <c:pt idx="63" formatCode="General">
                        <c:v>-44.715588235294113</c:v>
                      </c:pt>
                      <c:pt idx="64" formatCode="General">
                        <c:v>-44.93151515151515</c:v>
                      </c:pt>
                      <c:pt idx="65" formatCode="General">
                        <c:v>-45.136363636363633</c:v>
                      </c:pt>
                      <c:pt idx="66" formatCode="General">
                        <c:v>-45.341212121212124</c:v>
                      </c:pt>
                      <c:pt idx="67" formatCode="General">
                        <c:v>-45.523529411764706</c:v>
                      </c:pt>
                      <c:pt idx="68" formatCode="General">
                        <c:v>-45.691764705882356</c:v>
                      </c:pt>
                      <c:pt idx="69" formatCode="General">
                        <c:v>-45.86</c:v>
                      </c:pt>
                      <c:pt idx="70" formatCode="General">
                        <c:v>-46.013636363636365</c:v>
                      </c:pt>
                      <c:pt idx="71" formatCode="General">
                        <c:v>-46.167272727272724</c:v>
                      </c:pt>
                      <c:pt idx="72" formatCode="General">
                        <c:v>-46.288796992481203</c:v>
                      </c:pt>
                      <c:pt idx="73" formatCode="General">
                        <c:v>-46.372857142857143</c:v>
                      </c:pt>
                      <c:pt idx="74" formatCode="General">
                        <c:v>-46.456917293233083</c:v>
                      </c:pt>
                      <c:pt idx="75" formatCode="General">
                        <c:v>-46.540977443609023</c:v>
                      </c:pt>
                      <c:pt idx="76" formatCode="General">
                        <c:v>-46.625037593984963</c:v>
                      </c:pt>
                      <c:pt idx="77" formatCode="General">
                        <c:v>-46.709097744360903</c:v>
                      </c:pt>
                      <c:pt idx="78" formatCode="General">
                        <c:v>-46.793157894736844</c:v>
                      </c:pt>
                      <c:pt idx="79" formatCode="General">
                        <c:v>-46.877218045112784</c:v>
                      </c:pt>
                      <c:pt idx="80" formatCode="General">
                        <c:v>-46.961278195488724</c:v>
                      </c:pt>
                      <c:pt idx="81" formatCode="General">
                        <c:v>-47.045338345864664</c:v>
                      </c:pt>
                      <c:pt idx="82" formatCode="General">
                        <c:v>-47.104179104477609</c:v>
                      </c:pt>
                      <c:pt idx="83" formatCode="General">
                        <c:v>-47.078955223880598</c:v>
                      </c:pt>
                      <c:pt idx="84" formatCode="General">
                        <c:v>-47.05373134328358</c:v>
                      </c:pt>
                      <c:pt idx="85" formatCode="General">
                        <c:v>-47.028507462686569</c:v>
                      </c:pt>
                      <c:pt idx="86" formatCode="General">
                        <c:v>-47.003283582089551</c:v>
                      </c:pt>
                      <c:pt idx="87" formatCode="General">
                        <c:v>-46.978059701492541</c:v>
                      </c:pt>
                      <c:pt idx="88" formatCode="General">
                        <c:v>-46.952835820895523</c:v>
                      </c:pt>
                      <c:pt idx="89" formatCode="General">
                        <c:v>-46.927611940298512</c:v>
                      </c:pt>
                      <c:pt idx="90" formatCode="General">
                        <c:v>-46.902388059701494</c:v>
                      </c:pt>
                      <c:pt idx="91" formatCode="General">
                        <c:v>-46.877164179104476</c:v>
                      </c:pt>
                      <c:pt idx="92" formatCode="General">
                        <c:v>-46.851940298507465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DFD-4AA5-9149-6FDDA7C4FDBD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-22.018918918918921</c:v>
                      </c:pt>
                      <c:pt idx="1">
                        <c:v>-21.69099099099099</c:v>
                      </c:pt>
                      <c:pt idx="2" formatCode="General">
                        <c:v>-21.363063063063063</c:v>
                      </c:pt>
                      <c:pt idx="3" formatCode="General">
                        <c:v>-21.328293413173654</c:v>
                      </c:pt>
                      <c:pt idx="4" formatCode="General">
                        <c:v>-21.363323353293413</c:v>
                      </c:pt>
                      <c:pt idx="5" formatCode="General">
                        <c:v>-21.428053892215569</c:v>
                      </c:pt>
                      <c:pt idx="6" formatCode="General">
                        <c:v>-21.587634730538923</c:v>
                      </c:pt>
                      <c:pt idx="7" formatCode="General">
                        <c:v>-21.747215568862277</c:v>
                      </c:pt>
                      <c:pt idx="8" formatCode="General">
                        <c:v>-21.901586826347305</c:v>
                      </c:pt>
                      <c:pt idx="9" formatCode="General">
                        <c:v>-22.053383233532934</c:v>
                      </c:pt>
                      <c:pt idx="10" formatCode="General">
                        <c:v>-22.201287425149701</c:v>
                      </c:pt>
                      <c:pt idx="11" formatCode="General">
                        <c:v>-22.314161676646709</c:v>
                      </c:pt>
                      <c:pt idx="12" formatCode="General">
                        <c:v>-22.427035928143713</c:v>
                      </c:pt>
                      <c:pt idx="13" formatCode="General">
                        <c:v>-22.544041916167664</c:v>
                      </c:pt>
                      <c:pt idx="14" formatCode="General">
                        <c:v>-22.664700598802394</c:v>
                      </c:pt>
                      <c:pt idx="15" formatCode="General">
                        <c:v>-22.785359281437124</c:v>
                      </c:pt>
                      <c:pt idx="16" formatCode="General">
                        <c:v>-22.883843843843842</c:v>
                      </c:pt>
                      <c:pt idx="17" formatCode="General">
                        <c:v>-22.98144144144144</c:v>
                      </c:pt>
                      <c:pt idx="18" formatCode="General">
                        <c:v>-23.1162874251497</c:v>
                      </c:pt>
                      <c:pt idx="19" formatCode="General">
                        <c:v>-23.307005988023953</c:v>
                      </c:pt>
                      <c:pt idx="20" formatCode="General">
                        <c:v>-23.497724550898205</c:v>
                      </c:pt>
                      <c:pt idx="21" formatCode="General">
                        <c:v>-23.691676646706586</c:v>
                      </c:pt>
                      <c:pt idx="22" formatCode="General">
                        <c:v>-23.8862874251497</c:v>
                      </c:pt>
                      <c:pt idx="23" formatCode="General">
                        <c:v>-24.078862275449104</c:v>
                      </c:pt>
                      <c:pt idx="24" formatCode="General">
                        <c:v>-24.265688622754492</c:v>
                      </c:pt>
                      <c:pt idx="25" formatCode="General">
                        <c:v>-24.45251497005988</c:v>
                      </c:pt>
                      <c:pt idx="26" formatCode="General">
                        <c:v>-24.639341317365272</c:v>
                      </c:pt>
                      <c:pt idx="27" formatCode="General">
                        <c:v>-24.82616766467066</c:v>
                      </c:pt>
                      <c:pt idx="28" formatCode="General">
                        <c:v>-25.012994011976048</c:v>
                      </c:pt>
                      <c:pt idx="29" formatCode="General">
                        <c:v>-25.199820359281436</c:v>
                      </c:pt>
                      <c:pt idx="30" formatCode="General">
                        <c:v>-25.386646706586827</c:v>
                      </c:pt>
                      <c:pt idx="31" formatCode="General">
                        <c:v>-25.567617977528091</c:v>
                      </c:pt>
                      <c:pt idx="32" formatCode="General">
                        <c:v>-25.743872659176031</c:v>
                      </c:pt>
                      <c:pt idx="33" formatCode="General">
                        <c:v>-25.920127340823971</c:v>
                      </c:pt>
                      <c:pt idx="34" formatCode="General">
                        <c:v>-26.096382022471911</c:v>
                      </c:pt>
                      <c:pt idx="35" formatCode="General">
                        <c:v>-26.272636704119851</c:v>
                      </c:pt>
                      <c:pt idx="36" formatCode="General">
                        <c:v>-26.448891385767791</c:v>
                      </c:pt>
                      <c:pt idx="37" formatCode="General">
                        <c:v>-26.625146067415731</c:v>
                      </c:pt>
                      <c:pt idx="38" formatCode="General">
                        <c:v>-26.801400749063671</c:v>
                      </c:pt>
                      <c:pt idx="39" formatCode="General">
                        <c:v>-26.977655430711611</c:v>
                      </c:pt>
                      <c:pt idx="40" formatCode="General">
                        <c:v>-27.153910112359551</c:v>
                      </c:pt>
                      <c:pt idx="41" formatCode="General">
                        <c:v>-27.327670411985022</c:v>
                      </c:pt>
                      <c:pt idx="42" formatCode="General">
                        <c:v>-27.495161048689141</c:v>
                      </c:pt>
                      <c:pt idx="43" formatCode="General">
                        <c:v>-27.662651685393261</c:v>
                      </c:pt>
                      <c:pt idx="44" formatCode="General">
                        <c:v>-27.83014232209738</c:v>
                      </c:pt>
                      <c:pt idx="45" formatCode="General">
                        <c:v>-27.9976329588015</c:v>
                      </c:pt>
                      <c:pt idx="46" formatCode="General">
                        <c:v>-28.165123595505619</c:v>
                      </c:pt>
                      <c:pt idx="47" formatCode="General">
                        <c:v>-28.332614232209739</c:v>
                      </c:pt>
                      <c:pt idx="48" formatCode="General">
                        <c:v>-28.500104868913859</c:v>
                      </c:pt>
                      <c:pt idx="49" formatCode="General">
                        <c:v>-28.667595505617978</c:v>
                      </c:pt>
                      <c:pt idx="50" formatCode="General">
                        <c:v>-28.835086142322098</c:v>
                      </c:pt>
                      <c:pt idx="51" formatCode="General">
                        <c:v>-29.002447447447448</c:v>
                      </c:pt>
                      <c:pt idx="52" formatCode="General">
                        <c:v>-29.161531531531534</c:v>
                      </c:pt>
                      <c:pt idx="53" formatCode="General">
                        <c:v>-29.320615615615615</c:v>
                      </c:pt>
                      <c:pt idx="54" formatCode="General">
                        <c:v>-29.479699699699701</c:v>
                      </c:pt>
                      <c:pt idx="55" formatCode="General">
                        <c:v>-29.638783783783783</c:v>
                      </c:pt>
                      <c:pt idx="56" formatCode="General">
                        <c:v>-29.797867867867868</c:v>
                      </c:pt>
                      <c:pt idx="57" formatCode="General">
                        <c:v>-29.95695195195195</c:v>
                      </c:pt>
                      <c:pt idx="58" formatCode="General">
                        <c:v>-30.116036036036036</c:v>
                      </c:pt>
                      <c:pt idx="59" formatCode="General">
                        <c:v>-30.275120120120121</c:v>
                      </c:pt>
                      <c:pt idx="60" formatCode="General">
                        <c:v>-30.434204204204203</c:v>
                      </c:pt>
                      <c:pt idx="61" formatCode="General">
                        <c:v>-30.593288288288289</c:v>
                      </c:pt>
                      <c:pt idx="62" formatCode="General">
                        <c:v>-30.747647058823528</c:v>
                      </c:pt>
                      <c:pt idx="63" formatCode="General">
                        <c:v>-30.900588235294119</c:v>
                      </c:pt>
                      <c:pt idx="64" formatCode="General">
                        <c:v>-31.053636363636365</c:v>
                      </c:pt>
                      <c:pt idx="65" formatCode="General">
                        <c:v>-31.207272727272727</c:v>
                      </c:pt>
                      <c:pt idx="66" formatCode="General">
                        <c:v>-31.360909090909093</c:v>
                      </c:pt>
                      <c:pt idx="67" formatCode="General">
                        <c:v>-31.511764705882353</c:v>
                      </c:pt>
                      <c:pt idx="68" formatCode="General">
                        <c:v>-31.660882352941176</c:v>
                      </c:pt>
                      <c:pt idx="69" formatCode="General">
                        <c:v>-31.81</c:v>
                      </c:pt>
                      <c:pt idx="70" formatCode="General">
                        <c:v>-31.963636363636365</c:v>
                      </c:pt>
                      <c:pt idx="71" formatCode="General">
                        <c:v>-32.117272727272727</c:v>
                      </c:pt>
                      <c:pt idx="72" formatCode="General">
                        <c:v>-32.269022556390979</c:v>
                      </c:pt>
                      <c:pt idx="73" formatCode="General">
                        <c:v>-32.418571428571433</c:v>
                      </c:pt>
                      <c:pt idx="74" formatCode="General">
                        <c:v>-32.568120300751879</c:v>
                      </c:pt>
                      <c:pt idx="75" formatCode="General">
                        <c:v>-32.717669172932332</c:v>
                      </c:pt>
                      <c:pt idx="76" formatCode="General">
                        <c:v>-32.867218045112779</c:v>
                      </c:pt>
                      <c:pt idx="77" formatCode="General">
                        <c:v>-33.016766917293232</c:v>
                      </c:pt>
                      <c:pt idx="78" formatCode="General">
                        <c:v>-33.166315789473686</c:v>
                      </c:pt>
                      <c:pt idx="79" formatCode="General">
                        <c:v>-33.315864661654132</c:v>
                      </c:pt>
                      <c:pt idx="80" formatCode="General">
                        <c:v>-33.465413533834585</c:v>
                      </c:pt>
                      <c:pt idx="81" formatCode="General">
                        <c:v>-33.614962406015032</c:v>
                      </c:pt>
                      <c:pt idx="82" formatCode="General">
                        <c:v>-33.763358208955218</c:v>
                      </c:pt>
                      <c:pt idx="83" formatCode="General">
                        <c:v>-33.907910447761189</c:v>
                      </c:pt>
                      <c:pt idx="84" formatCode="General">
                        <c:v>-34.052462686567161</c:v>
                      </c:pt>
                      <c:pt idx="85" formatCode="General">
                        <c:v>-34.197014925373132</c:v>
                      </c:pt>
                      <c:pt idx="86" formatCode="General">
                        <c:v>-34.341567164179104</c:v>
                      </c:pt>
                      <c:pt idx="87" formatCode="General">
                        <c:v>-34.486119402985075</c:v>
                      </c:pt>
                      <c:pt idx="88" formatCode="General">
                        <c:v>-34.630671641791039</c:v>
                      </c:pt>
                      <c:pt idx="89" formatCode="General">
                        <c:v>-34.775223880597011</c:v>
                      </c:pt>
                      <c:pt idx="90" formatCode="General">
                        <c:v>-34.919776119402982</c:v>
                      </c:pt>
                      <c:pt idx="91" formatCode="General">
                        <c:v>-35.064328358208954</c:v>
                      </c:pt>
                      <c:pt idx="92" formatCode="General">
                        <c:v>-35.208880597014925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DFD-4AA5-9149-6FDDA7C4FDBD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-22.018918918918921</c:v>
                      </c:pt>
                      <c:pt idx="1">
                        <c:v>-21.69099099099099</c:v>
                      </c:pt>
                      <c:pt idx="2" formatCode="General">
                        <c:v>-21.363063063063063</c:v>
                      </c:pt>
                      <c:pt idx="3" formatCode="General">
                        <c:v>-21.328293413173654</c:v>
                      </c:pt>
                      <c:pt idx="4" formatCode="General">
                        <c:v>-21.363323353293413</c:v>
                      </c:pt>
                      <c:pt idx="5" formatCode="General">
                        <c:v>-21.428053892215569</c:v>
                      </c:pt>
                      <c:pt idx="6" formatCode="General">
                        <c:v>-21.587634730538923</c:v>
                      </c:pt>
                      <c:pt idx="7" formatCode="General">
                        <c:v>-21.747215568862277</c:v>
                      </c:pt>
                      <c:pt idx="8" formatCode="General">
                        <c:v>-21.901586826347305</c:v>
                      </c:pt>
                      <c:pt idx="9" formatCode="General">
                        <c:v>-22.053383233532934</c:v>
                      </c:pt>
                      <c:pt idx="10" formatCode="General">
                        <c:v>-22.201287425149701</c:v>
                      </c:pt>
                      <c:pt idx="11" formatCode="General">
                        <c:v>-22.314161676646709</c:v>
                      </c:pt>
                      <c:pt idx="12" formatCode="General">
                        <c:v>-22.427035928143713</c:v>
                      </c:pt>
                      <c:pt idx="13" formatCode="General">
                        <c:v>-22.544041916167664</c:v>
                      </c:pt>
                      <c:pt idx="14" formatCode="General">
                        <c:v>-22.664700598802394</c:v>
                      </c:pt>
                      <c:pt idx="15" formatCode="General">
                        <c:v>-22.785359281437124</c:v>
                      </c:pt>
                      <c:pt idx="16" formatCode="General">
                        <c:v>-22.883843843843842</c:v>
                      </c:pt>
                      <c:pt idx="17" formatCode="General">
                        <c:v>-22.98144144144144</c:v>
                      </c:pt>
                      <c:pt idx="18" formatCode="General">
                        <c:v>-23.1162874251497</c:v>
                      </c:pt>
                      <c:pt idx="19" formatCode="General">
                        <c:v>-23.307005988023953</c:v>
                      </c:pt>
                      <c:pt idx="20" formatCode="General">
                        <c:v>-23.497724550898205</c:v>
                      </c:pt>
                      <c:pt idx="21" formatCode="General">
                        <c:v>-23.691676646706586</c:v>
                      </c:pt>
                      <c:pt idx="22" formatCode="General">
                        <c:v>-23.8862874251497</c:v>
                      </c:pt>
                      <c:pt idx="23" formatCode="General">
                        <c:v>-24.078862275449104</c:v>
                      </c:pt>
                      <c:pt idx="24" formatCode="General">
                        <c:v>-24.265688622754492</c:v>
                      </c:pt>
                      <c:pt idx="25" formatCode="General">
                        <c:v>-24.45251497005988</c:v>
                      </c:pt>
                      <c:pt idx="26" formatCode="General">
                        <c:v>-24.639341317365272</c:v>
                      </c:pt>
                      <c:pt idx="27" formatCode="General">
                        <c:v>-24.82616766467066</c:v>
                      </c:pt>
                      <c:pt idx="28" formatCode="General">
                        <c:v>-25.012994011976048</c:v>
                      </c:pt>
                      <c:pt idx="29" formatCode="General">
                        <c:v>-25.199820359281436</c:v>
                      </c:pt>
                      <c:pt idx="30" formatCode="General">
                        <c:v>-25.386646706586827</c:v>
                      </c:pt>
                      <c:pt idx="31" formatCode="General">
                        <c:v>-25.567617977528091</c:v>
                      </c:pt>
                      <c:pt idx="32" formatCode="General">
                        <c:v>-25.743872659176031</c:v>
                      </c:pt>
                      <c:pt idx="33" formatCode="General">
                        <c:v>-25.920127340823971</c:v>
                      </c:pt>
                      <c:pt idx="34" formatCode="General">
                        <c:v>-26.096382022471911</c:v>
                      </c:pt>
                      <c:pt idx="35" formatCode="General">
                        <c:v>-26.272636704119851</c:v>
                      </c:pt>
                      <c:pt idx="36" formatCode="General">
                        <c:v>-26.448891385767791</c:v>
                      </c:pt>
                      <c:pt idx="37" formatCode="General">
                        <c:v>-26.625146067415731</c:v>
                      </c:pt>
                      <c:pt idx="38" formatCode="General">
                        <c:v>-26.801400749063671</c:v>
                      </c:pt>
                      <c:pt idx="39" formatCode="General">
                        <c:v>-26.977655430711611</c:v>
                      </c:pt>
                      <c:pt idx="40" formatCode="General">
                        <c:v>-27.153910112359551</c:v>
                      </c:pt>
                      <c:pt idx="41" formatCode="General">
                        <c:v>-27.327670411985022</c:v>
                      </c:pt>
                      <c:pt idx="42" formatCode="General">
                        <c:v>-27.495161048689141</c:v>
                      </c:pt>
                      <c:pt idx="43" formatCode="General">
                        <c:v>-27.662651685393261</c:v>
                      </c:pt>
                      <c:pt idx="44" formatCode="General">
                        <c:v>-27.83014232209738</c:v>
                      </c:pt>
                      <c:pt idx="45" formatCode="General">
                        <c:v>-27.9976329588015</c:v>
                      </c:pt>
                      <c:pt idx="46" formatCode="General">
                        <c:v>-28.165123595505619</c:v>
                      </c:pt>
                      <c:pt idx="47" formatCode="General">
                        <c:v>-28.332614232209739</c:v>
                      </c:pt>
                      <c:pt idx="48" formatCode="General">
                        <c:v>-28.500104868913859</c:v>
                      </c:pt>
                      <c:pt idx="49" formatCode="General">
                        <c:v>-28.667595505617978</c:v>
                      </c:pt>
                      <c:pt idx="50" formatCode="General">
                        <c:v>-28.835086142322098</c:v>
                      </c:pt>
                      <c:pt idx="51" formatCode="General">
                        <c:v>-29.002447447447448</c:v>
                      </c:pt>
                      <c:pt idx="52" formatCode="General">
                        <c:v>-29.161531531531534</c:v>
                      </c:pt>
                      <c:pt idx="53" formatCode="General">
                        <c:v>-29.320615615615615</c:v>
                      </c:pt>
                      <c:pt idx="54" formatCode="General">
                        <c:v>-29.479699699699701</c:v>
                      </c:pt>
                      <c:pt idx="55" formatCode="General">
                        <c:v>-29.638783783783783</c:v>
                      </c:pt>
                      <c:pt idx="56" formatCode="General">
                        <c:v>-29.797867867867868</c:v>
                      </c:pt>
                      <c:pt idx="57" formatCode="General">
                        <c:v>-29.95695195195195</c:v>
                      </c:pt>
                      <c:pt idx="58" formatCode="General">
                        <c:v>-30.116036036036036</c:v>
                      </c:pt>
                      <c:pt idx="59" formatCode="General">
                        <c:v>-30.275120120120121</c:v>
                      </c:pt>
                      <c:pt idx="60" formatCode="General">
                        <c:v>-30.434204204204203</c:v>
                      </c:pt>
                      <c:pt idx="61" formatCode="General">
                        <c:v>-30.593288288288289</c:v>
                      </c:pt>
                      <c:pt idx="62" formatCode="General">
                        <c:v>-30.747647058823528</c:v>
                      </c:pt>
                      <c:pt idx="63" formatCode="General">
                        <c:v>-30.900588235294119</c:v>
                      </c:pt>
                      <c:pt idx="64" formatCode="General">
                        <c:v>-31.053636363636365</c:v>
                      </c:pt>
                      <c:pt idx="65" formatCode="General">
                        <c:v>-31.207272727272727</c:v>
                      </c:pt>
                      <c:pt idx="66" formatCode="General">
                        <c:v>-31.360909090909093</c:v>
                      </c:pt>
                      <c:pt idx="67" formatCode="General">
                        <c:v>-31.511764705882353</c:v>
                      </c:pt>
                      <c:pt idx="68" formatCode="General">
                        <c:v>-31.660882352941176</c:v>
                      </c:pt>
                      <c:pt idx="69" formatCode="General">
                        <c:v>-31.81</c:v>
                      </c:pt>
                      <c:pt idx="70" formatCode="General">
                        <c:v>-31.963636363636365</c:v>
                      </c:pt>
                      <c:pt idx="71" formatCode="General">
                        <c:v>-32.117272727272727</c:v>
                      </c:pt>
                      <c:pt idx="72" formatCode="General">
                        <c:v>-32.269022556390979</c:v>
                      </c:pt>
                      <c:pt idx="73" formatCode="General">
                        <c:v>-32.418571428571433</c:v>
                      </c:pt>
                      <c:pt idx="74" formatCode="General">
                        <c:v>-32.568120300751879</c:v>
                      </c:pt>
                      <c:pt idx="75" formatCode="General">
                        <c:v>-32.717669172932332</c:v>
                      </c:pt>
                      <c:pt idx="76" formatCode="General">
                        <c:v>-32.867218045112779</c:v>
                      </c:pt>
                      <c:pt idx="77" formatCode="General">
                        <c:v>-33.016766917293232</c:v>
                      </c:pt>
                      <c:pt idx="78" formatCode="General">
                        <c:v>-33.166315789473686</c:v>
                      </c:pt>
                      <c:pt idx="79" formatCode="General">
                        <c:v>-33.315864661654132</c:v>
                      </c:pt>
                      <c:pt idx="80" formatCode="General">
                        <c:v>-33.465413533834585</c:v>
                      </c:pt>
                      <c:pt idx="81" formatCode="General">
                        <c:v>-33.614962406015032</c:v>
                      </c:pt>
                      <c:pt idx="82" formatCode="General">
                        <c:v>-33.763358208955218</c:v>
                      </c:pt>
                      <c:pt idx="83" formatCode="General">
                        <c:v>-33.907910447761189</c:v>
                      </c:pt>
                      <c:pt idx="84" formatCode="General">
                        <c:v>-34.052462686567161</c:v>
                      </c:pt>
                      <c:pt idx="85" formatCode="General">
                        <c:v>-34.197014925373132</c:v>
                      </c:pt>
                      <c:pt idx="86" formatCode="General">
                        <c:v>-34.341567164179104</c:v>
                      </c:pt>
                      <c:pt idx="87" formatCode="General">
                        <c:v>-34.486119402985075</c:v>
                      </c:pt>
                      <c:pt idx="88" formatCode="General">
                        <c:v>-34.630671641791039</c:v>
                      </c:pt>
                      <c:pt idx="89" formatCode="General">
                        <c:v>-34.775223880597011</c:v>
                      </c:pt>
                      <c:pt idx="90" formatCode="General">
                        <c:v>-34.919776119402982</c:v>
                      </c:pt>
                      <c:pt idx="91" formatCode="General">
                        <c:v>-35.064328358208954</c:v>
                      </c:pt>
                      <c:pt idx="92" formatCode="General">
                        <c:v>-35.208880597014925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DFD-4AA5-9149-6FDDA7C4FDBD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-22.018918918918921</c:v>
                      </c:pt>
                      <c:pt idx="1">
                        <c:v>-21.69099099099099</c:v>
                      </c:pt>
                      <c:pt idx="2" formatCode="General">
                        <c:v>-21.363063063063063</c:v>
                      </c:pt>
                      <c:pt idx="3" formatCode="General">
                        <c:v>-21.328293413173654</c:v>
                      </c:pt>
                      <c:pt idx="4" formatCode="General">
                        <c:v>-21.363323353293413</c:v>
                      </c:pt>
                      <c:pt idx="5" formatCode="General">
                        <c:v>-21.428053892215569</c:v>
                      </c:pt>
                      <c:pt idx="6" formatCode="General">
                        <c:v>-21.587634730538923</c:v>
                      </c:pt>
                      <c:pt idx="7" formatCode="General">
                        <c:v>-21.747215568862277</c:v>
                      </c:pt>
                      <c:pt idx="8" formatCode="General">
                        <c:v>-21.901586826347305</c:v>
                      </c:pt>
                      <c:pt idx="9" formatCode="General">
                        <c:v>-22.053383233532934</c:v>
                      </c:pt>
                      <c:pt idx="10" formatCode="General">
                        <c:v>-22.201287425149701</c:v>
                      </c:pt>
                      <c:pt idx="11" formatCode="General">
                        <c:v>-22.314161676646709</c:v>
                      </c:pt>
                      <c:pt idx="12" formatCode="General">
                        <c:v>-22.427035928143713</c:v>
                      </c:pt>
                      <c:pt idx="13" formatCode="General">
                        <c:v>-22.544041916167664</c:v>
                      </c:pt>
                      <c:pt idx="14" formatCode="General">
                        <c:v>-22.664700598802394</c:v>
                      </c:pt>
                      <c:pt idx="15" formatCode="General">
                        <c:v>-22.785359281437124</c:v>
                      </c:pt>
                      <c:pt idx="16" formatCode="General">
                        <c:v>-22.883843843843842</c:v>
                      </c:pt>
                      <c:pt idx="17" formatCode="General">
                        <c:v>-22.98144144144144</c:v>
                      </c:pt>
                      <c:pt idx="18" formatCode="General">
                        <c:v>-23.1162874251497</c:v>
                      </c:pt>
                      <c:pt idx="19" formatCode="General">
                        <c:v>-23.307005988023953</c:v>
                      </c:pt>
                      <c:pt idx="20" formatCode="General">
                        <c:v>-23.497724550898205</c:v>
                      </c:pt>
                      <c:pt idx="21" formatCode="General">
                        <c:v>-23.691676646706586</c:v>
                      </c:pt>
                      <c:pt idx="22" formatCode="General">
                        <c:v>-23.8862874251497</c:v>
                      </c:pt>
                      <c:pt idx="23" formatCode="General">
                        <c:v>-24.078862275449104</c:v>
                      </c:pt>
                      <c:pt idx="24" formatCode="General">
                        <c:v>-24.265688622754492</c:v>
                      </c:pt>
                      <c:pt idx="25" formatCode="General">
                        <c:v>-24.45251497005988</c:v>
                      </c:pt>
                      <c:pt idx="26" formatCode="General">
                        <c:v>-24.639341317365272</c:v>
                      </c:pt>
                      <c:pt idx="27" formatCode="General">
                        <c:v>-24.82616766467066</c:v>
                      </c:pt>
                      <c:pt idx="28" formatCode="General">
                        <c:v>-25.012994011976048</c:v>
                      </c:pt>
                      <c:pt idx="29" formatCode="General">
                        <c:v>-25.199820359281436</c:v>
                      </c:pt>
                      <c:pt idx="30" formatCode="General">
                        <c:v>-25.386646706586827</c:v>
                      </c:pt>
                      <c:pt idx="31" formatCode="General">
                        <c:v>-25.567617977528091</c:v>
                      </c:pt>
                      <c:pt idx="32" formatCode="General">
                        <c:v>-25.743872659176031</c:v>
                      </c:pt>
                      <c:pt idx="33" formatCode="General">
                        <c:v>-25.920127340823971</c:v>
                      </c:pt>
                      <c:pt idx="34" formatCode="General">
                        <c:v>-26.096382022471911</c:v>
                      </c:pt>
                      <c:pt idx="35" formatCode="General">
                        <c:v>-26.272636704119851</c:v>
                      </c:pt>
                      <c:pt idx="36" formatCode="General">
                        <c:v>-26.448891385767791</c:v>
                      </c:pt>
                      <c:pt idx="37" formatCode="General">
                        <c:v>-26.625146067415731</c:v>
                      </c:pt>
                      <c:pt idx="38" formatCode="General">
                        <c:v>-26.801400749063671</c:v>
                      </c:pt>
                      <c:pt idx="39" formatCode="General">
                        <c:v>-26.977655430711611</c:v>
                      </c:pt>
                      <c:pt idx="40" formatCode="General">
                        <c:v>-27.153910112359551</c:v>
                      </c:pt>
                      <c:pt idx="41" formatCode="General">
                        <c:v>-27.327670411985022</c:v>
                      </c:pt>
                      <c:pt idx="42" formatCode="General">
                        <c:v>-27.495161048689141</c:v>
                      </c:pt>
                      <c:pt idx="43" formatCode="General">
                        <c:v>-27.662651685393261</c:v>
                      </c:pt>
                      <c:pt idx="44" formatCode="General">
                        <c:v>-27.83014232209738</c:v>
                      </c:pt>
                      <c:pt idx="45" formatCode="General">
                        <c:v>-27.9976329588015</c:v>
                      </c:pt>
                      <c:pt idx="46" formatCode="General">
                        <c:v>-28.165123595505619</c:v>
                      </c:pt>
                      <c:pt idx="47" formatCode="General">
                        <c:v>-28.332614232209739</c:v>
                      </c:pt>
                      <c:pt idx="48" formatCode="General">
                        <c:v>-28.500104868913859</c:v>
                      </c:pt>
                      <c:pt idx="49" formatCode="General">
                        <c:v>-28.667595505617978</c:v>
                      </c:pt>
                      <c:pt idx="50" formatCode="General">
                        <c:v>-28.835086142322098</c:v>
                      </c:pt>
                      <c:pt idx="51" formatCode="General">
                        <c:v>-29.002447447447448</c:v>
                      </c:pt>
                      <c:pt idx="52" formatCode="General">
                        <c:v>-29.161531531531534</c:v>
                      </c:pt>
                      <c:pt idx="53" formatCode="General">
                        <c:v>-29.320615615615615</c:v>
                      </c:pt>
                      <c:pt idx="54" formatCode="General">
                        <c:v>-29.479699699699701</c:v>
                      </c:pt>
                      <c:pt idx="55" formatCode="General">
                        <c:v>-29.638783783783783</c:v>
                      </c:pt>
                      <c:pt idx="56" formatCode="General">
                        <c:v>-29.797867867867868</c:v>
                      </c:pt>
                      <c:pt idx="57" formatCode="General">
                        <c:v>-29.95695195195195</c:v>
                      </c:pt>
                      <c:pt idx="58" formatCode="General">
                        <c:v>-30.116036036036036</c:v>
                      </c:pt>
                      <c:pt idx="59" formatCode="General">
                        <c:v>-30.275120120120121</c:v>
                      </c:pt>
                      <c:pt idx="60" formatCode="General">
                        <c:v>-30.434204204204203</c:v>
                      </c:pt>
                      <c:pt idx="61" formatCode="General">
                        <c:v>-30.593288288288289</c:v>
                      </c:pt>
                      <c:pt idx="62" formatCode="General">
                        <c:v>-30.747647058823528</c:v>
                      </c:pt>
                      <c:pt idx="63" formatCode="General">
                        <c:v>-30.900588235294119</c:v>
                      </c:pt>
                      <c:pt idx="64" formatCode="General">
                        <c:v>-31.053636363636365</c:v>
                      </c:pt>
                      <c:pt idx="65" formatCode="General">
                        <c:v>-31.207272727272727</c:v>
                      </c:pt>
                      <c:pt idx="66" formatCode="General">
                        <c:v>-31.360909090909093</c:v>
                      </c:pt>
                      <c:pt idx="67" formatCode="General">
                        <c:v>-31.511764705882353</c:v>
                      </c:pt>
                      <c:pt idx="68" formatCode="General">
                        <c:v>-31.660882352941176</c:v>
                      </c:pt>
                      <c:pt idx="69" formatCode="General">
                        <c:v>-31.81</c:v>
                      </c:pt>
                      <c:pt idx="70" formatCode="General">
                        <c:v>-31.963636363636365</c:v>
                      </c:pt>
                      <c:pt idx="71" formatCode="General">
                        <c:v>-32.117272727272727</c:v>
                      </c:pt>
                      <c:pt idx="72" formatCode="General">
                        <c:v>-32.269022556390979</c:v>
                      </c:pt>
                      <c:pt idx="73" formatCode="General">
                        <c:v>-32.418571428571433</c:v>
                      </c:pt>
                      <c:pt idx="74" formatCode="General">
                        <c:v>-32.568120300751879</c:v>
                      </c:pt>
                      <c:pt idx="75" formatCode="General">
                        <c:v>-32.717669172932332</c:v>
                      </c:pt>
                      <c:pt idx="76" formatCode="General">
                        <c:v>-32.867218045112779</c:v>
                      </c:pt>
                      <c:pt idx="77" formatCode="General">
                        <c:v>-33.016766917293232</c:v>
                      </c:pt>
                      <c:pt idx="78" formatCode="General">
                        <c:v>-33.166315789473686</c:v>
                      </c:pt>
                      <c:pt idx="79" formatCode="General">
                        <c:v>-33.315864661654132</c:v>
                      </c:pt>
                      <c:pt idx="80" formatCode="General">
                        <c:v>-33.465413533834585</c:v>
                      </c:pt>
                      <c:pt idx="81" formatCode="General">
                        <c:v>-33.614962406015032</c:v>
                      </c:pt>
                      <c:pt idx="82" formatCode="General">
                        <c:v>-33.763358208955218</c:v>
                      </c:pt>
                      <c:pt idx="83" formatCode="General">
                        <c:v>-33.907910447761189</c:v>
                      </c:pt>
                      <c:pt idx="84" formatCode="General">
                        <c:v>-34.052462686567161</c:v>
                      </c:pt>
                      <c:pt idx="85" formatCode="General">
                        <c:v>-34.197014925373132</c:v>
                      </c:pt>
                      <c:pt idx="86" formatCode="General">
                        <c:v>-34.341567164179104</c:v>
                      </c:pt>
                      <c:pt idx="87" formatCode="General">
                        <c:v>-34.486119402985075</c:v>
                      </c:pt>
                      <c:pt idx="88" formatCode="General">
                        <c:v>-34.630671641791039</c:v>
                      </c:pt>
                      <c:pt idx="89" formatCode="General">
                        <c:v>-34.775223880597011</c:v>
                      </c:pt>
                      <c:pt idx="90" formatCode="General">
                        <c:v>-34.919776119402982</c:v>
                      </c:pt>
                      <c:pt idx="91" formatCode="General">
                        <c:v>-35.064328358208954</c:v>
                      </c:pt>
                      <c:pt idx="92" formatCode="General">
                        <c:v>-35.208880597014925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DFD-4AA5-9149-6FDDA7C4FDBD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-22.018918918918921</c:v>
                      </c:pt>
                      <c:pt idx="1">
                        <c:v>-21.69099099099099</c:v>
                      </c:pt>
                      <c:pt idx="2" formatCode="General">
                        <c:v>-21.363063063063063</c:v>
                      </c:pt>
                      <c:pt idx="3" formatCode="General">
                        <c:v>-21.328293413173654</c:v>
                      </c:pt>
                      <c:pt idx="4" formatCode="General">
                        <c:v>-21.363323353293413</c:v>
                      </c:pt>
                      <c:pt idx="5" formatCode="General">
                        <c:v>-21.428053892215569</c:v>
                      </c:pt>
                      <c:pt idx="6" formatCode="General">
                        <c:v>-21.587634730538923</c:v>
                      </c:pt>
                      <c:pt idx="7" formatCode="General">
                        <c:v>-21.747215568862277</c:v>
                      </c:pt>
                      <c:pt idx="8" formatCode="General">
                        <c:v>-21.901586826347305</c:v>
                      </c:pt>
                      <c:pt idx="9" formatCode="General">
                        <c:v>-22.053383233532934</c:v>
                      </c:pt>
                      <c:pt idx="10" formatCode="General">
                        <c:v>-22.201287425149701</c:v>
                      </c:pt>
                      <c:pt idx="11" formatCode="General">
                        <c:v>-22.314161676646709</c:v>
                      </c:pt>
                      <c:pt idx="12" formatCode="General">
                        <c:v>-22.427035928143713</c:v>
                      </c:pt>
                      <c:pt idx="13" formatCode="General">
                        <c:v>-22.544041916167664</c:v>
                      </c:pt>
                      <c:pt idx="14" formatCode="General">
                        <c:v>-22.664700598802394</c:v>
                      </c:pt>
                      <c:pt idx="15" formatCode="General">
                        <c:v>-22.785359281437124</c:v>
                      </c:pt>
                      <c:pt idx="16" formatCode="General">
                        <c:v>-22.883843843843842</c:v>
                      </c:pt>
                      <c:pt idx="17" formatCode="General">
                        <c:v>-22.98144144144144</c:v>
                      </c:pt>
                      <c:pt idx="18" formatCode="General">
                        <c:v>-23.1162874251497</c:v>
                      </c:pt>
                      <c:pt idx="19" formatCode="General">
                        <c:v>-23.307005988023953</c:v>
                      </c:pt>
                      <c:pt idx="20" formatCode="General">
                        <c:v>-23.497724550898205</c:v>
                      </c:pt>
                      <c:pt idx="21" formatCode="General">
                        <c:v>-23.691676646706586</c:v>
                      </c:pt>
                      <c:pt idx="22" formatCode="General">
                        <c:v>-23.8862874251497</c:v>
                      </c:pt>
                      <c:pt idx="23" formatCode="General">
                        <c:v>-24.078862275449104</c:v>
                      </c:pt>
                      <c:pt idx="24" formatCode="General">
                        <c:v>-24.265688622754492</c:v>
                      </c:pt>
                      <c:pt idx="25" formatCode="General">
                        <c:v>-24.45251497005988</c:v>
                      </c:pt>
                      <c:pt idx="26" formatCode="General">
                        <c:v>-24.639341317365272</c:v>
                      </c:pt>
                      <c:pt idx="27" formatCode="General">
                        <c:v>-24.82616766467066</c:v>
                      </c:pt>
                      <c:pt idx="28" formatCode="General">
                        <c:v>-25.012994011976048</c:v>
                      </c:pt>
                      <c:pt idx="29" formatCode="General">
                        <c:v>-25.199820359281436</c:v>
                      </c:pt>
                      <c:pt idx="30" formatCode="General">
                        <c:v>-25.386646706586827</c:v>
                      </c:pt>
                      <c:pt idx="31" formatCode="General">
                        <c:v>-25.567617977528091</c:v>
                      </c:pt>
                      <c:pt idx="32" formatCode="General">
                        <c:v>-25.743872659176031</c:v>
                      </c:pt>
                      <c:pt idx="33" formatCode="General">
                        <c:v>-25.920127340823971</c:v>
                      </c:pt>
                      <c:pt idx="34" formatCode="General">
                        <c:v>-26.096382022471911</c:v>
                      </c:pt>
                      <c:pt idx="35" formatCode="General">
                        <c:v>-26.272636704119851</c:v>
                      </c:pt>
                      <c:pt idx="36" formatCode="General">
                        <c:v>-26.448891385767791</c:v>
                      </c:pt>
                      <c:pt idx="37" formatCode="General">
                        <c:v>-26.625146067415731</c:v>
                      </c:pt>
                      <c:pt idx="38" formatCode="General">
                        <c:v>-26.801400749063671</c:v>
                      </c:pt>
                      <c:pt idx="39" formatCode="General">
                        <c:v>-26.977655430711611</c:v>
                      </c:pt>
                      <c:pt idx="40" formatCode="General">
                        <c:v>-27.153910112359551</c:v>
                      </c:pt>
                      <c:pt idx="41" formatCode="General">
                        <c:v>-27.327670411985022</c:v>
                      </c:pt>
                      <c:pt idx="42" formatCode="General">
                        <c:v>-27.495161048689141</c:v>
                      </c:pt>
                      <c:pt idx="43" formatCode="General">
                        <c:v>-27.662651685393261</c:v>
                      </c:pt>
                      <c:pt idx="44" formatCode="General">
                        <c:v>-27.83014232209738</c:v>
                      </c:pt>
                      <c:pt idx="45" formatCode="General">
                        <c:v>-27.9976329588015</c:v>
                      </c:pt>
                      <c:pt idx="46" formatCode="General">
                        <c:v>-28.165123595505619</c:v>
                      </c:pt>
                      <c:pt idx="47" formatCode="General">
                        <c:v>-28.332614232209739</c:v>
                      </c:pt>
                      <c:pt idx="48" formatCode="General">
                        <c:v>-28.500104868913859</c:v>
                      </c:pt>
                      <c:pt idx="49" formatCode="General">
                        <c:v>-28.667595505617978</c:v>
                      </c:pt>
                      <c:pt idx="50" formatCode="General">
                        <c:v>-28.835086142322098</c:v>
                      </c:pt>
                      <c:pt idx="51" formatCode="General">
                        <c:v>-29.002447447447448</c:v>
                      </c:pt>
                      <c:pt idx="52" formatCode="General">
                        <c:v>-29.161531531531534</c:v>
                      </c:pt>
                      <c:pt idx="53" formatCode="General">
                        <c:v>-29.320615615615615</c:v>
                      </c:pt>
                      <c:pt idx="54" formatCode="General">
                        <c:v>-29.479699699699701</c:v>
                      </c:pt>
                      <c:pt idx="55" formatCode="General">
                        <c:v>-29.638783783783783</c:v>
                      </c:pt>
                      <c:pt idx="56" formatCode="General">
                        <c:v>-29.797867867867868</c:v>
                      </c:pt>
                      <c:pt idx="57" formatCode="General">
                        <c:v>-29.95695195195195</c:v>
                      </c:pt>
                      <c:pt idx="58" formatCode="General">
                        <c:v>-30.116036036036036</c:v>
                      </c:pt>
                      <c:pt idx="59" formatCode="General">
                        <c:v>-30.275120120120121</c:v>
                      </c:pt>
                      <c:pt idx="60" formatCode="General">
                        <c:v>-30.434204204204203</c:v>
                      </c:pt>
                      <c:pt idx="61" formatCode="General">
                        <c:v>-30.593288288288289</c:v>
                      </c:pt>
                      <c:pt idx="62" formatCode="General">
                        <c:v>-30.747647058823528</c:v>
                      </c:pt>
                      <c:pt idx="63" formatCode="General">
                        <c:v>-30.900588235294119</c:v>
                      </c:pt>
                      <c:pt idx="64" formatCode="General">
                        <c:v>-31.053636363636365</c:v>
                      </c:pt>
                      <c:pt idx="65" formatCode="General">
                        <c:v>-31.207272727272727</c:v>
                      </c:pt>
                      <c:pt idx="66" formatCode="General">
                        <c:v>-31.360909090909093</c:v>
                      </c:pt>
                      <c:pt idx="67" formatCode="General">
                        <c:v>-31.511764705882353</c:v>
                      </c:pt>
                      <c:pt idx="68" formatCode="General">
                        <c:v>-31.660882352941176</c:v>
                      </c:pt>
                      <c:pt idx="69" formatCode="General">
                        <c:v>-31.81</c:v>
                      </c:pt>
                      <c:pt idx="70" formatCode="General">
                        <c:v>-31.963636363636365</c:v>
                      </c:pt>
                      <c:pt idx="71" formatCode="General">
                        <c:v>-32.117272727272727</c:v>
                      </c:pt>
                      <c:pt idx="72" formatCode="General">
                        <c:v>-32.269022556390979</c:v>
                      </c:pt>
                      <c:pt idx="73" formatCode="General">
                        <c:v>-32.418571428571433</c:v>
                      </c:pt>
                      <c:pt idx="74" formatCode="General">
                        <c:v>-32.568120300751879</c:v>
                      </c:pt>
                      <c:pt idx="75" formatCode="General">
                        <c:v>-32.717669172932332</c:v>
                      </c:pt>
                      <c:pt idx="76" formatCode="General">
                        <c:v>-32.867218045112779</c:v>
                      </c:pt>
                      <c:pt idx="77" formatCode="General">
                        <c:v>-33.016766917293232</c:v>
                      </c:pt>
                      <c:pt idx="78" formatCode="General">
                        <c:v>-33.166315789473686</c:v>
                      </c:pt>
                      <c:pt idx="79" formatCode="General">
                        <c:v>-33.315864661654132</c:v>
                      </c:pt>
                      <c:pt idx="80" formatCode="General">
                        <c:v>-33.465413533834585</c:v>
                      </c:pt>
                      <c:pt idx="81" formatCode="General">
                        <c:v>-33.614962406015032</c:v>
                      </c:pt>
                      <c:pt idx="82" formatCode="General">
                        <c:v>-33.763358208955218</c:v>
                      </c:pt>
                      <c:pt idx="83" formatCode="General">
                        <c:v>-33.907910447761189</c:v>
                      </c:pt>
                      <c:pt idx="84" formatCode="General">
                        <c:v>-34.052462686567161</c:v>
                      </c:pt>
                      <c:pt idx="85" formatCode="General">
                        <c:v>-34.197014925373132</c:v>
                      </c:pt>
                      <c:pt idx="86" formatCode="General">
                        <c:v>-34.341567164179104</c:v>
                      </c:pt>
                      <c:pt idx="87" formatCode="General">
                        <c:v>-34.486119402985075</c:v>
                      </c:pt>
                      <c:pt idx="88" formatCode="General">
                        <c:v>-34.630671641791039</c:v>
                      </c:pt>
                      <c:pt idx="89" formatCode="General">
                        <c:v>-34.775223880597011</c:v>
                      </c:pt>
                      <c:pt idx="90" formatCode="General">
                        <c:v>-34.919776119402982</c:v>
                      </c:pt>
                      <c:pt idx="91" formatCode="General">
                        <c:v>-35.064328358208954</c:v>
                      </c:pt>
                      <c:pt idx="92" formatCode="General">
                        <c:v>-35.208880597014925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DFD-4AA5-9149-6FDDA7C4FDBD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-15.70018018018018</c:v>
                      </c:pt>
                      <c:pt idx="1">
                        <c:v>-14.888168168168168</c:v>
                      </c:pt>
                      <c:pt idx="2" formatCode="General">
                        <c:v>-14.076156156156156</c:v>
                      </c:pt>
                      <c:pt idx="3" formatCode="General">
                        <c:v>-13.171796407185628</c:v>
                      </c:pt>
                      <c:pt idx="4" formatCode="General">
                        <c:v>-12.245449101796405</c:v>
                      </c:pt>
                      <c:pt idx="5" formatCode="General">
                        <c:v>-11.336365269461076</c:v>
                      </c:pt>
                      <c:pt idx="6" formatCode="General">
                        <c:v>-10.482413173652693</c:v>
                      </c:pt>
                      <c:pt idx="7" formatCode="General">
                        <c:v>-9.628461077844312</c:v>
                      </c:pt>
                      <c:pt idx="8" formatCode="General">
                        <c:v>-8.8943293413173663</c:v>
                      </c:pt>
                      <c:pt idx="9" formatCode="General">
                        <c:v>-8.2194191616766474</c:v>
                      </c:pt>
                      <c:pt idx="10" formatCode="General">
                        <c:v>-7.5707814371257482</c:v>
                      </c:pt>
                      <c:pt idx="11" formatCode="General">
                        <c:v>-7.1585958083832333</c:v>
                      </c:pt>
                      <c:pt idx="12" formatCode="General">
                        <c:v>-6.7464101796407192</c:v>
                      </c:pt>
                      <c:pt idx="13" formatCode="General">
                        <c:v>-6.4751167664670657</c:v>
                      </c:pt>
                      <c:pt idx="14" formatCode="General">
                        <c:v>-6.3283802395209579</c:v>
                      </c:pt>
                      <c:pt idx="15" formatCode="General">
                        <c:v>-6.18164371257485</c:v>
                      </c:pt>
                      <c:pt idx="16" formatCode="General">
                        <c:v>-6.4226216216216221</c:v>
                      </c:pt>
                      <c:pt idx="17" formatCode="General">
                        <c:v>-6.6791081081081085</c:v>
                      </c:pt>
                      <c:pt idx="18" formatCode="General">
                        <c:v>-6.8345568862275448</c:v>
                      </c:pt>
                      <c:pt idx="19" formatCode="General">
                        <c:v>-6.8384491017964075</c:v>
                      </c:pt>
                      <c:pt idx="20" formatCode="General">
                        <c:v>-6.8423413173652694</c:v>
                      </c:pt>
                      <c:pt idx="21" formatCode="General">
                        <c:v>-6.8627245508982035</c:v>
                      </c:pt>
                      <c:pt idx="22" formatCode="General">
                        <c:v>-6.8864670658682634</c:v>
                      </c:pt>
                      <c:pt idx="23" formatCode="General">
                        <c:v>-6.911838323353293</c:v>
                      </c:pt>
                      <c:pt idx="24" formatCode="General">
                        <c:v>-6.9418083832335329</c:v>
                      </c:pt>
                      <c:pt idx="25" formatCode="General">
                        <c:v>-6.9717784431137719</c:v>
                      </c:pt>
                      <c:pt idx="26" formatCode="General">
                        <c:v>-7.0028263473053896</c:v>
                      </c:pt>
                      <c:pt idx="27" formatCode="General">
                        <c:v>-7.0343532934131741</c:v>
                      </c:pt>
                      <c:pt idx="28" formatCode="General">
                        <c:v>-7.0658802395209586</c:v>
                      </c:pt>
                      <c:pt idx="29" formatCode="General">
                        <c:v>-7.0974071856287431</c:v>
                      </c:pt>
                      <c:pt idx="30" formatCode="General">
                        <c:v>-7.1289341317365267</c:v>
                      </c:pt>
                      <c:pt idx="31" formatCode="General">
                        <c:v>-7.1602584269662923</c:v>
                      </c:pt>
                      <c:pt idx="32" formatCode="General">
                        <c:v>-7.1914194756554304</c:v>
                      </c:pt>
                      <c:pt idx="33" formatCode="General">
                        <c:v>-7.2225805243445693</c:v>
                      </c:pt>
                      <c:pt idx="34" formatCode="General">
                        <c:v>-7.2537415730337083</c:v>
                      </c:pt>
                      <c:pt idx="35" formatCode="General">
                        <c:v>-7.2849026217228463</c:v>
                      </c:pt>
                      <c:pt idx="36" formatCode="General">
                        <c:v>-7.3160636704119852</c:v>
                      </c:pt>
                      <c:pt idx="37" formatCode="General">
                        <c:v>-7.3472247191011233</c:v>
                      </c:pt>
                      <c:pt idx="38" formatCode="General">
                        <c:v>-7.3783857677902622</c:v>
                      </c:pt>
                      <c:pt idx="39" formatCode="General">
                        <c:v>-7.4095468164794012</c:v>
                      </c:pt>
                      <c:pt idx="40" formatCode="General">
                        <c:v>-7.4407078651685392</c:v>
                      </c:pt>
                      <c:pt idx="41" formatCode="General">
                        <c:v>-7.471370037453184</c:v>
                      </c:pt>
                      <c:pt idx="42" formatCode="General">
                        <c:v>-7.5007782771535583</c:v>
                      </c:pt>
                      <c:pt idx="43" formatCode="General">
                        <c:v>-7.5301865168539326</c:v>
                      </c:pt>
                      <c:pt idx="44" formatCode="General">
                        <c:v>-7.5595947565543069</c:v>
                      </c:pt>
                      <c:pt idx="45" formatCode="General">
                        <c:v>-7.5890029962546812</c:v>
                      </c:pt>
                      <c:pt idx="46" formatCode="General">
                        <c:v>-7.6184112359550564</c:v>
                      </c:pt>
                      <c:pt idx="47" formatCode="General">
                        <c:v>-7.6478194756554307</c:v>
                      </c:pt>
                      <c:pt idx="48" formatCode="General">
                        <c:v>-7.6772277153558051</c:v>
                      </c:pt>
                      <c:pt idx="49" formatCode="General">
                        <c:v>-7.7066359550561794</c:v>
                      </c:pt>
                      <c:pt idx="50" formatCode="General">
                        <c:v>-7.7360441947565537</c:v>
                      </c:pt>
                      <c:pt idx="51" formatCode="General">
                        <c:v>-7.7654249249249245</c:v>
                      </c:pt>
                      <c:pt idx="52" formatCode="General">
                        <c:v>-7.7930450450450452</c:v>
                      </c:pt>
                      <c:pt idx="53" formatCode="General">
                        <c:v>-7.8206651651651651</c:v>
                      </c:pt>
                      <c:pt idx="54" formatCode="General">
                        <c:v>-7.8482852852852849</c:v>
                      </c:pt>
                      <c:pt idx="55" formatCode="General">
                        <c:v>-7.8759054054054056</c:v>
                      </c:pt>
                      <c:pt idx="56" formatCode="General">
                        <c:v>-7.9035255255255255</c:v>
                      </c:pt>
                      <c:pt idx="57" formatCode="General">
                        <c:v>-7.9311456456456453</c:v>
                      </c:pt>
                      <c:pt idx="58" formatCode="General">
                        <c:v>-7.958765765765766</c:v>
                      </c:pt>
                      <c:pt idx="59" formatCode="General">
                        <c:v>-7.9863858858858858</c:v>
                      </c:pt>
                      <c:pt idx="60" formatCode="General">
                        <c:v>-8.0140060060060065</c:v>
                      </c:pt>
                      <c:pt idx="61" formatCode="General">
                        <c:v>-8.0416261261261255</c:v>
                      </c:pt>
                      <c:pt idx="62" formatCode="General">
                        <c:v>-8.0679999999999996</c:v>
                      </c:pt>
                      <c:pt idx="63" formatCode="General">
                        <c:v>-8.0939999999999994</c:v>
                      </c:pt>
                      <c:pt idx="64" formatCode="General">
                        <c:v>-8.1199999999999992</c:v>
                      </c:pt>
                      <c:pt idx="65" formatCode="General">
                        <c:v>-8.1460000000000008</c:v>
                      </c:pt>
                      <c:pt idx="66" formatCode="General">
                        <c:v>-8.1720000000000006</c:v>
                      </c:pt>
                      <c:pt idx="67" formatCode="General">
                        <c:v>-8.1975294117647053</c:v>
                      </c:pt>
                      <c:pt idx="68" formatCode="General">
                        <c:v>-8.2227647058823532</c:v>
                      </c:pt>
                      <c:pt idx="69" formatCode="General">
                        <c:v>-8.2479999999999993</c:v>
                      </c:pt>
                      <c:pt idx="70" formatCode="General">
                        <c:v>-8.2736060606060597</c:v>
                      </c:pt>
                      <c:pt idx="71" formatCode="General">
                        <c:v>-8.2992121212121219</c:v>
                      </c:pt>
                      <c:pt idx="72" formatCode="General">
                        <c:v>-8.3241879699248127</c:v>
                      </c:pt>
                      <c:pt idx="73" formatCode="General">
                        <c:v>-8.3484285714285722</c:v>
                      </c:pt>
                      <c:pt idx="74" formatCode="General">
                        <c:v>-8.3726691729323317</c:v>
                      </c:pt>
                      <c:pt idx="75" formatCode="General">
                        <c:v>-8.3969097744360912</c:v>
                      </c:pt>
                      <c:pt idx="76" formatCode="General">
                        <c:v>-8.4211503759398507</c:v>
                      </c:pt>
                      <c:pt idx="77" formatCode="General">
                        <c:v>-8.4453909774436084</c:v>
                      </c:pt>
                      <c:pt idx="78" formatCode="General">
                        <c:v>-8.469631578947368</c:v>
                      </c:pt>
                      <c:pt idx="79" formatCode="General">
                        <c:v>-8.4938721804511275</c:v>
                      </c:pt>
                      <c:pt idx="80" formatCode="General">
                        <c:v>-8.518112781954887</c:v>
                      </c:pt>
                      <c:pt idx="81" formatCode="General">
                        <c:v>-8.5423533834586465</c:v>
                      </c:pt>
                      <c:pt idx="82" formatCode="General">
                        <c:v>-8.5662388059701495</c:v>
                      </c:pt>
                      <c:pt idx="83" formatCode="General">
                        <c:v>-8.5889402985074632</c:v>
                      </c:pt>
                      <c:pt idx="84" formatCode="General">
                        <c:v>-8.6116417910447769</c:v>
                      </c:pt>
                      <c:pt idx="85" formatCode="General">
                        <c:v>-8.6343432835820888</c:v>
                      </c:pt>
                      <c:pt idx="86" formatCode="General">
                        <c:v>-8.6570447761194025</c:v>
                      </c:pt>
                      <c:pt idx="87" formatCode="General">
                        <c:v>-8.6797462686567162</c:v>
                      </c:pt>
                      <c:pt idx="88" formatCode="General">
                        <c:v>-8.7024477611940299</c:v>
                      </c:pt>
                      <c:pt idx="89" formatCode="General">
                        <c:v>-8.7251492537313435</c:v>
                      </c:pt>
                      <c:pt idx="90" formatCode="General">
                        <c:v>-8.7478507462686572</c:v>
                      </c:pt>
                      <c:pt idx="91" formatCode="General">
                        <c:v>-8.7705522388059709</c:v>
                      </c:pt>
                      <c:pt idx="92" formatCode="General">
                        <c:v>-8.7932537313432828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DFD-4AA5-9149-6FDDA7C4FDBD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-18.878558558558559</c:v>
                      </c:pt>
                      <c:pt idx="1">
                        <c:v>-18.874654654654655</c:v>
                      </c:pt>
                      <c:pt idx="2" formatCode="General">
                        <c:v>-18.870750750750751</c:v>
                      </c:pt>
                      <c:pt idx="3" formatCode="General">
                        <c:v>-18.879431137724552</c:v>
                      </c:pt>
                      <c:pt idx="4" formatCode="General">
                        <c:v>-18.891107784431139</c:v>
                      </c:pt>
                      <c:pt idx="5" formatCode="General">
                        <c:v>-18.903712574850299</c:v>
                      </c:pt>
                      <c:pt idx="6" formatCode="General">
                        <c:v>-18.919281437125747</c:v>
                      </c:pt>
                      <c:pt idx="7" formatCode="General">
                        <c:v>-18.934850299401198</c:v>
                      </c:pt>
                      <c:pt idx="8" formatCode="General">
                        <c:v>-18.953023952095808</c:v>
                      </c:pt>
                      <c:pt idx="9" formatCode="General">
                        <c:v>-18.97248502994012</c:v>
                      </c:pt>
                      <c:pt idx="10" formatCode="General">
                        <c:v>-18.991946107784429</c:v>
                      </c:pt>
                      <c:pt idx="11" formatCode="General">
                        <c:v>-19.011407185628741</c:v>
                      </c:pt>
                      <c:pt idx="12" formatCode="General">
                        <c:v>-19.030868263473053</c:v>
                      </c:pt>
                      <c:pt idx="13" formatCode="General">
                        <c:v>-19.046197604790418</c:v>
                      </c:pt>
                      <c:pt idx="14" formatCode="General">
                        <c:v>-19.057874251497005</c:v>
                      </c:pt>
                      <c:pt idx="15" formatCode="General">
                        <c:v>-19.069550898203595</c:v>
                      </c:pt>
                      <c:pt idx="16" formatCode="General">
                        <c:v>-19.028708708708709</c:v>
                      </c:pt>
                      <c:pt idx="17" formatCode="General">
                        <c:v>-18.985765765765766</c:v>
                      </c:pt>
                      <c:pt idx="18" formatCode="General">
                        <c:v>-18.970898203592814</c:v>
                      </c:pt>
                      <c:pt idx="19" formatCode="General">
                        <c:v>-18.998143712574851</c:v>
                      </c:pt>
                      <c:pt idx="20" formatCode="General">
                        <c:v>-19.025389221556889</c:v>
                      </c:pt>
                      <c:pt idx="21" formatCode="General">
                        <c:v>-19.052634730538923</c:v>
                      </c:pt>
                      <c:pt idx="22" formatCode="General">
                        <c:v>-19.079880239520961</c:v>
                      </c:pt>
                      <c:pt idx="23" formatCode="General">
                        <c:v>-19.107125748502995</c:v>
                      </c:pt>
                      <c:pt idx="24" formatCode="General">
                        <c:v>-19.134371257485032</c:v>
                      </c:pt>
                      <c:pt idx="25" formatCode="General">
                        <c:v>-19.161616766467066</c:v>
                      </c:pt>
                      <c:pt idx="26" formatCode="General">
                        <c:v>-19.188862275449104</c:v>
                      </c:pt>
                      <c:pt idx="27" formatCode="General">
                        <c:v>-19.216107784431138</c:v>
                      </c:pt>
                      <c:pt idx="28" formatCode="General">
                        <c:v>-19.243353293413172</c:v>
                      </c:pt>
                      <c:pt idx="29" formatCode="General">
                        <c:v>-19.27059880239521</c:v>
                      </c:pt>
                      <c:pt idx="30" formatCode="General">
                        <c:v>-19.297844311377244</c:v>
                      </c:pt>
                      <c:pt idx="31" formatCode="General">
                        <c:v>-19.324022471910112</c:v>
                      </c:pt>
                      <c:pt idx="32" formatCode="General">
                        <c:v>-19.349340823970035</c:v>
                      </c:pt>
                      <c:pt idx="33" formatCode="General">
                        <c:v>-19.374659176029962</c:v>
                      </c:pt>
                      <c:pt idx="34" formatCode="General">
                        <c:v>-19.399977528089888</c:v>
                      </c:pt>
                      <c:pt idx="35" formatCode="General">
                        <c:v>-19.425295880149811</c:v>
                      </c:pt>
                      <c:pt idx="36" formatCode="General">
                        <c:v>-19.450614232209738</c:v>
                      </c:pt>
                      <c:pt idx="37" formatCode="General">
                        <c:v>-19.475932584269664</c:v>
                      </c:pt>
                      <c:pt idx="38" formatCode="General">
                        <c:v>-19.501250936329587</c:v>
                      </c:pt>
                      <c:pt idx="39" formatCode="General">
                        <c:v>-19.526569288389513</c:v>
                      </c:pt>
                      <c:pt idx="40" formatCode="General">
                        <c:v>-19.55188764044944</c:v>
                      </c:pt>
                      <c:pt idx="41" formatCode="General">
                        <c:v>-19.576928838951311</c:v>
                      </c:pt>
                      <c:pt idx="42" formatCode="General">
                        <c:v>-19.601273408239702</c:v>
                      </c:pt>
                      <c:pt idx="43" formatCode="General">
                        <c:v>-19.625617977528091</c:v>
                      </c:pt>
                      <c:pt idx="44" formatCode="General">
                        <c:v>-19.649962546816479</c:v>
                      </c:pt>
                      <c:pt idx="45" formatCode="General">
                        <c:v>-19.67430711610487</c:v>
                      </c:pt>
                      <c:pt idx="46" formatCode="General">
                        <c:v>-19.698651685393259</c:v>
                      </c:pt>
                      <c:pt idx="47" formatCode="General">
                        <c:v>-19.722996254681647</c:v>
                      </c:pt>
                      <c:pt idx="48" formatCode="General">
                        <c:v>-19.747340823970038</c:v>
                      </c:pt>
                      <c:pt idx="49" formatCode="General">
                        <c:v>-19.771685393258426</c:v>
                      </c:pt>
                      <c:pt idx="50" formatCode="General">
                        <c:v>-19.796029962546818</c:v>
                      </c:pt>
                      <c:pt idx="51" formatCode="General">
                        <c:v>-19.820345345345345</c:v>
                      </c:pt>
                      <c:pt idx="52" formatCode="General">
                        <c:v>-19.842792792792793</c:v>
                      </c:pt>
                      <c:pt idx="53" formatCode="General">
                        <c:v>-19.86524024024024</c:v>
                      </c:pt>
                      <c:pt idx="54" formatCode="General">
                        <c:v>-19.887687687687688</c:v>
                      </c:pt>
                      <c:pt idx="55" formatCode="General">
                        <c:v>-19.910135135135135</c:v>
                      </c:pt>
                      <c:pt idx="56" formatCode="General">
                        <c:v>-19.932582582582583</c:v>
                      </c:pt>
                      <c:pt idx="57" formatCode="General">
                        <c:v>-19.955030030030031</c:v>
                      </c:pt>
                      <c:pt idx="58" formatCode="General">
                        <c:v>-19.977477477477478</c:v>
                      </c:pt>
                      <c:pt idx="59" formatCode="General">
                        <c:v>-19.999924924924926</c:v>
                      </c:pt>
                      <c:pt idx="60" formatCode="General">
                        <c:v>-20.022372372372374</c:v>
                      </c:pt>
                      <c:pt idx="61" formatCode="General">
                        <c:v>-20.044819819819821</c:v>
                      </c:pt>
                      <c:pt idx="62" formatCode="General">
                        <c:v>-20.067647058823528</c:v>
                      </c:pt>
                      <c:pt idx="63" formatCode="General">
                        <c:v>-20.090588235294117</c:v>
                      </c:pt>
                      <c:pt idx="64" formatCode="General">
                        <c:v>-20.113030303030303</c:v>
                      </c:pt>
                      <c:pt idx="65" formatCode="General">
                        <c:v>-20.132727272727273</c:v>
                      </c:pt>
                      <c:pt idx="66" formatCode="General">
                        <c:v>-20.152424242424242</c:v>
                      </c:pt>
                      <c:pt idx="67" formatCode="General">
                        <c:v>-20.171764705882353</c:v>
                      </c:pt>
                      <c:pt idx="68" formatCode="General">
                        <c:v>-20.190882352941177</c:v>
                      </c:pt>
                      <c:pt idx="69" formatCode="General">
                        <c:v>-20.21</c:v>
                      </c:pt>
                      <c:pt idx="70" formatCode="General">
                        <c:v>-20.22969696969697</c:v>
                      </c:pt>
                      <c:pt idx="71" formatCode="General">
                        <c:v>-20.24939393939394</c:v>
                      </c:pt>
                      <c:pt idx="72" formatCode="General">
                        <c:v>-20.269022556390979</c:v>
                      </c:pt>
                      <c:pt idx="73" formatCode="General">
                        <c:v>-20.28857142857143</c:v>
                      </c:pt>
                      <c:pt idx="74" formatCode="General">
                        <c:v>-20.308120300751881</c:v>
                      </c:pt>
                      <c:pt idx="75" formatCode="General">
                        <c:v>-20.327669172932332</c:v>
                      </c:pt>
                      <c:pt idx="76" formatCode="General">
                        <c:v>-20.347218045112783</c:v>
                      </c:pt>
                      <c:pt idx="77" formatCode="General">
                        <c:v>-20.366766917293234</c:v>
                      </c:pt>
                      <c:pt idx="78" formatCode="General">
                        <c:v>-20.386315789473684</c:v>
                      </c:pt>
                      <c:pt idx="79" formatCode="General">
                        <c:v>-20.405864661654135</c:v>
                      </c:pt>
                      <c:pt idx="80" formatCode="General">
                        <c:v>-20.425413533834586</c:v>
                      </c:pt>
                      <c:pt idx="81" formatCode="General">
                        <c:v>-20.444962406015037</c:v>
                      </c:pt>
                      <c:pt idx="82" formatCode="General">
                        <c:v>-20.464253731343284</c:v>
                      </c:pt>
                      <c:pt idx="83" formatCode="General">
                        <c:v>-20.48268656716418</c:v>
                      </c:pt>
                      <c:pt idx="84" formatCode="General">
                        <c:v>-20.501119402985076</c:v>
                      </c:pt>
                      <c:pt idx="85" formatCode="General">
                        <c:v>-20.519552238805971</c:v>
                      </c:pt>
                      <c:pt idx="86" formatCode="General">
                        <c:v>-20.537985074626867</c:v>
                      </c:pt>
                      <c:pt idx="87" formatCode="General">
                        <c:v>-20.55641791044776</c:v>
                      </c:pt>
                      <c:pt idx="88" formatCode="General">
                        <c:v>-20.574850746268655</c:v>
                      </c:pt>
                      <c:pt idx="89" formatCode="General">
                        <c:v>-20.593283582089551</c:v>
                      </c:pt>
                      <c:pt idx="90" formatCode="General">
                        <c:v>-20.611716417910447</c:v>
                      </c:pt>
                      <c:pt idx="91" formatCode="General">
                        <c:v>-20.630149253731343</c:v>
                      </c:pt>
                      <c:pt idx="92" formatCode="General">
                        <c:v>-20.648582089552239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DFD-4AA5-9149-6FDDA7C4FDBD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-59.785315315315316</c:v>
                      </c:pt>
                      <c:pt idx="1">
                        <c:v>-57.064294294294292</c:v>
                      </c:pt>
                      <c:pt idx="2" formatCode="General">
                        <c:v>-54.343273273273276</c:v>
                      </c:pt>
                      <c:pt idx="3" formatCode="General">
                        <c:v>-51.679131736526941</c:v>
                      </c:pt>
                      <c:pt idx="4" formatCode="General">
                        <c:v>-49.028532934131732</c:v>
                      </c:pt>
                      <c:pt idx="5" formatCode="General">
                        <c:v>-46.442904191616762</c:v>
                      </c:pt>
                      <c:pt idx="6" formatCode="General">
                        <c:v>-44.064760479041915</c:v>
                      </c:pt>
                      <c:pt idx="7" formatCode="General">
                        <c:v>-41.686616766467068</c:v>
                      </c:pt>
                      <c:pt idx="8" formatCode="General">
                        <c:v>-39.548113772455089</c:v>
                      </c:pt>
                      <c:pt idx="9" formatCode="General">
                        <c:v>-37.528053892215567</c:v>
                      </c:pt>
                      <c:pt idx="10" formatCode="General">
                        <c:v>-35.541856287425148</c:v>
                      </c:pt>
                      <c:pt idx="11" formatCode="General">
                        <c:v>-33.860419161676646</c:v>
                      </c:pt>
                      <c:pt idx="12" formatCode="General">
                        <c:v>-32.178982035928144</c:v>
                      </c:pt>
                      <c:pt idx="13" formatCode="General">
                        <c:v>-30.619431137724554</c:v>
                      </c:pt>
                      <c:pt idx="14" formatCode="General">
                        <c:v>-29.167634730538925</c:v>
                      </c:pt>
                      <c:pt idx="15" formatCode="General">
                        <c:v>-27.715838323353292</c:v>
                      </c:pt>
                      <c:pt idx="16" formatCode="General">
                        <c:v>-27.333423423423422</c:v>
                      </c:pt>
                      <c:pt idx="17" formatCode="General">
                        <c:v>-26.993783783783783</c:v>
                      </c:pt>
                      <c:pt idx="18" formatCode="General">
                        <c:v>-26.995508982035929</c:v>
                      </c:pt>
                      <c:pt idx="19" formatCode="General">
                        <c:v>-27.509281437125747</c:v>
                      </c:pt>
                      <c:pt idx="20" formatCode="General">
                        <c:v>-28.023053892215568</c:v>
                      </c:pt>
                      <c:pt idx="21" formatCode="General">
                        <c:v>-28.530359281437125</c:v>
                      </c:pt>
                      <c:pt idx="22" formatCode="General">
                        <c:v>-29.036347305389221</c:v>
                      </c:pt>
                      <c:pt idx="23" formatCode="General">
                        <c:v>-29.540299401197604</c:v>
                      </c:pt>
                      <c:pt idx="24" formatCode="General">
                        <c:v>-30.038502994011978</c:v>
                      </c:pt>
                      <c:pt idx="25" formatCode="General">
                        <c:v>-30.536706586826348</c:v>
                      </c:pt>
                      <c:pt idx="26" formatCode="General">
                        <c:v>-31.026826347305391</c:v>
                      </c:pt>
                      <c:pt idx="27" formatCode="General">
                        <c:v>-31.513353293413175</c:v>
                      </c:pt>
                      <c:pt idx="28" formatCode="General">
                        <c:v>-31.998443113772456</c:v>
                      </c:pt>
                      <c:pt idx="29" formatCode="General">
                        <c:v>-32.47329341317365</c:v>
                      </c:pt>
                      <c:pt idx="30" formatCode="General">
                        <c:v>-32.948143712574847</c:v>
                      </c:pt>
                      <c:pt idx="31" formatCode="General">
                        <c:v>-33.403235955056175</c:v>
                      </c:pt>
                      <c:pt idx="32" formatCode="General">
                        <c:v>-33.842411985018728</c:v>
                      </c:pt>
                      <c:pt idx="33" formatCode="General">
                        <c:v>-34.281588014981274</c:v>
                      </c:pt>
                      <c:pt idx="34" formatCode="General">
                        <c:v>-34.72076404494382</c:v>
                      </c:pt>
                      <c:pt idx="35" formatCode="General">
                        <c:v>-35.159940074906366</c:v>
                      </c:pt>
                      <c:pt idx="36" formatCode="General">
                        <c:v>-35.599116104868912</c:v>
                      </c:pt>
                      <c:pt idx="37" formatCode="General">
                        <c:v>-36.038292134831465</c:v>
                      </c:pt>
                      <c:pt idx="38" formatCode="General">
                        <c:v>-36.477468164794011</c:v>
                      </c:pt>
                      <c:pt idx="39" formatCode="General">
                        <c:v>-36.916644194756557</c:v>
                      </c:pt>
                      <c:pt idx="40" formatCode="General">
                        <c:v>-37.355820224719103</c:v>
                      </c:pt>
                      <c:pt idx="41" formatCode="General">
                        <c:v>-37.774209737827718</c:v>
                      </c:pt>
                      <c:pt idx="42" formatCode="General">
                        <c:v>-38.1403520599251</c:v>
                      </c:pt>
                      <c:pt idx="43" formatCode="General">
                        <c:v>-38.506494382022474</c:v>
                      </c:pt>
                      <c:pt idx="44" formatCode="General">
                        <c:v>-38.872636704119856</c:v>
                      </c:pt>
                      <c:pt idx="45" formatCode="General">
                        <c:v>-39.23877902621723</c:v>
                      </c:pt>
                      <c:pt idx="46" formatCode="General">
                        <c:v>-39.604921348314612</c:v>
                      </c:pt>
                      <c:pt idx="47" formatCode="General">
                        <c:v>-39.971063670411986</c:v>
                      </c:pt>
                      <c:pt idx="48" formatCode="General">
                        <c:v>-40.337205992509368</c:v>
                      </c:pt>
                      <c:pt idx="49" formatCode="General">
                        <c:v>-40.703348314606743</c:v>
                      </c:pt>
                      <c:pt idx="50" formatCode="General">
                        <c:v>-41.069490636704124</c:v>
                      </c:pt>
                      <c:pt idx="51" formatCode="General">
                        <c:v>-41.434354354354355</c:v>
                      </c:pt>
                      <c:pt idx="52" formatCode="General">
                        <c:v>-41.71738738738739</c:v>
                      </c:pt>
                      <c:pt idx="53" formatCode="General">
                        <c:v>-42.000420420420419</c:v>
                      </c:pt>
                      <c:pt idx="54" formatCode="General">
                        <c:v>-42.283453453453454</c:v>
                      </c:pt>
                      <c:pt idx="55" formatCode="General">
                        <c:v>-42.56648648648649</c:v>
                      </c:pt>
                      <c:pt idx="56" formatCode="General">
                        <c:v>-42.849519519519518</c:v>
                      </c:pt>
                      <c:pt idx="57" formatCode="General">
                        <c:v>-43.132552552552553</c:v>
                      </c:pt>
                      <c:pt idx="58" formatCode="General">
                        <c:v>-43.415585585585582</c:v>
                      </c:pt>
                      <c:pt idx="59" formatCode="General">
                        <c:v>-43.698618618618617</c:v>
                      </c:pt>
                      <c:pt idx="60" formatCode="General">
                        <c:v>-43.981651651651653</c:v>
                      </c:pt>
                      <c:pt idx="61" formatCode="General">
                        <c:v>-44.264684684684681</c:v>
                      </c:pt>
                      <c:pt idx="62" formatCode="General">
                        <c:v>-44.497647058823524</c:v>
                      </c:pt>
                      <c:pt idx="63" formatCode="General">
                        <c:v>-44.715588235294113</c:v>
                      </c:pt>
                      <c:pt idx="64" formatCode="General">
                        <c:v>-44.93151515151515</c:v>
                      </c:pt>
                      <c:pt idx="65" formatCode="General">
                        <c:v>-45.136363636363633</c:v>
                      </c:pt>
                      <c:pt idx="66" formatCode="General">
                        <c:v>-45.341212121212124</c:v>
                      </c:pt>
                      <c:pt idx="67" formatCode="General">
                        <c:v>-45.523529411764706</c:v>
                      </c:pt>
                      <c:pt idx="68" formatCode="General">
                        <c:v>-45.691764705882356</c:v>
                      </c:pt>
                      <c:pt idx="69" formatCode="General">
                        <c:v>-45.86</c:v>
                      </c:pt>
                      <c:pt idx="70" formatCode="General">
                        <c:v>-46.013636363636365</c:v>
                      </c:pt>
                      <c:pt idx="71" formatCode="General">
                        <c:v>-46.167272727272724</c:v>
                      </c:pt>
                      <c:pt idx="72" formatCode="General">
                        <c:v>-46.288796992481203</c:v>
                      </c:pt>
                      <c:pt idx="73" formatCode="General">
                        <c:v>-46.372857142857143</c:v>
                      </c:pt>
                      <c:pt idx="74" formatCode="General">
                        <c:v>-46.456917293233083</c:v>
                      </c:pt>
                      <c:pt idx="75" formatCode="General">
                        <c:v>-46.540977443609023</c:v>
                      </c:pt>
                      <c:pt idx="76" formatCode="General">
                        <c:v>-46.625037593984963</c:v>
                      </c:pt>
                      <c:pt idx="77" formatCode="General">
                        <c:v>-46.709097744360903</c:v>
                      </c:pt>
                      <c:pt idx="78" formatCode="General">
                        <c:v>-46.793157894736844</c:v>
                      </c:pt>
                      <c:pt idx="79" formatCode="General">
                        <c:v>-46.877218045112784</c:v>
                      </c:pt>
                      <c:pt idx="80" formatCode="General">
                        <c:v>-46.961278195488724</c:v>
                      </c:pt>
                      <c:pt idx="81" formatCode="General">
                        <c:v>-47.045338345864664</c:v>
                      </c:pt>
                      <c:pt idx="82" formatCode="General">
                        <c:v>-47.104179104477609</c:v>
                      </c:pt>
                      <c:pt idx="83" formatCode="General">
                        <c:v>-47.078955223880598</c:v>
                      </c:pt>
                      <c:pt idx="84" formatCode="General">
                        <c:v>-47.05373134328358</c:v>
                      </c:pt>
                      <c:pt idx="85" formatCode="General">
                        <c:v>-47.028507462686569</c:v>
                      </c:pt>
                      <c:pt idx="86" formatCode="General">
                        <c:v>-47.003283582089551</c:v>
                      </c:pt>
                      <c:pt idx="87" formatCode="General">
                        <c:v>-46.978059701492541</c:v>
                      </c:pt>
                      <c:pt idx="88" formatCode="General">
                        <c:v>-46.952835820895523</c:v>
                      </c:pt>
                      <c:pt idx="89" formatCode="General">
                        <c:v>-46.927611940298512</c:v>
                      </c:pt>
                      <c:pt idx="90" formatCode="General">
                        <c:v>-46.902388059701494</c:v>
                      </c:pt>
                      <c:pt idx="91" formatCode="General">
                        <c:v>-46.877164179104476</c:v>
                      </c:pt>
                      <c:pt idx="92" formatCode="General">
                        <c:v>-46.851940298507465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DFD-4AA5-9149-6FDDA7C4FDBD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-15.70018018018018</c:v>
                      </c:pt>
                      <c:pt idx="1">
                        <c:v>-14.888168168168168</c:v>
                      </c:pt>
                      <c:pt idx="2" formatCode="General">
                        <c:v>-14.076156156156156</c:v>
                      </c:pt>
                      <c:pt idx="3" formatCode="General">
                        <c:v>-13.171796407185628</c:v>
                      </c:pt>
                      <c:pt idx="4" formatCode="General">
                        <c:v>-12.245449101796405</c:v>
                      </c:pt>
                      <c:pt idx="5" formatCode="General">
                        <c:v>-11.336365269461076</c:v>
                      </c:pt>
                      <c:pt idx="6" formatCode="General">
                        <c:v>-10.482413173652693</c:v>
                      </c:pt>
                      <c:pt idx="7" formatCode="General">
                        <c:v>-9.628461077844312</c:v>
                      </c:pt>
                      <c:pt idx="8" formatCode="General">
                        <c:v>-8.8943293413173663</c:v>
                      </c:pt>
                      <c:pt idx="9" formatCode="General">
                        <c:v>-8.2194191616766474</c:v>
                      </c:pt>
                      <c:pt idx="10" formatCode="General">
                        <c:v>-7.5707814371257482</c:v>
                      </c:pt>
                      <c:pt idx="11" formatCode="General">
                        <c:v>-7.1585958083832333</c:v>
                      </c:pt>
                      <c:pt idx="12" formatCode="General">
                        <c:v>-6.7464101796407192</c:v>
                      </c:pt>
                      <c:pt idx="13" formatCode="General">
                        <c:v>-6.4751167664670657</c:v>
                      </c:pt>
                      <c:pt idx="14" formatCode="General">
                        <c:v>-6.3283802395209579</c:v>
                      </c:pt>
                      <c:pt idx="15" formatCode="General">
                        <c:v>-6.18164371257485</c:v>
                      </c:pt>
                      <c:pt idx="16" formatCode="General">
                        <c:v>-6.4226216216216221</c:v>
                      </c:pt>
                      <c:pt idx="17" formatCode="General">
                        <c:v>-6.6791081081081085</c:v>
                      </c:pt>
                      <c:pt idx="18" formatCode="General">
                        <c:v>-6.8345568862275448</c:v>
                      </c:pt>
                      <c:pt idx="19" formatCode="General">
                        <c:v>-6.8384491017964075</c:v>
                      </c:pt>
                      <c:pt idx="20" formatCode="General">
                        <c:v>-6.8423413173652694</c:v>
                      </c:pt>
                      <c:pt idx="21" formatCode="General">
                        <c:v>-6.8627245508982035</c:v>
                      </c:pt>
                      <c:pt idx="22" formatCode="General">
                        <c:v>-6.8864670658682634</c:v>
                      </c:pt>
                      <c:pt idx="23" formatCode="General">
                        <c:v>-6.911838323353293</c:v>
                      </c:pt>
                      <c:pt idx="24" formatCode="General">
                        <c:v>-6.9418083832335329</c:v>
                      </c:pt>
                      <c:pt idx="25" formatCode="General">
                        <c:v>-6.9717784431137719</c:v>
                      </c:pt>
                      <c:pt idx="26" formatCode="General">
                        <c:v>-7.0028263473053896</c:v>
                      </c:pt>
                      <c:pt idx="27" formatCode="General">
                        <c:v>-7.0343532934131741</c:v>
                      </c:pt>
                      <c:pt idx="28" formatCode="General">
                        <c:v>-7.0658802395209586</c:v>
                      </c:pt>
                      <c:pt idx="29" formatCode="General">
                        <c:v>-7.0974071856287431</c:v>
                      </c:pt>
                      <c:pt idx="30" formatCode="General">
                        <c:v>-7.1289341317365267</c:v>
                      </c:pt>
                      <c:pt idx="31" formatCode="General">
                        <c:v>-7.1602584269662923</c:v>
                      </c:pt>
                      <c:pt idx="32" formatCode="General">
                        <c:v>-7.1914194756554304</c:v>
                      </c:pt>
                      <c:pt idx="33" formatCode="General">
                        <c:v>-7.2225805243445693</c:v>
                      </c:pt>
                      <c:pt idx="34" formatCode="General">
                        <c:v>-7.2537415730337083</c:v>
                      </c:pt>
                      <c:pt idx="35" formatCode="General">
                        <c:v>-7.2849026217228463</c:v>
                      </c:pt>
                      <c:pt idx="36" formatCode="General">
                        <c:v>-7.3160636704119852</c:v>
                      </c:pt>
                      <c:pt idx="37" formatCode="General">
                        <c:v>-7.3472247191011233</c:v>
                      </c:pt>
                      <c:pt idx="38" formatCode="General">
                        <c:v>-7.3783857677902622</c:v>
                      </c:pt>
                      <c:pt idx="39" formatCode="General">
                        <c:v>-7.4095468164794012</c:v>
                      </c:pt>
                      <c:pt idx="40" formatCode="General">
                        <c:v>-7.4407078651685392</c:v>
                      </c:pt>
                      <c:pt idx="41" formatCode="General">
                        <c:v>-7.471370037453184</c:v>
                      </c:pt>
                      <c:pt idx="42" formatCode="General">
                        <c:v>-7.5007782771535583</c:v>
                      </c:pt>
                      <c:pt idx="43" formatCode="General">
                        <c:v>-7.5301865168539326</c:v>
                      </c:pt>
                      <c:pt idx="44" formatCode="General">
                        <c:v>-7.5595947565543069</c:v>
                      </c:pt>
                      <c:pt idx="45" formatCode="General">
                        <c:v>-7.5890029962546812</c:v>
                      </c:pt>
                      <c:pt idx="46" formatCode="General">
                        <c:v>-7.6184112359550564</c:v>
                      </c:pt>
                      <c:pt idx="47" formatCode="General">
                        <c:v>-7.6478194756554307</c:v>
                      </c:pt>
                      <c:pt idx="48" formatCode="General">
                        <c:v>-7.6772277153558051</c:v>
                      </c:pt>
                      <c:pt idx="49" formatCode="General">
                        <c:v>-7.7066359550561794</c:v>
                      </c:pt>
                      <c:pt idx="50" formatCode="General">
                        <c:v>-7.7360441947565537</c:v>
                      </c:pt>
                      <c:pt idx="51" formatCode="General">
                        <c:v>-7.7654249249249245</c:v>
                      </c:pt>
                      <c:pt idx="52" formatCode="General">
                        <c:v>-7.7930450450450452</c:v>
                      </c:pt>
                      <c:pt idx="53" formatCode="General">
                        <c:v>-7.8206651651651651</c:v>
                      </c:pt>
                      <c:pt idx="54" formatCode="General">
                        <c:v>-7.8482852852852849</c:v>
                      </c:pt>
                      <c:pt idx="55" formatCode="General">
                        <c:v>-7.8759054054054056</c:v>
                      </c:pt>
                      <c:pt idx="56" formatCode="General">
                        <c:v>-7.9035255255255255</c:v>
                      </c:pt>
                      <c:pt idx="57" formatCode="General">
                        <c:v>-7.9311456456456453</c:v>
                      </c:pt>
                      <c:pt idx="58" formatCode="General">
                        <c:v>-7.958765765765766</c:v>
                      </c:pt>
                      <c:pt idx="59" formatCode="General">
                        <c:v>-7.9863858858858858</c:v>
                      </c:pt>
                      <c:pt idx="60" formatCode="General">
                        <c:v>-8.0140060060060065</c:v>
                      </c:pt>
                      <c:pt idx="61" formatCode="General">
                        <c:v>-8.0416261261261255</c:v>
                      </c:pt>
                      <c:pt idx="62" formatCode="General">
                        <c:v>-8.0679999999999996</c:v>
                      </c:pt>
                      <c:pt idx="63" formatCode="General">
                        <c:v>-8.0939999999999994</c:v>
                      </c:pt>
                      <c:pt idx="64" formatCode="General">
                        <c:v>-8.1199999999999992</c:v>
                      </c:pt>
                      <c:pt idx="65" formatCode="General">
                        <c:v>-8.1460000000000008</c:v>
                      </c:pt>
                      <c:pt idx="66" formatCode="General">
                        <c:v>-8.1720000000000006</c:v>
                      </c:pt>
                      <c:pt idx="67" formatCode="General">
                        <c:v>-8.1975294117647053</c:v>
                      </c:pt>
                      <c:pt idx="68" formatCode="General">
                        <c:v>-8.2227647058823532</c:v>
                      </c:pt>
                      <c:pt idx="69" formatCode="General">
                        <c:v>-8.2479999999999993</c:v>
                      </c:pt>
                      <c:pt idx="70" formatCode="General">
                        <c:v>-8.2736060606060597</c:v>
                      </c:pt>
                      <c:pt idx="71" formatCode="General">
                        <c:v>-8.2992121212121219</c:v>
                      </c:pt>
                      <c:pt idx="72" formatCode="General">
                        <c:v>-8.3241879699248127</c:v>
                      </c:pt>
                      <c:pt idx="73" formatCode="General">
                        <c:v>-8.3484285714285722</c:v>
                      </c:pt>
                      <c:pt idx="74" formatCode="General">
                        <c:v>-8.3726691729323317</c:v>
                      </c:pt>
                      <c:pt idx="75" formatCode="General">
                        <c:v>-8.3969097744360912</c:v>
                      </c:pt>
                      <c:pt idx="76" formatCode="General">
                        <c:v>-8.4211503759398507</c:v>
                      </c:pt>
                      <c:pt idx="77" formatCode="General">
                        <c:v>-8.4453909774436084</c:v>
                      </c:pt>
                      <c:pt idx="78" formatCode="General">
                        <c:v>-8.469631578947368</c:v>
                      </c:pt>
                      <c:pt idx="79" formatCode="General">
                        <c:v>-8.4938721804511275</c:v>
                      </c:pt>
                      <c:pt idx="80" formatCode="General">
                        <c:v>-8.518112781954887</c:v>
                      </c:pt>
                      <c:pt idx="81" formatCode="General">
                        <c:v>-8.5423533834586465</c:v>
                      </c:pt>
                      <c:pt idx="82" formatCode="General">
                        <c:v>-8.5662388059701495</c:v>
                      </c:pt>
                      <c:pt idx="83" formatCode="General">
                        <c:v>-8.5889402985074632</c:v>
                      </c:pt>
                      <c:pt idx="84" formatCode="General">
                        <c:v>-8.6116417910447769</c:v>
                      </c:pt>
                      <c:pt idx="85" formatCode="General">
                        <c:v>-8.6343432835820888</c:v>
                      </c:pt>
                      <c:pt idx="86" formatCode="General">
                        <c:v>-8.6570447761194025</c:v>
                      </c:pt>
                      <c:pt idx="87" formatCode="General">
                        <c:v>-8.6797462686567162</c:v>
                      </c:pt>
                      <c:pt idx="88" formatCode="General">
                        <c:v>-8.7024477611940299</c:v>
                      </c:pt>
                      <c:pt idx="89" formatCode="General">
                        <c:v>-8.7251492537313435</c:v>
                      </c:pt>
                      <c:pt idx="90" formatCode="General">
                        <c:v>-8.7478507462686572</c:v>
                      </c:pt>
                      <c:pt idx="91" formatCode="General">
                        <c:v>-8.7705522388059709</c:v>
                      </c:pt>
                      <c:pt idx="92" formatCode="General">
                        <c:v>-8.7932537313432828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DFD-4AA5-9149-6FDDA7C4FDBD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-22.018918918918921</c:v>
                      </c:pt>
                      <c:pt idx="1">
                        <c:v>-21.69099099099099</c:v>
                      </c:pt>
                      <c:pt idx="2" formatCode="General">
                        <c:v>-21.363063063063063</c:v>
                      </c:pt>
                      <c:pt idx="3" formatCode="General">
                        <c:v>-21.328293413173654</c:v>
                      </c:pt>
                      <c:pt idx="4" formatCode="General">
                        <c:v>-21.363323353293413</c:v>
                      </c:pt>
                      <c:pt idx="5" formatCode="General">
                        <c:v>-21.428053892215569</c:v>
                      </c:pt>
                      <c:pt idx="6" formatCode="General">
                        <c:v>-21.587634730538923</c:v>
                      </c:pt>
                      <c:pt idx="7" formatCode="General">
                        <c:v>-21.747215568862277</c:v>
                      </c:pt>
                      <c:pt idx="8" formatCode="General">
                        <c:v>-21.901586826347305</c:v>
                      </c:pt>
                      <c:pt idx="9" formatCode="General">
                        <c:v>-22.053383233532934</c:v>
                      </c:pt>
                      <c:pt idx="10" formatCode="General">
                        <c:v>-22.201287425149701</c:v>
                      </c:pt>
                      <c:pt idx="11" formatCode="General">
                        <c:v>-22.314161676646709</c:v>
                      </c:pt>
                      <c:pt idx="12" formatCode="General">
                        <c:v>-22.427035928143713</c:v>
                      </c:pt>
                      <c:pt idx="13" formatCode="General">
                        <c:v>-22.544041916167664</c:v>
                      </c:pt>
                      <c:pt idx="14" formatCode="General">
                        <c:v>-22.664700598802394</c:v>
                      </c:pt>
                      <c:pt idx="15" formatCode="General">
                        <c:v>-22.785359281437124</c:v>
                      </c:pt>
                      <c:pt idx="16" formatCode="General">
                        <c:v>-22.883843843843842</c:v>
                      </c:pt>
                      <c:pt idx="17" formatCode="General">
                        <c:v>-22.98144144144144</c:v>
                      </c:pt>
                      <c:pt idx="18" formatCode="General">
                        <c:v>-23.1162874251497</c:v>
                      </c:pt>
                      <c:pt idx="19" formatCode="General">
                        <c:v>-23.307005988023953</c:v>
                      </c:pt>
                      <c:pt idx="20" formatCode="General">
                        <c:v>-23.497724550898205</c:v>
                      </c:pt>
                      <c:pt idx="21" formatCode="General">
                        <c:v>-23.691676646706586</c:v>
                      </c:pt>
                      <c:pt idx="22" formatCode="General">
                        <c:v>-23.8862874251497</c:v>
                      </c:pt>
                      <c:pt idx="23" formatCode="General">
                        <c:v>-24.078862275449104</c:v>
                      </c:pt>
                      <c:pt idx="24" formatCode="General">
                        <c:v>-24.265688622754492</c:v>
                      </c:pt>
                      <c:pt idx="25" formatCode="General">
                        <c:v>-24.45251497005988</c:v>
                      </c:pt>
                      <c:pt idx="26" formatCode="General">
                        <c:v>-24.639341317365272</c:v>
                      </c:pt>
                      <c:pt idx="27" formatCode="General">
                        <c:v>-24.82616766467066</c:v>
                      </c:pt>
                      <c:pt idx="28" formatCode="General">
                        <c:v>-25.012994011976048</c:v>
                      </c:pt>
                      <c:pt idx="29" formatCode="General">
                        <c:v>-25.199820359281436</c:v>
                      </c:pt>
                      <c:pt idx="30" formatCode="General">
                        <c:v>-25.386646706586827</c:v>
                      </c:pt>
                      <c:pt idx="31" formatCode="General">
                        <c:v>-25.567617977528091</c:v>
                      </c:pt>
                      <c:pt idx="32" formatCode="General">
                        <c:v>-25.743872659176031</c:v>
                      </c:pt>
                      <c:pt idx="33" formatCode="General">
                        <c:v>-25.920127340823971</c:v>
                      </c:pt>
                      <c:pt idx="34" formatCode="General">
                        <c:v>-26.096382022471911</c:v>
                      </c:pt>
                      <c:pt idx="35" formatCode="General">
                        <c:v>-26.272636704119851</c:v>
                      </c:pt>
                      <c:pt idx="36" formatCode="General">
                        <c:v>-26.448891385767791</c:v>
                      </c:pt>
                      <c:pt idx="37" formatCode="General">
                        <c:v>-26.625146067415731</c:v>
                      </c:pt>
                      <c:pt idx="38" formatCode="General">
                        <c:v>-26.801400749063671</c:v>
                      </c:pt>
                      <c:pt idx="39" formatCode="General">
                        <c:v>-26.977655430711611</c:v>
                      </c:pt>
                      <c:pt idx="40" formatCode="General">
                        <c:v>-27.153910112359551</c:v>
                      </c:pt>
                      <c:pt idx="41" formatCode="General">
                        <c:v>-27.327670411985022</c:v>
                      </c:pt>
                      <c:pt idx="42" formatCode="General">
                        <c:v>-27.495161048689141</c:v>
                      </c:pt>
                      <c:pt idx="43" formatCode="General">
                        <c:v>-27.662651685393261</c:v>
                      </c:pt>
                      <c:pt idx="44" formatCode="General">
                        <c:v>-27.83014232209738</c:v>
                      </c:pt>
                      <c:pt idx="45" formatCode="General">
                        <c:v>-27.9976329588015</c:v>
                      </c:pt>
                      <c:pt idx="46" formatCode="General">
                        <c:v>-28.165123595505619</c:v>
                      </c:pt>
                      <c:pt idx="47" formatCode="General">
                        <c:v>-28.332614232209739</c:v>
                      </c:pt>
                      <c:pt idx="48" formatCode="General">
                        <c:v>-28.500104868913859</c:v>
                      </c:pt>
                      <c:pt idx="49" formatCode="General">
                        <c:v>-28.667595505617978</c:v>
                      </c:pt>
                      <c:pt idx="50" formatCode="General">
                        <c:v>-28.835086142322098</c:v>
                      </c:pt>
                      <c:pt idx="51" formatCode="General">
                        <c:v>-29.002447447447448</c:v>
                      </c:pt>
                      <c:pt idx="52" formatCode="General">
                        <c:v>-29.161531531531534</c:v>
                      </c:pt>
                      <c:pt idx="53" formatCode="General">
                        <c:v>-29.320615615615615</c:v>
                      </c:pt>
                      <c:pt idx="54" formatCode="General">
                        <c:v>-29.479699699699701</c:v>
                      </c:pt>
                      <c:pt idx="55" formatCode="General">
                        <c:v>-29.638783783783783</c:v>
                      </c:pt>
                      <c:pt idx="56" formatCode="General">
                        <c:v>-29.797867867867868</c:v>
                      </c:pt>
                      <c:pt idx="57" formatCode="General">
                        <c:v>-29.95695195195195</c:v>
                      </c:pt>
                      <c:pt idx="58" formatCode="General">
                        <c:v>-30.116036036036036</c:v>
                      </c:pt>
                      <c:pt idx="59" formatCode="General">
                        <c:v>-30.275120120120121</c:v>
                      </c:pt>
                      <c:pt idx="60" formatCode="General">
                        <c:v>-30.434204204204203</c:v>
                      </c:pt>
                      <c:pt idx="61" formatCode="General">
                        <c:v>-30.593288288288289</c:v>
                      </c:pt>
                      <c:pt idx="62" formatCode="General">
                        <c:v>-30.747647058823528</c:v>
                      </c:pt>
                      <c:pt idx="63" formatCode="General">
                        <c:v>-30.900588235294119</c:v>
                      </c:pt>
                      <c:pt idx="64" formatCode="General">
                        <c:v>-31.053636363636365</c:v>
                      </c:pt>
                      <c:pt idx="65" formatCode="General">
                        <c:v>-31.207272727272727</c:v>
                      </c:pt>
                      <c:pt idx="66" formatCode="General">
                        <c:v>-31.360909090909093</c:v>
                      </c:pt>
                      <c:pt idx="67" formatCode="General">
                        <c:v>-31.511764705882353</c:v>
                      </c:pt>
                      <c:pt idx="68" formatCode="General">
                        <c:v>-31.660882352941176</c:v>
                      </c:pt>
                      <c:pt idx="69" formatCode="General">
                        <c:v>-31.81</c:v>
                      </c:pt>
                      <c:pt idx="70" formatCode="General">
                        <c:v>-31.963636363636365</c:v>
                      </c:pt>
                      <c:pt idx="71" formatCode="General">
                        <c:v>-32.117272727272727</c:v>
                      </c:pt>
                      <c:pt idx="72" formatCode="General">
                        <c:v>-32.269022556390979</c:v>
                      </c:pt>
                      <c:pt idx="73" formatCode="General">
                        <c:v>-32.418571428571433</c:v>
                      </c:pt>
                      <c:pt idx="74" formatCode="General">
                        <c:v>-32.568120300751879</c:v>
                      </c:pt>
                      <c:pt idx="75" formatCode="General">
                        <c:v>-32.717669172932332</c:v>
                      </c:pt>
                      <c:pt idx="76" formatCode="General">
                        <c:v>-32.867218045112779</c:v>
                      </c:pt>
                      <c:pt idx="77" formatCode="General">
                        <c:v>-33.016766917293232</c:v>
                      </c:pt>
                      <c:pt idx="78" formatCode="General">
                        <c:v>-33.166315789473686</c:v>
                      </c:pt>
                      <c:pt idx="79" formatCode="General">
                        <c:v>-33.315864661654132</c:v>
                      </c:pt>
                      <c:pt idx="80" formatCode="General">
                        <c:v>-33.465413533834585</c:v>
                      </c:pt>
                      <c:pt idx="81" formatCode="General">
                        <c:v>-33.614962406015032</c:v>
                      </c:pt>
                      <c:pt idx="82" formatCode="General">
                        <c:v>-33.763358208955218</c:v>
                      </c:pt>
                      <c:pt idx="83" formatCode="General">
                        <c:v>-33.907910447761189</c:v>
                      </c:pt>
                      <c:pt idx="84" formatCode="General">
                        <c:v>-34.052462686567161</c:v>
                      </c:pt>
                      <c:pt idx="85" formatCode="General">
                        <c:v>-34.197014925373132</c:v>
                      </c:pt>
                      <c:pt idx="86" formatCode="General">
                        <c:v>-34.341567164179104</c:v>
                      </c:pt>
                      <c:pt idx="87" formatCode="General">
                        <c:v>-34.486119402985075</c:v>
                      </c:pt>
                      <c:pt idx="88" formatCode="General">
                        <c:v>-34.630671641791039</c:v>
                      </c:pt>
                      <c:pt idx="89" formatCode="General">
                        <c:v>-34.775223880597011</c:v>
                      </c:pt>
                      <c:pt idx="90" formatCode="General">
                        <c:v>-34.919776119402982</c:v>
                      </c:pt>
                      <c:pt idx="91" formatCode="General">
                        <c:v>-35.064328358208954</c:v>
                      </c:pt>
                      <c:pt idx="92" formatCode="General">
                        <c:v>-35.208880597014925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DFD-4AA5-9149-6FDDA7C4FDBD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DFD-4AA5-9149-6FDDA7C4FDBD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DFD-4AA5-9149-6FDDA7C4FDBD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DFD-4AA5-9149-6FDDA7C4FDBD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DFD-4AA5-9149-6FDDA7C4FDBD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</c:valAx>
      <c:valAx>
        <c:axId val="938775583"/>
        <c:scaling>
          <c:orientation val="minMax"/>
          <c:max val="-45"/>
          <c:min val="-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Ge2Se3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303</c:v>
                </c:pt>
                <c:pt idx="1">
                  <c:v>316</c:v>
                </c:pt>
                <c:pt idx="2">
                  <c:v>329</c:v>
                </c:pt>
                <c:pt idx="3">
                  <c:v>342</c:v>
                </c:pt>
                <c:pt idx="4">
                  <c:v>355</c:v>
                </c:pt>
                <c:pt idx="5">
                  <c:v>368</c:v>
                </c:pt>
                <c:pt idx="6">
                  <c:v>381</c:v>
                </c:pt>
                <c:pt idx="7">
                  <c:v>394</c:v>
                </c:pt>
                <c:pt idx="8">
                  <c:v>407</c:v>
                </c:pt>
                <c:pt idx="9">
                  <c:v>420</c:v>
                </c:pt>
                <c:pt idx="10">
                  <c:v>433</c:v>
                </c:pt>
                <c:pt idx="11">
                  <c:v>446</c:v>
                </c:pt>
                <c:pt idx="12">
                  <c:v>459</c:v>
                </c:pt>
                <c:pt idx="13">
                  <c:v>472</c:v>
                </c:pt>
                <c:pt idx="14">
                  <c:v>485</c:v>
                </c:pt>
                <c:pt idx="15">
                  <c:v>498</c:v>
                </c:pt>
                <c:pt idx="16">
                  <c:v>511</c:v>
                </c:pt>
                <c:pt idx="17">
                  <c:v>524</c:v>
                </c:pt>
                <c:pt idx="18">
                  <c:v>537</c:v>
                </c:pt>
                <c:pt idx="19">
                  <c:v>550</c:v>
                </c:pt>
                <c:pt idx="20">
                  <c:v>563</c:v>
                </c:pt>
                <c:pt idx="21">
                  <c:v>576</c:v>
                </c:pt>
                <c:pt idx="22">
                  <c:v>589</c:v>
                </c:pt>
                <c:pt idx="23">
                  <c:v>602</c:v>
                </c:pt>
                <c:pt idx="24">
                  <c:v>615</c:v>
                </c:pt>
                <c:pt idx="25">
                  <c:v>628</c:v>
                </c:pt>
                <c:pt idx="26">
                  <c:v>641</c:v>
                </c:pt>
                <c:pt idx="27">
                  <c:v>654</c:v>
                </c:pt>
                <c:pt idx="28">
                  <c:v>667</c:v>
                </c:pt>
                <c:pt idx="29">
                  <c:v>680</c:v>
                </c:pt>
                <c:pt idx="30">
                  <c:v>693</c:v>
                </c:pt>
                <c:pt idx="31">
                  <c:v>706</c:v>
                </c:pt>
                <c:pt idx="32">
                  <c:v>719</c:v>
                </c:pt>
                <c:pt idx="33">
                  <c:v>732</c:v>
                </c:pt>
                <c:pt idx="34">
                  <c:v>745</c:v>
                </c:pt>
                <c:pt idx="35">
                  <c:v>758</c:v>
                </c:pt>
                <c:pt idx="36">
                  <c:v>771</c:v>
                </c:pt>
                <c:pt idx="37">
                  <c:v>784</c:v>
                </c:pt>
                <c:pt idx="38">
                  <c:v>797</c:v>
                </c:pt>
                <c:pt idx="39">
                  <c:v>810</c:v>
                </c:pt>
                <c:pt idx="40">
                  <c:v>823</c:v>
                </c:pt>
                <c:pt idx="41">
                  <c:v>836</c:v>
                </c:pt>
                <c:pt idx="42">
                  <c:v>849</c:v>
                </c:pt>
                <c:pt idx="43">
                  <c:v>862</c:v>
                </c:pt>
                <c:pt idx="44">
                  <c:v>875</c:v>
                </c:pt>
                <c:pt idx="45">
                  <c:v>888</c:v>
                </c:pt>
                <c:pt idx="46">
                  <c:v>901</c:v>
                </c:pt>
                <c:pt idx="47">
                  <c:v>914</c:v>
                </c:pt>
                <c:pt idx="48">
                  <c:v>927</c:v>
                </c:pt>
                <c:pt idx="49">
                  <c:v>940</c:v>
                </c:pt>
                <c:pt idx="50">
                  <c:v>953</c:v>
                </c:pt>
                <c:pt idx="51">
                  <c:v>966</c:v>
                </c:pt>
                <c:pt idx="52">
                  <c:v>979</c:v>
                </c:pt>
                <c:pt idx="53">
                  <c:v>992</c:v>
                </c:pt>
                <c:pt idx="54">
                  <c:v>1005</c:v>
                </c:pt>
                <c:pt idx="55">
                  <c:v>1018</c:v>
                </c:pt>
                <c:pt idx="56">
                  <c:v>1031</c:v>
                </c:pt>
                <c:pt idx="57">
                  <c:v>1044</c:v>
                </c:pt>
                <c:pt idx="58">
                  <c:v>1057</c:v>
                </c:pt>
                <c:pt idx="59">
                  <c:v>1070</c:v>
                </c:pt>
                <c:pt idx="60">
                  <c:v>1083</c:v>
                </c:pt>
                <c:pt idx="61">
                  <c:v>1096</c:v>
                </c:pt>
                <c:pt idx="62">
                  <c:v>1109</c:v>
                </c:pt>
                <c:pt idx="63">
                  <c:v>1122</c:v>
                </c:pt>
                <c:pt idx="64">
                  <c:v>1135</c:v>
                </c:pt>
                <c:pt idx="65">
                  <c:v>1148</c:v>
                </c:pt>
                <c:pt idx="66">
                  <c:v>1161</c:v>
                </c:pt>
                <c:pt idx="67">
                  <c:v>1174</c:v>
                </c:pt>
                <c:pt idx="68">
                  <c:v>1187</c:v>
                </c:pt>
                <c:pt idx="69">
                  <c:v>1200</c:v>
                </c:pt>
                <c:pt idx="70">
                  <c:v>1213</c:v>
                </c:pt>
                <c:pt idx="71">
                  <c:v>1226</c:v>
                </c:pt>
                <c:pt idx="72">
                  <c:v>1239</c:v>
                </c:pt>
                <c:pt idx="73">
                  <c:v>1252</c:v>
                </c:pt>
                <c:pt idx="74">
                  <c:v>1265</c:v>
                </c:pt>
                <c:pt idx="75">
                  <c:v>1278</c:v>
                </c:pt>
                <c:pt idx="76">
                  <c:v>1291</c:v>
                </c:pt>
                <c:pt idx="77">
                  <c:v>1304</c:v>
                </c:pt>
                <c:pt idx="78">
                  <c:v>1317</c:v>
                </c:pt>
                <c:pt idx="79">
                  <c:v>1330</c:v>
                </c:pt>
                <c:pt idx="80">
                  <c:v>1343</c:v>
                </c:pt>
                <c:pt idx="81">
                  <c:v>1356</c:v>
                </c:pt>
                <c:pt idx="82">
                  <c:v>1369</c:v>
                </c:pt>
                <c:pt idx="83">
                  <c:v>1382</c:v>
                </c:pt>
                <c:pt idx="84">
                  <c:v>1395</c:v>
                </c:pt>
                <c:pt idx="85">
                  <c:v>1408</c:v>
                </c:pt>
                <c:pt idx="86">
                  <c:v>1421</c:v>
                </c:pt>
                <c:pt idx="87">
                  <c:v>1434</c:v>
                </c:pt>
                <c:pt idx="88">
                  <c:v>1447</c:v>
                </c:pt>
                <c:pt idx="89">
                  <c:v>1460</c:v>
                </c:pt>
                <c:pt idx="90">
                  <c:v>1473</c:v>
                </c:pt>
                <c:pt idx="91">
                  <c:v>1486</c:v>
                </c:pt>
                <c:pt idx="92">
                  <c:v>1499</c:v>
                </c:pt>
              </c:numCache>
              <c:extLst xmlns:c15="http://schemas.microsoft.com/office/drawing/2012/chart"/>
            </c:numRef>
          </c:xVal>
          <c:yVal>
            <c:numRef>
              <c:f>EVALUATION!$B$108:$CP$108</c:f>
              <c:numCache>
                <c:formatCode>0</c:formatCode>
                <c:ptCount val="93"/>
                <c:pt idx="0">
                  <c:v>-185.26585585585585</c:v>
                </c:pt>
                <c:pt idx="1">
                  <c:v>-178.80879879879882</c:v>
                </c:pt>
                <c:pt idx="2" formatCode="General">
                  <c:v>-172.35174174174176</c:v>
                </c:pt>
                <c:pt idx="3" formatCode="General">
                  <c:v>-166.91</c:v>
                </c:pt>
                <c:pt idx="4" formatCode="General">
                  <c:v>-161.71</c:v>
                </c:pt>
                <c:pt idx="5" formatCode="General">
                  <c:v>-156.72718562874252</c:v>
                </c:pt>
                <c:pt idx="6" formatCode="General">
                  <c:v>-152.43796407185627</c:v>
                </c:pt>
                <c:pt idx="7" formatCode="General">
                  <c:v>-148.14874251497005</c:v>
                </c:pt>
                <c:pt idx="8" formatCode="General">
                  <c:v>-144.32577844311376</c:v>
                </c:pt>
                <c:pt idx="9" formatCode="General">
                  <c:v>-140.73326347305388</c:v>
                </c:pt>
                <c:pt idx="10" formatCode="General">
                  <c:v>-137.19523952095807</c:v>
                </c:pt>
                <c:pt idx="11" formatCode="General">
                  <c:v>-134.14763473053893</c:v>
                </c:pt>
                <c:pt idx="12" formatCode="General">
                  <c:v>-131.10002994011978</c:v>
                </c:pt>
                <c:pt idx="13" formatCode="General">
                  <c:v>-128.29000000000002</c:v>
                </c:pt>
                <c:pt idx="14" formatCode="General">
                  <c:v>-125.69000000000001</c:v>
                </c:pt>
                <c:pt idx="15" formatCode="General">
                  <c:v>-123.09</c:v>
                </c:pt>
                <c:pt idx="16" formatCode="General">
                  <c:v>-121.24825825825826</c:v>
                </c:pt>
                <c:pt idx="17" formatCode="General">
                  <c:v>-119.43684684684683</c:v>
                </c:pt>
                <c:pt idx="18" formatCode="General">
                  <c:v>-118.99922155688623</c:v>
                </c:pt>
                <c:pt idx="19" formatCode="General">
                  <c:v>-120.62227544910179</c:v>
                </c:pt>
                <c:pt idx="20" formatCode="General">
                  <c:v>-122.24532934131737</c:v>
                </c:pt>
                <c:pt idx="21" formatCode="General">
                  <c:v>-123.80694610778444</c:v>
                </c:pt>
                <c:pt idx="22" formatCode="General">
                  <c:v>-125.35604790419163</c:v>
                </c:pt>
                <c:pt idx="23" formatCode="General">
                  <c:v>-126.90514970059881</c:v>
                </c:pt>
                <c:pt idx="24" formatCode="General">
                  <c:v>-128.454251497006</c:v>
                </c:pt>
                <c:pt idx="25" formatCode="General">
                  <c:v>-130.00335329341317</c:v>
                </c:pt>
                <c:pt idx="26" formatCode="General">
                  <c:v>-131.55245508982037</c:v>
                </c:pt>
                <c:pt idx="27" formatCode="General">
                  <c:v>-133.10155688622754</c:v>
                </c:pt>
                <c:pt idx="28" formatCode="General">
                  <c:v>-134.65065868263474</c:v>
                </c:pt>
                <c:pt idx="29" formatCode="General">
                  <c:v>-136.19976047904191</c:v>
                </c:pt>
                <c:pt idx="30" formatCode="General">
                  <c:v>-137.74886227544911</c:v>
                </c:pt>
                <c:pt idx="31" formatCode="General">
                  <c:v>-139.21824719101124</c:v>
                </c:pt>
                <c:pt idx="32" formatCode="General">
                  <c:v>-140.62341573033709</c:v>
                </c:pt>
                <c:pt idx="33" formatCode="General">
                  <c:v>-142.02858426966293</c:v>
                </c:pt>
                <c:pt idx="34" formatCode="General">
                  <c:v>-143.43375280898877</c:v>
                </c:pt>
                <c:pt idx="35" formatCode="General">
                  <c:v>-144.83892134831461</c:v>
                </c:pt>
                <c:pt idx="36" formatCode="General">
                  <c:v>-146.24408988764046</c:v>
                </c:pt>
                <c:pt idx="37" formatCode="General">
                  <c:v>-147.6492584269663</c:v>
                </c:pt>
                <c:pt idx="38" formatCode="General">
                  <c:v>-149.05442696629214</c:v>
                </c:pt>
                <c:pt idx="39" formatCode="General">
                  <c:v>-150.45959550561798</c:v>
                </c:pt>
                <c:pt idx="40" formatCode="General">
                  <c:v>-151.86476404494383</c:v>
                </c:pt>
                <c:pt idx="41" formatCode="General">
                  <c:v>-153.2219850187266</c:v>
                </c:pt>
                <c:pt idx="42" formatCode="General">
                  <c:v>-154.45868913857677</c:v>
                </c:pt>
                <c:pt idx="43" formatCode="General">
                  <c:v>-155.69539325842698</c:v>
                </c:pt>
                <c:pt idx="44" formatCode="General">
                  <c:v>-156.93209737827715</c:v>
                </c:pt>
                <c:pt idx="45" formatCode="General">
                  <c:v>-158.16880149812735</c:v>
                </c:pt>
                <c:pt idx="46" formatCode="General">
                  <c:v>-159.40550561797752</c:v>
                </c:pt>
                <c:pt idx="47" formatCode="General">
                  <c:v>-160.64220973782773</c:v>
                </c:pt>
                <c:pt idx="48" formatCode="General">
                  <c:v>-161.8789138576779</c:v>
                </c:pt>
                <c:pt idx="49" formatCode="General">
                  <c:v>-163.1156179775281</c:v>
                </c:pt>
                <c:pt idx="50" formatCode="General">
                  <c:v>-164.35232209737828</c:v>
                </c:pt>
                <c:pt idx="51" formatCode="General">
                  <c:v>-165.58706586826347</c:v>
                </c:pt>
                <c:pt idx="52" formatCode="General">
                  <c:v>-166.69634730538922</c:v>
                </c:pt>
                <c:pt idx="53" formatCode="General">
                  <c:v>-167.80562874251495</c:v>
                </c:pt>
                <c:pt idx="54" formatCode="General">
                  <c:v>-168.88846153846151</c:v>
                </c:pt>
                <c:pt idx="55" formatCode="General">
                  <c:v>-169.93846153846152</c:v>
                </c:pt>
                <c:pt idx="56" formatCode="General">
                  <c:v>-170.98846153846151</c:v>
                </c:pt>
                <c:pt idx="57" formatCode="General">
                  <c:v>-172.02666666666664</c:v>
                </c:pt>
                <c:pt idx="58" formatCode="General">
                  <c:v>-173.06272727272727</c:v>
                </c:pt>
                <c:pt idx="59" formatCode="General">
                  <c:v>-174.07818181818183</c:v>
                </c:pt>
                <c:pt idx="60" formatCode="General">
                  <c:v>-175.04727272727274</c:v>
                </c:pt>
                <c:pt idx="61" formatCode="General">
                  <c:v>-176.01636363636365</c:v>
                </c:pt>
                <c:pt idx="62" formatCode="General">
                  <c:v>-176.87805970149256</c:v>
                </c:pt>
                <c:pt idx="63" formatCode="General">
                  <c:v>-177.70753731343285</c:v>
                </c:pt>
                <c:pt idx="64" formatCode="General">
                  <c:v>-178.53701492537314</c:v>
                </c:pt>
                <c:pt idx="65" formatCode="General">
                  <c:v>-179.36649253731343</c:v>
                </c:pt>
                <c:pt idx="66" formatCode="General">
                  <c:v>-180.19597014925375</c:v>
                </c:pt>
                <c:pt idx="67" formatCode="General">
                  <c:v>-181.02544776119404</c:v>
                </c:pt>
                <c:pt idx="68" formatCode="General">
                  <c:v>-181.85492537313434</c:v>
                </c:pt>
                <c:pt idx="69" formatCode="General">
                  <c:v>-182.68440298507466</c:v>
                </c:pt>
                <c:pt idx="70" formatCode="General">
                  <c:v>-183.51388059701495</c:v>
                </c:pt>
                <c:pt idx="71" formatCode="General">
                  <c:v>-184.34335820895524</c:v>
                </c:pt>
                <c:pt idx="72" formatCode="General">
                  <c:v>-185.07466165413535</c:v>
                </c:pt>
                <c:pt idx="73" formatCode="General">
                  <c:v>-185.69142857142859</c:v>
                </c:pt>
                <c:pt idx="74" formatCode="General">
                  <c:v>-186.30819548872182</c:v>
                </c:pt>
                <c:pt idx="75" formatCode="General">
                  <c:v>-186.92496240601506</c:v>
                </c:pt>
                <c:pt idx="76" formatCode="General">
                  <c:v>-187.54172932330829</c:v>
                </c:pt>
                <c:pt idx="77" formatCode="General">
                  <c:v>-188.15849624060152</c:v>
                </c:pt>
                <c:pt idx="78" formatCode="General">
                  <c:v>-188.77526315789473</c:v>
                </c:pt>
                <c:pt idx="79" formatCode="General">
                  <c:v>-189.39203007518796</c:v>
                </c:pt>
                <c:pt idx="80" formatCode="General">
                  <c:v>-190.00879699248119</c:v>
                </c:pt>
                <c:pt idx="81" formatCode="General">
                  <c:v>-190.62556390977443</c:v>
                </c:pt>
                <c:pt idx="82" formatCode="General">
                  <c:v>-191.20499999999998</c:v>
                </c:pt>
                <c:pt idx="83" formatCode="General">
                  <c:v>-191.66</c:v>
                </c:pt>
                <c:pt idx="84" formatCode="General">
                  <c:v>-192.11500000000001</c:v>
                </c:pt>
                <c:pt idx="85" formatCode="General">
                  <c:v>-192.55666666666667</c:v>
                </c:pt>
                <c:pt idx="86" formatCode="General">
                  <c:v>-192.99</c:v>
                </c:pt>
                <c:pt idx="87" formatCode="General">
                  <c:v>-193.41676470588234</c:v>
                </c:pt>
                <c:pt idx="88" formatCode="General">
                  <c:v>-193.76470588235293</c:v>
                </c:pt>
                <c:pt idx="89" formatCode="General">
                  <c:v>-194.11264705882354</c:v>
                </c:pt>
                <c:pt idx="90" formatCode="General">
                  <c:v>-194.44</c:v>
                </c:pt>
                <c:pt idx="91" formatCode="General">
                  <c:v>-194.74333333333334</c:v>
                </c:pt>
                <c:pt idx="92" formatCode="General">
                  <c:v>-195.04666666666665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DE9B-4A24-AF6E-BAFF55F304A7}"/>
            </c:ext>
          </c:extLst>
        </c:ser>
        <c:ser>
          <c:idx val="38"/>
          <c:order val="38"/>
          <c:spPr>
            <a:ln w="19050" cap="rnd">
              <a:solidFill>
                <a:schemeClr val="accent4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303</c:v>
                </c:pt>
                <c:pt idx="1">
                  <c:v>316</c:v>
                </c:pt>
                <c:pt idx="2">
                  <c:v>329</c:v>
                </c:pt>
                <c:pt idx="3">
                  <c:v>342</c:v>
                </c:pt>
                <c:pt idx="4">
                  <c:v>355</c:v>
                </c:pt>
                <c:pt idx="5">
                  <c:v>368</c:v>
                </c:pt>
                <c:pt idx="6">
                  <c:v>381</c:v>
                </c:pt>
                <c:pt idx="7">
                  <c:v>394</c:v>
                </c:pt>
                <c:pt idx="8">
                  <c:v>407</c:v>
                </c:pt>
                <c:pt idx="9">
                  <c:v>420</c:v>
                </c:pt>
                <c:pt idx="10">
                  <c:v>433</c:v>
                </c:pt>
                <c:pt idx="11">
                  <c:v>446</c:v>
                </c:pt>
                <c:pt idx="12">
                  <c:v>459</c:v>
                </c:pt>
                <c:pt idx="13">
                  <c:v>472</c:v>
                </c:pt>
                <c:pt idx="14">
                  <c:v>485</c:v>
                </c:pt>
                <c:pt idx="15">
                  <c:v>498</c:v>
                </c:pt>
                <c:pt idx="16">
                  <c:v>511</c:v>
                </c:pt>
                <c:pt idx="17">
                  <c:v>524</c:v>
                </c:pt>
                <c:pt idx="18">
                  <c:v>537</c:v>
                </c:pt>
                <c:pt idx="19">
                  <c:v>550</c:v>
                </c:pt>
                <c:pt idx="20">
                  <c:v>563</c:v>
                </c:pt>
                <c:pt idx="21">
                  <c:v>576</c:v>
                </c:pt>
                <c:pt idx="22">
                  <c:v>589</c:v>
                </c:pt>
                <c:pt idx="23">
                  <c:v>602</c:v>
                </c:pt>
                <c:pt idx="24">
                  <c:v>615</c:v>
                </c:pt>
                <c:pt idx="25">
                  <c:v>628</c:v>
                </c:pt>
                <c:pt idx="26">
                  <c:v>641</c:v>
                </c:pt>
                <c:pt idx="27">
                  <c:v>654</c:v>
                </c:pt>
                <c:pt idx="28">
                  <c:v>667</c:v>
                </c:pt>
                <c:pt idx="29">
                  <c:v>680</c:v>
                </c:pt>
                <c:pt idx="30">
                  <c:v>693</c:v>
                </c:pt>
                <c:pt idx="31">
                  <c:v>706</c:v>
                </c:pt>
                <c:pt idx="32">
                  <c:v>719</c:v>
                </c:pt>
                <c:pt idx="33">
                  <c:v>732</c:v>
                </c:pt>
                <c:pt idx="34">
                  <c:v>745</c:v>
                </c:pt>
                <c:pt idx="35">
                  <c:v>758</c:v>
                </c:pt>
                <c:pt idx="36">
                  <c:v>771</c:v>
                </c:pt>
                <c:pt idx="37">
                  <c:v>784</c:v>
                </c:pt>
                <c:pt idx="38">
                  <c:v>797</c:v>
                </c:pt>
                <c:pt idx="39">
                  <c:v>810</c:v>
                </c:pt>
                <c:pt idx="40">
                  <c:v>823</c:v>
                </c:pt>
                <c:pt idx="41">
                  <c:v>836</c:v>
                </c:pt>
                <c:pt idx="42">
                  <c:v>849</c:v>
                </c:pt>
                <c:pt idx="43">
                  <c:v>862</c:v>
                </c:pt>
                <c:pt idx="44">
                  <c:v>875</c:v>
                </c:pt>
                <c:pt idx="45">
                  <c:v>888</c:v>
                </c:pt>
                <c:pt idx="46">
                  <c:v>901</c:v>
                </c:pt>
                <c:pt idx="47">
                  <c:v>914</c:v>
                </c:pt>
                <c:pt idx="48">
                  <c:v>927</c:v>
                </c:pt>
                <c:pt idx="49">
                  <c:v>940</c:v>
                </c:pt>
                <c:pt idx="50">
                  <c:v>953</c:v>
                </c:pt>
                <c:pt idx="51">
                  <c:v>966</c:v>
                </c:pt>
                <c:pt idx="52">
                  <c:v>979</c:v>
                </c:pt>
                <c:pt idx="53">
                  <c:v>992</c:v>
                </c:pt>
                <c:pt idx="54">
                  <c:v>1005</c:v>
                </c:pt>
                <c:pt idx="55">
                  <c:v>1018</c:v>
                </c:pt>
                <c:pt idx="56">
                  <c:v>1031</c:v>
                </c:pt>
                <c:pt idx="57">
                  <c:v>1044</c:v>
                </c:pt>
                <c:pt idx="58">
                  <c:v>1057</c:v>
                </c:pt>
                <c:pt idx="59">
                  <c:v>1070</c:v>
                </c:pt>
                <c:pt idx="60">
                  <c:v>1083</c:v>
                </c:pt>
                <c:pt idx="61">
                  <c:v>1096</c:v>
                </c:pt>
                <c:pt idx="62">
                  <c:v>1109</c:v>
                </c:pt>
                <c:pt idx="63">
                  <c:v>1122</c:v>
                </c:pt>
                <c:pt idx="64">
                  <c:v>1135</c:v>
                </c:pt>
                <c:pt idx="65">
                  <c:v>1148</c:v>
                </c:pt>
                <c:pt idx="66">
                  <c:v>1161</c:v>
                </c:pt>
                <c:pt idx="67">
                  <c:v>1174</c:v>
                </c:pt>
                <c:pt idx="68">
                  <c:v>1187</c:v>
                </c:pt>
                <c:pt idx="69">
                  <c:v>1200</c:v>
                </c:pt>
                <c:pt idx="70">
                  <c:v>1213</c:v>
                </c:pt>
                <c:pt idx="71">
                  <c:v>1226</c:v>
                </c:pt>
                <c:pt idx="72">
                  <c:v>1239</c:v>
                </c:pt>
                <c:pt idx="73">
                  <c:v>1252</c:v>
                </c:pt>
                <c:pt idx="74">
                  <c:v>1265</c:v>
                </c:pt>
                <c:pt idx="75">
                  <c:v>1278</c:v>
                </c:pt>
                <c:pt idx="76">
                  <c:v>1291</c:v>
                </c:pt>
                <c:pt idx="77">
                  <c:v>1304</c:v>
                </c:pt>
                <c:pt idx="78">
                  <c:v>1317</c:v>
                </c:pt>
                <c:pt idx="79">
                  <c:v>1330</c:v>
                </c:pt>
                <c:pt idx="80">
                  <c:v>1343</c:v>
                </c:pt>
                <c:pt idx="81">
                  <c:v>1356</c:v>
                </c:pt>
                <c:pt idx="82">
                  <c:v>1369</c:v>
                </c:pt>
                <c:pt idx="83">
                  <c:v>1382</c:v>
                </c:pt>
                <c:pt idx="84">
                  <c:v>1395</c:v>
                </c:pt>
                <c:pt idx="85">
                  <c:v>1408</c:v>
                </c:pt>
                <c:pt idx="86">
                  <c:v>1421</c:v>
                </c:pt>
                <c:pt idx="87">
                  <c:v>1434</c:v>
                </c:pt>
                <c:pt idx="88">
                  <c:v>1447</c:v>
                </c:pt>
                <c:pt idx="89">
                  <c:v>1460</c:v>
                </c:pt>
                <c:pt idx="90">
                  <c:v>1473</c:v>
                </c:pt>
                <c:pt idx="91">
                  <c:v>1486</c:v>
                </c:pt>
                <c:pt idx="92">
                  <c:v>1499</c:v>
                </c:pt>
              </c:numCache>
              <c:extLst xmlns:c15="http://schemas.microsoft.com/office/drawing/2012/chart"/>
            </c:numRef>
          </c:xVal>
          <c:yVal>
            <c:numRef>
              <c:f>EVALUATION!$B$139:$CP$139</c:f>
              <c:numCache>
                <c:formatCode>0</c:formatCode>
                <c:ptCount val="93"/>
                <c:pt idx="0">
                  <c:v>-185.62738738738739</c:v>
                </c:pt>
                <c:pt idx="1">
                  <c:v>-179.20156156156156</c:v>
                </c:pt>
                <c:pt idx="2" formatCode="General">
                  <c:v>-172.77573573573576</c:v>
                </c:pt>
                <c:pt idx="3" formatCode="General">
                  <c:v>-167.34314371257486</c:v>
                </c:pt>
                <c:pt idx="4" formatCode="General">
                  <c:v>-162.14703592814371</c:v>
                </c:pt>
                <c:pt idx="5" formatCode="General">
                  <c:v>-157.16997005988023</c:v>
                </c:pt>
                <c:pt idx="6" formatCode="General">
                  <c:v>-152.89242514970059</c:v>
                </c:pt>
                <c:pt idx="7" formatCode="General">
                  <c:v>-148.61488023952094</c:v>
                </c:pt>
                <c:pt idx="8" formatCode="General">
                  <c:v>-144.8009880239521</c:v>
                </c:pt>
                <c:pt idx="9" formatCode="General">
                  <c:v>-141.21625748502993</c:v>
                </c:pt>
                <c:pt idx="10" formatCode="General">
                  <c:v>-137.6875748502994</c:v>
                </c:pt>
                <c:pt idx="11" formatCode="General">
                  <c:v>-134.66332335329341</c:v>
                </c:pt>
                <c:pt idx="12" formatCode="General">
                  <c:v>-131.63907185628744</c:v>
                </c:pt>
                <c:pt idx="13" formatCode="General">
                  <c:v>-128.87098802395209</c:v>
                </c:pt>
                <c:pt idx="14" formatCode="General">
                  <c:v>-126.32937125748504</c:v>
                </c:pt>
                <c:pt idx="15" formatCode="General">
                  <c:v>-123.78775449101796</c:v>
                </c:pt>
                <c:pt idx="16" formatCode="General">
                  <c:v>-123.31837837837838</c:v>
                </c:pt>
                <c:pt idx="17" formatCode="General">
                  <c:v>-122.93189189189189</c:v>
                </c:pt>
                <c:pt idx="18" formatCode="General">
                  <c:v>-123.33988023952097</c:v>
                </c:pt>
                <c:pt idx="19" formatCode="General">
                  <c:v>-124.93958083832335</c:v>
                </c:pt>
                <c:pt idx="20" formatCode="General">
                  <c:v>-126.53928143712575</c:v>
                </c:pt>
                <c:pt idx="21" formatCode="General">
                  <c:v>-128.13574850299401</c:v>
                </c:pt>
                <c:pt idx="22" formatCode="General">
                  <c:v>-129.73155688622754</c:v>
                </c:pt>
                <c:pt idx="23" formatCode="General">
                  <c:v>-131.31718562874252</c:v>
                </c:pt>
                <c:pt idx="24" formatCode="General">
                  <c:v>-132.87407185628743</c:v>
                </c:pt>
                <c:pt idx="25" formatCode="General">
                  <c:v>-134.43095808383234</c:v>
                </c:pt>
                <c:pt idx="26" formatCode="General">
                  <c:v>-135.97167664670658</c:v>
                </c:pt>
                <c:pt idx="27" formatCode="General">
                  <c:v>-137.50520958083831</c:v>
                </c:pt>
                <c:pt idx="28" formatCode="General">
                  <c:v>-139.03586826347305</c:v>
                </c:pt>
                <c:pt idx="29" formatCode="General">
                  <c:v>-140.54604790419162</c:v>
                </c:pt>
                <c:pt idx="30" formatCode="General">
                  <c:v>-142.05622754491017</c:v>
                </c:pt>
                <c:pt idx="31" formatCode="General">
                  <c:v>-143.50932584269663</c:v>
                </c:pt>
                <c:pt idx="32" formatCode="General">
                  <c:v>-144.91644194756554</c:v>
                </c:pt>
                <c:pt idx="33" formatCode="General">
                  <c:v>-146.32355805243446</c:v>
                </c:pt>
                <c:pt idx="34" formatCode="General">
                  <c:v>-147.73067415730338</c:v>
                </c:pt>
                <c:pt idx="35" formatCode="General">
                  <c:v>-149.13779026217227</c:v>
                </c:pt>
                <c:pt idx="36" formatCode="General">
                  <c:v>-150.54490636704119</c:v>
                </c:pt>
                <c:pt idx="37" formatCode="General">
                  <c:v>-151.95202247191011</c:v>
                </c:pt>
                <c:pt idx="38" formatCode="General">
                  <c:v>-153.35913857677903</c:v>
                </c:pt>
                <c:pt idx="39" formatCode="General">
                  <c:v>-154.76625468164795</c:v>
                </c:pt>
                <c:pt idx="40" formatCode="General">
                  <c:v>-156.17337078651687</c:v>
                </c:pt>
                <c:pt idx="41" formatCode="General">
                  <c:v>-157.53143071161051</c:v>
                </c:pt>
                <c:pt idx="42" formatCode="General">
                  <c:v>-158.76618726591761</c:v>
                </c:pt>
                <c:pt idx="43" formatCode="General">
                  <c:v>-160.00094382022473</c:v>
                </c:pt>
                <c:pt idx="44" formatCode="General">
                  <c:v>-161.23570037453186</c:v>
                </c:pt>
                <c:pt idx="45" formatCode="General">
                  <c:v>-162.47045692883896</c:v>
                </c:pt>
                <c:pt idx="46" formatCode="General">
                  <c:v>-163.70521348314608</c:v>
                </c:pt>
                <c:pt idx="47" formatCode="General">
                  <c:v>-164.93997003745321</c:v>
                </c:pt>
                <c:pt idx="48" formatCode="General">
                  <c:v>-166.1747265917603</c:v>
                </c:pt>
                <c:pt idx="49" formatCode="General">
                  <c:v>-167.40948314606743</c:v>
                </c:pt>
                <c:pt idx="50" formatCode="General">
                  <c:v>-168.64423970037456</c:v>
                </c:pt>
                <c:pt idx="51" formatCode="General">
                  <c:v>-169.87605105105106</c:v>
                </c:pt>
                <c:pt idx="52" formatCode="General">
                  <c:v>-170.91936936936938</c:v>
                </c:pt>
                <c:pt idx="53" formatCode="General">
                  <c:v>-171.96268768768769</c:v>
                </c:pt>
                <c:pt idx="54" formatCode="General">
                  <c:v>-173.00600600600603</c:v>
                </c:pt>
                <c:pt idx="55" formatCode="General">
                  <c:v>-174.04932432432435</c:v>
                </c:pt>
                <c:pt idx="56" formatCode="General">
                  <c:v>-175.09264264264266</c:v>
                </c:pt>
                <c:pt idx="57" formatCode="General">
                  <c:v>-176.13596096096097</c:v>
                </c:pt>
                <c:pt idx="58" formatCode="General">
                  <c:v>-177.17927927927929</c:v>
                </c:pt>
                <c:pt idx="59" formatCode="General">
                  <c:v>-178.2225975975976</c:v>
                </c:pt>
                <c:pt idx="60" formatCode="General">
                  <c:v>-179.26591591591594</c:v>
                </c:pt>
                <c:pt idx="61" formatCode="General">
                  <c:v>-180.30923423423425</c:v>
                </c:pt>
                <c:pt idx="62" formatCode="General">
                  <c:v>-181.23823529411766</c:v>
                </c:pt>
                <c:pt idx="63" formatCode="General">
                  <c:v>-182.13294117647058</c:v>
                </c:pt>
                <c:pt idx="64" formatCode="General">
                  <c:v>-183.02393939393937</c:v>
                </c:pt>
                <c:pt idx="65" formatCode="General">
                  <c:v>-183.89454545454547</c:v>
                </c:pt>
                <c:pt idx="66" formatCode="General">
                  <c:v>-184.76515151515153</c:v>
                </c:pt>
                <c:pt idx="67" formatCode="General">
                  <c:v>-185.58235294117648</c:v>
                </c:pt>
                <c:pt idx="68" formatCode="General">
                  <c:v>-186.36617647058824</c:v>
                </c:pt>
                <c:pt idx="69" formatCode="General">
                  <c:v>-187.14999999999998</c:v>
                </c:pt>
                <c:pt idx="70" formatCode="General">
                  <c:v>-187.91818181818181</c:v>
                </c:pt>
                <c:pt idx="71" formatCode="General">
                  <c:v>-188.68636363636364</c:v>
                </c:pt>
                <c:pt idx="72" formatCode="General">
                  <c:v>-189.38466165413536</c:v>
                </c:pt>
                <c:pt idx="73" formatCode="General">
                  <c:v>-190.00142857142859</c:v>
                </c:pt>
                <c:pt idx="74" formatCode="General">
                  <c:v>-190.61819548872182</c:v>
                </c:pt>
                <c:pt idx="75" formatCode="General">
                  <c:v>-191.23496240601506</c:v>
                </c:pt>
                <c:pt idx="76" formatCode="General">
                  <c:v>-191.85172932330829</c:v>
                </c:pt>
                <c:pt idx="77" formatCode="General">
                  <c:v>-192.46849624060152</c:v>
                </c:pt>
                <c:pt idx="78" formatCode="General">
                  <c:v>-193.08526315789473</c:v>
                </c:pt>
                <c:pt idx="79" formatCode="General">
                  <c:v>-193.70203007518796</c:v>
                </c:pt>
                <c:pt idx="80" formatCode="General">
                  <c:v>-194.3187969924812</c:v>
                </c:pt>
                <c:pt idx="81" formatCode="General">
                  <c:v>-194.93556390977443</c:v>
                </c:pt>
                <c:pt idx="82" formatCode="General">
                  <c:v>-195.49843283582089</c:v>
                </c:pt>
                <c:pt idx="83" formatCode="General">
                  <c:v>-195.88164179104479</c:v>
                </c:pt>
                <c:pt idx="84" formatCode="General">
                  <c:v>-196.26485074626865</c:v>
                </c:pt>
                <c:pt idx="85" formatCode="General">
                  <c:v>-196.64805970149254</c:v>
                </c:pt>
                <c:pt idx="86" formatCode="General">
                  <c:v>-197.03126865671643</c:v>
                </c:pt>
                <c:pt idx="87" formatCode="General">
                  <c:v>-197.4144776119403</c:v>
                </c:pt>
                <c:pt idx="88" formatCode="General">
                  <c:v>-197.79768656716419</c:v>
                </c:pt>
                <c:pt idx="89" formatCode="General">
                  <c:v>-198.18089552238806</c:v>
                </c:pt>
                <c:pt idx="90" formatCode="General">
                  <c:v>-198.56410447761195</c:v>
                </c:pt>
                <c:pt idx="91" formatCode="General">
                  <c:v>-198.94731343283584</c:v>
                </c:pt>
                <c:pt idx="92" formatCode="General">
                  <c:v>-199.33052238805971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DE9B-4A24-AF6E-BAFF55F304A7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E9B-4A24-AF6E-BAFF55F304A7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731</c:v>
                </c:pt>
                <c:pt idx="1">
                  <c:v>731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-199.33052238805971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E9B-4A24-AF6E-BAFF55F30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-15.207297297297297</c:v>
                      </c:pt>
                      <c:pt idx="1">
                        <c:v>-14.82081081081081</c:v>
                      </c:pt>
                      <c:pt idx="2" formatCode="General">
                        <c:v>-14.434324324324324</c:v>
                      </c:pt>
                      <c:pt idx="3" formatCode="General">
                        <c:v>-13.712395209580837</c:v>
                      </c:pt>
                      <c:pt idx="4" formatCode="General">
                        <c:v>-12.910598802395208</c:v>
                      </c:pt>
                      <c:pt idx="5" formatCode="General">
                        <c:v>-12.087455089820359</c:v>
                      </c:pt>
                      <c:pt idx="6" formatCode="General">
                        <c:v>-11.196137724550898</c:v>
                      </c:pt>
                      <c:pt idx="7" formatCode="General">
                        <c:v>-10.304820359281438</c:v>
                      </c:pt>
                      <c:pt idx="8" formatCode="General">
                        <c:v>-9.491907185628742</c:v>
                      </c:pt>
                      <c:pt idx="9" formatCode="General">
                        <c:v>-8.7177455089820359</c:v>
                      </c:pt>
                      <c:pt idx="10" formatCode="General">
                        <c:v>-7.9532365269461076</c:v>
                      </c:pt>
                      <c:pt idx="11" formatCode="General">
                        <c:v>-7.2756017964071864</c:v>
                      </c:pt>
                      <c:pt idx="12" formatCode="General">
                        <c:v>-6.5979670658682643</c:v>
                      </c:pt>
                      <c:pt idx="13" formatCode="General">
                        <c:v>-5.9610299401197615</c:v>
                      </c:pt>
                      <c:pt idx="14" formatCode="General">
                        <c:v>-5.3600718562874254</c:v>
                      </c:pt>
                      <c:pt idx="15" formatCode="General">
                        <c:v>-4.7591137724550894</c:v>
                      </c:pt>
                      <c:pt idx="16" formatCode="General">
                        <c:v>-4.5126516516516508</c:v>
                      </c:pt>
                      <c:pt idx="17" formatCode="General">
                        <c:v>-4.2803693693693692</c:v>
                      </c:pt>
                      <c:pt idx="18" formatCode="General">
                        <c:v>-4.1537664670658687</c:v>
                      </c:pt>
                      <c:pt idx="19" formatCode="General">
                        <c:v>-4.1856826347305391</c:v>
                      </c:pt>
                      <c:pt idx="20" formatCode="General">
                        <c:v>-4.2175988023952096</c:v>
                      </c:pt>
                      <c:pt idx="21" formatCode="General">
                        <c:v>-4.249676646706587</c:v>
                      </c:pt>
                      <c:pt idx="22" formatCode="General">
                        <c:v>-4.2817874251497008</c:v>
                      </c:pt>
                      <c:pt idx="23" formatCode="General">
                        <c:v>-4.3138982035928146</c:v>
                      </c:pt>
                      <c:pt idx="24" formatCode="General">
                        <c:v>-4.3460089820359284</c:v>
                      </c:pt>
                      <c:pt idx="25" formatCode="General">
                        <c:v>-4.3781197604790414</c:v>
                      </c:pt>
                      <c:pt idx="26" formatCode="General">
                        <c:v>-4.4102305389221552</c:v>
                      </c:pt>
                      <c:pt idx="27" formatCode="General">
                        <c:v>-4.442341317365269</c:v>
                      </c:pt>
                      <c:pt idx="28" formatCode="General">
                        <c:v>-4.4744520958083829</c:v>
                      </c:pt>
                      <c:pt idx="29" formatCode="General">
                        <c:v>-4.5065628742514967</c:v>
                      </c:pt>
                      <c:pt idx="30" formatCode="General">
                        <c:v>-4.5386736526946105</c:v>
                      </c:pt>
                      <c:pt idx="31" formatCode="General">
                        <c:v>-4.5702584269662925</c:v>
                      </c:pt>
                      <c:pt idx="32" formatCode="General">
                        <c:v>-4.6014194756554305</c:v>
                      </c:pt>
                      <c:pt idx="33" formatCode="General">
                        <c:v>-4.6325805243445695</c:v>
                      </c:pt>
                      <c:pt idx="34" formatCode="General">
                        <c:v>-4.6637415730337084</c:v>
                      </c:pt>
                      <c:pt idx="35" formatCode="General">
                        <c:v>-4.6949026217228464</c:v>
                      </c:pt>
                      <c:pt idx="36" formatCode="General">
                        <c:v>-4.7260636704119854</c:v>
                      </c:pt>
                      <c:pt idx="37" formatCode="General">
                        <c:v>-4.7572247191011234</c:v>
                      </c:pt>
                      <c:pt idx="38" formatCode="General">
                        <c:v>-4.7883857677902624</c:v>
                      </c:pt>
                      <c:pt idx="39" formatCode="General">
                        <c:v>-4.8195468164794013</c:v>
                      </c:pt>
                      <c:pt idx="40" formatCode="General">
                        <c:v>-4.8507078651685394</c:v>
                      </c:pt>
                      <c:pt idx="41" formatCode="General">
                        <c:v>-4.8813700374531841</c:v>
                      </c:pt>
                      <c:pt idx="42" formatCode="General">
                        <c:v>-4.9107782771535584</c:v>
                      </c:pt>
                      <c:pt idx="43" formatCode="General">
                        <c:v>-4.9401865168539327</c:v>
                      </c:pt>
                      <c:pt idx="44" formatCode="General">
                        <c:v>-4.969594756554307</c:v>
                      </c:pt>
                      <c:pt idx="45" formatCode="General">
                        <c:v>-4.9990029962546814</c:v>
                      </c:pt>
                      <c:pt idx="46" formatCode="General">
                        <c:v>-5.0284112359550566</c:v>
                      </c:pt>
                      <c:pt idx="47" formatCode="General">
                        <c:v>-5.0578194756554309</c:v>
                      </c:pt>
                      <c:pt idx="48" formatCode="General">
                        <c:v>-5.0872277153558052</c:v>
                      </c:pt>
                      <c:pt idx="49" formatCode="General">
                        <c:v>-5.1166359550561795</c:v>
                      </c:pt>
                      <c:pt idx="50" formatCode="General">
                        <c:v>-5.1460441947565538</c:v>
                      </c:pt>
                      <c:pt idx="51" formatCode="General">
                        <c:v>-5.1754311377245505</c:v>
                      </c:pt>
                      <c:pt idx="52" formatCode="General">
                        <c:v>-5.2034550898203591</c:v>
                      </c:pt>
                      <c:pt idx="53" formatCode="General">
                        <c:v>-5.2314790419161676</c:v>
                      </c:pt>
                      <c:pt idx="54" formatCode="General">
                        <c:v>-5.2591834319526622</c:v>
                      </c:pt>
                      <c:pt idx="55" formatCode="General">
                        <c:v>-5.2864911242603547</c:v>
                      </c:pt>
                      <c:pt idx="56" formatCode="General">
                        <c:v>-5.3137988165680472</c:v>
                      </c:pt>
                      <c:pt idx="57" formatCode="General">
                        <c:v>-5.3416666666666668</c:v>
                      </c:pt>
                      <c:pt idx="58" formatCode="General">
                        <c:v>-5.3696363636363635</c:v>
                      </c:pt>
                      <c:pt idx="59" formatCode="General">
                        <c:v>-5.3973636363636368</c:v>
                      </c:pt>
                      <c:pt idx="60" formatCode="General">
                        <c:v>-5.4245454545454548</c:v>
                      </c:pt>
                      <c:pt idx="61" formatCode="General">
                        <c:v>-5.4517272727272728</c:v>
                      </c:pt>
                      <c:pt idx="62" formatCode="General">
                        <c:v>-5.4825522388059706</c:v>
                      </c:pt>
                      <c:pt idx="63" formatCode="General">
                        <c:v>-5.5144701492537314</c:v>
                      </c:pt>
                      <c:pt idx="64" formatCode="General">
                        <c:v>-5.546388059701493</c:v>
                      </c:pt>
                      <c:pt idx="65" formatCode="General">
                        <c:v>-5.5783059701492537</c:v>
                      </c:pt>
                      <c:pt idx="66" formatCode="General">
                        <c:v>-5.6102238805970153</c:v>
                      </c:pt>
                      <c:pt idx="67" formatCode="General">
                        <c:v>-5.642141791044776</c:v>
                      </c:pt>
                      <c:pt idx="68" formatCode="General">
                        <c:v>-5.6740597014925376</c:v>
                      </c:pt>
                      <c:pt idx="69" formatCode="General">
                        <c:v>-5.7059776119402983</c:v>
                      </c:pt>
                      <c:pt idx="70" formatCode="General">
                        <c:v>-5.7378955223880599</c:v>
                      </c:pt>
                      <c:pt idx="71" formatCode="General">
                        <c:v>-5.7698134328358206</c:v>
                      </c:pt>
                      <c:pt idx="72" formatCode="General">
                        <c:v>-5.8141127819548872</c:v>
                      </c:pt>
                      <c:pt idx="73" formatCode="General">
                        <c:v>-5.8728571428571428</c:v>
                      </c:pt>
                      <c:pt idx="74" formatCode="General">
                        <c:v>-5.9316015037593983</c:v>
                      </c:pt>
                      <c:pt idx="75" formatCode="General">
                        <c:v>-5.9903458646616539</c:v>
                      </c:pt>
                      <c:pt idx="76" formatCode="General">
                        <c:v>-6.0490902255639094</c:v>
                      </c:pt>
                      <c:pt idx="77" formatCode="General">
                        <c:v>-6.107834586466165</c:v>
                      </c:pt>
                      <c:pt idx="78" formatCode="General">
                        <c:v>-6.1665789473684214</c:v>
                      </c:pt>
                      <c:pt idx="79" formatCode="General">
                        <c:v>-6.2253233082706769</c:v>
                      </c:pt>
                      <c:pt idx="80" formatCode="General">
                        <c:v>-6.2840676691729325</c:v>
                      </c:pt>
                      <c:pt idx="81" formatCode="General">
                        <c:v>-6.342812030075188</c:v>
                      </c:pt>
                      <c:pt idx="82" formatCode="General">
                        <c:v>-6.4000882352941177</c:v>
                      </c:pt>
                      <c:pt idx="83" formatCode="General">
                        <c:v>-6.4524705882352942</c:v>
                      </c:pt>
                      <c:pt idx="84" formatCode="General">
                        <c:v>-6.5048529411764706</c:v>
                      </c:pt>
                      <c:pt idx="85" formatCode="General">
                        <c:v>-6.5572424242424248</c:v>
                      </c:pt>
                      <c:pt idx="86" formatCode="General">
                        <c:v>-6.6096363636363638</c:v>
                      </c:pt>
                      <c:pt idx="87" formatCode="General">
                        <c:v>-6.6617941176470588</c:v>
                      </c:pt>
                      <c:pt idx="88" formatCode="General">
                        <c:v>-6.7111176470588241</c:v>
                      </c:pt>
                      <c:pt idx="89" formatCode="General">
                        <c:v>-6.7604411764705885</c:v>
                      </c:pt>
                      <c:pt idx="90" formatCode="General">
                        <c:v>-6.8095454545454546</c:v>
                      </c:pt>
                      <c:pt idx="91" formatCode="General">
                        <c:v>-6.858393939393939</c:v>
                      </c:pt>
                      <c:pt idx="92" formatCode="General">
                        <c:v>-6.9072424242424235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DE9B-4A24-AF6E-BAFF55F304A7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-15.207297297297297</c:v>
                      </c:pt>
                      <c:pt idx="1">
                        <c:v>-14.82081081081081</c:v>
                      </c:pt>
                      <c:pt idx="2" formatCode="General">
                        <c:v>-14.434324324324324</c:v>
                      </c:pt>
                      <c:pt idx="3" formatCode="General">
                        <c:v>-13.712395209580837</c:v>
                      </c:pt>
                      <c:pt idx="4" formatCode="General">
                        <c:v>-12.910598802395208</c:v>
                      </c:pt>
                      <c:pt idx="5" formatCode="General">
                        <c:v>-12.087455089820359</c:v>
                      </c:pt>
                      <c:pt idx="6" formatCode="General">
                        <c:v>-11.196137724550898</c:v>
                      </c:pt>
                      <c:pt idx="7" formatCode="General">
                        <c:v>-10.304820359281438</c:v>
                      </c:pt>
                      <c:pt idx="8" formatCode="General">
                        <c:v>-9.491907185628742</c:v>
                      </c:pt>
                      <c:pt idx="9" formatCode="General">
                        <c:v>-8.7177455089820359</c:v>
                      </c:pt>
                      <c:pt idx="10" formatCode="General">
                        <c:v>-7.9532365269461076</c:v>
                      </c:pt>
                      <c:pt idx="11" formatCode="General">
                        <c:v>-7.2756017964071864</c:v>
                      </c:pt>
                      <c:pt idx="12" formatCode="General">
                        <c:v>-6.5979670658682643</c:v>
                      </c:pt>
                      <c:pt idx="13" formatCode="General">
                        <c:v>-5.9610299401197615</c:v>
                      </c:pt>
                      <c:pt idx="14" formatCode="General">
                        <c:v>-5.3600718562874254</c:v>
                      </c:pt>
                      <c:pt idx="15" formatCode="General">
                        <c:v>-4.7591137724550894</c:v>
                      </c:pt>
                      <c:pt idx="16" formatCode="General">
                        <c:v>-4.5126516516516508</c:v>
                      </c:pt>
                      <c:pt idx="17" formatCode="General">
                        <c:v>-4.2803693693693692</c:v>
                      </c:pt>
                      <c:pt idx="18" formatCode="General">
                        <c:v>-4.1537664670658687</c:v>
                      </c:pt>
                      <c:pt idx="19" formatCode="General">
                        <c:v>-4.1856826347305391</c:v>
                      </c:pt>
                      <c:pt idx="20" formatCode="General">
                        <c:v>-4.2175988023952096</c:v>
                      </c:pt>
                      <c:pt idx="21" formatCode="General">
                        <c:v>-4.249676646706587</c:v>
                      </c:pt>
                      <c:pt idx="22" formatCode="General">
                        <c:v>-4.2817874251497008</c:v>
                      </c:pt>
                      <c:pt idx="23" formatCode="General">
                        <c:v>-4.3138982035928146</c:v>
                      </c:pt>
                      <c:pt idx="24" formatCode="General">
                        <c:v>-4.3460089820359284</c:v>
                      </c:pt>
                      <c:pt idx="25" formatCode="General">
                        <c:v>-4.3781197604790414</c:v>
                      </c:pt>
                      <c:pt idx="26" formatCode="General">
                        <c:v>-4.4102305389221552</c:v>
                      </c:pt>
                      <c:pt idx="27" formatCode="General">
                        <c:v>-4.442341317365269</c:v>
                      </c:pt>
                      <c:pt idx="28" formatCode="General">
                        <c:v>-4.4744520958083829</c:v>
                      </c:pt>
                      <c:pt idx="29" formatCode="General">
                        <c:v>-4.5065628742514967</c:v>
                      </c:pt>
                      <c:pt idx="30" formatCode="General">
                        <c:v>-4.5386736526946105</c:v>
                      </c:pt>
                      <c:pt idx="31" formatCode="General">
                        <c:v>-4.5702584269662925</c:v>
                      </c:pt>
                      <c:pt idx="32" formatCode="General">
                        <c:v>-4.6014194756554305</c:v>
                      </c:pt>
                      <c:pt idx="33" formatCode="General">
                        <c:v>-4.6325805243445695</c:v>
                      </c:pt>
                      <c:pt idx="34" formatCode="General">
                        <c:v>-4.6637415730337084</c:v>
                      </c:pt>
                      <c:pt idx="35" formatCode="General">
                        <c:v>-4.6949026217228464</c:v>
                      </c:pt>
                      <c:pt idx="36" formatCode="General">
                        <c:v>-4.7260636704119854</c:v>
                      </c:pt>
                      <c:pt idx="37" formatCode="General">
                        <c:v>-4.7572247191011234</c:v>
                      </c:pt>
                      <c:pt idx="38" formatCode="General">
                        <c:v>-4.7883857677902624</c:v>
                      </c:pt>
                      <c:pt idx="39" formatCode="General">
                        <c:v>-4.8195468164794013</c:v>
                      </c:pt>
                      <c:pt idx="40" formatCode="General">
                        <c:v>-4.8507078651685394</c:v>
                      </c:pt>
                      <c:pt idx="41" formatCode="General">
                        <c:v>-4.8813700374531841</c:v>
                      </c:pt>
                      <c:pt idx="42" formatCode="General">
                        <c:v>-4.9107782771535584</c:v>
                      </c:pt>
                      <c:pt idx="43" formatCode="General">
                        <c:v>-4.9401865168539327</c:v>
                      </c:pt>
                      <c:pt idx="44" formatCode="General">
                        <c:v>-4.969594756554307</c:v>
                      </c:pt>
                      <c:pt idx="45" formatCode="General">
                        <c:v>-4.9990029962546814</c:v>
                      </c:pt>
                      <c:pt idx="46" formatCode="General">
                        <c:v>-5.0284112359550566</c:v>
                      </c:pt>
                      <c:pt idx="47" formatCode="General">
                        <c:v>-5.0578194756554309</c:v>
                      </c:pt>
                      <c:pt idx="48" formatCode="General">
                        <c:v>-5.0872277153558052</c:v>
                      </c:pt>
                      <c:pt idx="49" formatCode="General">
                        <c:v>-5.1166359550561795</c:v>
                      </c:pt>
                      <c:pt idx="50" formatCode="General">
                        <c:v>-5.1460441947565538</c:v>
                      </c:pt>
                      <c:pt idx="51" formatCode="General">
                        <c:v>-5.1754311377245505</c:v>
                      </c:pt>
                      <c:pt idx="52" formatCode="General">
                        <c:v>-5.2034550898203591</c:v>
                      </c:pt>
                      <c:pt idx="53" formatCode="General">
                        <c:v>-5.2314790419161676</c:v>
                      </c:pt>
                      <c:pt idx="54" formatCode="General">
                        <c:v>-5.2591834319526622</c:v>
                      </c:pt>
                      <c:pt idx="55" formatCode="General">
                        <c:v>-5.2864911242603547</c:v>
                      </c:pt>
                      <c:pt idx="56" formatCode="General">
                        <c:v>-5.3137988165680472</c:v>
                      </c:pt>
                      <c:pt idx="57" formatCode="General">
                        <c:v>-5.3416666666666668</c:v>
                      </c:pt>
                      <c:pt idx="58" formatCode="General">
                        <c:v>-5.3696363636363635</c:v>
                      </c:pt>
                      <c:pt idx="59" formatCode="General">
                        <c:v>-5.3973636363636368</c:v>
                      </c:pt>
                      <c:pt idx="60" formatCode="General">
                        <c:v>-5.4245454545454548</c:v>
                      </c:pt>
                      <c:pt idx="61" formatCode="General">
                        <c:v>-5.4517272727272728</c:v>
                      </c:pt>
                      <c:pt idx="62" formatCode="General">
                        <c:v>-5.4825522388059706</c:v>
                      </c:pt>
                      <c:pt idx="63" formatCode="General">
                        <c:v>-5.5144701492537314</c:v>
                      </c:pt>
                      <c:pt idx="64" formatCode="General">
                        <c:v>-5.546388059701493</c:v>
                      </c:pt>
                      <c:pt idx="65" formatCode="General">
                        <c:v>-5.5783059701492537</c:v>
                      </c:pt>
                      <c:pt idx="66" formatCode="General">
                        <c:v>-5.6102238805970153</c:v>
                      </c:pt>
                      <c:pt idx="67" formatCode="General">
                        <c:v>-5.642141791044776</c:v>
                      </c:pt>
                      <c:pt idx="68" formatCode="General">
                        <c:v>-5.6740597014925376</c:v>
                      </c:pt>
                      <c:pt idx="69" formatCode="General">
                        <c:v>-5.7059776119402983</c:v>
                      </c:pt>
                      <c:pt idx="70" formatCode="General">
                        <c:v>-5.7378955223880599</c:v>
                      </c:pt>
                      <c:pt idx="71" formatCode="General">
                        <c:v>-5.7698134328358206</c:v>
                      </c:pt>
                      <c:pt idx="72" formatCode="General">
                        <c:v>-5.8141127819548872</c:v>
                      </c:pt>
                      <c:pt idx="73" formatCode="General">
                        <c:v>-5.8728571428571428</c:v>
                      </c:pt>
                      <c:pt idx="74" formatCode="General">
                        <c:v>-5.9316015037593983</c:v>
                      </c:pt>
                      <c:pt idx="75" formatCode="General">
                        <c:v>-5.9903458646616539</c:v>
                      </c:pt>
                      <c:pt idx="76" formatCode="General">
                        <c:v>-6.0490902255639094</c:v>
                      </c:pt>
                      <c:pt idx="77" formatCode="General">
                        <c:v>-6.107834586466165</c:v>
                      </c:pt>
                      <c:pt idx="78" formatCode="General">
                        <c:v>-6.1665789473684214</c:v>
                      </c:pt>
                      <c:pt idx="79" formatCode="General">
                        <c:v>-6.2253233082706769</c:v>
                      </c:pt>
                      <c:pt idx="80" formatCode="General">
                        <c:v>-6.2840676691729325</c:v>
                      </c:pt>
                      <c:pt idx="81" formatCode="General">
                        <c:v>-6.342812030075188</c:v>
                      </c:pt>
                      <c:pt idx="82" formatCode="General">
                        <c:v>-6.4000882352941177</c:v>
                      </c:pt>
                      <c:pt idx="83" formatCode="General">
                        <c:v>-6.4524705882352942</c:v>
                      </c:pt>
                      <c:pt idx="84" formatCode="General">
                        <c:v>-6.5048529411764706</c:v>
                      </c:pt>
                      <c:pt idx="85" formatCode="General">
                        <c:v>-6.5572424242424248</c:v>
                      </c:pt>
                      <c:pt idx="86" formatCode="General">
                        <c:v>-6.6096363636363638</c:v>
                      </c:pt>
                      <c:pt idx="87" formatCode="General">
                        <c:v>-6.6617941176470588</c:v>
                      </c:pt>
                      <c:pt idx="88" formatCode="General">
                        <c:v>-6.7111176470588241</c:v>
                      </c:pt>
                      <c:pt idx="89" formatCode="General">
                        <c:v>-6.7604411764705885</c:v>
                      </c:pt>
                      <c:pt idx="90" formatCode="General">
                        <c:v>-6.8095454545454546</c:v>
                      </c:pt>
                      <c:pt idx="91" formatCode="General">
                        <c:v>-6.858393939393939</c:v>
                      </c:pt>
                      <c:pt idx="92" formatCode="General">
                        <c:v>-6.9072424242424235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E9B-4A24-AF6E-BAFF55F304A7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-36.840720720720718</c:v>
                      </c:pt>
                      <c:pt idx="1">
                        <c:v>-35.759339339339341</c:v>
                      </c:pt>
                      <c:pt idx="2" formatCode="General">
                        <c:v>-34.677957957957958</c:v>
                      </c:pt>
                      <c:pt idx="3" formatCode="General">
                        <c:v>-33.778383233532935</c:v>
                      </c:pt>
                      <c:pt idx="4" formatCode="General">
                        <c:v>-32.922095808383233</c:v>
                      </c:pt>
                      <c:pt idx="5" formatCode="General">
                        <c:v>-32.103862275449096</c:v>
                      </c:pt>
                      <c:pt idx="6" formatCode="General">
                        <c:v>-31.407155688622751</c:v>
                      </c:pt>
                      <c:pt idx="7" formatCode="General">
                        <c:v>-30.710449101796403</c:v>
                      </c:pt>
                      <c:pt idx="8" formatCode="General">
                        <c:v>-30.094751497005987</c:v>
                      </c:pt>
                      <c:pt idx="9" formatCode="General">
                        <c:v>-29.519092814371255</c:v>
                      </c:pt>
                      <c:pt idx="10" formatCode="General">
                        <c:v>-28.953086826347306</c:v>
                      </c:pt>
                      <c:pt idx="11" formatCode="General">
                        <c:v>-28.473955089820361</c:v>
                      </c:pt>
                      <c:pt idx="12" formatCode="General">
                        <c:v>-27.994823353293413</c:v>
                      </c:pt>
                      <c:pt idx="13" formatCode="General">
                        <c:v>-27.55845508982036</c:v>
                      </c:pt>
                      <c:pt idx="14" formatCode="General">
                        <c:v>-27.159892215568863</c:v>
                      </c:pt>
                      <c:pt idx="15" formatCode="General">
                        <c:v>-26.761329341317367</c:v>
                      </c:pt>
                      <c:pt idx="16" formatCode="General">
                        <c:v>-26.710339339339342</c:v>
                      </c:pt>
                      <c:pt idx="17" formatCode="General">
                        <c:v>-26.673252252252254</c:v>
                      </c:pt>
                      <c:pt idx="18" formatCode="General">
                        <c:v>-26.743167664670661</c:v>
                      </c:pt>
                      <c:pt idx="19" formatCode="General">
                        <c:v>-26.973586826347304</c:v>
                      </c:pt>
                      <c:pt idx="20" formatCode="General">
                        <c:v>-27.204005988023951</c:v>
                      </c:pt>
                      <c:pt idx="21" formatCode="General">
                        <c:v>-27.426502994011976</c:v>
                      </c:pt>
                      <c:pt idx="22" formatCode="General">
                        <c:v>-27.64738622754491</c:v>
                      </c:pt>
                      <c:pt idx="23" formatCode="General">
                        <c:v>-27.868269461077844</c:v>
                      </c:pt>
                      <c:pt idx="24" formatCode="General">
                        <c:v>-28.089152694610778</c:v>
                      </c:pt>
                      <c:pt idx="25" formatCode="General">
                        <c:v>-28.310035928143712</c:v>
                      </c:pt>
                      <c:pt idx="26" formatCode="General">
                        <c:v>-28.530919161676646</c:v>
                      </c:pt>
                      <c:pt idx="27" formatCode="General">
                        <c:v>-28.75180239520958</c:v>
                      </c:pt>
                      <c:pt idx="28" formatCode="General">
                        <c:v>-28.972685628742518</c:v>
                      </c:pt>
                      <c:pt idx="29" formatCode="General">
                        <c:v>-29.193568862275452</c:v>
                      </c:pt>
                      <c:pt idx="30" formatCode="General">
                        <c:v>-29.414452095808386</c:v>
                      </c:pt>
                      <c:pt idx="31" formatCode="General">
                        <c:v>-29.627876404494383</c:v>
                      </c:pt>
                      <c:pt idx="32" formatCode="General">
                        <c:v>-29.835292134831462</c:v>
                      </c:pt>
                      <c:pt idx="33" formatCode="General">
                        <c:v>-30.042707865168541</c:v>
                      </c:pt>
                      <c:pt idx="34" formatCode="General">
                        <c:v>-30.25012359550562</c:v>
                      </c:pt>
                      <c:pt idx="35" formatCode="General">
                        <c:v>-30.457539325842699</c:v>
                      </c:pt>
                      <c:pt idx="36" formatCode="General">
                        <c:v>-30.664955056179778</c:v>
                      </c:pt>
                      <c:pt idx="37" formatCode="General">
                        <c:v>-30.872370786516857</c:v>
                      </c:pt>
                      <c:pt idx="38" formatCode="General">
                        <c:v>-31.079786516853936</c:v>
                      </c:pt>
                      <c:pt idx="39" formatCode="General">
                        <c:v>-31.287202247191011</c:v>
                      </c:pt>
                      <c:pt idx="40" formatCode="General">
                        <c:v>-31.49461797752809</c:v>
                      </c:pt>
                      <c:pt idx="41" formatCode="General">
                        <c:v>-31.699040449438204</c:v>
                      </c:pt>
                      <c:pt idx="42" formatCode="General">
                        <c:v>-31.895939325842697</c:v>
                      </c:pt>
                      <c:pt idx="43" formatCode="General">
                        <c:v>-32.092838202247194</c:v>
                      </c:pt>
                      <c:pt idx="44" formatCode="General">
                        <c:v>-32.289737078651683</c:v>
                      </c:pt>
                      <c:pt idx="45" formatCode="General">
                        <c:v>-32.48663595505618</c:v>
                      </c:pt>
                      <c:pt idx="46" formatCode="General">
                        <c:v>-32.683534831460676</c:v>
                      </c:pt>
                      <c:pt idx="47" formatCode="General">
                        <c:v>-32.880433707865166</c:v>
                      </c:pt>
                      <c:pt idx="48" formatCode="General">
                        <c:v>-33.077332584269662</c:v>
                      </c:pt>
                      <c:pt idx="49" formatCode="General">
                        <c:v>-33.274231460674159</c:v>
                      </c:pt>
                      <c:pt idx="50" formatCode="General">
                        <c:v>-33.471130337078648</c:v>
                      </c:pt>
                      <c:pt idx="51" formatCode="General">
                        <c:v>-33.667886227544912</c:v>
                      </c:pt>
                      <c:pt idx="52" formatCode="General">
                        <c:v>-33.85549101796407</c:v>
                      </c:pt>
                      <c:pt idx="53" formatCode="General">
                        <c:v>-34.043095808383235</c:v>
                      </c:pt>
                      <c:pt idx="54" formatCode="General">
                        <c:v>-34.229538461538461</c:v>
                      </c:pt>
                      <c:pt idx="55" formatCode="General">
                        <c:v>-34.414538461538463</c:v>
                      </c:pt>
                      <c:pt idx="56" formatCode="General">
                        <c:v>-34.599538461538458</c:v>
                      </c:pt>
                      <c:pt idx="57" formatCode="General">
                        <c:v>-34.788333333333334</c:v>
                      </c:pt>
                      <c:pt idx="58" formatCode="General">
                        <c:v>-34.977818181818186</c:v>
                      </c:pt>
                      <c:pt idx="59" formatCode="General">
                        <c:v>-35.165848484848489</c:v>
                      </c:pt>
                      <c:pt idx="60" formatCode="General">
                        <c:v>-35.350606060606061</c:v>
                      </c:pt>
                      <c:pt idx="61" formatCode="General">
                        <c:v>-35.535363636363641</c:v>
                      </c:pt>
                      <c:pt idx="62" formatCode="General">
                        <c:v>-35.719716417910448</c:v>
                      </c:pt>
                      <c:pt idx="63" formatCode="General">
                        <c:v>-35.903947761194033</c:v>
                      </c:pt>
                      <c:pt idx="64" formatCode="General">
                        <c:v>-36.088179104477618</c:v>
                      </c:pt>
                      <c:pt idx="65" formatCode="General">
                        <c:v>-36.272410447761196</c:v>
                      </c:pt>
                      <c:pt idx="66" formatCode="General">
                        <c:v>-36.456641791044781</c:v>
                      </c:pt>
                      <c:pt idx="67" formatCode="General">
                        <c:v>-36.640873134328359</c:v>
                      </c:pt>
                      <c:pt idx="68" formatCode="General">
                        <c:v>-36.825104477611944</c:v>
                      </c:pt>
                      <c:pt idx="69" formatCode="General">
                        <c:v>-37.009335820895529</c:v>
                      </c:pt>
                      <c:pt idx="70" formatCode="General">
                        <c:v>-37.193567164179107</c:v>
                      </c:pt>
                      <c:pt idx="71" formatCode="General">
                        <c:v>-37.377798507462693</c:v>
                      </c:pt>
                      <c:pt idx="72" formatCode="General">
                        <c:v>-37.573135338345871</c:v>
                      </c:pt>
                      <c:pt idx="73" formatCode="General">
                        <c:v>-37.781428571428577</c:v>
                      </c:pt>
                      <c:pt idx="74" formatCode="General">
                        <c:v>-37.989721804511284</c:v>
                      </c:pt>
                      <c:pt idx="75" formatCode="General">
                        <c:v>-38.19801503759399</c:v>
                      </c:pt>
                      <c:pt idx="76" formatCode="General">
                        <c:v>-38.406308270676689</c:v>
                      </c:pt>
                      <c:pt idx="77" formatCode="General">
                        <c:v>-38.614601503759395</c:v>
                      </c:pt>
                      <c:pt idx="78" formatCode="General">
                        <c:v>-38.822894736842102</c:v>
                      </c:pt>
                      <c:pt idx="79" formatCode="General">
                        <c:v>-39.031187969924808</c:v>
                      </c:pt>
                      <c:pt idx="80" formatCode="General">
                        <c:v>-39.239481203007514</c:v>
                      </c:pt>
                      <c:pt idx="81" formatCode="General">
                        <c:v>-39.447774436090221</c:v>
                      </c:pt>
                      <c:pt idx="82" formatCode="General">
                        <c:v>-39.652735294117647</c:v>
                      </c:pt>
                      <c:pt idx="83" formatCode="General">
                        <c:v>-39.846588235294114</c:v>
                      </c:pt>
                      <c:pt idx="84" formatCode="General">
                        <c:v>-40.040441176470587</c:v>
                      </c:pt>
                      <c:pt idx="85" formatCode="General">
                        <c:v>-40.239363636363635</c:v>
                      </c:pt>
                      <c:pt idx="86" formatCode="General">
                        <c:v>-40.441454545454548</c:v>
                      </c:pt>
                      <c:pt idx="87" formatCode="General">
                        <c:v>-40.642676470588235</c:v>
                      </c:pt>
                      <c:pt idx="88" formatCode="General">
                        <c:v>-40.833470588235294</c:v>
                      </c:pt>
                      <c:pt idx="89" formatCode="General">
                        <c:v>-41.024264705882352</c:v>
                      </c:pt>
                      <c:pt idx="90" formatCode="General">
                        <c:v>-41.216818181818184</c:v>
                      </c:pt>
                      <c:pt idx="91" formatCode="General">
                        <c:v>-41.411424242424246</c:v>
                      </c:pt>
                      <c:pt idx="92" formatCode="General">
                        <c:v>-41.606030303030302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E9B-4A24-AF6E-BAFF55F304A7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-60.182792792792796</c:v>
                      </c:pt>
                      <c:pt idx="1">
                        <c:v>-57.996606606606605</c:v>
                      </c:pt>
                      <c:pt idx="2" formatCode="General">
                        <c:v>-55.810420420420421</c:v>
                      </c:pt>
                      <c:pt idx="3" formatCode="General">
                        <c:v>-53.356017964071853</c:v>
                      </c:pt>
                      <c:pt idx="4" formatCode="General">
                        <c:v>-50.837754491017961</c:v>
                      </c:pt>
                      <c:pt idx="5" formatCode="General">
                        <c:v>-48.33898203592814</c:v>
                      </c:pt>
                      <c:pt idx="6" formatCode="General">
                        <c:v>-45.902455089820357</c:v>
                      </c:pt>
                      <c:pt idx="7" formatCode="General">
                        <c:v>-43.465928143712574</c:v>
                      </c:pt>
                      <c:pt idx="8" formatCode="General">
                        <c:v>-41.258622754491014</c:v>
                      </c:pt>
                      <c:pt idx="9" formatCode="General">
                        <c:v>-39.164610778443112</c:v>
                      </c:pt>
                      <c:pt idx="10" formatCode="General">
                        <c:v>-37.097844311377244</c:v>
                      </c:pt>
                      <c:pt idx="11" formatCode="General">
                        <c:v>-35.276287425149704</c:v>
                      </c:pt>
                      <c:pt idx="12" formatCode="General">
                        <c:v>-33.454730538922156</c:v>
                      </c:pt>
                      <c:pt idx="13" formatCode="General">
                        <c:v>-31.748862275449106</c:v>
                      </c:pt>
                      <c:pt idx="14" formatCode="General">
                        <c:v>-30.145269461077845</c:v>
                      </c:pt>
                      <c:pt idx="15" formatCode="General">
                        <c:v>-28.541676646706588</c:v>
                      </c:pt>
                      <c:pt idx="16" formatCode="General">
                        <c:v>-27.327597597597595</c:v>
                      </c:pt>
                      <c:pt idx="17" formatCode="General">
                        <c:v>-26.129099099099097</c:v>
                      </c:pt>
                      <c:pt idx="18" formatCode="General">
                        <c:v>-25.61550898203593</c:v>
                      </c:pt>
                      <c:pt idx="19" formatCode="General">
                        <c:v>-26.129281437125748</c:v>
                      </c:pt>
                      <c:pt idx="20" formatCode="General">
                        <c:v>-26.643053892215569</c:v>
                      </c:pt>
                      <c:pt idx="21" formatCode="General">
                        <c:v>-27.13823353293413</c:v>
                      </c:pt>
                      <c:pt idx="22" formatCode="General">
                        <c:v>-27.629625748502992</c:v>
                      </c:pt>
                      <c:pt idx="23" formatCode="General">
                        <c:v>-28.121017964071857</c:v>
                      </c:pt>
                      <c:pt idx="24" formatCode="General">
                        <c:v>-28.612410179640719</c:v>
                      </c:pt>
                      <c:pt idx="25" formatCode="General">
                        <c:v>-29.103802395209581</c:v>
                      </c:pt>
                      <c:pt idx="26" formatCode="General">
                        <c:v>-29.595194610778446</c:v>
                      </c:pt>
                      <c:pt idx="27" formatCode="General">
                        <c:v>-30.086586826347308</c:v>
                      </c:pt>
                      <c:pt idx="28" formatCode="General">
                        <c:v>-30.577979041916169</c:v>
                      </c:pt>
                      <c:pt idx="29" formatCode="General">
                        <c:v>-31.069371257485031</c:v>
                      </c:pt>
                      <c:pt idx="30" formatCode="General">
                        <c:v>-31.560763473053896</c:v>
                      </c:pt>
                      <c:pt idx="31" formatCode="General">
                        <c:v>-32.022696629213485</c:v>
                      </c:pt>
                      <c:pt idx="32" formatCode="General">
                        <c:v>-32.460898876404499</c:v>
                      </c:pt>
                      <c:pt idx="33" formatCode="General">
                        <c:v>-32.899101123595507</c:v>
                      </c:pt>
                      <c:pt idx="34" formatCode="General">
                        <c:v>-33.337303370786522</c:v>
                      </c:pt>
                      <c:pt idx="35" formatCode="General">
                        <c:v>-33.775505617977529</c:v>
                      </c:pt>
                      <c:pt idx="36" formatCode="General">
                        <c:v>-34.213707865168544</c:v>
                      </c:pt>
                      <c:pt idx="37" formatCode="General">
                        <c:v>-34.651910112359552</c:v>
                      </c:pt>
                      <c:pt idx="38" formatCode="General">
                        <c:v>-35.090112359550567</c:v>
                      </c:pt>
                      <c:pt idx="39" formatCode="General">
                        <c:v>-35.528314606741574</c:v>
                      </c:pt>
                      <c:pt idx="40" formatCode="General">
                        <c:v>-35.966516853932589</c:v>
                      </c:pt>
                      <c:pt idx="41" formatCode="General">
                        <c:v>-36.38448689138577</c:v>
                      </c:pt>
                      <c:pt idx="42" formatCode="General">
                        <c:v>-36.751602996254682</c:v>
                      </c:pt>
                      <c:pt idx="43" formatCode="General">
                        <c:v>-37.118719101123595</c:v>
                      </c:pt>
                      <c:pt idx="44" formatCode="General">
                        <c:v>-37.485835205992508</c:v>
                      </c:pt>
                      <c:pt idx="45" formatCode="General">
                        <c:v>-37.852951310861421</c:v>
                      </c:pt>
                      <c:pt idx="46" formatCode="General">
                        <c:v>-38.220067415730334</c:v>
                      </c:pt>
                      <c:pt idx="47" formatCode="General">
                        <c:v>-38.587183520599254</c:v>
                      </c:pt>
                      <c:pt idx="48" formatCode="General">
                        <c:v>-38.954299625468167</c:v>
                      </c:pt>
                      <c:pt idx="49" formatCode="General">
                        <c:v>-39.32141573033708</c:v>
                      </c:pt>
                      <c:pt idx="50" formatCode="General">
                        <c:v>-39.688531835205993</c:v>
                      </c:pt>
                      <c:pt idx="51" formatCode="General">
                        <c:v>-40.054850299401195</c:v>
                      </c:pt>
                      <c:pt idx="52" formatCode="General">
                        <c:v>-40.370119760479042</c:v>
                      </c:pt>
                      <c:pt idx="53" formatCode="General">
                        <c:v>-40.685389221556882</c:v>
                      </c:pt>
                      <c:pt idx="54" formatCode="General">
                        <c:v>-40.988698224852072</c:v>
                      </c:pt>
                      <c:pt idx="55" formatCode="General">
                        <c:v>-41.277159763313605</c:v>
                      </c:pt>
                      <c:pt idx="56" formatCode="General">
                        <c:v>-41.565621301775145</c:v>
                      </c:pt>
                      <c:pt idx="57" formatCode="General">
                        <c:v>-41.843333333333334</c:v>
                      </c:pt>
                      <c:pt idx="58" formatCode="General">
                        <c:v>-42.119090909090907</c:v>
                      </c:pt>
                      <c:pt idx="59" formatCode="General">
                        <c:v>-42.38636363636364</c:v>
                      </c:pt>
                      <c:pt idx="60" formatCode="General">
                        <c:v>-42.634545454545453</c:v>
                      </c:pt>
                      <c:pt idx="61" formatCode="General">
                        <c:v>-42.882727272727273</c:v>
                      </c:pt>
                      <c:pt idx="62" formatCode="General">
                        <c:v>-43.08328358208955</c:v>
                      </c:pt>
                      <c:pt idx="63" formatCode="General">
                        <c:v>-43.269552238805971</c:v>
                      </c:pt>
                      <c:pt idx="64" formatCode="General">
                        <c:v>-43.455820895522386</c:v>
                      </c:pt>
                      <c:pt idx="65" formatCode="General">
                        <c:v>-43.642089552238801</c:v>
                      </c:pt>
                      <c:pt idx="66" formatCode="General">
                        <c:v>-43.828358208955223</c:v>
                      </c:pt>
                      <c:pt idx="67" formatCode="General">
                        <c:v>-44.014626865671637</c:v>
                      </c:pt>
                      <c:pt idx="68" formatCode="General">
                        <c:v>-44.200895522388059</c:v>
                      </c:pt>
                      <c:pt idx="69" formatCode="General">
                        <c:v>-44.387164179104474</c:v>
                      </c:pt>
                      <c:pt idx="70" formatCode="General">
                        <c:v>-44.573432835820896</c:v>
                      </c:pt>
                      <c:pt idx="71" formatCode="General">
                        <c:v>-44.75970149253731</c:v>
                      </c:pt>
                      <c:pt idx="72" formatCode="General">
                        <c:v>-44.898796992481202</c:v>
                      </c:pt>
                      <c:pt idx="73" formatCode="General">
                        <c:v>-44.982857142857142</c:v>
                      </c:pt>
                      <c:pt idx="74" formatCode="General">
                        <c:v>-45.066917293233082</c:v>
                      </c:pt>
                      <c:pt idx="75" formatCode="General">
                        <c:v>-45.150977443609023</c:v>
                      </c:pt>
                      <c:pt idx="76" formatCode="General">
                        <c:v>-45.235037593984963</c:v>
                      </c:pt>
                      <c:pt idx="77" formatCode="General">
                        <c:v>-45.319097744360903</c:v>
                      </c:pt>
                      <c:pt idx="78" formatCode="General">
                        <c:v>-45.403157894736843</c:v>
                      </c:pt>
                      <c:pt idx="79" formatCode="General">
                        <c:v>-45.487218045112783</c:v>
                      </c:pt>
                      <c:pt idx="80" formatCode="General">
                        <c:v>-45.571278195488723</c:v>
                      </c:pt>
                      <c:pt idx="81" formatCode="General">
                        <c:v>-45.655338345864664</c:v>
                      </c:pt>
                      <c:pt idx="82" formatCode="General">
                        <c:v>-45.723529411764702</c:v>
                      </c:pt>
                      <c:pt idx="83" formatCode="General">
                        <c:v>-45.738823529411761</c:v>
                      </c:pt>
                      <c:pt idx="84" formatCode="General">
                        <c:v>-45.75411764705882</c:v>
                      </c:pt>
                      <c:pt idx="85" formatCode="General">
                        <c:v>-45.755151515151518</c:v>
                      </c:pt>
                      <c:pt idx="86" formatCode="General">
                        <c:v>-45.74727272727273</c:v>
                      </c:pt>
                      <c:pt idx="87" formatCode="General">
                        <c:v>-45.737058823529416</c:v>
                      </c:pt>
                      <c:pt idx="88" formatCode="General">
                        <c:v>-45.698823529411769</c:v>
                      </c:pt>
                      <c:pt idx="89" formatCode="General">
                        <c:v>-45.660588235294121</c:v>
                      </c:pt>
                      <c:pt idx="90" formatCode="General">
                        <c:v>-45.609090909090909</c:v>
                      </c:pt>
                      <c:pt idx="91" formatCode="General">
                        <c:v>-45.542121212121209</c:v>
                      </c:pt>
                      <c:pt idx="92" formatCode="General">
                        <c:v>-45.475151515151516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E9B-4A24-AF6E-BAFF55F304A7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-15.207297297297297</c:v>
                      </c:pt>
                      <c:pt idx="1">
                        <c:v>-14.82081081081081</c:v>
                      </c:pt>
                      <c:pt idx="2" formatCode="General">
                        <c:v>-14.434324324324324</c:v>
                      </c:pt>
                      <c:pt idx="3" formatCode="General">
                        <c:v>-13.712395209580837</c:v>
                      </c:pt>
                      <c:pt idx="4" formatCode="General">
                        <c:v>-12.910598802395208</c:v>
                      </c:pt>
                      <c:pt idx="5" formatCode="General">
                        <c:v>-12.087455089820359</c:v>
                      </c:pt>
                      <c:pt idx="6" formatCode="General">
                        <c:v>-11.196137724550898</c:v>
                      </c:pt>
                      <c:pt idx="7" formatCode="General">
                        <c:v>-10.304820359281438</c:v>
                      </c:pt>
                      <c:pt idx="8" formatCode="General">
                        <c:v>-9.491907185628742</c:v>
                      </c:pt>
                      <c:pt idx="9" formatCode="General">
                        <c:v>-8.7177455089820359</c:v>
                      </c:pt>
                      <c:pt idx="10" formatCode="General">
                        <c:v>-7.9532365269461076</c:v>
                      </c:pt>
                      <c:pt idx="11" formatCode="General">
                        <c:v>-7.2756017964071864</c:v>
                      </c:pt>
                      <c:pt idx="12" formatCode="General">
                        <c:v>-6.5979670658682643</c:v>
                      </c:pt>
                      <c:pt idx="13" formatCode="General">
                        <c:v>-5.9610299401197615</c:v>
                      </c:pt>
                      <c:pt idx="14" formatCode="General">
                        <c:v>-5.3600718562874254</c:v>
                      </c:pt>
                      <c:pt idx="15" formatCode="General">
                        <c:v>-4.7591137724550894</c:v>
                      </c:pt>
                      <c:pt idx="16" formatCode="General">
                        <c:v>-4.5126516516516508</c:v>
                      </c:pt>
                      <c:pt idx="17" formatCode="General">
                        <c:v>-4.2803693693693692</c:v>
                      </c:pt>
                      <c:pt idx="18" formatCode="General">
                        <c:v>-4.1537664670658687</c:v>
                      </c:pt>
                      <c:pt idx="19" formatCode="General">
                        <c:v>-4.1856826347305391</c:v>
                      </c:pt>
                      <c:pt idx="20" formatCode="General">
                        <c:v>-4.2175988023952096</c:v>
                      </c:pt>
                      <c:pt idx="21" formatCode="General">
                        <c:v>-4.249676646706587</c:v>
                      </c:pt>
                      <c:pt idx="22" formatCode="General">
                        <c:v>-4.2817874251497008</c:v>
                      </c:pt>
                      <c:pt idx="23" formatCode="General">
                        <c:v>-4.3138982035928146</c:v>
                      </c:pt>
                      <c:pt idx="24" formatCode="General">
                        <c:v>-4.3460089820359284</c:v>
                      </c:pt>
                      <c:pt idx="25" formatCode="General">
                        <c:v>-4.3781197604790414</c:v>
                      </c:pt>
                      <c:pt idx="26" formatCode="General">
                        <c:v>-4.4102305389221552</c:v>
                      </c:pt>
                      <c:pt idx="27" formatCode="General">
                        <c:v>-4.442341317365269</c:v>
                      </c:pt>
                      <c:pt idx="28" formatCode="General">
                        <c:v>-4.4744520958083829</c:v>
                      </c:pt>
                      <c:pt idx="29" formatCode="General">
                        <c:v>-4.5065628742514967</c:v>
                      </c:pt>
                      <c:pt idx="30" formatCode="General">
                        <c:v>-4.5386736526946105</c:v>
                      </c:pt>
                      <c:pt idx="31" formatCode="General">
                        <c:v>-4.5702584269662925</c:v>
                      </c:pt>
                      <c:pt idx="32" formatCode="General">
                        <c:v>-4.6014194756554305</c:v>
                      </c:pt>
                      <c:pt idx="33" formatCode="General">
                        <c:v>-4.6325805243445695</c:v>
                      </c:pt>
                      <c:pt idx="34" formatCode="General">
                        <c:v>-4.6637415730337084</c:v>
                      </c:pt>
                      <c:pt idx="35" formatCode="General">
                        <c:v>-4.6949026217228464</c:v>
                      </c:pt>
                      <c:pt idx="36" formatCode="General">
                        <c:v>-4.7260636704119854</c:v>
                      </c:pt>
                      <c:pt idx="37" formatCode="General">
                        <c:v>-4.7572247191011234</c:v>
                      </c:pt>
                      <c:pt idx="38" formatCode="General">
                        <c:v>-4.7883857677902624</c:v>
                      </c:pt>
                      <c:pt idx="39" formatCode="General">
                        <c:v>-4.8195468164794013</c:v>
                      </c:pt>
                      <c:pt idx="40" formatCode="General">
                        <c:v>-4.8507078651685394</c:v>
                      </c:pt>
                      <c:pt idx="41" formatCode="General">
                        <c:v>-4.8813700374531841</c:v>
                      </c:pt>
                      <c:pt idx="42" formatCode="General">
                        <c:v>-4.9107782771535584</c:v>
                      </c:pt>
                      <c:pt idx="43" formatCode="General">
                        <c:v>-4.9401865168539327</c:v>
                      </c:pt>
                      <c:pt idx="44" formatCode="General">
                        <c:v>-4.969594756554307</c:v>
                      </c:pt>
                      <c:pt idx="45" formatCode="General">
                        <c:v>-4.9990029962546814</c:v>
                      </c:pt>
                      <c:pt idx="46" formatCode="General">
                        <c:v>-5.0284112359550566</c:v>
                      </c:pt>
                      <c:pt idx="47" formatCode="General">
                        <c:v>-5.0578194756554309</c:v>
                      </c:pt>
                      <c:pt idx="48" formatCode="General">
                        <c:v>-5.0872277153558052</c:v>
                      </c:pt>
                      <c:pt idx="49" formatCode="General">
                        <c:v>-5.1166359550561795</c:v>
                      </c:pt>
                      <c:pt idx="50" formatCode="General">
                        <c:v>-5.1460441947565538</c:v>
                      </c:pt>
                      <c:pt idx="51" formatCode="General">
                        <c:v>-5.1754311377245505</c:v>
                      </c:pt>
                      <c:pt idx="52" formatCode="General">
                        <c:v>-5.2034550898203591</c:v>
                      </c:pt>
                      <c:pt idx="53" formatCode="General">
                        <c:v>-5.2314790419161676</c:v>
                      </c:pt>
                      <c:pt idx="54" formatCode="General">
                        <c:v>-5.2591834319526622</c:v>
                      </c:pt>
                      <c:pt idx="55" formatCode="General">
                        <c:v>-5.2864911242603547</c:v>
                      </c:pt>
                      <c:pt idx="56" formatCode="General">
                        <c:v>-5.3137988165680472</c:v>
                      </c:pt>
                      <c:pt idx="57" formatCode="General">
                        <c:v>-5.3416666666666668</c:v>
                      </c:pt>
                      <c:pt idx="58" formatCode="General">
                        <c:v>-5.3696363636363635</c:v>
                      </c:pt>
                      <c:pt idx="59" formatCode="General">
                        <c:v>-5.3973636363636368</c:v>
                      </c:pt>
                      <c:pt idx="60" formatCode="General">
                        <c:v>-5.4245454545454548</c:v>
                      </c:pt>
                      <c:pt idx="61" formatCode="General">
                        <c:v>-5.4517272727272728</c:v>
                      </c:pt>
                      <c:pt idx="62" formatCode="General">
                        <c:v>-5.4825522388059706</c:v>
                      </c:pt>
                      <c:pt idx="63" formatCode="General">
                        <c:v>-5.5144701492537314</c:v>
                      </c:pt>
                      <c:pt idx="64" formatCode="General">
                        <c:v>-5.546388059701493</c:v>
                      </c:pt>
                      <c:pt idx="65" formatCode="General">
                        <c:v>-5.5783059701492537</c:v>
                      </c:pt>
                      <c:pt idx="66" formatCode="General">
                        <c:v>-5.6102238805970153</c:v>
                      </c:pt>
                      <c:pt idx="67" formatCode="General">
                        <c:v>-5.642141791044776</c:v>
                      </c:pt>
                      <c:pt idx="68" formatCode="General">
                        <c:v>-5.6740597014925376</c:v>
                      </c:pt>
                      <c:pt idx="69" formatCode="General">
                        <c:v>-5.7059776119402983</c:v>
                      </c:pt>
                      <c:pt idx="70" formatCode="General">
                        <c:v>-5.7378955223880599</c:v>
                      </c:pt>
                      <c:pt idx="71" formatCode="General">
                        <c:v>-5.7698134328358206</c:v>
                      </c:pt>
                      <c:pt idx="72" formatCode="General">
                        <c:v>-5.8141127819548872</c:v>
                      </c:pt>
                      <c:pt idx="73" formatCode="General">
                        <c:v>-5.8728571428571428</c:v>
                      </c:pt>
                      <c:pt idx="74" formatCode="General">
                        <c:v>-5.9316015037593983</c:v>
                      </c:pt>
                      <c:pt idx="75" formatCode="General">
                        <c:v>-5.9903458646616539</c:v>
                      </c:pt>
                      <c:pt idx="76" formatCode="General">
                        <c:v>-6.0490902255639094</c:v>
                      </c:pt>
                      <c:pt idx="77" formatCode="General">
                        <c:v>-6.107834586466165</c:v>
                      </c:pt>
                      <c:pt idx="78" formatCode="General">
                        <c:v>-6.1665789473684214</c:v>
                      </c:pt>
                      <c:pt idx="79" formatCode="General">
                        <c:v>-6.2253233082706769</c:v>
                      </c:pt>
                      <c:pt idx="80" formatCode="General">
                        <c:v>-6.2840676691729325</c:v>
                      </c:pt>
                      <c:pt idx="81" formatCode="General">
                        <c:v>-6.342812030075188</c:v>
                      </c:pt>
                      <c:pt idx="82" formatCode="General">
                        <c:v>-6.4000882352941177</c:v>
                      </c:pt>
                      <c:pt idx="83" formatCode="General">
                        <c:v>-6.4524705882352942</c:v>
                      </c:pt>
                      <c:pt idx="84" formatCode="General">
                        <c:v>-6.5048529411764706</c:v>
                      </c:pt>
                      <c:pt idx="85" formatCode="General">
                        <c:v>-6.5572424242424248</c:v>
                      </c:pt>
                      <c:pt idx="86" formatCode="General">
                        <c:v>-6.6096363636363638</c:v>
                      </c:pt>
                      <c:pt idx="87" formatCode="General">
                        <c:v>-6.6617941176470588</c:v>
                      </c:pt>
                      <c:pt idx="88" formatCode="General">
                        <c:v>-6.7111176470588241</c:v>
                      </c:pt>
                      <c:pt idx="89" formatCode="General">
                        <c:v>-6.7604411764705885</c:v>
                      </c:pt>
                      <c:pt idx="90" formatCode="General">
                        <c:v>-6.8095454545454546</c:v>
                      </c:pt>
                      <c:pt idx="91" formatCode="General">
                        <c:v>-6.858393939393939</c:v>
                      </c:pt>
                      <c:pt idx="92" formatCode="General">
                        <c:v>-6.9072424242424235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E9B-4A24-AF6E-BAFF55F304A7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-21.633423423423423</c:v>
                      </c:pt>
                      <c:pt idx="1">
                        <c:v>-20.938528528528529</c:v>
                      </c:pt>
                      <c:pt idx="2" formatCode="General">
                        <c:v>-20.243633633633632</c:v>
                      </c:pt>
                      <c:pt idx="3" formatCode="General">
                        <c:v>-20.065988023952094</c:v>
                      </c:pt>
                      <c:pt idx="4" formatCode="General">
                        <c:v>-20.011497005988023</c:v>
                      </c:pt>
                      <c:pt idx="5" formatCode="General">
                        <c:v>-20.01640718562874</c:v>
                      </c:pt>
                      <c:pt idx="6" formatCode="General">
                        <c:v>-20.211017964071857</c:v>
                      </c:pt>
                      <c:pt idx="7" formatCode="General">
                        <c:v>-20.40562874251497</c:v>
                      </c:pt>
                      <c:pt idx="8" formatCode="General">
                        <c:v>-20.602844311377243</c:v>
                      </c:pt>
                      <c:pt idx="9" formatCode="General">
                        <c:v>-20.801347305389221</c:v>
                      </c:pt>
                      <c:pt idx="10" formatCode="General">
                        <c:v>-20.999850299401199</c:v>
                      </c:pt>
                      <c:pt idx="11" formatCode="General">
                        <c:v>-21.198353293413174</c:v>
                      </c:pt>
                      <c:pt idx="12" formatCode="General">
                        <c:v>-21.396856287425148</c:v>
                      </c:pt>
                      <c:pt idx="13" formatCode="General">
                        <c:v>-21.597425149700598</c:v>
                      </c:pt>
                      <c:pt idx="14" formatCode="General">
                        <c:v>-21.799820359281437</c:v>
                      </c:pt>
                      <c:pt idx="15" formatCode="General">
                        <c:v>-22.002215568862276</c:v>
                      </c:pt>
                      <c:pt idx="16" formatCode="General">
                        <c:v>-22.19768768768769</c:v>
                      </c:pt>
                      <c:pt idx="17" formatCode="General">
                        <c:v>-22.392882882882883</c:v>
                      </c:pt>
                      <c:pt idx="18" formatCode="General">
                        <c:v>-22.589401197604793</c:v>
                      </c:pt>
                      <c:pt idx="19" formatCode="General">
                        <c:v>-22.787904191616768</c:v>
                      </c:pt>
                      <c:pt idx="20" formatCode="General">
                        <c:v>-22.986407185628742</c:v>
                      </c:pt>
                      <c:pt idx="21" formatCode="General">
                        <c:v>-23.17682634730539</c:v>
                      </c:pt>
                      <c:pt idx="22" formatCode="General">
                        <c:v>-23.365598802395208</c:v>
                      </c:pt>
                      <c:pt idx="23" formatCode="General">
                        <c:v>-23.55437125748503</c:v>
                      </c:pt>
                      <c:pt idx="24" formatCode="General">
                        <c:v>-23.743143712574849</c:v>
                      </c:pt>
                      <c:pt idx="25" formatCode="General">
                        <c:v>-23.931916167664671</c:v>
                      </c:pt>
                      <c:pt idx="26" formatCode="General">
                        <c:v>-24.120688622754493</c:v>
                      </c:pt>
                      <c:pt idx="27" formatCode="General">
                        <c:v>-24.309461077844311</c:v>
                      </c:pt>
                      <c:pt idx="28" formatCode="General">
                        <c:v>-24.498233532934133</c:v>
                      </c:pt>
                      <c:pt idx="29" formatCode="General">
                        <c:v>-24.687005988023952</c:v>
                      </c:pt>
                      <c:pt idx="30" formatCode="General">
                        <c:v>-24.875778443113774</c:v>
                      </c:pt>
                      <c:pt idx="31" formatCode="General">
                        <c:v>-25.057617977528093</c:v>
                      </c:pt>
                      <c:pt idx="32" formatCode="General">
                        <c:v>-25.233872659176033</c:v>
                      </c:pt>
                      <c:pt idx="33" formatCode="General">
                        <c:v>-25.410127340823973</c:v>
                      </c:pt>
                      <c:pt idx="34" formatCode="General">
                        <c:v>-25.586382022471913</c:v>
                      </c:pt>
                      <c:pt idx="35" formatCode="General">
                        <c:v>-25.762636704119853</c:v>
                      </c:pt>
                      <c:pt idx="36" formatCode="General">
                        <c:v>-25.938891385767793</c:v>
                      </c:pt>
                      <c:pt idx="37" formatCode="General">
                        <c:v>-26.115146067415729</c:v>
                      </c:pt>
                      <c:pt idx="38" formatCode="General">
                        <c:v>-26.291400749063669</c:v>
                      </c:pt>
                      <c:pt idx="39" formatCode="General">
                        <c:v>-26.467655430711609</c:v>
                      </c:pt>
                      <c:pt idx="40" formatCode="General">
                        <c:v>-26.643910112359549</c:v>
                      </c:pt>
                      <c:pt idx="41" formatCode="General">
                        <c:v>-26.81767041198502</c:v>
                      </c:pt>
                      <c:pt idx="42" formatCode="General">
                        <c:v>-26.98516104868914</c:v>
                      </c:pt>
                      <c:pt idx="43" formatCode="General">
                        <c:v>-27.152651685393259</c:v>
                      </c:pt>
                      <c:pt idx="44" formatCode="General">
                        <c:v>-27.320142322097379</c:v>
                      </c:pt>
                      <c:pt idx="45" formatCode="General">
                        <c:v>-27.487632958801498</c:v>
                      </c:pt>
                      <c:pt idx="46" formatCode="General">
                        <c:v>-27.655123595505618</c:v>
                      </c:pt>
                      <c:pt idx="47" formatCode="General">
                        <c:v>-27.822614232209737</c:v>
                      </c:pt>
                      <c:pt idx="48" formatCode="General">
                        <c:v>-27.990104868913857</c:v>
                      </c:pt>
                      <c:pt idx="49" formatCode="General">
                        <c:v>-28.157595505617977</c:v>
                      </c:pt>
                      <c:pt idx="50" formatCode="General">
                        <c:v>-28.325086142322096</c:v>
                      </c:pt>
                      <c:pt idx="51" formatCode="General">
                        <c:v>-28.492455089820357</c:v>
                      </c:pt>
                      <c:pt idx="52" formatCode="General">
                        <c:v>-28.652035928143711</c:v>
                      </c:pt>
                      <c:pt idx="53" formatCode="General">
                        <c:v>-28.811616766467065</c:v>
                      </c:pt>
                      <c:pt idx="54" formatCode="General">
                        <c:v>-28.970355029585797</c:v>
                      </c:pt>
                      <c:pt idx="55" formatCode="General">
                        <c:v>-29.128047337278105</c:v>
                      </c:pt>
                      <c:pt idx="56" formatCode="General">
                        <c:v>-29.285739644970413</c:v>
                      </c:pt>
                      <c:pt idx="57" formatCode="General">
                        <c:v>-29.446666666666665</c:v>
                      </c:pt>
                      <c:pt idx="58" formatCode="General">
                        <c:v>-29.608181818181816</c:v>
                      </c:pt>
                      <c:pt idx="59" formatCode="General">
                        <c:v>-29.768484848484846</c:v>
                      </c:pt>
                      <c:pt idx="60" formatCode="General">
                        <c:v>-29.926060606060606</c:v>
                      </c:pt>
                      <c:pt idx="61" formatCode="General">
                        <c:v>-30.083636363636366</c:v>
                      </c:pt>
                      <c:pt idx="62" formatCode="General">
                        <c:v>-30.237164179104479</c:v>
                      </c:pt>
                      <c:pt idx="63" formatCode="General">
                        <c:v>-30.389477611940301</c:v>
                      </c:pt>
                      <c:pt idx="64" formatCode="General">
                        <c:v>-30.541791044776119</c:v>
                      </c:pt>
                      <c:pt idx="65" formatCode="General">
                        <c:v>-30.69410447761194</c:v>
                      </c:pt>
                      <c:pt idx="66" formatCode="General">
                        <c:v>-30.846417910447762</c:v>
                      </c:pt>
                      <c:pt idx="67" formatCode="General">
                        <c:v>-30.998731343283584</c:v>
                      </c:pt>
                      <c:pt idx="68" formatCode="General">
                        <c:v>-31.151044776119406</c:v>
                      </c:pt>
                      <c:pt idx="69" formatCode="General">
                        <c:v>-31.303358208955224</c:v>
                      </c:pt>
                      <c:pt idx="70" formatCode="General">
                        <c:v>-31.455671641791046</c:v>
                      </c:pt>
                      <c:pt idx="71" formatCode="General">
                        <c:v>-31.607985074626868</c:v>
                      </c:pt>
                      <c:pt idx="72" formatCode="General">
                        <c:v>-31.759022556390978</c:v>
                      </c:pt>
                      <c:pt idx="73" formatCode="General">
                        <c:v>-31.908571428571431</c:v>
                      </c:pt>
                      <c:pt idx="74" formatCode="General">
                        <c:v>-32.058120300751881</c:v>
                      </c:pt>
                      <c:pt idx="75" formatCode="General">
                        <c:v>-32.207669172932334</c:v>
                      </c:pt>
                      <c:pt idx="76" formatCode="General">
                        <c:v>-32.357218045112781</c:v>
                      </c:pt>
                      <c:pt idx="77" formatCode="General">
                        <c:v>-32.506766917293234</c:v>
                      </c:pt>
                      <c:pt idx="78" formatCode="General">
                        <c:v>-32.65631578947368</c:v>
                      </c:pt>
                      <c:pt idx="79" formatCode="General">
                        <c:v>-32.805864661654134</c:v>
                      </c:pt>
                      <c:pt idx="80" formatCode="General">
                        <c:v>-32.955413533834587</c:v>
                      </c:pt>
                      <c:pt idx="81" formatCode="General">
                        <c:v>-33.104962406015034</c:v>
                      </c:pt>
                      <c:pt idx="82" formatCode="General">
                        <c:v>-33.252647058823527</c:v>
                      </c:pt>
                      <c:pt idx="83" formatCode="General">
                        <c:v>-33.394117647058827</c:v>
                      </c:pt>
                      <c:pt idx="84" formatCode="General">
                        <c:v>-33.535588235294121</c:v>
                      </c:pt>
                      <c:pt idx="85" formatCode="General">
                        <c:v>-33.682121212121217</c:v>
                      </c:pt>
                      <c:pt idx="86" formatCode="General">
                        <c:v>-33.831818181818186</c:v>
                      </c:pt>
                      <c:pt idx="87" formatCode="General">
                        <c:v>-33.980882352941173</c:v>
                      </c:pt>
                      <c:pt idx="88" formatCode="General">
                        <c:v>-34.122352941176473</c:v>
                      </c:pt>
                      <c:pt idx="89" formatCode="General">
                        <c:v>-34.263823529411766</c:v>
                      </c:pt>
                      <c:pt idx="90" formatCode="General">
                        <c:v>-34.407272727272733</c:v>
                      </c:pt>
                      <c:pt idx="91" formatCode="General">
                        <c:v>-34.553030303030305</c:v>
                      </c:pt>
                      <c:pt idx="92" formatCode="General">
                        <c:v>-34.698787878787883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E9B-4A24-AF6E-BAFF55F304A7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-58.474144144144148</c:v>
                      </c:pt>
                      <c:pt idx="1">
                        <c:v>-56.69786786786787</c:v>
                      </c:pt>
                      <c:pt idx="2" formatCode="General">
                        <c:v>-54.921591591591593</c:v>
                      </c:pt>
                      <c:pt idx="3" formatCode="General">
                        <c:v>-53.84437125748503</c:v>
                      </c:pt>
                      <c:pt idx="4" formatCode="General">
                        <c:v>-52.933592814371252</c:v>
                      </c:pt>
                      <c:pt idx="5" formatCode="General">
                        <c:v>-52.120269461077839</c:v>
                      </c:pt>
                      <c:pt idx="6" formatCode="General">
                        <c:v>-51.618173652694608</c:v>
                      </c:pt>
                      <c:pt idx="7" formatCode="General">
                        <c:v>-51.11607784431137</c:v>
                      </c:pt>
                      <c:pt idx="8" formatCode="General">
                        <c:v>-50.697595808383234</c:v>
                      </c:pt>
                      <c:pt idx="9" formatCode="General">
                        <c:v>-50.320440119760477</c:v>
                      </c:pt>
                      <c:pt idx="10" formatCode="General">
                        <c:v>-49.952937125748505</c:v>
                      </c:pt>
                      <c:pt idx="11" formatCode="General">
                        <c:v>-49.672308383233535</c:v>
                      </c:pt>
                      <c:pt idx="12" formatCode="General">
                        <c:v>-49.391679640718564</c:v>
                      </c:pt>
                      <c:pt idx="13" formatCode="General">
                        <c:v>-49.155880239520954</c:v>
                      </c:pt>
                      <c:pt idx="14" formatCode="General">
                        <c:v>-48.9597125748503</c:v>
                      </c:pt>
                      <c:pt idx="15" formatCode="General">
                        <c:v>-48.76354491017964</c:v>
                      </c:pt>
                      <c:pt idx="16" formatCode="General">
                        <c:v>-48.908027027027025</c:v>
                      </c:pt>
                      <c:pt idx="17" formatCode="General">
                        <c:v>-49.066135135135134</c:v>
                      </c:pt>
                      <c:pt idx="18" formatCode="General">
                        <c:v>-49.332568862275451</c:v>
                      </c:pt>
                      <c:pt idx="19" formatCode="General">
                        <c:v>-49.761491017964069</c:v>
                      </c:pt>
                      <c:pt idx="20" formatCode="General">
                        <c:v>-50.190413173652694</c:v>
                      </c:pt>
                      <c:pt idx="21" formatCode="General">
                        <c:v>-50.603329341317362</c:v>
                      </c:pt>
                      <c:pt idx="22" formatCode="General">
                        <c:v>-51.012985029940118</c:v>
                      </c:pt>
                      <c:pt idx="23" formatCode="General">
                        <c:v>-51.422640718562874</c:v>
                      </c:pt>
                      <c:pt idx="24" formatCode="General">
                        <c:v>-51.832296407185623</c:v>
                      </c:pt>
                      <c:pt idx="25" formatCode="General">
                        <c:v>-52.241952095808379</c:v>
                      </c:pt>
                      <c:pt idx="26" formatCode="General">
                        <c:v>-52.651607784431135</c:v>
                      </c:pt>
                      <c:pt idx="27" formatCode="General">
                        <c:v>-53.061263473053891</c:v>
                      </c:pt>
                      <c:pt idx="28" formatCode="General">
                        <c:v>-53.470919161676647</c:v>
                      </c:pt>
                      <c:pt idx="29" formatCode="General">
                        <c:v>-53.880574850299404</c:v>
                      </c:pt>
                      <c:pt idx="30" formatCode="General">
                        <c:v>-54.29023053892216</c:v>
                      </c:pt>
                      <c:pt idx="31" formatCode="General">
                        <c:v>-54.685494382022469</c:v>
                      </c:pt>
                      <c:pt idx="32" formatCode="General">
                        <c:v>-55.069164794007492</c:v>
                      </c:pt>
                      <c:pt idx="33" formatCode="General">
                        <c:v>-55.452835205992507</c:v>
                      </c:pt>
                      <c:pt idx="34" formatCode="General">
                        <c:v>-55.836505617977529</c:v>
                      </c:pt>
                      <c:pt idx="35" formatCode="General">
                        <c:v>-56.220176029962545</c:v>
                      </c:pt>
                      <c:pt idx="36" formatCode="General">
                        <c:v>-56.603846441947567</c:v>
                      </c:pt>
                      <c:pt idx="37" formatCode="General">
                        <c:v>-56.987516853932583</c:v>
                      </c:pt>
                      <c:pt idx="38" formatCode="General">
                        <c:v>-57.371187265917598</c:v>
                      </c:pt>
                      <c:pt idx="39" formatCode="General">
                        <c:v>-57.754857677902621</c:v>
                      </c:pt>
                      <c:pt idx="40" formatCode="General">
                        <c:v>-58.138528089887636</c:v>
                      </c:pt>
                      <c:pt idx="41" formatCode="General">
                        <c:v>-58.516710861423221</c:v>
                      </c:pt>
                      <c:pt idx="42" formatCode="General">
                        <c:v>-58.881100374531833</c:v>
                      </c:pt>
                      <c:pt idx="43" formatCode="General">
                        <c:v>-59.245489887640446</c:v>
                      </c:pt>
                      <c:pt idx="44" formatCode="General">
                        <c:v>-59.609879400749058</c:v>
                      </c:pt>
                      <c:pt idx="45" formatCode="General">
                        <c:v>-59.974268913857678</c:v>
                      </c:pt>
                      <c:pt idx="46" formatCode="General">
                        <c:v>-60.33865842696629</c:v>
                      </c:pt>
                      <c:pt idx="47" formatCode="General">
                        <c:v>-60.703047940074903</c:v>
                      </c:pt>
                      <c:pt idx="48" formatCode="General">
                        <c:v>-61.067437453183516</c:v>
                      </c:pt>
                      <c:pt idx="49" formatCode="General">
                        <c:v>-61.431826966292128</c:v>
                      </c:pt>
                      <c:pt idx="50" formatCode="General">
                        <c:v>-61.796216479400748</c:v>
                      </c:pt>
                      <c:pt idx="51" formatCode="General">
                        <c:v>-62.160341317365265</c:v>
                      </c:pt>
                      <c:pt idx="52" formatCode="General">
                        <c:v>-62.507526946107781</c:v>
                      </c:pt>
                      <c:pt idx="53" formatCode="General">
                        <c:v>-62.854712574850296</c:v>
                      </c:pt>
                      <c:pt idx="54" formatCode="General">
                        <c:v>-63.199893491124257</c:v>
                      </c:pt>
                      <c:pt idx="55" formatCode="General">
                        <c:v>-63.54258579881656</c:v>
                      </c:pt>
                      <c:pt idx="56" formatCode="General">
                        <c:v>-63.885278106508871</c:v>
                      </c:pt>
                      <c:pt idx="57" formatCode="General">
                        <c:v>-64.234999999999999</c:v>
                      </c:pt>
                      <c:pt idx="58" formatCode="General">
                        <c:v>-64.585999999999999</c:v>
                      </c:pt>
                      <c:pt idx="59" formatCode="General">
                        <c:v>-64.934333333333328</c:v>
                      </c:pt>
                      <c:pt idx="60" formatCode="General">
                        <c:v>-65.276666666666671</c:v>
                      </c:pt>
                      <c:pt idx="61" formatCode="General">
                        <c:v>-65.619</c:v>
                      </c:pt>
                      <c:pt idx="62" formatCode="General">
                        <c:v>-65.95688059701493</c:v>
                      </c:pt>
                      <c:pt idx="63" formatCode="General">
                        <c:v>-66.29342537313434</c:v>
                      </c:pt>
                      <c:pt idx="64" formatCode="General">
                        <c:v>-66.629970149253737</c:v>
                      </c:pt>
                      <c:pt idx="65" formatCode="General">
                        <c:v>-66.966514925373133</c:v>
                      </c:pt>
                      <c:pt idx="66" formatCode="General">
                        <c:v>-67.303059701492543</c:v>
                      </c:pt>
                      <c:pt idx="67" formatCode="General">
                        <c:v>-67.63960447761194</c:v>
                      </c:pt>
                      <c:pt idx="68" formatCode="General">
                        <c:v>-67.97614925373135</c:v>
                      </c:pt>
                      <c:pt idx="69" formatCode="General">
                        <c:v>-68.312694029850746</c:v>
                      </c:pt>
                      <c:pt idx="70" formatCode="General">
                        <c:v>-68.649238805970157</c:v>
                      </c:pt>
                      <c:pt idx="71" formatCode="General">
                        <c:v>-68.985783582089553</c:v>
                      </c:pt>
                      <c:pt idx="72" formatCode="General">
                        <c:v>-69.332157894736838</c:v>
                      </c:pt>
                      <c:pt idx="73" formatCode="General">
                        <c:v>-69.69</c:v>
                      </c:pt>
                      <c:pt idx="74" formatCode="General">
                        <c:v>-70.047842105263157</c:v>
                      </c:pt>
                      <c:pt idx="75" formatCode="General">
                        <c:v>-70.405684210526317</c:v>
                      </c:pt>
                      <c:pt idx="76" formatCode="General">
                        <c:v>-70.763526315789477</c:v>
                      </c:pt>
                      <c:pt idx="77" formatCode="General">
                        <c:v>-71.121368421052637</c:v>
                      </c:pt>
                      <c:pt idx="78" formatCode="General">
                        <c:v>-71.479210526315796</c:v>
                      </c:pt>
                      <c:pt idx="79" formatCode="General">
                        <c:v>-71.837052631578956</c:v>
                      </c:pt>
                      <c:pt idx="80" formatCode="General">
                        <c:v>-72.194894736842102</c:v>
                      </c:pt>
                      <c:pt idx="81" formatCode="General">
                        <c:v>-72.552736842105261</c:v>
                      </c:pt>
                      <c:pt idx="82" formatCode="General">
                        <c:v>-72.905382352941174</c:v>
                      </c:pt>
                      <c:pt idx="83" formatCode="General">
                        <c:v>-73.240705882352955</c:v>
                      </c:pt>
                      <c:pt idx="84" formatCode="General">
                        <c:v>-73.576029411764722</c:v>
                      </c:pt>
                      <c:pt idx="85" formatCode="General">
                        <c:v>-73.921484848484852</c:v>
                      </c:pt>
                      <c:pt idx="86" formatCode="General">
                        <c:v>-74.273272727272726</c:v>
                      </c:pt>
                      <c:pt idx="87" formatCode="General">
                        <c:v>-74.623558823529407</c:v>
                      </c:pt>
                      <c:pt idx="88" formatCode="General">
                        <c:v>-74.955823529411774</c:v>
                      </c:pt>
                      <c:pt idx="89" formatCode="General">
                        <c:v>-75.288088235294126</c:v>
                      </c:pt>
                      <c:pt idx="90" formatCode="General">
                        <c:v>-75.624090909090924</c:v>
                      </c:pt>
                      <c:pt idx="91" formatCode="General">
                        <c:v>-75.964454545454558</c:v>
                      </c:pt>
                      <c:pt idx="92" formatCode="General">
                        <c:v>-76.304818181818192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E9B-4A24-AF6E-BAFF55F304A7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-30.414594594594593</c:v>
                      </c:pt>
                      <c:pt idx="1">
                        <c:v>-29.641621621621621</c:v>
                      </c:pt>
                      <c:pt idx="2" formatCode="General">
                        <c:v>-28.868648648648648</c:v>
                      </c:pt>
                      <c:pt idx="3" formatCode="General">
                        <c:v>-27.424790419161674</c:v>
                      </c:pt>
                      <c:pt idx="4" formatCode="General">
                        <c:v>-25.821197604790417</c:v>
                      </c:pt>
                      <c:pt idx="5" formatCode="General">
                        <c:v>-24.174910179640719</c:v>
                      </c:pt>
                      <c:pt idx="6" formatCode="General">
                        <c:v>-22.392275449101795</c:v>
                      </c:pt>
                      <c:pt idx="7" formatCode="General">
                        <c:v>-20.609640718562876</c:v>
                      </c:pt>
                      <c:pt idx="8" formatCode="General">
                        <c:v>-18.983814371257484</c:v>
                      </c:pt>
                      <c:pt idx="9" formatCode="General">
                        <c:v>-17.435491017964072</c:v>
                      </c:pt>
                      <c:pt idx="10" formatCode="General">
                        <c:v>-15.906473053892215</c:v>
                      </c:pt>
                      <c:pt idx="11" formatCode="General">
                        <c:v>-14.551203592814373</c:v>
                      </c:pt>
                      <c:pt idx="12" formatCode="General">
                        <c:v>-13.195934131736529</c:v>
                      </c:pt>
                      <c:pt idx="13" formatCode="General">
                        <c:v>-11.922059880239523</c:v>
                      </c:pt>
                      <c:pt idx="14" formatCode="General">
                        <c:v>-10.720143712574851</c:v>
                      </c:pt>
                      <c:pt idx="15" formatCode="General">
                        <c:v>-9.5182275449101788</c:v>
                      </c:pt>
                      <c:pt idx="16" formatCode="General">
                        <c:v>-9.0253033033033017</c:v>
                      </c:pt>
                      <c:pt idx="17" formatCode="General">
                        <c:v>-8.5607387387387384</c:v>
                      </c:pt>
                      <c:pt idx="18" formatCode="General">
                        <c:v>-8.3075329341317374</c:v>
                      </c:pt>
                      <c:pt idx="19" formatCode="General">
                        <c:v>-8.3713652694610783</c:v>
                      </c:pt>
                      <c:pt idx="20" formatCode="General">
                        <c:v>-8.4351976047904191</c:v>
                      </c:pt>
                      <c:pt idx="21" formatCode="General">
                        <c:v>-8.4993532934131739</c:v>
                      </c:pt>
                      <c:pt idx="22" formatCode="General">
                        <c:v>-8.5635748502994016</c:v>
                      </c:pt>
                      <c:pt idx="23" formatCode="General">
                        <c:v>-8.6277964071856292</c:v>
                      </c:pt>
                      <c:pt idx="24" formatCode="General">
                        <c:v>-8.6920179640718569</c:v>
                      </c:pt>
                      <c:pt idx="25" formatCode="General">
                        <c:v>-8.7562395209580828</c:v>
                      </c:pt>
                      <c:pt idx="26" formatCode="General">
                        <c:v>-8.8204610778443104</c:v>
                      </c:pt>
                      <c:pt idx="27" formatCode="General">
                        <c:v>-8.8846826347305381</c:v>
                      </c:pt>
                      <c:pt idx="28" formatCode="General">
                        <c:v>-8.9489041916167658</c:v>
                      </c:pt>
                      <c:pt idx="29" formatCode="General">
                        <c:v>-9.0131257485029934</c:v>
                      </c:pt>
                      <c:pt idx="30" formatCode="General">
                        <c:v>-9.0773473053892211</c:v>
                      </c:pt>
                      <c:pt idx="31" formatCode="General">
                        <c:v>-9.140516853932585</c:v>
                      </c:pt>
                      <c:pt idx="32" formatCode="General">
                        <c:v>-9.202838951310861</c:v>
                      </c:pt>
                      <c:pt idx="33" formatCode="General">
                        <c:v>-9.2651610486891389</c:v>
                      </c:pt>
                      <c:pt idx="34" formatCode="General">
                        <c:v>-9.3274831460674168</c:v>
                      </c:pt>
                      <c:pt idx="35" formatCode="General">
                        <c:v>-9.3898052434456929</c:v>
                      </c:pt>
                      <c:pt idx="36" formatCode="General">
                        <c:v>-9.4521273408239708</c:v>
                      </c:pt>
                      <c:pt idx="37" formatCode="General">
                        <c:v>-9.5144494382022469</c:v>
                      </c:pt>
                      <c:pt idx="38" formatCode="General">
                        <c:v>-9.5767715355805247</c:v>
                      </c:pt>
                      <c:pt idx="39" formatCode="General">
                        <c:v>-9.6390936329588026</c:v>
                      </c:pt>
                      <c:pt idx="40" formatCode="General">
                        <c:v>-9.7014157303370787</c:v>
                      </c:pt>
                      <c:pt idx="41" formatCode="General">
                        <c:v>-9.7627400749063682</c:v>
                      </c:pt>
                      <c:pt idx="42" formatCode="General">
                        <c:v>-9.8215565543071168</c:v>
                      </c:pt>
                      <c:pt idx="43" formatCode="General">
                        <c:v>-9.8803730337078655</c:v>
                      </c:pt>
                      <c:pt idx="44" formatCode="General">
                        <c:v>-9.9391895131086141</c:v>
                      </c:pt>
                      <c:pt idx="45" formatCode="General">
                        <c:v>-9.9980059925093627</c:v>
                      </c:pt>
                      <c:pt idx="46" formatCode="General">
                        <c:v>-10.056822471910113</c:v>
                      </c:pt>
                      <c:pt idx="47" formatCode="General">
                        <c:v>-10.115638951310862</c:v>
                      </c:pt>
                      <c:pt idx="48" formatCode="General">
                        <c:v>-10.17445543071161</c:v>
                      </c:pt>
                      <c:pt idx="49" formatCode="General">
                        <c:v>-10.233271910112359</c:v>
                      </c:pt>
                      <c:pt idx="50" formatCode="General">
                        <c:v>-10.292088389513108</c:v>
                      </c:pt>
                      <c:pt idx="51" formatCode="General">
                        <c:v>-10.350862275449101</c:v>
                      </c:pt>
                      <c:pt idx="52" formatCode="General">
                        <c:v>-10.406910179640718</c:v>
                      </c:pt>
                      <c:pt idx="53" formatCode="General">
                        <c:v>-10.462958083832335</c:v>
                      </c:pt>
                      <c:pt idx="54" formatCode="General">
                        <c:v>-10.518366863905324</c:v>
                      </c:pt>
                      <c:pt idx="55" formatCode="General">
                        <c:v>-10.572982248520709</c:v>
                      </c:pt>
                      <c:pt idx="56" formatCode="General">
                        <c:v>-10.627597633136094</c:v>
                      </c:pt>
                      <c:pt idx="57" formatCode="General">
                        <c:v>-10.683333333333334</c:v>
                      </c:pt>
                      <c:pt idx="58" formatCode="General">
                        <c:v>-10.739272727272727</c:v>
                      </c:pt>
                      <c:pt idx="59" formatCode="General">
                        <c:v>-10.794727272727274</c:v>
                      </c:pt>
                      <c:pt idx="60" formatCode="General">
                        <c:v>-10.84909090909091</c:v>
                      </c:pt>
                      <c:pt idx="61" formatCode="General">
                        <c:v>-10.903454545454546</c:v>
                      </c:pt>
                      <c:pt idx="62" formatCode="General">
                        <c:v>-10.965104477611941</c:v>
                      </c:pt>
                      <c:pt idx="63" formatCode="General">
                        <c:v>-11.028940298507463</c:v>
                      </c:pt>
                      <c:pt idx="64" formatCode="General">
                        <c:v>-11.092776119402986</c:v>
                      </c:pt>
                      <c:pt idx="65" formatCode="General">
                        <c:v>-11.156611940298507</c:v>
                      </c:pt>
                      <c:pt idx="66" formatCode="General">
                        <c:v>-11.220447761194031</c:v>
                      </c:pt>
                      <c:pt idx="67" formatCode="General">
                        <c:v>-11.284283582089552</c:v>
                      </c:pt>
                      <c:pt idx="68" formatCode="General">
                        <c:v>-11.348119402985075</c:v>
                      </c:pt>
                      <c:pt idx="69" formatCode="General">
                        <c:v>-11.411955223880597</c:v>
                      </c:pt>
                      <c:pt idx="70" formatCode="General">
                        <c:v>-11.47579104477612</c:v>
                      </c:pt>
                      <c:pt idx="71" formatCode="General">
                        <c:v>-11.539626865671641</c:v>
                      </c:pt>
                      <c:pt idx="72" formatCode="General">
                        <c:v>-11.628225563909774</c:v>
                      </c:pt>
                      <c:pt idx="73" formatCode="General">
                        <c:v>-11.745714285714286</c:v>
                      </c:pt>
                      <c:pt idx="74" formatCode="General">
                        <c:v>-11.863203007518797</c:v>
                      </c:pt>
                      <c:pt idx="75" formatCode="General">
                        <c:v>-11.980691729323308</c:v>
                      </c:pt>
                      <c:pt idx="76" formatCode="General">
                        <c:v>-12.098180451127819</c:v>
                      </c:pt>
                      <c:pt idx="77" formatCode="General">
                        <c:v>-12.21566917293233</c:v>
                      </c:pt>
                      <c:pt idx="78" formatCode="General">
                        <c:v>-12.333157894736843</c:v>
                      </c:pt>
                      <c:pt idx="79" formatCode="General">
                        <c:v>-12.450646616541354</c:v>
                      </c:pt>
                      <c:pt idx="80" formatCode="General">
                        <c:v>-12.568135338345865</c:v>
                      </c:pt>
                      <c:pt idx="81" formatCode="General">
                        <c:v>-12.685624060150376</c:v>
                      </c:pt>
                      <c:pt idx="82" formatCode="General">
                        <c:v>-12.800176470588235</c:v>
                      </c:pt>
                      <c:pt idx="83" formatCode="General">
                        <c:v>-12.904941176470588</c:v>
                      </c:pt>
                      <c:pt idx="84" formatCode="General">
                        <c:v>-13.009705882352941</c:v>
                      </c:pt>
                      <c:pt idx="85" formatCode="General">
                        <c:v>-13.11448484848485</c:v>
                      </c:pt>
                      <c:pt idx="86" formatCode="General">
                        <c:v>-13.219272727272728</c:v>
                      </c:pt>
                      <c:pt idx="87" formatCode="General">
                        <c:v>-13.323588235294118</c:v>
                      </c:pt>
                      <c:pt idx="88" formatCode="General">
                        <c:v>-13.422235294117648</c:v>
                      </c:pt>
                      <c:pt idx="89" formatCode="General">
                        <c:v>-13.520882352941177</c:v>
                      </c:pt>
                      <c:pt idx="90" formatCode="General">
                        <c:v>-13.619090909090909</c:v>
                      </c:pt>
                      <c:pt idx="91" formatCode="General">
                        <c:v>-13.716787878787878</c:v>
                      </c:pt>
                      <c:pt idx="92" formatCode="General">
                        <c:v>-13.814484848484847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E9B-4A24-AF6E-BAFF55F304A7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-15.207297297297297</c:v>
                      </c:pt>
                      <c:pt idx="1">
                        <c:v>-14.82081081081081</c:v>
                      </c:pt>
                      <c:pt idx="2" formatCode="General">
                        <c:v>-14.434324324324324</c:v>
                      </c:pt>
                      <c:pt idx="3" formatCode="General">
                        <c:v>-13.712395209580837</c:v>
                      </c:pt>
                      <c:pt idx="4" formatCode="General">
                        <c:v>-12.910598802395208</c:v>
                      </c:pt>
                      <c:pt idx="5" formatCode="General">
                        <c:v>-12.087455089820359</c:v>
                      </c:pt>
                      <c:pt idx="6" formatCode="General">
                        <c:v>-11.196137724550898</c:v>
                      </c:pt>
                      <c:pt idx="7" formatCode="General">
                        <c:v>-10.304820359281438</c:v>
                      </c:pt>
                      <c:pt idx="8" formatCode="General">
                        <c:v>-9.491907185628742</c:v>
                      </c:pt>
                      <c:pt idx="9" formatCode="General">
                        <c:v>-8.7177455089820359</c:v>
                      </c:pt>
                      <c:pt idx="10" formatCode="General">
                        <c:v>-7.9532365269461076</c:v>
                      </c:pt>
                      <c:pt idx="11" formatCode="General">
                        <c:v>-7.2756017964071864</c:v>
                      </c:pt>
                      <c:pt idx="12" formatCode="General">
                        <c:v>-6.5979670658682643</c:v>
                      </c:pt>
                      <c:pt idx="13" formatCode="General">
                        <c:v>-5.9610299401197615</c:v>
                      </c:pt>
                      <c:pt idx="14" formatCode="General">
                        <c:v>-5.3600718562874254</c:v>
                      </c:pt>
                      <c:pt idx="15" formatCode="General">
                        <c:v>-4.7591137724550894</c:v>
                      </c:pt>
                      <c:pt idx="16" formatCode="General">
                        <c:v>-4.5126516516516508</c:v>
                      </c:pt>
                      <c:pt idx="17" formatCode="General">
                        <c:v>-4.2803693693693692</c:v>
                      </c:pt>
                      <c:pt idx="18" formatCode="General">
                        <c:v>-4.1537664670658687</c:v>
                      </c:pt>
                      <c:pt idx="19" formatCode="General">
                        <c:v>-4.1856826347305391</c:v>
                      </c:pt>
                      <c:pt idx="20" formatCode="General">
                        <c:v>-4.2175988023952096</c:v>
                      </c:pt>
                      <c:pt idx="21" formatCode="General">
                        <c:v>-4.249676646706587</c:v>
                      </c:pt>
                      <c:pt idx="22" formatCode="General">
                        <c:v>-4.2817874251497008</c:v>
                      </c:pt>
                      <c:pt idx="23" formatCode="General">
                        <c:v>-4.3138982035928146</c:v>
                      </c:pt>
                      <c:pt idx="24" formatCode="General">
                        <c:v>-4.3460089820359284</c:v>
                      </c:pt>
                      <c:pt idx="25" formatCode="General">
                        <c:v>-4.3781197604790414</c:v>
                      </c:pt>
                      <c:pt idx="26" formatCode="General">
                        <c:v>-4.4102305389221552</c:v>
                      </c:pt>
                      <c:pt idx="27" formatCode="General">
                        <c:v>-4.442341317365269</c:v>
                      </c:pt>
                      <c:pt idx="28" formatCode="General">
                        <c:v>-4.4744520958083829</c:v>
                      </c:pt>
                      <c:pt idx="29" formatCode="General">
                        <c:v>-4.5065628742514967</c:v>
                      </c:pt>
                      <c:pt idx="30" formatCode="General">
                        <c:v>-4.5386736526946105</c:v>
                      </c:pt>
                      <c:pt idx="31" formatCode="General">
                        <c:v>-4.5702584269662925</c:v>
                      </c:pt>
                      <c:pt idx="32" formatCode="General">
                        <c:v>-4.6014194756554305</c:v>
                      </c:pt>
                      <c:pt idx="33" formatCode="General">
                        <c:v>-4.6325805243445695</c:v>
                      </c:pt>
                      <c:pt idx="34" formatCode="General">
                        <c:v>-4.6637415730337084</c:v>
                      </c:pt>
                      <c:pt idx="35" formatCode="General">
                        <c:v>-4.6949026217228464</c:v>
                      </c:pt>
                      <c:pt idx="36" formatCode="General">
                        <c:v>-4.7260636704119854</c:v>
                      </c:pt>
                      <c:pt idx="37" formatCode="General">
                        <c:v>-4.7572247191011234</c:v>
                      </c:pt>
                      <c:pt idx="38" formatCode="General">
                        <c:v>-4.7883857677902624</c:v>
                      </c:pt>
                      <c:pt idx="39" formatCode="General">
                        <c:v>-4.8195468164794013</c:v>
                      </c:pt>
                      <c:pt idx="40" formatCode="General">
                        <c:v>-4.8507078651685394</c:v>
                      </c:pt>
                      <c:pt idx="41" formatCode="General">
                        <c:v>-4.8813700374531841</c:v>
                      </c:pt>
                      <c:pt idx="42" formatCode="General">
                        <c:v>-4.9107782771535584</c:v>
                      </c:pt>
                      <c:pt idx="43" formatCode="General">
                        <c:v>-4.9401865168539327</c:v>
                      </c:pt>
                      <c:pt idx="44" formatCode="General">
                        <c:v>-4.969594756554307</c:v>
                      </c:pt>
                      <c:pt idx="45" formatCode="General">
                        <c:v>-4.9990029962546814</c:v>
                      </c:pt>
                      <c:pt idx="46" formatCode="General">
                        <c:v>-5.0284112359550566</c:v>
                      </c:pt>
                      <c:pt idx="47" formatCode="General">
                        <c:v>-5.0578194756554309</c:v>
                      </c:pt>
                      <c:pt idx="48" formatCode="General">
                        <c:v>-5.0872277153558052</c:v>
                      </c:pt>
                      <c:pt idx="49" formatCode="General">
                        <c:v>-5.1166359550561795</c:v>
                      </c:pt>
                      <c:pt idx="50" formatCode="General">
                        <c:v>-5.1460441947565538</c:v>
                      </c:pt>
                      <c:pt idx="51" formatCode="General">
                        <c:v>-5.1754311377245505</c:v>
                      </c:pt>
                      <c:pt idx="52" formatCode="General">
                        <c:v>-5.2034550898203591</c:v>
                      </c:pt>
                      <c:pt idx="53" formatCode="General">
                        <c:v>-5.2314790419161676</c:v>
                      </c:pt>
                      <c:pt idx="54" formatCode="General">
                        <c:v>-5.2591834319526622</c:v>
                      </c:pt>
                      <c:pt idx="55" formatCode="General">
                        <c:v>-5.2864911242603547</c:v>
                      </c:pt>
                      <c:pt idx="56" formatCode="General">
                        <c:v>-5.3137988165680472</c:v>
                      </c:pt>
                      <c:pt idx="57" formatCode="General">
                        <c:v>-5.3416666666666668</c:v>
                      </c:pt>
                      <c:pt idx="58" formatCode="General">
                        <c:v>-5.3696363636363635</c:v>
                      </c:pt>
                      <c:pt idx="59" formatCode="General">
                        <c:v>-5.3973636363636368</c:v>
                      </c:pt>
                      <c:pt idx="60" formatCode="General">
                        <c:v>-5.4245454545454548</c:v>
                      </c:pt>
                      <c:pt idx="61" formatCode="General">
                        <c:v>-5.4517272727272728</c:v>
                      </c:pt>
                      <c:pt idx="62" formatCode="General">
                        <c:v>-5.4825522388059706</c:v>
                      </c:pt>
                      <c:pt idx="63" formatCode="General">
                        <c:v>-5.5144701492537314</c:v>
                      </c:pt>
                      <c:pt idx="64" formatCode="General">
                        <c:v>-5.546388059701493</c:v>
                      </c:pt>
                      <c:pt idx="65" formatCode="General">
                        <c:v>-5.5783059701492537</c:v>
                      </c:pt>
                      <c:pt idx="66" formatCode="General">
                        <c:v>-5.6102238805970153</c:v>
                      </c:pt>
                      <c:pt idx="67" formatCode="General">
                        <c:v>-5.642141791044776</c:v>
                      </c:pt>
                      <c:pt idx="68" formatCode="General">
                        <c:v>-5.6740597014925376</c:v>
                      </c:pt>
                      <c:pt idx="69" formatCode="General">
                        <c:v>-5.7059776119402983</c:v>
                      </c:pt>
                      <c:pt idx="70" formatCode="General">
                        <c:v>-5.7378955223880599</c:v>
                      </c:pt>
                      <c:pt idx="71" formatCode="General">
                        <c:v>-5.7698134328358206</c:v>
                      </c:pt>
                      <c:pt idx="72" formatCode="General">
                        <c:v>-5.8141127819548872</c:v>
                      </c:pt>
                      <c:pt idx="73" formatCode="General">
                        <c:v>-5.8728571428571428</c:v>
                      </c:pt>
                      <c:pt idx="74" formatCode="General">
                        <c:v>-5.9316015037593983</c:v>
                      </c:pt>
                      <c:pt idx="75" formatCode="General">
                        <c:v>-5.9903458646616539</c:v>
                      </c:pt>
                      <c:pt idx="76" formatCode="General">
                        <c:v>-6.0490902255639094</c:v>
                      </c:pt>
                      <c:pt idx="77" formatCode="General">
                        <c:v>-6.107834586466165</c:v>
                      </c:pt>
                      <c:pt idx="78" formatCode="General">
                        <c:v>-6.1665789473684214</c:v>
                      </c:pt>
                      <c:pt idx="79" formatCode="General">
                        <c:v>-6.2253233082706769</c:v>
                      </c:pt>
                      <c:pt idx="80" formatCode="General">
                        <c:v>-6.2840676691729325</c:v>
                      </c:pt>
                      <c:pt idx="81" formatCode="General">
                        <c:v>-6.342812030075188</c:v>
                      </c:pt>
                      <c:pt idx="82" formatCode="General">
                        <c:v>-6.4000882352941177</c:v>
                      </c:pt>
                      <c:pt idx="83" formatCode="General">
                        <c:v>-6.4524705882352942</c:v>
                      </c:pt>
                      <c:pt idx="84" formatCode="General">
                        <c:v>-6.5048529411764706</c:v>
                      </c:pt>
                      <c:pt idx="85" formatCode="General">
                        <c:v>-6.5572424242424248</c:v>
                      </c:pt>
                      <c:pt idx="86" formatCode="General">
                        <c:v>-6.6096363636363638</c:v>
                      </c:pt>
                      <c:pt idx="87" formatCode="General">
                        <c:v>-6.6617941176470588</c:v>
                      </c:pt>
                      <c:pt idx="88" formatCode="General">
                        <c:v>-6.7111176470588241</c:v>
                      </c:pt>
                      <c:pt idx="89" formatCode="General">
                        <c:v>-6.7604411764705885</c:v>
                      </c:pt>
                      <c:pt idx="90" formatCode="General">
                        <c:v>-6.8095454545454546</c:v>
                      </c:pt>
                      <c:pt idx="91" formatCode="General">
                        <c:v>-6.858393939393939</c:v>
                      </c:pt>
                      <c:pt idx="92" formatCode="General">
                        <c:v>-6.9072424242424235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E9B-4A24-AF6E-BAFF55F304A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-19.021441441441443</c:v>
                      </c:pt>
                      <c:pt idx="1">
                        <c:v>-19.025345345345347</c:v>
                      </c:pt>
                      <c:pt idx="2" formatCode="General">
                        <c:v>-19.029249249249251</c:v>
                      </c:pt>
                      <c:pt idx="3" formatCode="General">
                        <c:v>-19.039431137724552</c:v>
                      </c:pt>
                      <c:pt idx="4" formatCode="General">
                        <c:v>-19.051107784431139</c:v>
                      </c:pt>
                      <c:pt idx="5" formatCode="General">
                        <c:v>-19.064640718562874</c:v>
                      </c:pt>
                      <c:pt idx="6" formatCode="General">
                        <c:v>-19.084101796407186</c:v>
                      </c:pt>
                      <c:pt idx="7" formatCode="General">
                        <c:v>-19.103562874251498</c:v>
                      </c:pt>
                      <c:pt idx="8" formatCode="General">
                        <c:v>-19.125628742514969</c:v>
                      </c:pt>
                      <c:pt idx="9" formatCode="General">
                        <c:v>-19.148982035928146</c:v>
                      </c:pt>
                      <c:pt idx="10" formatCode="General">
                        <c:v>-19.172335329341319</c:v>
                      </c:pt>
                      <c:pt idx="11" formatCode="General">
                        <c:v>-19.195688622754492</c:v>
                      </c:pt>
                      <c:pt idx="12" formatCode="General">
                        <c:v>-19.219041916167665</c:v>
                      </c:pt>
                      <c:pt idx="13" formatCode="General">
                        <c:v>-19.244461077844313</c:v>
                      </c:pt>
                      <c:pt idx="14" formatCode="General">
                        <c:v>-19.271706586826348</c:v>
                      </c:pt>
                      <c:pt idx="15" formatCode="General">
                        <c:v>-19.298952095808385</c:v>
                      </c:pt>
                      <c:pt idx="16" formatCode="General">
                        <c:v>-19.213663663663663</c:v>
                      </c:pt>
                      <c:pt idx="17" formatCode="General">
                        <c:v>-19.123873873873872</c:v>
                      </c:pt>
                      <c:pt idx="18" formatCode="General">
                        <c:v>-19.063772455089822</c:v>
                      </c:pt>
                      <c:pt idx="19" formatCode="General">
                        <c:v>-19.048203592814371</c:v>
                      </c:pt>
                      <c:pt idx="20" formatCode="General">
                        <c:v>-19.032634730538923</c:v>
                      </c:pt>
                      <c:pt idx="21" formatCode="General">
                        <c:v>-19.052634730538923</c:v>
                      </c:pt>
                      <c:pt idx="22" formatCode="General">
                        <c:v>-19.079880239520957</c:v>
                      </c:pt>
                      <c:pt idx="23" formatCode="General">
                        <c:v>-19.107125748502995</c:v>
                      </c:pt>
                      <c:pt idx="24" formatCode="General">
                        <c:v>-19.134371257485029</c:v>
                      </c:pt>
                      <c:pt idx="25" formatCode="General">
                        <c:v>-19.161616766467066</c:v>
                      </c:pt>
                      <c:pt idx="26" formatCode="General">
                        <c:v>-19.1888622754491</c:v>
                      </c:pt>
                      <c:pt idx="27" formatCode="General">
                        <c:v>-19.216107784431138</c:v>
                      </c:pt>
                      <c:pt idx="28" formatCode="General">
                        <c:v>-19.243353293413172</c:v>
                      </c:pt>
                      <c:pt idx="29" formatCode="General">
                        <c:v>-19.27059880239521</c:v>
                      </c:pt>
                      <c:pt idx="30" formatCode="General">
                        <c:v>-19.297844311377244</c:v>
                      </c:pt>
                      <c:pt idx="31" formatCode="General">
                        <c:v>-19.324022471910112</c:v>
                      </c:pt>
                      <c:pt idx="32" formatCode="General">
                        <c:v>-19.349340823970035</c:v>
                      </c:pt>
                      <c:pt idx="33" formatCode="General">
                        <c:v>-19.374659176029962</c:v>
                      </c:pt>
                      <c:pt idx="34" formatCode="General">
                        <c:v>-19.399977528089888</c:v>
                      </c:pt>
                      <c:pt idx="35" formatCode="General">
                        <c:v>-19.425295880149811</c:v>
                      </c:pt>
                      <c:pt idx="36" formatCode="General">
                        <c:v>-19.450614232209738</c:v>
                      </c:pt>
                      <c:pt idx="37" formatCode="General">
                        <c:v>-19.475932584269664</c:v>
                      </c:pt>
                      <c:pt idx="38" formatCode="General">
                        <c:v>-19.501250936329587</c:v>
                      </c:pt>
                      <c:pt idx="39" formatCode="General">
                        <c:v>-19.526569288389513</c:v>
                      </c:pt>
                      <c:pt idx="40" formatCode="General">
                        <c:v>-19.55188764044944</c:v>
                      </c:pt>
                      <c:pt idx="41" formatCode="General">
                        <c:v>-19.576928838951311</c:v>
                      </c:pt>
                      <c:pt idx="42" formatCode="General">
                        <c:v>-19.601273408239702</c:v>
                      </c:pt>
                      <c:pt idx="43" formatCode="General">
                        <c:v>-19.625617977528091</c:v>
                      </c:pt>
                      <c:pt idx="44" formatCode="General">
                        <c:v>-19.649962546816479</c:v>
                      </c:pt>
                      <c:pt idx="45" formatCode="General">
                        <c:v>-19.67430711610487</c:v>
                      </c:pt>
                      <c:pt idx="46" formatCode="General">
                        <c:v>-19.698651685393259</c:v>
                      </c:pt>
                      <c:pt idx="47" formatCode="General">
                        <c:v>-19.722996254681647</c:v>
                      </c:pt>
                      <c:pt idx="48" formatCode="General">
                        <c:v>-19.747340823970038</c:v>
                      </c:pt>
                      <c:pt idx="49" formatCode="General">
                        <c:v>-19.771685393258426</c:v>
                      </c:pt>
                      <c:pt idx="50" formatCode="General">
                        <c:v>-19.796029962546818</c:v>
                      </c:pt>
                      <c:pt idx="51" formatCode="General">
                        <c:v>-19.820359281437128</c:v>
                      </c:pt>
                      <c:pt idx="52" formatCode="General">
                        <c:v>-19.843712574850301</c:v>
                      </c:pt>
                      <c:pt idx="53" formatCode="General">
                        <c:v>-19.867065868263474</c:v>
                      </c:pt>
                      <c:pt idx="54" formatCode="General">
                        <c:v>-19.890295857988164</c:v>
                      </c:pt>
                      <c:pt idx="55" formatCode="General">
                        <c:v>-19.913372781065089</c:v>
                      </c:pt>
                      <c:pt idx="56" formatCode="General">
                        <c:v>-19.936449704142014</c:v>
                      </c:pt>
                      <c:pt idx="57" formatCode="General">
                        <c:v>-19.96</c:v>
                      </c:pt>
                      <c:pt idx="58" formatCode="General">
                        <c:v>-19.983636363636364</c:v>
                      </c:pt>
                      <c:pt idx="59" formatCode="General">
                        <c:v>-20.006060606060608</c:v>
                      </c:pt>
                      <c:pt idx="60" formatCode="General">
                        <c:v>-20.025757575757577</c:v>
                      </c:pt>
                      <c:pt idx="61" formatCode="General">
                        <c:v>-20.045454545454547</c:v>
                      </c:pt>
                      <c:pt idx="62" formatCode="General">
                        <c:v>-20.065671641791045</c:v>
                      </c:pt>
                      <c:pt idx="63" formatCode="General">
                        <c:v>-20.086044776119405</c:v>
                      </c:pt>
                      <c:pt idx="64" formatCode="General">
                        <c:v>-20.106417910447764</c:v>
                      </c:pt>
                      <c:pt idx="65" formatCode="General">
                        <c:v>-20.12679104477612</c:v>
                      </c:pt>
                      <c:pt idx="66" formatCode="General">
                        <c:v>-20.147164179104479</c:v>
                      </c:pt>
                      <c:pt idx="67" formatCode="General">
                        <c:v>-20.167537313432838</c:v>
                      </c:pt>
                      <c:pt idx="68" formatCode="General">
                        <c:v>-20.187910447761194</c:v>
                      </c:pt>
                      <c:pt idx="69" formatCode="General">
                        <c:v>-20.208283582089553</c:v>
                      </c:pt>
                      <c:pt idx="70" formatCode="General">
                        <c:v>-20.228656716417913</c:v>
                      </c:pt>
                      <c:pt idx="71" formatCode="General">
                        <c:v>-20.249029850746272</c:v>
                      </c:pt>
                      <c:pt idx="72" formatCode="General">
                        <c:v>-20.269022556390979</c:v>
                      </c:pt>
                      <c:pt idx="73" formatCode="General">
                        <c:v>-20.28857142857143</c:v>
                      </c:pt>
                      <c:pt idx="74" formatCode="General">
                        <c:v>-20.308120300751881</c:v>
                      </c:pt>
                      <c:pt idx="75" formatCode="General">
                        <c:v>-20.327669172932332</c:v>
                      </c:pt>
                      <c:pt idx="76" formatCode="General">
                        <c:v>-20.347218045112783</c:v>
                      </c:pt>
                      <c:pt idx="77" formatCode="General">
                        <c:v>-20.366766917293234</c:v>
                      </c:pt>
                      <c:pt idx="78" formatCode="General">
                        <c:v>-20.386315789473684</c:v>
                      </c:pt>
                      <c:pt idx="79" formatCode="General">
                        <c:v>-20.405864661654135</c:v>
                      </c:pt>
                      <c:pt idx="80" formatCode="General">
                        <c:v>-20.425413533834586</c:v>
                      </c:pt>
                      <c:pt idx="81" formatCode="General">
                        <c:v>-20.444962406015037</c:v>
                      </c:pt>
                      <c:pt idx="82" formatCode="General">
                        <c:v>-20.464411764705883</c:v>
                      </c:pt>
                      <c:pt idx="83" formatCode="General">
                        <c:v>-20.483529411764707</c:v>
                      </c:pt>
                      <c:pt idx="84" formatCode="General">
                        <c:v>-20.502647058823531</c:v>
                      </c:pt>
                      <c:pt idx="85" formatCode="General">
                        <c:v>-20.522121212121213</c:v>
                      </c:pt>
                      <c:pt idx="86" formatCode="General">
                        <c:v>-20.541818181818183</c:v>
                      </c:pt>
                      <c:pt idx="87" formatCode="General">
                        <c:v>-20.561176470588233</c:v>
                      </c:pt>
                      <c:pt idx="88" formatCode="General">
                        <c:v>-20.576470588235296</c:v>
                      </c:pt>
                      <c:pt idx="89" formatCode="General">
                        <c:v>-20.591764705882355</c:v>
                      </c:pt>
                      <c:pt idx="90" formatCode="General">
                        <c:v>-20.609090909090909</c:v>
                      </c:pt>
                      <c:pt idx="91" formatCode="General">
                        <c:v>-20.628787878787879</c:v>
                      </c:pt>
                      <c:pt idx="92" formatCode="General">
                        <c:v>-20.648484848484848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E9B-4A24-AF6E-BAFF55F304A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-15.207297297297297</c:v>
                      </c:pt>
                      <c:pt idx="1">
                        <c:v>-14.82081081081081</c:v>
                      </c:pt>
                      <c:pt idx="2" formatCode="General">
                        <c:v>-14.434324324324324</c:v>
                      </c:pt>
                      <c:pt idx="3" formatCode="General">
                        <c:v>-13.712395209580837</c:v>
                      </c:pt>
                      <c:pt idx="4" formatCode="General">
                        <c:v>-12.910598802395208</c:v>
                      </c:pt>
                      <c:pt idx="5" formatCode="General">
                        <c:v>-12.087455089820359</c:v>
                      </c:pt>
                      <c:pt idx="6" formatCode="General">
                        <c:v>-11.196137724550898</c:v>
                      </c:pt>
                      <c:pt idx="7" formatCode="General">
                        <c:v>-10.304820359281438</c:v>
                      </c:pt>
                      <c:pt idx="8" formatCode="General">
                        <c:v>-9.491907185628742</c:v>
                      </c:pt>
                      <c:pt idx="9" formatCode="General">
                        <c:v>-8.7177455089820359</c:v>
                      </c:pt>
                      <c:pt idx="10" formatCode="General">
                        <c:v>-7.9532365269461076</c:v>
                      </c:pt>
                      <c:pt idx="11" formatCode="General">
                        <c:v>-7.2756017964071864</c:v>
                      </c:pt>
                      <c:pt idx="12" formatCode="General">
                        <c:v>-6.5979670658682643</c:v>
                      </c:pt>
                      <c:pt idx="13" formatCode="General">
                        <c:v>-5.9610299401197615</c:v>
                      </c:pt>
                      <c:pt idx="14" formatCode="General">
                        <c:v>-5.3600718562874254</c:v>
                      </c:pt>
                      <c:pt idx="15" formatCode="General">
                        <c:v>-4.7591137724550894</c:v>
                      </c:pt>
                      <c:pt idx="16" formatCode="General">
                        <c:v>-4.5126516516516508</c:v>
                      </c:pt>
                      <c:pt idx="17" formatCode="General">
                        <c:v>-4.2803693693693692</c:v>
                      </c:pt>
                      <c:pt idx="18" formatCode="General">
                        <c:v>-4.1537664670658687</c:v>
                      </c:pt>
                      <c:pt idx="19" formatCode="General">
                        <c:v>-4.1856826347305391</c:v>
                      </c:pt>
                      <c:pt idx="20" formatCode="General">
                        <c:v>-4.2175988023952096</c:v>
                      </c:pt>
                      <c:pt idx="21" formatCode="General">
                        <c:v>-4.249676646706587</c:v>
                      </c:pt>
                      <c:pt idx="22" formatCode="General">
                        <c:v>-4.2817874251497008</c:v>
                      </c:pt>
                      <c:pt idx="23" formatCode="General">
                        <c:v>-4.3138982035928146</c:v>
                      </c:pt>
                      <c:pt idx="24" formatCode="General">
                        <c:v>-4.3460089820359284</c:v>
                      </c:pt>
                      <c:pt idx="25" formatCode="General">
                        <c:v>-4.3781197604790414</c:v>
                      </c:pt>
                      <c:pt idx="26" formatCode="General">
                        <c:v>-4.4102305389221552</c:v>
                      </c:pt>
                      <c:pt idx="27" formatCode="General">
                        <c:v>-4.442341317365269</c:v>
                      </c:pt>
                      <c:pt idx="28" formatCode="General">
                        <c:v>-4.4744520958083829</c:v>
                      </c:pt>
                      <c:pt idx="29" formatCode="General">
                        <c:v>-4.5065628742514967</c:v>
                      </c:pt>
                      <c:pt idx="30" formatCode="General">
                        <c:v>-4.5386736526946105</c:v>
                      </c:pt>
                      <c:pt idx="31" formatCode="General">
                        <c:v>-4.5702584269662925</c:v>
                      </c:pt>
                      <c:pt idx="32" formatCode="General">
                        <c:v>-4.6014194756554305</c:v>
                      </c:pt>
                      <c:pt idx="33" formatCode="General">
                        <c:v>-4.6325805243445695</c:v>
                      </c:pt>
                      <c:pt idx="34" formatCode="General">
                        <c:v>-4.6637415730337084</c:v>
                      </c:pt>
                      <c:pt idx="35" formatCode="General">
                        <c:v>-4.6949026217228464</c:v>
                      </c:pt>
                      <c:pt idx="36" formatCode="General">
                        <c:v>-4.7260636704119854</c:v>
                      </c:pt>
                      <c:pt idx="37" formatCode="General">
                        <c:v>-4.7572247191011234</c:v>
                      </c:pt>
                      <c:pt idx="38" formatCode="General">
                        <c:v>-4.7883857677902624</c:v>
                      </c:pt>
                      <c:pt idx="39" formatCode="General">
                        <c:v>-4.8195468164794013</c:v>
                      </c:pt>
                      <c:pt idx="40" formatCode="General">
                        <c:v>-4.8507078651685394</c:v>
                      </c:pt>
                      <c:pt idx="41" formatCode="General">
                        <c:v>-4.8813700374531841</c:v>
                      </c:pt>
                      <c:pt idx="42" formatCode="General">
                        <c:v>-4.9107782771535584</c:v>
                      </c:pt>
                      <c:pt idx="43" formatCode="General">
                        <c:v>-4.9401865168539327</c:v>
                      </c:pt>
                      <c:pt idx="44" formatCode="General">
                        <c:v>-4.969594756554307</c:v>
                      </c:pt>
                      <c:pt idx="45" formatCode="General">
                        <c:v>-4.9990029962546814</c:v>
                      </c:pt>
                      <c:pt idx="46" formatCode="General">
                        <c:v>-5.0284112359550566</c:v>
                      </c:pt>
                      <c:pt idx="47" formatCode="General">
                        <c:v>-5.0578194756554309</c:v>
                      </c:pt>
                      <c:pt idx="48" formatCode="General">
                        <c:v>-5.0872277153558052</c:v>
                      </c:pt>
                      <c:pt idx="49" formatCode="General">
                        <c:v>-5.1166359550561795</c:v>
                      </c:pt>
                      <c:pt idx="50" formatCode="General">
                        <c:v>-5.1460441947565538</c:v>
                      </c:pt>
                      <c:pt idx="51" formatCode="General">
                        <c:v>-5.1754311377245505</c:v>
                      </c:pt>
                      <c:pt idx="52" formatCode="General">
                        <c:v>-5.2034550898203591</c:v>
                      </c:pt>
                      <c:pt idx="53" formatCode="General">
                        <c:v>-5.2314790419161676</c:v>
                      </c:pt>
                      <c:pt idx="54" formatCode="General">
                        <c:v>-5.2591834319526622</c:v>
                      </c:pt>
                      <c:pt idx="55" formatCode="General">
                        <c:v>-5.2864911242603547</c:v>
                      </c:pt>
                      <c:pt idx="56" formatCode="General">
                        <c:v>-5.3137988165680472</c:v>
                      </c:pt>
                      <c:pt idx="57" formatCode="General">
                        <c:v>-5.3416666666666668</c:v>
                      </c:pt>
                      <c:pt idx="58" formatCode="General">
                        <c:v>-5.3696363636363635</c:v>
                      </c:pt>
                      <c:pt idx="59" formatCode="General">
                        <c:v>-5.3973636363636368</c:v>
                      </c:pt>
                      <c:pt idx="60" formatCode="General">
                        <c:v>-5.4245454545454548</c:v>
                      </c:pt>
                      <c:pt idx="61" formatCode="General">
                        <c:v>-5.4517272727272728</c:v>
                      </c:pt>
                      <c:pt idx="62" formatCode="General">
                        <c:v>-5.4825522388059706</c:v>
                      </c:pt>
                      <c:pt idx="63" formatCode="General">
                        <c:v>-5.5144701492537314</c:v>
                      </c:pt>
                      <c:pt idx="64" formatCode="General">
                        <c:v>-5.546388059701493</c:v>
                      </c:pt>
                      <c:pt idx="65" formatCode="General">
                        <c:v>-5.5783059701492537</c:v>
                      </c:pt>
                      <c:pt idx="66" formatCode="General">
                        <c:v>-5.6102238805970153</c:v>
                      </c:pt>
                      <c:pt idx="67" formatCode="General">
                        <c:v>-5.642141791044776</c:v>
                      </c:pt>
                      <c:pt idx="68" formatCode="General">
                        <c:v>-5.6740597014925376</c:v>
                      </c:pt>
                      <c:pt idx="69" formatCode="General">
                        <c:v>-5.7059776119402983</c:v>
                      </c:pt>
                      <c:pt idx="70" formatCode="General">
                        <c:v>-5.7378955223880599</c:v>
                      </c:pt>
                      <c:pt idx="71" formatCode="General">
                        <c:v>-5.7698134328358206</c:v>
                      </c:pt>
                      <c:pt idx="72" formatCode="General">
                        <c:v>-5.8141127819548872</c:v>
                      </c:pt>
                      <c:pt idx="73" formatCode="General">
                        <c:v>-5.8728571428571428</c:v>
                      </c:pt>
                      <c:pt idx="74" formatCode="General">
                        <c:v>-5.9316015037593983</c:v>
                      </c:pt>
                      <c:pt idx="75" formatCode="General">
                        <c:v>-5.9903458646616539</c:v>
                      </c:pt>
                      <c:pt idx="76" formatCode="General">
                        <c:v>-6.0490902255639094</c:v>
                      </c:pt>
                      <c:pt idx="77" formatCode="General">
                        <c:v>-6.107834586466165</c:v>
                      </c:pt>
                      <c:pt idx="78" formatCode="General">
                        <c:v>-6.1665789473684214</c:v>
                      </c:pt>
                      <c:pt idx="79" formatCode="General">
                        <c:v>-6.2253233082706769</c:v>
                      </c:pt>
                      <c:pt idx="80" formatCode="General">
                        <c:v>-6.2840676691729325</c:v>
                      </c:pt>
                      <c:pt idx="81" formatCode="General">
                        <c:v>-6.342812030075188</c:v>
                      </c:pt>
                      <c:pt idx="82" formatCode="General">
                        <c:v>-6.4000882352941177</c:v>
                      </c:pt>
                      <c:pt idx="83" formatCode="General">
                        <c:v>-6.4524705882352942</c:v>
                      </c:pt>
                      <c:pt idx="84" formatCode="General">
                        <c:v>-6.5048529411764706</c:v>
                      </c:pt>
                      <c:pt idx="85" formatCode="General">
                        <c:v>-6.5572424242424248</c:v>
                      </c:pt>
                      <c:pt idx="86" formatCode="General">
                        <c:v>-6.6096363636363638</c:v>
                      </c:pt>
                      <c:pt idx="87" formatCode="General">
                        <c:v>-6.6617941176470588</c:v>
                      </c:pt>
                      <c:pt idx="88" formatCode="General">
                        <c:v>-6.7111176470588241</c:v>
                      </c:pt>
                      <c:pt idx="89" formatCode="General">
                        <c:v>-6.7604411764705885</c:v>
                      </c:pt>
                      <c:pt idx="90" formatCode="General">
                        <c:v>-6.8095454545454546</c:v>
                      </c:pt>
                      <c:pt idx="91" formatCode="General">
                        <c:v>-6.858393939393939</c:v>
                      </c:pt>
                      <c:pt idx="92" formatCode="General">
                        <c:v>-6.9072424242424235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E9B-4A24-AF6E-BAFF55F304A7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-19.021441441441443</c:v>
                      </c:pt>
                      <c:pt idx="1">
                        <c:v>-19.025345345345347</c:v>
                      </c:pt>
                      <c:pt idx="2" formatCode="General">
                        <c:v>-19.029249249249251</c:v>
                      </c:pt>
                      <c:pt idx="3" formatCode="General">
                        <c:v>-19.039431137724552</c:v>
                      </c:pt>
                      <c:pt idx="4" formatCode="General">
                        <c:v>-19.051107784431139</c:v>
                      </c:pt>
                      <c:pt idx="5" formatCode="General">
                        <c:v>-19.064640718562874</c:v>
                      </c:pt>
                      <c:pt idx="6" formatCode="General">
                        <c:v>-19.084101796407186</c:v>
                      </c:pt>
                      <c:pt idx="7" formatCode="General">
                        <c:v>-19.103562874251498</c:v>
                      </c:pt>
                      <c:pt idx="8" formatCode="General">
                        <c:v>-19.125628742514969</c:v>
                      </c:pt>
                      <c:pt idx="9" formatCode="General">
                        <c:v>-19.148982035928146</c:v>
                      </c:pt>
                      <c:pt idx="10" formatCode="General">
                        <c:v>-19.172335329341319</c:v>
                      </c:pt>
                      <c:pt idx="11" formatCode="General">
                        <c:v>-19.195688622754492</c:v>
                      </c:pt>
                      <c:pt idx="12" formatCode="General">
                        <c:v>-19.219041916167665</c:v>
                      </c:pt>
                      <c:pt idx="13" formatCode="General">
                        <c:v>-19.244461077844313</c:v>
                      </c:pt>
                      <c:pt idx="14" formatCode="General">
                        <c:v>-19.271706586826348</c:v>
                      </c:pt>
                      <c:pt idx="15" formatCode="General">
                        <c:v>-19.298952095808385</c:v>
                      </c:pt>
                      <c:pt idx="16" formatCode="General">
                        <c:v>-19.213663663663663</c:v>
                      </c:pt>
                      <c:pt idx="17" formatCode="General">
                        <c:v>-19.123873873873872</c:v>
                      </c:pt>
                      <c:pt idx="18" formatCode="General">
                        <c:v>-19.063772455089822</c:v>
                      </c:pt>
                      <c:pt idx="19" formatCode="General">
                        <c:v>-19.048203592814371</c:v>
                      </c:pt>
                      <c:pt idx="20" formatCode="General">
                        <c:v>-19.032634730538923</c:v>
                      </c:pt>
                      <c:pt idx="21" formatCode="General">
                        <c:v>-19.052634730538923</c:v>
                      </c:pt>
                      <c:pt idx="22" formatCode="General">
                        <c:v>-19.079880239520957</c:v>
                      </c:pt>
                      <c:pt idx="23" formatCode="General">
                        <c:v>-19.107125748502995</c:v>
                      </c:pt>
                      <c:pt idx="24" formatCode="General">
                        <c:v>-19.134371257485029</c:v>
                      </c:pt>
                      <c:pt idx="25" formatCode="General">
                        <c:v>-19.161616766467066</c:v>
                      </c:pt>
                      <c:pt idx="26" formatCode="General">
                        <c:v>-19.1888622754491</c:v>
                      </c:pt>
                      <c:pt idx="27" formatCode="General">
                        <c:v>-19.216107784431138</c:v>
                      </c:pt>
                      <c:pt idx="28" formatCode="General">
                        <c:v>-19.243353293413172</c:v>
                      </c:pt>
                      <c:pt idx="29" formatCode="General">
                        <c:v>-19.27059880239521</c:v>
                      </c:pt>
                      <c:pt idx="30" formatCode="General">
                        <c:v>-19.297844311377244</c:v>
                      </c:pt>
                      <c:pt idx="31" formatCode="General">
                        <c:v>-19.324022471910112</c:v>
                      </c:pt>
                      <c:pt idx="32" formatCode="General">
                        <c:v>-19.349340823970035</c:v>
                      </c:pt>
                      <c:pt idx="33" formatCode="General">
                        <c:v>-19.374659176029962</c:v>
                      </c:pt>
                      <c:pt idx="34" formatCode="General">
                        <c:v>-19.399977528089888</c:v>
                      </c:pt>
                      <c:pt idx="35" formatCode="General">
                        <c:v>-19.425295880149811</c:v>
                      </c:pt>
                      <c:pt idx="36" formatCode="General">
                        <c:v>-19.450614232209738</c:v>
                      </c:pt>
                      <c:pt idx="37" formatCode="General">
                        <c:v>-19.475932584269664</c:v>
                      </c:pt>
                      <c:pt idx="38" formatCode="General">
                        <c:v>-19.501250936329587</c:v>
                      </c:pt>
                      <c:pt idx="39" formatCode="General">
                        <c:v>-19.526569288389513</c:v>
                      </c:pt>
                      <c:pt idx="40" formatCode="General">
                        <c:v>-19.55188764044944</c:v>
                      </c:pt>
                      <c:pt idx="41" formatCode="General">
                        <c:v>-19.576928838951311</c:v>
                      </c:pt>
                      <c:pt idx="42" formatCode="General">
                        <c:v>-19.601273408239702</c:v>
                      </c:pt>
                      <c:pt idx="43" formatCode="General">
                        <c:v>-19.625617977528091</c:v>
                      </c:pt>
                      <c:pt idx="44" formatCode="General">
                        <c:v>-19.649962546816479</c:v>
                      </c:pt>
                      <c:pt idx="45" formatCode="General">
                        <c:v>-19.67430711610487</c:v>
                      </c:pt>
                      <c:pt idx="46" formatCode="General">
                        <c:v>-19.698651685393259</c:v>
                      </c:pt>
                      <c:pt idx="47" formatCode="General">
                        <c:v>-19.722996254681647</c:v>
                      </c:pt>
                      <c:pt idx="48" formatCode="General">
                        <c:v>-19.747340823970038</c:v>
                      </c:pt>
                      <c:pt idx="49" formatCode="General">
                        <c:v>-19.771685393258426</c:v>
                      </c:pt>
                      <c:pt idx="50" formatCode="General">
                        <c:v>-19.796029962546818</c:v>
                      </c:pt>
                      <c:pt idx="51" formatCode="General">
                        <c:v>-19.820359281437128</c:v>
                      </c:pt>
                      <c:pt idx="52" formatCode="General">
                        <c:v>-19.843712574850301</c:v>
                      </c:pt>
                      <c:pt idx="53" formatCode="General">
                        <c:v>-19.867065868263474</c:v>
                      </c:pt>
                      <c:pt idx="54" formatCode="General">
                        <c:v>-19.890295857988164</c:v>
                      </c:pt>
                      <c:pt idx="55" formatCode="General">
                        <c:v>-19.913372781065089</c:v>
                      </c:pt>
                      <c:pt idx="56" formatCode="General">
                        <c:v>-19.936449704142014</c:v>
                      </c:pt>
                      <c:pt idx="57" formatCode="General">
                        <c:v>-19.96</c:v>
                      </c:pt>
                      <c:pt idx="58" formatCode="General">
                        <c:v>-19.983636363636364</c:v>
                      </c:pt>
                      <c:pt idx="59" formatCode="General">
                        <c:v>-20.006060606060608</c:v>
                      </c:pt>
                      <c:pt idx="60" formatCode="General">
                        <c:v>-20.025757575757577</c:v>
                      </c:pt>
                      <c:pt idx="61" formatCode="General">
                        <c:v>-20.045454545454547</c:v>
                      </c:pt>
                      <c:pt idx="62" formatCode="General">
                        <c:v>-20.065671641791045</c:v>
                      </c:pt>
                      <c:pt idx="63" formatCode="General">
                        <c:v>-20.086044776119405</c:v>
                      </c:pt>
                      <c:pt idx="64" formatCode="General">
                        <c:v>-20.106417910447764</c:v>
                      </c:pt>
                      <c:pt idx="65" formatCode="General">
                        <c:v>-20.12679104477612</c:v>
                      </c:pt>
                      <c:pt idx="66" formatCode="General">
                        <c:v>-20.147164179104479</c:v>
                      </c:pt>
                      <c:pt idx="67" formatCode="General">
                        <c:v>-20.167537313432838</c:v>
                      </c:pt>
                      <c:pt idx="68" formatCode="General">
                        <c:v>-20.187910447761194</c:v>
                      </c:pt>
                      <c:pt idx="69" formatCode="General">
                        <c:v>-20.208283582089553</c:v>
                      </c:pt>
                      <c:pt idx="70" formatCode="General">
                        <c:v>-20.228656716417913</c:v>
                      </c:pt>
                      <c:pt idx="71" formatCode="General">
                        <c:v>-20.249029850746272</c:v>
                      </c:pt>
                      <c:pt idx="72" formatCode="General">
                        <c:v>-20.269022556390979</c:v>
                      </c:pt>
                      <c:pt idx="73" formatCode="General">
                        <c:v>-20.28857142857143</c:v>
                      </c:pt>
                      <c:pt idx="74" formatCode="General">
                        <c:v>-20.308120300751881</c:v>
                      </c:pt>
                      <c:pt idx="75" formatCode="General">
                        <c:v>-20.327669172932332</c:v>
                      </c:pt>
                      <c:pt idx="76" formatCode="General">
                        <c:v>-20.347218045112783</c:v>
                      </c:pt>
                      <c:pt idx="77" formatCode="General">
                        <c:v>-20.366766917293234</c:v>
                      </c:pt>
                      <c:pt idx="78" formatCode="General">
                        <c:v>-20.386315789473684</c:v>
                      </c:pt>
                      <c:pt idx="79" formatCode="General">
                        <c:v>-20.405864661654135</c:v>
                      </c:pt>
                      <c:pt idx="80" formatCode="General">
                        <c:v>-20.425413533834586</c:v>
                      </c:pt>
                      <c:pt idx="81" formatCode="General">
                        <c:v>-20.444962406015037</c:v>
                      </c:pt>
                      <c:pt idx="82" formatCode="General">
                        <c:v>-20.464411764705883</c:v>
                      </c:pt>
                      <c:pt idx="83" formatCode="General">
                        <c:v>-20.483529411764707</c:v>
                      </c:pt>
                      <c:pt idx="84" formatCode="General">
                        <c:v>-20.502647058823531</c:v>
                      </c:pt>
                      <c:pt idx="85" formatCode="General">
                        <c:v>-20.522121212121213</c:v>
                      </c:pt>
                      <c:pt idx="86" formatCode="General">
                        <c:v>-20.541818181818183</c:v>
                      </c:pt>
                      <c:pt idx="87" formatCode="General">
                        <c:v>-20.561176470588233</c:v>
                      </c:pt>
                      <c:pt idx="88" formatCode="General">
                        <c:v>-20.576470588235296</c:v>
                      </c:pt>
                      <c:pt idx="89" formatCode="General">
                        <c:v>-20.591764705882355</c:v>
                      </c:pt>
                      <c:pt idx="90" formatCode="General">
                        <c:v>-20.609090909090909</c:v>
                      </c:pt>
                      <c:pt idx="91" formatCode="General">
                        <c:v>-20.628787878787879</c:v>
                      </c:pt>
                      <c:pt idx="92" formatCode="General">
                        <c:v>-20.648484848484848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E9B-4A24-AF6E-BAFF55F304A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-60.182792792792796</c:v>
                      </c:pt>
                      <c:pt idx="1">
                        <c:v>-57.996606606606605</c:v>
                      </c:pt>
                      <c:pt idx="2" formatCode="General">
                        <c:v>-55.810420420420421</c:v>
                      </c:pt>
                      <c:pt idx="3" formatCode="General">
                        <c:v>-53.356017964071853</c:v>
                      </c:pt>
                      <c:pt idx="4" formatCode="General">
                        <c:v>-50.837754491017961</c:v>
                      </c:pt>
                      <c:pt idx="5" formatCode="General">
                        <c:v>-48.33898203592814</c:v>
                      </c:pt>
                      <c:pt idx="6" formatCode="General">
                        <c:v>-45.902455089820357</c:v>
                      </c:pt>
                      <c:pt idx="7" formatCode="General">
                        <c:v>-43.465928143712574</c:v>
                      </c:pt>
                      <c:pt idx="8" formatCode="General">
                        <c:v>-41.258622754491014</c:v>
                      </c:pt>
                      <c:pt idx="9" formatCode="General">
                        <c:v>-39.164610778443112</c:v>
                      </c:pt>
                      <c:pt idx="10" formatCode="General">
                        <c:v>-37.097844311377244</c:v>
                      </c:pt>
                      <c:pt idx="11" formatCode="General">
                        <c:v>-35.276287425149704</c:v>
                      </c:pt>
                      <c:pt idx="12" formatCode="General">
                        <c:v>-33.454730538922156</c:v>
                      </c:pt>
                      <c:pt idx="13" formatCode="General">
                        <c:v>-31.748862275449106</c:v>
                      </c:pt>
                      <c:pt idx="14" formatCode="General">
                        <c:v>-30.145269461077845</c:v>
                      </c:pt>
                      <c:pt idx="15" formatCode="General">
                        <c:v>-28.541676646706588</c:v>
                      </c:pt>
                      <c:pt idx="16" formatCode="General">
                        <c:v>-27.327597597597595</c:v>
                      </c:pt>
                      <c:pt idx="17" formatCode="General">
                        <c:v>-26.129099099099097</c:v>
                      </c:pt>
                      <c:pt idx="18" formatCode="General">
                        <c:v>-25.61550898203593</c:v>
                      </c:pt>
                      <c:pt idx="19" formatCode="General">
                        <c:v>-26.129281437125748</c:v>
                      </c:pt>
                      <c:pt idx="20" formatCode="General">
                        <c:v>-26.643053892215569</c:v>
                      </c:pt>
                      <c:pt idx="21" formatCode="General">
                        <c:v>-27.13823353293413</c:v>
                      </c:pt>
                      <c:pt idx="22" formatCode="General">
                        <c:v>-27.629625748502992</c:v>
                      </c:pt>
                      <c:pt idx="23" formatCode="General">
                        <c:v>-28.121017964071857</c:v>
                      </c:pt>
                      <c:pt idx="24" formatCode="General">
                        <c:v>-28.612410179640719</c:v>
                      </c:pt>
                      <c:pt idx="25" formatCode="General">
                        <c:v>-29.103802395209581</c:v>
                      </c:pt>
                      <c:pt idx="26" formatCode="General">
                        <c:v>-29.595194610778446</c:v>
                      </c:pt>
                      <c:pt idx="27" formatCode="General">
                        <c:v>-30.086586826347308</c:v>
                      </c:pt>
                      <c:pt idx="28" formatCode="General">
                        <c:v>-30.577979041916169</c:v>
                      </c:pt>
                      <c:pt idx="29" formatCode="General">
                        <c:v>-31.069371257485031</c:v>
                      </c:pt>
                      <c:pt idx="30" formatCode="General">
                        <c:v>-31.560763473053896</c:v>
                      </c:pt>
                      <c:pt idx="31" formatCode="General">
                        <c:v>-32.022696629213485</c:v>
                      </c:pt>
                      <c:pt idx="32" formatCode="General">
                        <c:v>-32.460898876404499</c:v>
                      </c:pt>
                      <c:pt idx="33" formatCode="General">
                        <c:v>-32.899101123595507</c:v>
                      </c:pt>
                      <c:pt idx="34" formatCode="General">
                        <c:v>-33.337303370786522</c:v>
                      </c:pt>
                      <c:pt idx="35" formatCode="General">
                        <c:v>-33.775505617977529</c:v>
                      </c:pt>
                      <c:pt idx="36" formatCode="General">
                        <c:v>-34.213707865168544</c:v>
                      </c:pt>
                      <c:pt idx="37" formatCode="General">
                        <c:v>-34.651910112359552</c:v>
                      </c:pt>
                      <c:pt idx="38" formatCode="General">
                        <c:v>-35.090112359550567</c:v>
                      </c:pt>
                      <c:pt idx="39" formatCode="General">
                        <c:v>-35.528314606741574</c:v>
                      </c:pt>
                      <c:pt idx="40" formatCode="General">
                        <c:v>-35.966516853932589</c:v>
                      </c:pt>
                      <c:pt idx="41" formatCode="General">
                        <c:v>-36.38448689138577</c:v>
                      </c:pt>
                      <c:pt idx="42" formatCode="General">
                        <c:v>-36.751602996254682</c:v>
                      </c:pt>
                      <c:pt idx="43" formatCode="General">
                        <c:v>-37.118719101123595</c:v>
                      </c:pt>
                      <c:pt idx="44" formatCode="General">
                        <c:v>-37.485835205992508</c:v>
                      </c:pt>
                      <c:pt idx="45" formatCode="General">
                        <c:v>-37.852951310861421</c:v>
                      </c:pt>
                      <c:pt idx="46" formatCode="General">
                        <c:v>-38.220067415730334</c:v>
                      </c:pt>
                      <c:pt idx="47" formatCode="General">
                        <c:v>-38.587183520599254</c:v>
                      </c:pt>
                      <c:pt idx="48" formatCode="General">
                        <c:v>-38.954299625468167</c:v>
                      </c:pt>
                      <c:pt idx="49" formatCode="General">
                        <c:v>-39.32141573033708</c:v>
                      </c:pt>
                      <c:pt idx="50" formatCode="General">
                        <c:v>-39.688531835205993</c:v>
                      </c:pt>
                      <c:pt idx="51" formatCode="General">
                        <c:v>-40.054850299401195</c:v>
                      </c:pt>
                      <c:pt idx="52" formatCode="General">
                        <c:v>-40.370119760479042</c:v>
                      </c:pt>
                      <c:pt idx="53" formatCode="General">
                        <c:v>-40.685389221556882</c:v>
                      </c:pt>
                      <c:pt idx="54" formatCode="General">
                        <c:v>-40.988698224852072</c:v>
                      </c:pt>
                      <c:pt idx="55" formatCode="General">
                        <c:v>-41.277159763313605</c:v>
                      </c:pt>
                      <c:pt idx="56" formatCode="General">
                        <c:v>-41.565621301775145</c:v>
                      </c:pt>
                      <c:pt idx="57" formatCode="General">
                        <c:v>-41.843333333333334</c:v>
                      </c:pt>
                      <c:pt idx="58" formatCode="General">
                        <c:v>-42.119090909090907</c:v>
                      </c:pt>
                      <c:pt idx="59" formatCode="General">
                        <c:v>-42.38636363636364</c:v>
                      </c:pt>
                      <c:pt idx="60" formatCode="General">
                        <c:v>-42.634545454545453</c:v>
                      </c:pt>
                      <c:pt idx="61" formatCode="General">
                        <c:v>-42.882727272727273</c:v>
                      </c:pt>
                      <c:pt idx="62" formatCode="General">
                        <c:v>-43.08328358208955</c:v>
                      </c:pt>
                      <c:pt idx="63" formatCode="General">
                        <c:v>-43.269552238805971</c:v>
                      </c:pt>
                      <c:pt idx="64" formatCode="General">
                        <c:v>-43.455820895522386</c:v>
                      </c:pt>
                      <c:pt idx="65" formatCode="General">
                        <c:v>-43.642089552238801</c:v>
                      </c:pt>
                      <c:pt idx="66" formatCode="General">
                        <c:v>-43.828358208955223</c:v>
                      </c:pt>
                      <c:pt idx="67" formatCode="General">
                        <c:v>-44.014626865671637</c:v>
                      </c:pt>
                      <c:pt idx="68" formatCode="General">
                        <c:v>-44.200895522388059</c:v>
                      </c:pt>
                      <c:pt idx="69" formatCode="General">
                        <c:v>-44.387164179104474</c:v>
                      </c:pt>
                      <c:pt idx="70" formatCode="General">
                        <c:v>-44.573432835820896</c:v>
                      </c:pt>
                      <c:pt idx="71" formatCode="General">
                        <c:v>-44.75970149253731</c:v>
                      </c:pt>
                      <c:pt idx="72" formatCode="General">
                        <c:v>-44.898796992481202</c:v>
                      </c:pt>
                      <c:pt idx="73" formatCode="General">
                        <c:v>-44.982857142857142</c:v>
                      </c:pt>
                      <c:pt idx="74" formatCode="General">
                        <c:v>-45.066917293233082</c:v>
                      </c:pt>
                      <c:pt idx="75" formatCode="General">
                        <c:v>-45.150977443609023</c:v>
                      </c:pt>
                      <c:pt idx="76" formatCode="General">
                        <c:v>-45.235037593984963</c:v>
                      </c:pt>
                      <c:pt idx="77" formatCode="General">
                        <c:v>-45.319097744360903</c:v>
                      </c:pt>
                      <c:pt idx="78" formatCode="General">
                        <c:v>-45.403157894736843</c:v>
                      </c:pt>
                      <c:pt idx="79" formatCode="General">
                        <c:v>-45.487218045112783</c:v>
                      </c:pt>
                      <c:pt idx="80" formatCode="General">
                        <c:v>-45.571278195488723</c:v>
                      </c:pt>
                      <c:pt idx="81" formatCode="General">
                        <c:v>-45.655338345864664</c:v>
                      </c:pt>
                      <c:pt idx="82" formatCode="General">
                        <c:v>-45.723529411764702</c:v>
                      </c:pt>
                      <c:pt idx="83" formatCode="General">
                        <c:v>-45.738823529411761</c:v>
                      </c:pt>
                      <c:pt idx="84" formatCode="General">
                        <c:v>-45.75411764705882</c:v>
                      </c:pt>
                      <c:pt idx="85" formatCode="General">
                        <c:v>-45.755151515151518</c:v>
                      </c:pt>
                      <c:pt idx="86" formatCode="General">
                        <c:v>-45.74727272727273</c:v>
                      </c:pt>
                      <c:pt idx="87" formatCode="General">
                        <c:v>-45.737058823529416</c:v>
                      </c:pt>
                      <c:pt idx="88" formatCode="General">
                        <c:v>-45.698823529411769</c:v>
                      </c:pt>
                      <c:pt idx="89" formatCode="General">
                        <c:v>-45.660588235294121</c:v>
                      </c:pt>
                      <c:pt idx="90" formatCode="General">
                        <c:v>-45.609090909090909</c:v>
                      </c:pt>
                      <c:pt idx="91" formatCode="General">
                        <c:v>-45.542121212121209</c:v>
                      </c:pt>
                      <c:pt idx="92" formatCode="General">
                        <c:v>-45.475151515151516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E9B-4A24-AF6E-BAFF55F304A7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-15.207297297297297</c:v>
                      </c:pt>
                      <c:pt idx="1">
                        <c:v>-14.82081081081081</c:v>
                      </c:pt>
                      <c:pt idx="2" formatCode="General">
                        <c:v>-14.434324324324324</c:v>
                      </c:pt>
                      <c:pt idx="3" formatCode="General">
                        <c:v>-13.712395209580837</c:v>
                      </c:pt>
                      <c:pt idx="4" formatCode="General">
                        <c:v>-12.910598802395208</c:v>
                      </c:pt>
                      <c:pt idx="5" formatCode="General">
                        <c:v>-12.087455089820359</c:v>
                      </c:pt>
                      <c:pt idx="6" formatCode="General">
                        <c:v>-11.196137724550898</c:v>
                      </c:pt>
                      <c:pt idx="7" formatCode="General">
                        <c:v>-10.304820359281438</c:v>
                      </c:pt>
                      <c:pt idx="8" formatCode="General">
                        <c:v>-9.491907185628742</c:v>
                      </c:pt>
                      <c:pt idx="9" formatCode="General">
                        <c:v>-8.7177455089820359</c:v>
                      </c:pt>
                      <c:pt idx="10" formatCode="General">
                        <c:v>-7.9532365269461076</c:v>
                      </c:pt>
                      <c:pt idx="11" formatCode="General">
                        <c:v>-7.2756017964071864</c:v>
                      </c:pt>
                      <c:pt idx="12" formatCode="General">
                        <c:v>-6.5979670658682643</c:v>
                      </c:pt>
                      <c:pt idx="13" formatCode="General">
                        <c:v>-5.9610299401197615</c:v>
                      </c:pt>
                      <c:pt idx="14" formatCode="General">
                        <c:v>-5.3600718562874254</c:v>
                      </c:pt>
                      <c:pt idx="15" formatCode="General">
                        <c:v>-4.7591137724550894</c:v>
                      </c:pt>
                      <c:pt idx="16" formatCode="General">
                        <c:v>-4.5126516516516508</c:v>
                      </c:pt>
                      <c:pt idx="17" formatCode="General">
                        <c:v>-4.2803693693693692</c:v>
                      </c:pt>
                      <c:pt idx="18" formatCode="General">
                        <c:v>-4.1537664670658687</c:v>
                      </c:pt>
                      <c:pt idx="19" formatCode="General">
                        <c:v>-4.1856826347305391</c:v>
                      </c:pt>
                      <c:pt idx="20" formatCode="General">
                        <c:v>-4.2175988023952096</c:v>
                      </c:pt>
                      <c:pt idx="21" formatCode="General">
                        <c:v>-4.249676646706587</c:v>
                      </c:pt>
                      <c:pt idx="22" formatCode="General">
                        <c:v>-4.2817874251497008</c:v>
                      </c:pt>
                      <c:pt idx="23" formatCode="General">
                        <c:v>-4.3138982035928146</c:v>
                      </c:pt>
                      <c:pt idx="24" formatCode="General">
                        <c:v>-4.3460089820359284</c:v>
                      </c:pt>
                      <c:pt idx="25" formatCode="General">
                        <c:v>-4.3781197604790414</c:v>
                      </c:pt>
                      <c:pt idx="26" formatCode="General">
                        <c:v>-4.4102305389221552</c:v>
                      </c:pt>
                      <c:pt idx="27" formatCode="General">
                        <c:v>-4.442341317365269</c:v>
                      </c:pt>
                      <c:pt idx="28" formatCode="General">
                        <c:v>-4.4744520958083829</c:v>
                      </c:pt>
                      <c:pt idx="29" formatCode="General">
                        <c:v>-4.5065628742514967</c:v>
                      </c:pt>
                      <c:pt idx="30" formatCode="General">
                        <c:v>-4.5386736526946105</c:v>
                      </c:pt>
                      <c:pt idx="31" formatCode="General">
                        <c:v>-4.5702584269662925</c:v>
                      </c:pt>
                      <c:pt idx="32" formatCode="General">
                        <c:v>-4.6014194756554305</c:v>
                      </c:pt>
                      <c:pt idx="33" formatCode="General">
                        <c:v>-4.6325805243445695</c:v>
                      </c:pt>
                      <c:pt idx="34" formatCode="General">
                        <c:v>-4.6637415730337084</c:v>
                      </c:pt>
                      <c:pt idx="35" formatCode="General">
                        <c:v>-4.6949026217228464</c:v>
                      </c:pt>
                      <c:pt idx="36" formatCode="General">
                        <c:v>-4.7260636704119854</c:v>
                      </c:pt>
                      <c:pt idx="37" formatCode="General">
                        <c:v>-4.7572247191011234</c:v>
                      </c:pt>
                      <c:pt idx="38" formatCode="General">
                        <c:v>-4.7883857677902624</c:v>
                      </c:pt>
                      <c:pt idx="39" formatCode="General">
                        <c:v>-4.8195468164794013</c:v>
                      </c:pt>
                      <c:pt idx="40" formatCode="General">
                        <c:v>-4.8507078651685394</c:v>
                      </c:pt>
                      <c:pt idx="41" formatCode="General">
                        <c:v>-4.8813700374531841</c:v>
                      </c:pt>
                      <c:pt idx="42" formatCode="General">
                        <c:v>-4.9107782771535584</c:v>
                      </c:pt>
                      <c:pt idx="43" formatCode="General">
                        <c:v>-4.9401865168539327</c:v>
                      </c:pt>
                      <c:pt idx="44" formatCode="General">
                        <c:v>-4.969594756554307</c:v>
                      </c:pt>
                      <c:pt idx="45" formatCode="General">
                        <c:v>-4.9990029962546814</c:v>
                      </c:pt>
                      <c:pt idx="46" formatCode="General">
                        <c:v>-5.0284112359550566</c:v>
                      </c:pt>
                      <c:pt idx="47" formatCode="General">
                        <c:v>-5.0578194756554309</c:v>
                      </c:pt>
                      <c:pt idx="48" formatCode="General">
                        <c:v>-5.0872277153558052</c:v>
                      </c:pt>
                      <c:pt idx="49" formatCode="General">
                        <c:v>-5.1166359550561795</c:v>
                      </c:pt>
                      <c:pt idx="50" formatCode="General">
                        <c:v>-5.1460441947565538</c:v>
                      </c:pt>
                      <c:pt idx="51" formatCode="General">
                        <c:v>-5.1754311377245505</c:v>
                      </c:pt>
                      <c:pt idx="52" formatCode="General">
                        <c:v>-5.2034550898203591</c:v>
                      </c:pt>
                      <c:pt idx="53" formatCode="General">
                        <c:v>-5.2314790419161676</c:v>
                      </c:pt>
                      <c:pt idx="54" formatCode="General">
                        <c:v>-5.2591834319526622</c:v>
                      </c:pt>
                      <c:pt idx="55" formatCode="General">
                        <c:v>-5.2864911242603547</c:v>
                      </c:pt>
                      <c:pt idx="56" formatCode="General">
                        <c:v>-5.3137988165680472</c:v>
                      </c:pt>
                      <c:pt idx="57" formatCode="General">
                        <c:v>-5.3416666666666668</c:v>
                      </c:pt>
                      <c:pt idx="58" formatCode="General">
                        <c:v>-5.3696363636363635</c:v>
                      </c:pt>
                      <c:pt idx="59" formatCode="General">
                        <c:v>-5.3973636363636368</c:v>
                      </c:pt>
                      <c:pt idx="60" formatCode="General">
                        <c:v>-5.4245454545454548</c:v>
                      </c:pt>
                      <c:pt idx="61" formatCode="General">
                        <c:v>-5.4517272727272728</c:v>
                      </c:pt>
                      <c:pt idx="62" formatCode="General">
                        <c:v>-5.4825522388059706</c:v>
                      </c:pt>
                      <c:pt idx="63" formatCode="General">
                        <c:v>-5.5144701492537314</c:v>
                      </c:pt>
                      <c:pt idx="64" formatCode="General">
                        <c:v>-5.546388059701493</c:v>
                      </c:pt>
                      <c:pt idx="65" formatCode="General">
                        <c:v>-5.5783059701492537</c:v>
                      </c:pt>
                      <c:pt idx="66" formatCode="General">
                        <c:v>-5.6102238805970153</c:v>
                      </c:pt>
                      <c:pt idx="67" formatCode="General">
                        <c:v>-5.642141791044776</c:v>
                      </c:pt>
                      <c:pt idx="68" formatCode="General">
                        <c:v>-5.6740597014925376</c:v>
                      </c:pt>
                      <c:pt idx="69" formatCode="General">
                        <c:v>-5.7059776119402983</c:v>
                      </c:pt>
                      <c:pt idx="70" formatCode="General">
                        <c:v>-5.7378955223880599</c:v>
                      </c:pt>
                      <c:pt idx="71" formatCode="General">
                        <c:v>-5.7698134328358206</c:v>
                      </c:pt>
                      <c:pt idx="72" formatCode="General">
                        <c:v>-5.8141127819548872</c:v>
                      </c:pt>
                      <c:pt idx="73" formatCode="General">
                        <c:v>-5.8728571428571428</c:v>
                      </c:pt>
                      <c:pt idx="74" formatCode="General">
                        <c:v>-5.9316015037593983</c:v>
                      </c:pt>
                      <c:pt idx="75" formatCode="General">
                        <c:v>-5.9903458646616539</c:v>
                      </c:pt>
                      <c:pt idx="76" formatCode="General">
                        <c:v>-6.0490902255639094</c:v>
                      </c:pt>
                      <c:pt idx="77" formatCode="General">
                        <c:v>-6.107834586466165</c:v>
                      </c:pt>
                      <c:pt idx="78" formatCode="General">
                        <c:v>-6.1665789473684214</c:v>
                      </c:pt>
                      <c:pt idx="79" formatCode="General">
                        <c:v>-6.2253233082706769</c:v>
                      </c:pt>
                      <c:pt idx="80" formatCode="General">
                        <c:v>-6.2840676691729325</c:v>
                      </c:pt>
                      <c:pt idx="81" formatCode="General">
                        <c:v>-6.342812030075188</c:v>
                      </c:pt>
                      <c:pt idx="82" formatCode="General">
                        <c:v>-6.4000882352941177</c:v>
                      </c:pt>
                      <c:pt idx="83" formatCode="General">
                        <c:v>-6.4524705882352942</c:v>
                      </c:pt>
                      <c:pt idx="84" formatCode="General">
                        <c:v>-6.5048529411764706</c:v>
                      </c:pt>
                      <c:pt idx="85" formatCode="General">
                        <c:v>-6.5572424242424248</c:v>
                      </c:pt>
                      <c:pt idx="86" formatCode="General">
                        <c:v>-6.6096363636363638</c:v>
                      </c:pt>
                      <c:pt idx="87" formatCode="General">
                        <c:v>-6.6617941176470588</c:v>
                      </c:pt>
                      <c:pt idx="88" formatCode="General">
                        <c:v>-6.7111176470588241</c:v>
                      </c:pt>
                      <c:pt idx="89" formatCode="General">
                        <c:v>-6.7604411764705885</c:v>
                      </c:pt>
                      <c:pt idx="90" formatCode="General">
                        <c:v>-6.8095454545454546</c:v>
                      </c:pt>
                      <c:pt idx="91" formatCode="General">
                        <c:v>-6.858393939393939</c:v>
                      </c:pt>
                      <c:pt idx="92" formatCode="General">
                        <c:v>-6.9072424242424235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E9B-4A24-AF6E-BAFF55F304A7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-21.633423423423423</c:v>
                      </c:pt>
                      <c:pt idx="1">
                        <c:v>-20.938528528528529</c:v>
                      </c:pt>
                      <c:pt idx="2" formatCode="General">
                        <c:v>-20.243633633633632</c:v>
                      </c:pt>
                      <c:pt idx="3" formatCode="General">
                        <c:v>-20.065988023952094</c:v>
                      </c:pt>
                      <c:pt idx="4" formatCode="General">
                        <c:v>-20.011497005988023</c:v>
                      </c:pt>
                      <c:pt idx="5" formatCode="General">
                        <c:v>-20.01640718562874</c:v>
                      </c:pt>
                      <c:pt idx="6" formatCode="General">
                        <c:v>-20.211017964071857</c:v>
                      </c:pt>
                      <c:pt idx="7" formatCode="General">
                        <c:v>-20.40562874251497</c:v>
                      </c:pt>
                      <c:pt idx="8" formatCode="General">
                        <c:v>-20.602844311377243</c:v>
                      </c:pt>
                      <c:pt idx="9" formatCode="General">
                        <c:v>-20.801347305389221</c:v>
                      </c:pt>
                      <c:pt idx="10" formatCode="General">
                        <c:v>-20.999850299401199</c:v>
                      </c:pt>
                      <c:pt idx="11" formatCode="General">
                        <c:v>-21.198353293413174</c:v>
                      </c:pt>
                      <c:pt idx="12" formatCode="General">
                        <c:v>-21.396856287425148</c:v>
                      </c:pt>
                      <c:pt idx="13" formatCode="General">
                        <c:v>-21.597425149700598</c:v>
                      </c:pt>
                      <c:pt idx="14" formatCode="General">
                        <c:v>-21.799820359281437</c:v>
                      </c:pt>
                      <c:pt idx="15" formatCode="General">
                        <c:v>-22.002215568862276</c:v>
                      </c:pt>
                      <c:pt idx="16" formatCode="General">
                        <c:v>-22.19768768768769</c:v>
                      </c:pt>
                      <c:pt idx="17" formatCode="General">
                        <c:v>-22.392882882882883</c:v>
                      </c:pt>
                      <c:pt idx="18" formatCode="General">
                        <c:v>-22.589401197604793</c:v>
                      </c:pt>
                      <c:pt idx="19" formatCode="General">
                        <c:v>-22.787904191616768</c:v>
                      </c:pt>
                      <c:pt idx="20" formatCode="General">
                        <c:v>-22.986407185628742</c:v>
                      </c:pt>
                      <c:pt idx="21" formatCode="General">
                        <c:v>-23.17682634730539</c:v>
                      </c:pt>
                      <c:pt idx="22" formatCode="General">
                        <c:v>-23.365598802395208</c:v>
                      </c:pt>
                      <c:pt idx="23" formatCode="General">
                        <c:v>-23.55437125748503</c:v>
                      </c:pt>
                      <c:pt idx="24" formatCode="General">
                        <c:v>-23.743143712574849</c:v>
                      </c:pt>
                      <c:pt idx="25" formatCode="General">
                        <c:v>-23.931916167664671</c:v>
                      </c:pt>
                      <c:pt idx="26" formatCode="General">
                        <c:v>-24.120688622754493</c:v>
                      </c:pt>
                      <c:pt idx="27" formatCode="General">
                        <c:v>-24.309461077844311</c:v>
                      </c:pt>
                      <c:pt idx="28" formatCode="General">
                        <c:v>-24.498233532934133</c:v>
                      </c:pt>
                      <c:pt idx="29" formatCode="General">
                        <c:v>-24.687005988023952</c:v>
                      </c:pt>
                      <c:pt idx="30" formatCode="General">
                        <c:v>-24.875778443113774</c:v>
                      </c:pt>
                      <c:pt idx="31" formatCode="General">
                        <c:v>-25.057617977528093</c:v>
                      </c:pt>
                      <c:pt idx="32" formatCode="General">
                        <c:v>-25.233872659176033</c:v>
                      </c:pt>
                      <c:pt idx="33" formatCode="General">
                        <c:v>-25.410127340823973</c:v>
                      </c:pt>
                      <c:pt idx="34" formatCode="General">
                        <c:v>-25.586382022471913</c:v>
                      </c:pt>
                      <c:pt idx="35" formatCode="General">
                        <c:v>-25.762636704119853</c:v>
                      </c:pt>
                      <c:pt idx="36" formatCode="General">
                        <c:v>-25.938891385767793</c:v>
                      </c:pt>
                      <c:pt idx="37" formatCode="General">
                        <c:v>-26.115146067415729</c:v>
                      </c:pt>
                      <c:pt idx="38" formatCode="General">
                        <c:v>-26.291400749063669</c:v>
                      </c:pt>
                      <c:pt idx="39" formatCode="General">
                        <c:v>-26.467655430711609</c:v>
                      </c:pt>
                      <c:pt idx="40" formatCode="General">
                        <c:v>-26.643910112359549</c:v>
                      </c:pt>
                      <c:pt idx="41" formatCode="General">
                        <c:v>-26.81767041198502</c:v>
                      </c:pt>
                      <c:pt idx="42" formatCode="General">
                        <c:v>-26.98516104868914</c:v>
                      </c:pt>
                      <c:pt idx="43" formatCode="General">
                        <c:v>-27.152651685393259</c:v>
                      </c:pt>
                      <c:pt idx="44" formatCode="General">
                        <c:v>-27.320142322097379</c:v>
                      </c:pt>
                      <c:pt idx="45" formatCode="General">
                        <c:v>-27.487632958801498</c:v>
                      </c:pt>
                      <c:pt idx="46" formatCode="General">
                        <c:v>-27.655123595505618</c:v>
                      </c:pt>
                      <c:pt idx="47" formatCode="General">
                        <c:v>-27.822614232209737</c:v>
                      </c:pt>
                      <c:pt idx="48" formatCode="General">
                        <c:v>-27.990104868913857</c:v>
                      </c:pt>
                      <c:pt idx="49" formatCode="General">
                        <c:v>-28.157595505617977</c:v>
                      </c:pt>
                      <c:pt idx="50" formatCode="General">
                        <c:v>-28.325086142322096</c:v>
                      </c:pt>
                      <c:pt idx="51" formatCode="General">
                        <c:v>-28.492455089820357</c:v>
                      </c:pt>
                      <c:pt idx="52" formatCode="General">
                        <c:v>-28.652035928143711</c:v>
                      </c:pt>
                      <c:pt idx="53" formatCode="General">
                        <c:v>-28.811616766467065</c:v>
                      </c:pt>
                      <c:pt idx="54" formatCode="General">
                        <c:v>-28.970355029585797</c:v>
                      </c:pt>
                      <c:pt idx="55" formatCode="General">
                        <c:v>-29.128047337278105</c:v>
                      </c:pt>
                      <c:pt idx="56" formatCode="General">
                        <c:v>-29.285739644970413</c:v>
                      </c:pt>
                      <c:pt idx="57" formatCode="General">
                        <c:v>-29.446666666666665</c:v>
                      </c:pt>
                      <c:pt idx="58" formatCode="General">
                        <c:v>-29.608181818181816</c:v>
                      </c:pt>
                      <c:pt idx="59" formatCode="General">
                        <c:v>-29.768484848484846</c:v>
                      </c:pt>
                      <c:pt idx="60" formatCode="General">
                        <c:v>-29.926060606060606</c:v>
                      </c:pt>
                      <c:pt idx="61" formatCode="General">
                        <c:v>-30.083636363636366</c:v>
                      </c:pt>
                      <c:pt idx="62" formatCode="General">
                        <c:v>-30.237164179104479</c:v>
                      </c:pt>
                      <c:pt idx="63" formatCode="General">
                        <c:v>-30.389477611940301</c:v>
                      </c:pt>
                      <c:pt idx="64" formatCode="General">
                        <c:v>-30.541791044776119</c:v>
                      </c:pt>
                      <c:pt idx="65" formatCode="General">
                        <c:v>-30.69410447761194</c:v>
                      </c:pt>
                      <c:pt idx="66" formatCode="General">
                        <c:v>-30.846417910447762</c:v>
                      </c:pt>
                      <c:pt idx="67" formatCode="General">
                        <c:v>-30.998731343283584</c:v>
                      </c:pt>
                      <c:pt idx="68" formatCode="General">
                        <c:v>-31.151044776119406</c:v>
                      </c:pt>
                      <c:pt idx="69" formatCode="General">
                        <c:v>-31.303358208955224</c:v>
                      </c:pt>
                      <c:pt idx="70" formatCode="General">
                        <c:v>-31.455671641791046</c:v>
                      </c:pt>
                      <c:pt idx="71" formatCode="General">
                        <c:v>-31.607985074626868</c:v>
                      </c:pt>
                      <c:pt idx="72" formatCode="General">
                        <c:v>-31.759022556390978</c:v>
                      </c:pt>
                      <c:pt idx="73" formatCode="General">
                        <c:v>-31.908571428571431</c:v>
                      </c:pt>
                      <c:pt idx="74" formatCode="General">
                        <c:v>-32.058120300751881</c:v>
                      </c:pt>
                      <c:pt idx="75" formatCode="General">
                        <c:v>-32.207669172932334</c:v>
                      </c:pt>
                      <c:pt idx="76" formatCode="General">
                        <c:v>-32.357218045112781</c:v>
                      </c:pt>
                      <c:pt idx="77" formatCode="General">
                        <c:v>-32.506766917293234</c:v>
                      </c:pt>
                      <c:pt idx="78" formatCode="General">
                        <c:v>-32.65631578947368</c:v>
                      </c:pt>
                      <c:pt idx="79" formatCode="General">
                        <c:v>-32.805864661654134</c:v>
                      </c:pt>
                      <c:pt idx="80" formatCode="General">
                        <c:v>-32.955413533834587</c:v>
                      </c:pt>
                      <c:pt idx="81" formatCode="General">
                        <c:v>-33.104962406015034</c:v>
                      </c:pt>
                      <c:pt idx="82" formatCode="General">
                        <c:v>-33.252647058823527</c:v>
                      </c:pt>
                      <c:pt idx="83" formatCode="General">
                        <c:v>-33.394117647058827</c:v>
                      </c:pt>
                      <c:pt idx="84" formatCode="General">
                        <c:v>-33.535588235294121</c:v>
                      </c:pt>
                      <c:pt idx="85" formatCode="General">
                        <c:v>-33.682121212121217</c:v>
                      </c:pt>
                      <c:pt idx="86" formatCode="General">
                        <c:v>-33.831818181818186</c:v>
                      </c:pt>
                      <c:pt idx="87" formatCode="General">
                        <c:v>-33.980882352941173</c:v>
                      </c:pt>
                      <c:pt idx="88" formatCode="General">
                        <c:v>-34.122352941176473</c:v>
                      </c:pt>
                      <c:pt idx="89" formatCode="General">
                        <c:v>-34.263823529411766</c:v>
                      </c:pt>
                      <c:pt idx="90" formatCode="General">
                        <c:v>-34.407272727272733</c:v>
                      </c:pt>
                      <c:pt idx="91" formatCode="General">
                        <c:v>-34.553030303030305</c:v>
                      </c:pt>
                      <c:pt idx="92" formatCode="General">
                        <c:v>-34.698787878787883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E9B-4A24-AF6E-BAFF55F304A7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E9B-4A24-AF6E-BAFF55F304A7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E9B-4A24-AF6E-BAFF55F304A7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E9B-4A24-AF6E-BAFF55F304A7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E9B-4A24-AF6E-BAFF55F304A7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E9B-4A24-AF6E-BAFF55F304A7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E9B-4A24-AF6E-BAFF55F304A7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E9B-4A24-AF6E-BAFF55F304A7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E9B-4A24-AF6E-BAFF55F304A7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E9B-4A24-AF6E-BAFF55F304A7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E9B-4A24-AF6E-BAFF55F304A7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E9B-4A24-AF6E-BAFF55F304A7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E9B-4A24-AF6E-BAFF55F304A7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E9B-4A24-AF6E-BAFF55F304A7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E9B-4A24-AF6E-BAFF55F304A7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E9B-4A24-AF6E-BAFF55F304A7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-37.719099099099097</c:v>
                      </c:pt>
                      <c:pt idx="1">
                        <c:v>-36.579159159159161</c:v>
                      </c:pt>
                      <c:pt idx="2" formatCode="General">
                        <c:v>-35.439219219219218</c:v>
                      </c:pt>
                      <c:pt idx="3" formatCode="General">
                        <c:v>-34.500089820359278</c:v>
                      </c:pt>
                      <c:pt idx="4" formatCode="General">
                        <c:v>-33.60877245508982</c:v>
                      </c:pt>
                      <c:pt idx="5" formatCode="General">
                        <c:v>-32.764419161676642</c:v>
                      </c:pt>
                      <c:pt idx="6" formatCode="General">
                        <c:v>-32.070047904191618</c:v>
                      </c:pt>
                      <c:pt idx="7" formatCode="General">
                        <c:v>-31.375676646706587</c:v>
                      </c:pt>
                      <c:pt idx="8" formatCode="General">
                        <c:v>-30.795916167664672</c:v>
                      </c:pt>
                      <c:pt idx="9" formatCode="General">
                        <c:v>-30.272802395209581</c:v>
                      </c:pt>
                      <c:pt idx="10" formatCode="General">
                        <c:v>-29.77206886227545</c:v>
                      </c:pt>
                      <c:pt idx="11" formatCode="General">
                        <c:v>-29.472757485029941</c:v>
                      </c:pt>
                      <c:pt idx="12" formatCode="General">
                        <c:v>-29.173446107784432</c:v>
                      </c:pt>
                      <c:pt idx="13" formatCode="General">
                        <c:v>-29.019158682634732</c:v>
                      </c:pt>
                      <c:pt idx="14" formatCode="General">
                        <c:v>-28.993080838323355</c:v>
                      </c:pt>
                      <c:pt idx="15" formatCode="General">
                        <c:v>-28.967002994011978</c:v>
                      </c:pt>
                      <c:pt idx="16" formatCode="General">
                        <c:v>-29.306465465465465</c:v>
                      </c:pt>
                      <c:pt idx="17" formatCode="General">
                        <c:v>-29.66054954954955</c:v>
                      </c:pt>
                      <c:pt idx="18" formatCode="General">
                        <c:v>-29.950844311377246</c:v>
                      </c:pt>
                      <c:pt idx="19" formatCode="General">
                        <c:v>-30.145455089820359</c:v>
                      </c:pt>
                      <c:pt idx="20" formatCode="General">
                        <c:v>-30.340065868263473</c:v>
                      </c:pt>
                      <c:pt idx="21" formatCode="General">
                        <c:v>-30.55440119760479</c:v>
                      </c:pt>
                      <c:pt idx="22" formatCode="General">
                        <c:v>-30.772754491017963</c:v>
                      </c:pt>
                      <c:pt idx="23" formatCode="General">
                        <c:v>-30.990700598802395</c:v>
                      </c:pt>
                      <c:pt idx="24" formatCode="General">
                        <c:v>-31.207497005988024</c:v>
                      </c:pt>
                      <c:pt idx="25" formatCode="General">
                        <c:v>-31.424293413173654</c:v>
                      </c:pt>
                      <c:pt idx="26" formatCode="General">
                        <c:v>-31.642167664670659</c:v>
                      </c:pt>
                      <c:pt idx="27" formatCode="General">
                        <c:v>-31.860520958083832</c:v>
                      </c:pt>
                      <c:pt idx="28" formatCode="General">
                        <c:v>-32.078874251497005</c:v>
                      </c:pt>
                      <c:pt idx="29" formatCode="General">
                        <c:v>-32.297227544910179</c:v>
                      </c:pt>
                      <c:pt idx="30" formatCode="General">
                        <c:v>-32.515580838323352</c:v>
                      </c:pt>
                      <c:pt idx="31" formatCode="General">
                        <c:v>-32.727876404494381</c:v>
                      </c:pt>
                      <c:pt idx="32" formatCode="General">
                        <c:v>-32.935292134831464</c:v>
                      </c:pt>
                      <c:pt idx="33" formatCode="General">
                        <c:v>-33.142707865168539</c:v>
                      </c:pt>
                      <c:pt idx="34" formatCode="General">
                        <c:v>-33.350123595505622</c:v>
                      </c:pt>
                      <c:pt idx="35" formatCode="General">
                        <c:v>-33.557539325842697</c:v>
                      </c:pt>
                      <c:pt idx="36" formatCode="General">
                        <c:v>-33.76495505617978</c:v>
                      </c:pt>
                      <c:pt idx="37" formatCode="General">
                        <c:v>-33.972370786516855</c:v>
                      </c:pt>
                      <c:pt idx="38" formatCode="General">
                        <c:v>-34.179786516853937</c:v>
                      </c:pt>
                      <c:pt idx="39" formatCode="General">
                        <c:v>-34.387202247191013</c:v>
                      </c:pt>
                      <c:pt idx="40" formatCode="General">
                        <c:v>-34.594617977528095</c:v>
                      </c:pt>
                      <c:pt idx="41" formatCode="General">
                        <c:v>-34.799040449438202</c:v>
                      </c:pt>
                      <c:pt idx="42" formatCode="General">
                        <c:v>-34.995939325842699</c:v>
                      </c:pt>
                      <c:pt idx="43" formatCode="General">
                        <c:v>-35.192838202247195</c:v>
                      </c:pt>
                      <c:pt idx="44" formatCode="General">
                        <c:v>-35.389737078651684</c:v>
                      </c:pt>
                      <c:pt idx="45" formatCode="General">
                        <c:v>-35.586635955056181</c:v>
                      </c:pt>
                      <c:pt idx="46" formatCode="General">
                        <c:v>-35.783534831460678</c:v>
                      </c:pt>
                      <c:pt idx="47" formatCode="General">
                        <c:v>-35.980433707865167</c:v>
                      </c:pt>
                      <c:pt idx="48" formatCode="General">
                        <c:v>-36.177332584269664</c:v>
                      </c:pt>
                      <c:pt idx="49" formatCode="General">
                        <c:v>-36.37423146067416</c:v>
                      </c:pt>
                      <c:pt idx="50" formatCode="General">
                        <c:v>-36.571130337078657</c:v>
                      </c:pt>
                      <c:pt idx="51" formatCode="General">
                        <c:v>-36.767872372372373</c:v>
                      </c:pt>
                      <c:pt idx="52" formatCode="General">
                        <c:v>-36.954576576576578</c:v>
                      </c:pt>
                      <c:pt idx="53" formatCode="General">
                        <c:v>-37.141280780780782</c:v>
                      </c:pt>
                      <c:pt idx="54" formatCode="General">
                        <c:v>-37.327984984984987</c:v>
                      </c:pt>
                      <c:pt idx="55" formatCode="General">
                        <c:v>-37.514689189189191</c:v>
                      </c:pt>
                      <c:pt idx="56" formatCode="General">
                        <c:v>-37.701393393393396</c:v>
                      </c:pt>
                      <c:pt idx="57" formatCode="General">
                        <c:v>-37.888097597597593</c:v>
                      </c:pt>
                      <c:pt idx="58" formatCode="General">
                        <c:v>-38.074801801801797</c:v>
                      </c:pt>
                      <c:pt idx="59" formatCode="General">
                        <c:v>-38.261506006006002</c:v>
                      </c:pt>
                      <c:pt idx="60" formatCode="General">
                        <c:v>-38.448210210210206</c:v>
                      </c:pt>
                      <c:pt idx="61" formatCode="General">
                        <c:v>-38.634914414414411</c:v>
                      </c:pt>
                      <c:pt idx="62" formatCode="General">
                        <c:v>-38.815647058823529</c:v>
                      </c:pt>
                      <c:pt idx="63" formatCode="General">
                        <c:v>-38.994588235294117</c:v>
                      </c:pt>
                      <c:pt idx="64" formatCode="General">
                        <c:v>-39.173636363636362</c:v>
                      </c:pt>
                      <c:pt idx="65" formatCode="General">
                        <c:v>-39.353272727272731</c:v>
                      </c:pt>
                      <c:pt idx="66" formatCode="General">
                        <c:v>-39.532909090909094</c:v>
                      </c:pt>
                      <c:pt idx="67" formatCode="General">
                        <c:v>-39.709294117647062</c:v>
                      </c:pt>
                      <c:pt idx="68" formatCode="General">
                        <c:v>-39.883647058823527</c:v>
                      </c:pt>
                      <c:pt idx="69" formatCode="General">
                        <c:v>-40.058</c:v>
                      </c:pt>
                      <c:pt idx="70" formatCode="General">
                        <c:v>-40.237242424242424</c:v>
                      </c:pt>
                      <c:pt idx="71" formatCode="General">
                        <c:v>-40.416484848484849</c:v>
                      </c:pt>
                      <c:pt idx="72" formatCode="General">
                        <c:v>-40.593210526315794</c:v>
                      </c:pt>
                      <c:pt idx="73" formatCode="General">
                        <c:v>-40.767000000000003</c:v>
                      </c:pt>
                      <c:pt idx="74" formatCode="General">
                        <c:v>-40.940789473684212</c:v>
                      </c:pt>
                      <c:pt idx="75" formatCode="General">
                        <c:v>-41.114578947368422</c:v>
                      </c:pt>
                      <c:pt idx="76" formatCode="General">
                        <c:v>-41.288368421052631</c:v>
                      </c:pt>
                      <c:pt idx="77" formatCode="General">
                        <c:v>-41.462157894736841</c:v>
                      </c:pt>
                      <c:pt idx="78" formatCode="General">
                        <c:v>-41.63594736842105</c:v>
                      </c:pt>
                      <c:pt idx="79" formatCode="General">
                        <c:v>-41.809736842105259</c:v>
                      </c:pt>
                      <c:pt idx="80" formatCode="General">
                        <c:v>-41.983526315789469</c:v>
                      </c:pt>
                      <c:pt idx="81" formatCode="General">
                        <c:v>-42.157315789473685</c:v>
                      </c:pt>
                      <c:pt idx="82" formatCode="General">
                        <c:v>-42.329597014925369</c:v>
                      </c:pt>
                      <c:pt idx="83" formatCode="General">
                        <c:v>-42.496850746268656</c:v>
                      </c:pt>
                      <c:pt idx="84" formatCode="General">
                        <c:v>-42.664104477611936</c:v>
                      </c:pt>
                      <c:pt idx="85" formatCode="General">
                        <c:v>-42.831358208955223</c:v>
                      </c:pt>
                      <c:pt idx="86" formatCode="General">
                        <c:v>-42.998611940298503</c:v>
                      </c:pt>
                      <c:pt idx="87" formatCode="General">
                        <c:v>-43.165865671641789</c:v>
                      </c:pt>
                      <c:pt idx="88" formatCode="General">
                        <c:v>-43.333119402985076</c:v>
                      </c:pt>
                      <c:pt idx="89" formatCode="General">
                        <c:v>-43.500373134328356</c:v>
                      </c:pt>
                      <c:pt idx="90" formatCode="General">
                        <c:v>-43.667626865671643</c:v>
                      </c:pt>
                      <c:pt idx="91" formatCode="General">
                        <c:v>-43.834880597014923</c:v>
                      </c:pt>
                      <c:pt idx="92" formatCode="General">
                        <c:v>-44.00213432835821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E9B-4A24-AF6E-BAFF55F304A7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-22.018918918918921</c:v>
                      </c:pt>
                      <c:pt idx="1">
                        <c:v>-21.69099099099099</c:v>
                      </c:pt>
                      <c:pt idx="2" formatCode="General">
                        <c:v>-21.363063063063063</c:v>
                      </c:pt>
                      <c:pt idx="3" formatCode="General">
                        <c:v>-21.328293413173654</c:v>
                      </c:pt>
                      <c:pt idx="4" formatCode="General">
                        <c:v>-21.363323353293413</c:v>
                      </c:pt>
                      <c:pt idx="5" formatCode="General">
                        <c:v>-21.428053892215569</c:v>
                      </c:pt>
                      <c:pt idx="6" formatCode="General">
                        <c:v>-21.587634730538923</c:v>
                      </c:pt>
                      <c:pt idx="7" formatCode="General">
                        <c:v>-21.747215568862277</c:v>
                      </c:pt>
                      <c:pt idx="8" formatCode="General">
                        <c:v>-21.901586826347305</c:v>
                      </c:pt>
                      <c:pt idx="9" formatCode="General">
                        <c:v>-22.053383233532934</c:v>
                      </c:pt>
                      <c:pt idx="10" formatCode="General">
                        <c:v>-22.201287425149701</c:v>
                      </c:pt>
                      <c:pt idx="11" formatCode="General">
                        <c:v>-22.314161676646709</c:v>
                      </c:pt>
                      <c:pt idx="12" formatCode="General">
                        <c:v>-22.427035928143713</c:v>
                      </c:pt>
                      <c:pt idx="13" formatCode="General">
                        <c:v>-22.544041916167664</c:v>
                      </c:pt>
                      <c:pt idx="14" formatCode="General">
                        <c:v>-22.664700598802394</c:v>
                      </c:pt>
                      <c:pt idx="15" formatCode="General">
                        <c:v>-22.785359281437124</c:v>
                      </c:pt>
                      <c:pt idx="16" formatCode="General">
                        <c:v>-22.883843843843842</c:v>
                      </c:pt>
                      <c:pt idx="17" formatCode="General">
                        <c:v>-22.98144144144144</c:v>
                      </c:pt>
                      <c:pt idx="18" formatCode="General">
                        <c:v>-23.1162874251497</c:v>
                      </c:pt>
                      <c:pt idx="19" formatCode="General">
                        <c:v>-23.307005988023953</c:v>
                      </c:pt>
                      <c:pt idx="20" formatCode="General">
                        <c:v>-23.497724550898205</c:v>
                      </c:pt>
                      <c:pt idx="21" formatCode="General">
                        <c:v>-23.691676646706586</c:v>
                      </c:pt>
                      <c:pt idx="22" formatCode="General">
                        <c:v>-23.8862874251497</c:v>
                      </c:pt>
                      <c:pt idx="23" formatCode="General">
                        <c:v>-24.078862275449104</c:v>
                      </c:pt>
                      <c:pt idx="24" formatCode="General">
                        <c:v>-24.265688622754492</c:v>
                      </c:pt>
                      <c:pt idx="25" formatCode="General">
                        <c:v>-24.45251497005988</c:v>
                      </c:pt>
                      <c:pt idx="26" formatCode="General">
                        <c:v>-24.639341317365272</c:v>
                      </c:pt>
                      <c:pt idx="27" formatCode="General">
                        <c:v>-24.82616766467066</c:v>
                      </c:pt>
                      <c:pt idx="28" formatCode="General">
                        <c:v>-25.012994011976048</c:v>
                      </c:pt>
                      <c:pt idx="29" formatCode="General">
                        <c:v>-25.199820359281436</c:v>
                      </c:pt>
                      <c:pt idx="30" formatCode="General">
                        <c:v>-25.386646706586827</c:v>
                      </c:pt>
                      <c:pt idx="31" formatCode="General">
                        <c:v>-25.567617977528091</c:v>
                      </c:pt>
                      <c:pt idx="32" formatCode="General">
                        <c:v>-25.743872659176031</c:v>
                      </c:pt>
                      <c:pt idx="33" formatCode="General">
                        <c:v>-25.920127340823971</c:v>
                      </c:pt>
                      <c:pt idx="34" formatCode="General">
                        <c:v>-26.096382022471911</c:v>
                      </c:pt>
                      <c:pt idx="35" formatCode="General">
                        <c:v>-26.272636704119851</c:v>
                      </c:pt>
                      <c:pt idx="36" formatCode="General">
                        <c:v>-26.448891385767791</c:v>
                      </c:pt>
                      <c:pt idx="37" formatCode="General">
                        <c:v>-26.625146067415731</c:v>
                      </c:pt>
                      <c:pt idx="38" formatCode="General">
                        <c:v>-26.801400749063671</c:v>
                      </c:pt>
                      <c:pt idx="39" formatCode="General">
                        <c:v>-26.977655430711611</c:v>
                      </c:pt>
                      <c:pt idx="40" formatCode="General">
                        <c:v>-27.153910112359551</c:v>
                      </c:pt>
                      <c:pt idx="41" formatCode="General">
                        <c:v>-27.327670411985022</c:v>
                      </c:pt>
                      <c:pt idx="42" formatCode="General">
                        <c:v>-27.495161048689141</c:v>
                      </c:pt>
                      <c:pt idx="43" formatCode="General">
                        <c:v>-27.662651685393261</c:v>
                      </c:pt>
                      <c:pt idx="44" formatCode="General">
                        <c:v>-27.83014232209738</c:v>
                      </c:pt>
                      <c:pt idx="45" formatCode="General">
                        <c:v>-27.9976329588015</c:v>
                      </c:pt>
                      <c:pt idx="46" formatCode="General">
                        <c:v>-28.165123595505619</c:v>
                      </c:pt>
                      <c:pt idx="47" formatCode="General">
                        <c:v>-28.332614232209739</c:v>
                      </c:pt>
                      <c:pt idx="48" formatCode="General">
                        <c:v>-28.500104868913859</c:v>
                      </c:pt>
                      <c:pt idx="49" formatCode="General">
                        <c:v>-28.667595505617978</c:v>
                      </c:pt>
                      <c:pt idx="50" formatCode="General">
                        <c:v>-28.835086142322098</c:v>
                      </c:pt>
                      <c:pt idx="51" formatCode="General">
                        <c:v>-29.002447447447448</c:v>
                      </c:pt>
                      <c:pt idx="52" formatCode="General">
                        <c:v>-29.161531531531534</c:v>
                      </c:pt>
                      <c:pt idx="53" formatCode="General">
                        <c:v>-29.320615615615615</c:v>
                      </c:pt>
                      <c:pt idx="54" formatCode="General">
                        <c:v>-29.479699699699701</c:v>
                      </c:pt>
                      <c:pt idx="55" formatCode="General">
                        <c:v>-29.638783783783783</c:v>
                      </c:pt>
                      <c:pt idx="56" formatCode="General">
                        <c:v>-29.797867867867868</c:v>
                      </c:pt>
                      <c:pt idx="57" formatCode="General">
                        <c:v>-29.95695195195195</c:v>
                      </c:pt>
                      <c:pt idx="58" formatCode="General">
                        <c:v>-30.116036036036036</c:v>
                      </c:pt>
                      <c:pt idx="59" formatCode="General">
                        <c:v>-30.275120120120121</c:v>
                      </c:pt>
                      <c:pt idx="60" formatCode="General">
                        <c:v>-30.434204204204203</c:v>
                      </c:pt>
                      <c:pt idx="61" formatCode="General">
                        <c:v>-30.593288288288289</c:v>
                      </c:pt>
                      <c:pt idx="62" formatCode="General">
                        <c:v>-30.747647058823528</c:v>
                      </c:pt>
                      <c:pt idx="63" formatCode="General">
                        <c:v>-30.900588235294119</c:v>
                      </c:pt>
                      <c:pt idx="64" formatCode="General">
                        <c:v>-31.053636363636365</c:v>
                      </c:pt>
                      <c:pt idx="65" formatCode="General">
                        <c:v>-31.207272727272727</c:v>
                      </c:pt>
                      <c:pt idx="66" formatCode="General">
                        <c:v>-31.360909090909093</c:v>
                      </c:pt>
                      <c:pt idx="67" formatCode="General">
                        <c:v>-31.511764705882353</c:v>
                      </c:pt>
                      <c:pt idx="68" formatCode="General">
                        <c:v>-31.660882352941176</c:v>
                      </c:pt>
                      <c:pt idx="69" formatCode="General">
                        <c:v>-31.81</c:v>
                      </c:pt>
                      <c:pt idx="70" formatCode="General">
                        <c:v>-31.963636363636365</c:v>
                      </c:pt>
                      <c:pt idx="71" formatCode="General">
                        <c:v>-32.117272727272727</c:v>
                      </c:pt>
                      <c:pt idx="72" formatCode="General">
                        <c:v>-32.269022556390979</c:v>
                      </c:pt>
                      <c:pt idx="73" formatCode="General">
                        <c:v>-32.418571428571433</c:v>
                      </c:pt>
                      <c:pt idx="74" formatCode="General">
                        <c:v>-32.568120300751879</c:v>
                      </c:pt>
                      <c:pt idx="75" formatCode="General">
                        <c:v>-32.717669172932332</c:v>
                      </c:pt>
                      <c:pt idx="76" formatCode="General">
                        <c:v>-32.867218045112779</c:v>
                      </c:pt>
                      <c:pt idx="77" formatCode="General">
                        <c:v>-33.016766917293232</c:v>
                      </c:pt>
                      <c:pt idx="78" formatCode="General">
                        <c:v>-33.166315789473686</c:v>
                      </c:pt>
                      <c:pt idx="79" formatCode="General">
                        <c:v>-33.315864661654132</c:v>
                      </c:pt>
                      <c:pt idx="80" formatCode="General">
                        <c:v>-33.465413533834585</c:v>
                      </c:pt>
                      <c:pt idx="81" formatCode="General">
                        <c:v>-33.614962406015032</c:v>
                      </c:pt>
                      <c:pt idx="82" formatCode="General">
                        <c:v>-33.763358208955218</c:v>
                      </c:pt>
                      <c:pt idx="83" formatCode="General">
                        <c:v>-33.907910447761189</c:v>
                      </c:pt>
                      <c:pt idx="84" formatCode="General">
                        <c:v>-34.052462686567161</c:v>
                      </c:pt>
                      <c:pt idx="85" formatCode="General">
                        <c:v>-34.197014925373132</c:v>
                      </c:pt>
                      <c:pt idx="86" formatCode="General">
                        <c:v>-34.341567164179104</c:v>
                      </c:pt>
                      <c:pt idx="87" formatCode="General">
                        <c:v>-34.486119402985075</c:v>
                      </c:pt>
                      <c:pt idx="88" formatCode="General">
                        <c:v>-34.630671641791039</c:v>
                      </c:pt>
                      <c:pt idx="89" formatCode="General">
                        <c:v>-34.775223880597011</c:v>
                      </c:pt>
                      <c:pt idx="90" formatCode="General">
                        <c:v>-34.919776119402982</c:v>
                      </c:pt>
                      <c:pt idx="91" formatCode="General">
                        <c:v>-35.064328358208954</c:v>
                      </c:pt>
                      <c:pt idx="92" formatCode="General">
                        <c:v>-35.208880597014925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E9B-4A24-AF6E-BAFF55F304A7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-185.62738738738739</c:v>
                      </c:pt>
                      <c:pt idx="1">
                        <c:v>-179.20156156156156</c:v>
                      </c:pt>
                      <c:pt idx="2" formatCode="General">
                        <c:v>-172.77573573573576</c:v>
                      </c:pt>
                      <c:pt idx="3" formatCode="General">
                        <c:v>-167.34314371257486</c:v>
                      </c:pt>
                      <c:pt idx="4" formatCode="General">
                        <c:v>-162.14703592814371</c:v>
                      </c:pt>
                      <c:pt idx="5" formatCode="General">
                        <c:v>-157.16997005988023</c:v>
                      </c:pt>
                      <c:pt idx="6" formatCode="General">
                        <c:v>-152.89242514970059</c:v>
                      </c:pt>
                      <c:pt idx="7" formatCode="General">
                        <c:v>-148.61488023952094</c:v>
                      </c:pt>
                      <c:pt idx="8" formatCode="General">
                        <c:v>-144.8009880239521</c:v>
                      </c:pt>
                      <c:pt idx="9" formatCode="General">
                        <c:v>-141.21625748502993</c:v>
                      </c:pt>
                      <c:pt idx="10" formatCode="General">
                        <c:v>-137.6875748502994</c:v>
                      </c:pt>
                      <c:pt idx="11" formatCode="General">
                        <c:v>-134.66332335329341</c:v>
                      </c:pt>
                      <c:pt idx="12" formatCode="General">
                        <c:v>-131.63907185628744</c:v>
                      </c:pt>
                      <c:pt idx="13" formatCode="General">
                        <c:v>-128.87098802395209</c:v>
                      </c:pt>
                      <c:pt idx="14" formatCode="General">
                        <c:v>-126.32937125748504</c:v>
                      </c:pt>
                      <c:pt idx="15" formatCode="General">
                        <c:v>-123.78775449101796</c:v>
                      </c:pt>
                      <c:pt idx="16" formatCode="General">
                        <c:v>-123.31837837837838</c:v>
                      </c:pt>
                      <c:pt idx="17" formatCode="General">
                        <c:v>-122.93189189189189</c:v>
                      </c:pt>
                      <c:pt idx="18" formatCode="General">
                        <c:v>-123.33988023952097</c:v>
                      </c:pt>
                      <c:pt idx="19" formatCode="General">
                        <c:v>-124.93958083832335</c:v>
                      </c:pt>
                      <c:pt idx="20" formatCode="General">
                        <c:v>-126.53928143712575</c:v>
                      </c:pt>
                      <c:pt idx="21" formatCode="General">
                        <c:v>-128.13574850299401</c:v>
                      </c:pt>
                      <c:pt idx="22" formatCode="General">
                        <c:v>-129.73155688622754</c:v>
                      </c:pt>
                      <c:pt idx="23" formatCode="General">
                        <c:v>-131.31718562874252</c:v>
                      </c:pt>
                      <c:pt idx="24" formatCode="General">
                        <c:v>-132.87407185628743</c:v>
                      </c:pt>
                      <c:pt idx="25" formatCode="General">
                        <c:v>-134.43095808383234</c:v>
                      </c:pt>
                      <c:pt idx="26" formatCode="General">
                        <c:v>-135.97167664670658</c:v>
                      </c:pt>
                      <c:pt idx="27" formatCode="General">
                        <c:v>-137.50520958083831</c:v>
                      </c:pt>
                      <c:pt idx="28" formatCode="General">
                        <c:v>-139.03586826347305</c:v>
                      </c:pt>
                      <c:pt idx="29" formatCode="General">
                        <c:v>-140.54604790419162</c:v>
                      </c:pt>
                      <c:pt idx="30" formatCode="General">
                        <c:v>-142.05622754491017</c:v>
                      </c:pt>
                      <c:pt idx="31" formatCode="General">
                        <c:v>-143.50932584269663</c:v>
                      </c:pt>
                      <c:pt idx="32" formatCode="General">
                        <c:v>-144.91644194756554</c:v>
                      </c:pt>
                      <c:pt idx="33" formatCode="General">
                        <c:v>-146.32355805243446</c:v>
                      </c:pt>
                      <c:pt idx="34" formatCode="General">
                        <c:v>-147.73067415730338</c:v>
                      </c:pt>
                      <c:pt idx="35" formatCode="General">
                        <c:v>-149.13779026217227</c:v>
                      </c:pt>
                      <c:pt idx="36" formatCode="General">
                        <c:v>-150.54490636704119</c:v>
                      </c:pt>
                      <c:pt idx="37" formatCode="General">
                        <c:v>-151.95202247191011</c:v>
                      </c:pt>
                      <c:pt idx="38" formatCode="General">
                        <c:v>-153.35913857677903</c:v>
                      </c:pt>
                      <c:pt idx="39" formatCode="General">
                        <c:v>-154.76625468164795</c:v>
                      </c:pt>
                      <c:pt idx="40" formatCode="General">
                        <c:v>-156.17337078651687</c:v>
                      </c:pt>
                      <c:pt idx="41" formatCode="General">
                        <c:v>-157.53143071161051</c:v>
                      </c:pt>
                      <c:pt idx="42" formatCode="General">
                        <c:v>-158.76618726591761</c:v>
                      </c:pt>
                      <c:pt idx="43" formatCode="General">
                        <c:v>-160.00094382022473</c:v>
                      </c:pt>
                      <c:pt idx="44" formatCode="General">
                        <c:v>-161.23570037453186</c:v>
                      </c:pt>
                      <c:pt idx="45" formatCode="General">
                        <c:v>-162.47045692883896</c:v>
                      </c:pt>
                      <c:pt idx="46" formatCode="General">
                        <c:v>-163.70521348314608</c:v>
                      </c:pt>
                      <c:pt idx="47" formatCode="General">
                        <c:v>-164.93997003745321</c:v>
                      </c:pt>
                      <c:pt idx="48" formatCode="General">
                        <c:v>-166.1747265917603</c:v>
                      </c:pt>
                      <c:pt idx="49" formatCode="General">
                        <c:v>-167.40948314606743</c:v>
                      </c:pt>
                      <c:pt idx="50" formatCode="General">
                        <c:v>-168.64423970037456</c:v>
                      </c:pt>
                      <c:pt idx="51" formatCode="General">
                        <c:v>-169.87605105105106</c:v>
                      </c:pt>
                      <c:pt idx="52" formatCode="General">
                        <c:v>-170.91936936936938</c:v>
                      </c:pt>
                      <c:pt idx="53" formatCode="General">
                        <c:v>-171.96268768768769</c:v>
                      </c:pt>
                      <c:pt idx="54" formatCode="General">
                        <c:v>-173.00600600600603</c:v>
                      </c:pt>
                      <c:pt idx="55" formatCode="General">
                        <c:v>-174.04932432432435</c:v>
                      </c:pt>
                      <c:pt idx="56" formatCode="General">
                        <c:v>-175.09264264264266</c:v>
                      </c:pt>
                      <c:pt idx="57" formatCode="General">
                        <c:v>-176.13596096096097</c:v>
                      </c:pt>
                      <c:pt idx="58" formatCode="General">
                        <c:v>-177.17927927927929</c:v>
                      </c:pt>
                      <c:pt idx="59" formatCode="General">
                        <c:v>-178.2225975975976</c:v>
                      </c:pt>
                      <c:pt idx="60" formatCode="General">
                        <c:v>-179.26591591591594</c:v>
                      </c:pt>
                      <c:pt idx="61" formatCode="General">
                        <c:v>-180.30923423423425</c:v>
                      </c:pt>
                      <c:pt idx="62" formatCode="General">
                        <c:v>-181.23823529411766</c:v>
                      </c:pt>
                      <c:pt idx="63" formatCode="General">
                        <c:v>-182.13294117647058</c:v>
                      </c:pt>
                      <c:pt idx="64" formatCode="General">
                        <c:v>-183.02393939393937</c:v>
                      </c:pt>
                      <c:pt idx="65" formatCode="General">
                        <c:v>-183.89454545454547</c:v>
                      </c:pt>
                      <c:pt idx="66" formatCode="General">
                        <c:v>-184.76515151515153</c:v>
                      </c:pt>
                      <c:pt idx="67" formatCode="General">
                        <c:v>-185.58235294117648</c:v>
                      </c:pt>
                      <c:pt idx="68" formatCode="General">
                        <c:v>-186.36617647058824</c:v>
                      </c:pt>
                      <c:pt idx="69" formatCode="General">
                        <c:v>-187.14999999999998</c:v>
                      </c:pt>
                      <c:pt idx="70" formatCode="General">
                        <c:v>-187.91818181818181</c:v>
                      </c:pt>
                      <c:pt idx="71" formatCode="General">
                        <c:v>-188.68636363636364</c:v>
                      </c:pt>
                      <c:pt idx="72" formatCode="General">
                        <c:v>-189.38466165413536</c:v>
                      </c:pt>
                      <c:pt idx="73" formatCode="General">
                        <c:v>-190.00142857142859</c:v>
                      </c:pt>
                      <c:pt idx="74" formatCode="General">
                        <c:v>-190.61819548872182</c:v>
                      </c:pt>
                      <c:pt idx="75" formatCode="General">
                        <c:v>-191.23496240601506</c:v>
                      </c:pt>
                      <c:pt idx="76" formatCode="General">
                        <c:v>-191.85172932330829</c:v>
                      </c:pt>
                      <c:pt idx="77" formatCode="General">
                        <c:v>-192.46849624060152</c:v>
                      </c:pt>
                      <c:pt idx="78" formatCode="General">
                        <c:v>-193.08526315789473</c:v>
                      </c:pt>
                      <c:pt idx="79" formatCode="General">
                        <c:v>-193.70203007518796</c:v>
                      </c:pt>
                      <c:pt idx="80" formatCode="General">
                        <c:v>-194.3187969924812</c:v>
                      </c:pt>
                      <c:pt idx="81" formatCode="General">
                        <c:v>-194.93556390977443</c:v>
                      </c:pt>
                      <c:pt idx="82" formatCode="General">
                        <c:v>-195.49843283582089</c:v>
                      </c:pt>
                      <c:pt idx="83" formatCode="General">
                        <c:v>-195.88164179104479</c:v>
                      </c:pt>
                      <c:pt idx="84" formatCode="General">
                        <c:v>-196.26485074626865</c:v>
                      </c:pt>
                      <c:pt idx="85" formatCode="General">
                        <c:v>-196.64805970149254</c:v>
                      </c:pt>
                      <c:pt idx="86" formatCode="General">
                        <c:v>-197.03126865671643</c:v>
                      </c:pt>
                      <c:pt idx="87" formatCode="General">
                        <c:v>-197.4144776119403</c:v>
                      </c:pt>
                      <c:pt idx="88" formatCode="General">
                        <c:v>-197.79768656716419</c:v>
                      </c:pt>
                      <c:pt idx="89" formatCode="General">
                        <c:v>-198.18089552238806</c:v>
                      </c:pt>
                      <c:pt idx="90" formatCode="General">
                        <c:v>-198.56410447761195</c:v>
                      </c:pt>
                      <c:pt idx="91" formatCode="General">
                        <c:v>-198.94731343283584</c:v>
                      </c:pt>
                      <c:pt idx="92" formatCode="General">
                        <c:v>-199.33052238805971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E9B-4A24-AF6E-BAFF55F304A7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-15.70018018018018</c:v>
                      </c:pt>
                      <c:pt idx="1">
                        <c:v>-14.888168168168168</c:v>
                      </c:pt>
                      <c:pt idx="2" formatCode="General">
                        <c:v>-14.076156156156156</c:v>
                      </c:pt>
                      <c:pt idx="3" formatCode="General">
                        <c:v>-13.171796407185628</c:v>
                      </c:pt>
                      <c:pt idx="4" formatCode="General">
                        <c:v>-12.245449101796405</c:v>
                      </c:pt>
                      <c:pt idx="5" formatCode="General">
                        <c:v>-11.336365269461076</c:v>
                      </c:pt>
                      <c:pt idx="6" formatCode="General">
                        <c:v>-10.482413173652693</c:v>
                      </c:pt>
                      <c:pt idx="7" formatCode="General">
                        <c:v>-9.628461077844312</c:v>
                      </c:pt>
                      <c:pt idx="8" formatCode="General">
                        <c:v>-8.8943293413173663</c:v>
                      </c:pt>
                      <c:pt idx="9" formatCode="General">
                        <c:v>-8.2194191616766474</c:v>
                      </c:pt>
                      <c:pt idx="10" formatCode="General">
                        <c:v>-7.5707814371257482</c:v>
                      </c:pt>
                      <c:pt idx="11" formatCode="General">
                        <c:v>-7.1585958083832333</c:v>
                      </c:pt>
                      <c:pt idx="12" formatCode="General">
                        <c:v>-6.7464101796407192</c:v>
                      </c:pt>
                      <c:pt idx="13" formatCode="General">
                        <c:v>-6.4751167664670657</c:v>
                      </c:pt>
                      <c:pt idx="14" formatCode="General">
                        <c:v>-6.3283802395209579</c:v>
                      </c:pt>
                      <c:pt idx="15" formatCode="General">
                        <c:v>-6.18164371257485</c:v>
                      </c:pt>
                      <c:pt idx="16" formatCode="General">
                        <c:v>-6.4226216216216221</c:v>
                      </c:pt>
                      <c:pt idx="17" formatCode="General">
                        <c:v>-6.6791081081081085</c:v>
                      </c:pt>
                      <c:pt idx="18" formatCode="General">
                        <c:v>-6.8345568862275448</c:v>
                      </c:pt>
                      <c:pt idx="19" formatCode="General">
                        <c:v>-6.8384491017964075</c:v>
                      </c:pt>
                      <c:pt idx="20" formatCode="General">
                        <c:v>-6.8423413173652694</c:v>
                      </c:pt>
                      <c:pt idx="21" formatCode="General">
                        <c:v>-6.8627245508982035</c:v>
                      </c:pt>
                      <c:pt idx="22" formatCode="General">
                        <c:v>-6.8864670658682634</c:v>
                      </c:pt>
                      <c:pt idx="23" formatCode="General">
                        <c:v>-6.911838323353293</c:v>
                      </c:pt>
                      <c:pt idx="24" formatCode="General">
                        <c:v>-6.9418083832335329</c:v>
                      </c:pt>
                      <c:pt idx="25" formatCode="General">
                        <c:v>-6.9717784431137719</c:v>
                      </c:pt>
                      <c:pt idx="26" formatCode="General">
                        <c:v>-7.0028263473053896</c:v>
                      </c:pt>
                      <c:pt idx="27" formatCode="General">
                        <c:v>-7.0343532934131741</c:v>
                      </c:pt>
                      <c:pt idx="28" formatCode="General">
                        <c:v>-7.0658802395209586</c:v>
                      </c:pt>
                      <c:pt idx="29" formatCode="General">
                        <c:v>-7.0974071856287431</c:v>
                      </c:pt>
                      <c:pt idx="30" formatCode="General">
                        <c:v>-7.1289341317365267</c:v>
                      </c:pt>
                      <c:pt idx="31" formatCode="General">
                        <c:v>-7.1602584269662923</c:v>
                      </c:pt>
                      <c:pt idx="32" formatCode="General">
                        <c:v>-7.1914194756554304</c:v>
                      </c:pt>
                      <c:pt idx="33" formatCode="General">
                        <c:v>-7.2225805243445693</c:v>
                      </c:pt>
                      <c:pt idx="34" formatCode="General">
                        <c:v>-7.2537415730337083</c:v>
                      </c:pt>
                      <c:pt idx="35" formatCode="General">
                        <c:v>-7.2849026217228463</c:v>
                      </c:pt>
                      <c:pt idx="36" formatCode="General">
                        <c:v>-7.3160636704119852</c:v>
                      </c:pt>
                      <c:pt idx="37" formatCode="General">
                        <c:v>-7.3472247191011233</c:v>
                      </c:pt>
                      <c:pt idx="38" formatCode="General">
                        <c:v>-7.3783857677902622</c:v>
                      </c:pt>
                      <c:pt idx="39" formatCode="General">
                        <c:v>-7.4095468164794012</c:v>
                      </c:pt>
                      <c:pt idx="40" formatCode="General">
                        <c:v>-7.4407078651685392</c:v>
                      </c:pt>
                      <c:pt idx="41" formatCode="General">
                        <c:v>-7.471370037453184</c:v>
                      </c:pt>
                      <c:pt idx="42" formatCode="General">
                        <c:v>-7.5007782771535583</c:v>
                      </c:pt>
                      <c:pt idx="43" formatCode="General">
                        <c:v>-7.5301865168539326</c:v>
                      </c:pt>
                      <c:pt idx="44" formatCode="General">
                        <c:v>-7.5595947565543069</c:v>
                      </c:pt>
                      <c:pt idx="45" formatCode="General">
                        <c:v>-7.5890029962546812</c:v>
                      </c:pt>
                      <c:pt idx="46" formatCode="General">
                        <c:v>-7.6184112359550564</c:v>
                      </c:pt>
                      <c:pt idx="47" formatCode="General">
                        <c:v>-7.6478194756554307</c:v>
                      </c:pt>
                      <c:pt idx="48" formatCode="General">
                        <c:v>-7.6772277153558051</c:v>
                      </c:pt>
                      <c:pt idx="49" formatCode="General">
                        <c:v>-7.7066359550561794</c:v>
                      </c:pt>
                      <c:pt idx="50" formatCode="General">
                        <c:v>-7.7360441947565537</c:v>
                      </c:pt>
                      <c:pt idx="51" formatCode="General">
                        <c:v>-7.7654249249249245</c:v>
                      </c:pt>
                      <c:pt idx="52" formatCode="General">
                        <c:v>-7.7930450450450452</c:v>
                      </c:pt>
                      <c:pt idx="53" formatCode="General">
                        <c:v>-7.8206651651651651</c:v>
                      </c:pt>
                      <c:pt idx="54" formatCode="General">
                        <c:v>-7.8482852852852849</c:v>
                      </c:pt>
                      <c:pt idx="55" formatCode="General">
                        <c:v>-7.8759054054054056</c:v>
                      </c:pt>
                      <c:pt idx="56" formatCode="General">
                        <c:v>-7.9035255255255255</c:v>
                      </c:pt>
                      <c:pt idx="57" formatCode="General">
                        <c:v>-7.9311456456456453</c:v>
                      </c:pt>
                      <c:pt idx="58" formatCode="General">
                        <c:v>-7.958765765765766</c:v>
                      </c:pt>
                      <c:pt idx="59" formatCode="General">
                        <c:v>-7.9863858858858858</c:v>
                      </c:pt>
                      <c:pt idx="60" formatCode="General">
                        <c:v>-8.0140060060060065</c:v>
                      </c:pt>
                      <c:pt idx="61" formatCode="General">
                        <c:v>-8.0416261261261255</c:v>
                      </c:pt>
                      <c:pt idx="62" formatCode="General">
                        <c:v>-8.0679999999999996</c:v>
                      </c:pt>
                      <c:pt idx="63" formatCode="General">
                        <c:v>-8.0939999999999994</c:v>
                      </c:pt>
                      <c:pt idx="64" formatCode="General">
                        <c:v>-8.1199999999999992</c:v>
                      </c:pt>
                      <c:pt idx="65" formatCode="General">
                        <c:v>-8.1460000000000008</c:v>
                      </c:pt>
                      <c:pt idx="66" formatCode="General">
                        <c:v>-8.1720000000000006</c:v>
                      </c:pt>
                      <c:pt idx="67" formatCode="General">
                        <c:v>-8.1975294117647053</c:v>
                      </c:pt>
                      <c:pt idx="68" formatCode="General">
                        <c:v>-8.2227647058823532</c:v>
                      </c:pt>
                      <c:pt idx="69" formatCode="General">
                        <c:v>-8.2479999999999993</c:v>
                      </c:pt>
                      <c:pt idx="70" formatCode="General">
                        <c:v>-8.2736060606060597</c:v>
                      </c:pt>
                      <c:pt idx="71" formatCode="General">
                        <c:v>-8.2992121212121219</c:v>
                      </c:pt>
                      <c:pt idx="72" formatCode="General">
                        <c:v>-8.3241879699248127</c:v>
                      </c:pt>
                      <c:pt idx="73" formatCode="General">
                        <c:v>-8.3484285714285722</c:v>
                      </c:pt>
                      <c:pt idx="74" formatCode="General">
                        <c:v>-8.3726691729323317</c:v>
                      </c:pt>
                      <c:pt idx="75" formatCode="General">
                        <c:v>-8.3969097744360912</c:v>
                      </c:pt>
                      <c:pt idx="76" formatCode="General">
                        <c:v>-8.4211503759398507</c:v>
                      </c:pt>
                      <c:pt idx="77" formatCode="General">
                        <c:v>-8.4453909774436084</c:v>
                      </c:pt>
                      <c:pt idx="78" formatCode="General">
                        <c:v>-8.469631578947368</c:v>
                      </c:pt>
                      <c:pt idx="79" formatCode="General">
                        <c:v>-8.4938721804511275</c:v>
                      </c:pt>
                      <c:pt idx="80" formatCode="General">
                        <c:v>-8.518112781954887</c:v>
                      </c:pt>
                      <c:pt idx="81" formatCode="General">
                        <c:v>-8.5423533834586465</c:v>
                      </c:pt>
                      <c:pt idx="82" formatCode="General">
                        <c:v>-8.5662388059701495</c:v>
                      </c:pt>
                      <c:pt idx="83" formatCode="General">
                        <c:v>-8.5889402985074632</c:v>
                      </c:pt>
                      <c:pt idx="84" formatCode="General">
                        <c:v>-8.6116417910447769</c:v>
                      </c:pt>
                      <c:pt idx="85" formatCode="General">
                        <c:v>-8.6343432835820888</c:v>
                      </c:pt>
                      <c:pt idx="86" formatCode="General">
                        <c:v>-8.6570447761194025</c:v>
                      </c:pt>
                      <c:pt idx="87" formatCode="General">
                        <c:v>-8.6797462686567162</c:v>
                      </c:pt>
                      <c:pt idx="88" formatCode="General">
                        <c:v>-8.7024477611940299</c:v>
                      </c:pt>
                      <c:pt idx="89" formatCode="General">
                        <c:v>-8.7251492537313435</c:v>
                      </c:pt>
                      <c:pt idx="90" formatCode="General">
                        <c:v>-8.7478507462686572</c:v>
                      </c:pt>
                      <c:pt idx="91" formatCode="General">
                        <c:v>-8.7705522388059709</c:v>
                      </c:pt>
                      <c:pt idx="92" formatCode="General">
                        <c:v>-8.7932537313432828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E9B-4A24-AF6E-BAFF55F304A7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-18.878558558558559</c:v>
                      </c:pt>
                      <c:pt idx="1">
                        <c:v>-18.874654654654655</c:v>
                      </c:pt>
                      <c:pt idx="2" formatCode="General">
                        <c:v>-18.870750750750751</c:v>
                      </c:pt>
                      <c:pt idx="3" formatCode="General">
                        <c:v>-18.879431137724552</c:v>
                      </c:pt>
                      <c:pt idx="4" formatCode="General">
                        <c:v>-18.891107784431139</c:v>
                      </c:pt>
                      <c:pt idx="5" formatCode="General">
                        <c:v>-18.903712574850299</c:v>
                      </c:pt>
                      <c:pt idx="6" formatCode="General">
                        <c:v>-18.919281437125747</c:v>
                      </c:pt>
                      <c:pt idx="7" formatCode="General">
                        <c:v>-18.934850299401198</c:v>
                      </c:pt>
                      <c:pt idx="8" formatCode="General">
                        <c:v>-18.953023952095808</c:v>
                      </c:pt>
                      <c:pt idx="9" formatCode="General">
                        <c:v>-18.97248502994012</c:v>
                      </c:pt>
                      <c:pt idx="10" formatCode="General">
                        <c:v>-18.991946107784429</c:v>
                      </c:pt>
                      <c:pt idx="11" formatCode="General">
                        <c:v>-19.011407185628741</c:v>
                      </c:pt>
                      <c:pt idx="12" formatCode="General">
                        <c:v>-19.030868263473053</c:v>
                      </c:pt>
                      <c:pt idx="13" formatCode="General">
                        <c:v>-19.046197604790418</c:v>
                      </c:pt>
                      <c:pt idx="14" formatCode="General">
                        <c:v>-19.057874251497005</c:v>
                      </c:pt>
                      <c:pt idx="15" formatCode="General">
                        <c:v>-19.069550898203595</c:v>
                      </c:pt>
                      <c:pt idx="16" formatCode="General">
                        <c:v>-19.028708708708709</c:v>
                      </c:pt>
                      <c:pt idx="17" formatCode="General">
                        <c:v>-18.985765765765766</c:v>
                      </c:pt>
                      <c:pt idx="18" formatCode="General">
                        <c:v>-18.970898203592814</c:v>
                      </c:pt>
                      <c:pt idx="19" formatCode="General">
                        <c:v>-18.998143712574851</c:v>
                      </c:pt>
                      <c:pt idx="20" formatCode="General">
                        <c:v>-19.025389221556889</c:v>
                      </c:pt>
                      <c:pt idx="21" formatCode="General">
                        <c:v>-19.052634730538923</c:v>
                      </c:pt>
                      <c:pt idx="22" formatCode="General">
                        <c:v>-19.079880239520961</c:v>
                      </c:pt>
                      <c:pt idx="23" formatCode="General">
                        <c:v>-19.107125748502995</c:v>
                      </c:pt>
                      <c:pt idx="24" formatCode="General">
                        <c:v>-19.134371257485032</c:v>
                      </c:pt>
                      <c:pt idx="25" formatCode="General">
                        <c:v>-19.161616766467066</c:v>
                      </c:pt>
                      <c:pt idx="26" formatCode="General">
                        <c:v>-19.188862275449104</c:v>
                      </c:pt>
                      <c:pt idx="27" formatCode="General">
                        <c:v>-19.216107784431138</c:v>
                      </c:pt>
                      <c:pt idx="28" formatCode="General">
                        <c:v>-19.243353293413172</c:v>
                      </c:pt>
                      <c:pt idx="29" formatCode="General">
                        <c:v>-19.27059880239521</c:v>
                      </c:pt>
                      <c:pt idx="30" formatCode="General">
                        <c:v>-19.297844311377244</c:v>
                      </c:pt>
                      <c:pt idx="31" formatCode="General">
                        <c:v>-19.324022471910112</c:v>
                      </c:pt>
                      <c:pt idx="32" formatCode="General">
                        <c:v>-19.349340823970035</c:v>
                      </c:pt>
                      <c:pt idx="33" formatCode="General">
                        <c:v>-19.374659176029962</c:v>
                      </c:pt>
                      <c:pt idx="34" formatCode="General">
                        <c:v>-19.399977528089888</c:v>
                      </c:pt>
                      <c:pt idx="35" formatCode="General">
                        <c:v>-19.425295880149811</c:v>
                      </c:pt>
                      <c:pt idx="36" formatCode="General">
                        <c:v>-19.450614232209738</c:v>
                      </c:pt>
                      <c:pt idx="37" formatCode="General">
                        <c:v>-19.475932584269664</c:v>
                      </c:pt>
                      <c:pt idx="38" formatCode="General">
                        <c:v>-19.501250936329587</c:v>
                      </c:pt>
                      <c:pt idx="39" formatCode="General">
                        <c:v>-19.526569288389513</c:v>
                      </c:pt>
                      <c:pt idx="40" formatCode="General">
                        <c:v>-19.55188764044944</c:v>
                      </c:pt>
                      <c:pt idx="41" formatCode="General">
                        <c:v>-19.576928838951311</c:v>
                      </c:pt>
                      <c:pt idx="42" formatCode="General">
                        <c:v>-19.601273408239702</c:v>
                      </c:pt>
                      <c:pt idx="43" formatCode="General">
                        <c:v>-19.625617977528091</c:v>
                      </c:pt>
                      <c:pt idx="44" formatCode="General">
                        <c:v>-19.649962546816479</c:v>
                      </c:pt>
                      <c:pt idx="45" formatCode="General">
                        <c:v>-19.67430711610487</c:v>
                      </c:pt>
                      <c:pt idx="46" formatCode="General">
                        <c:v>-19.698651685393259</c:v>
                      </c:pt>
                      <c:pt idx="47" formatCode="General">
                        <c:v>-19.722996254681647</c:v>
                      </c:pt>
                      <c:pt idx="48" formatCode="General">
                        <c:v>-19.747340823970038</c:v>
                      </c:pt>
                      <c:pt idx="49" formatCode="General">
                        <c:v>-19.771685393258426</c:v>
                      </c:pt>
                      <c:pt idx="50" formatCode="General">
                        <c:v>-19.796029962546818</c:v>
                      </c:pt>
                      <c:pt idx="51" formatCode="General">
                        <c:v>-19.820345345345345</c:v>
                      </c:pt>
                      <c:pt idx="52" formatCode="General">
                        <c:v>-19.842792792792793</c:v>
                      </c:pt>
                      <c:pt idx="53" formatCode="General">
                        <c:v>-19.86524024024024</c:v>
                      </c:pt>
                      <c:pt idx="54" formatCode="General">
                        <c:v>-19.887687687687688</c:v>
                      </c:pt>
                      <c:pt idx="55" formatCode="General">
                        <c:v>-19.910135135135135</c:v>
                      </c:pt>
                      <c:pt idx="56" formatCode="General">
                        <c:v>-19.932582582582583</c:v>
                      </c:pt>
                      <c:pt idx="57" formatCode="General">
                        <c:v>-19.955030030030031</c:v>
                      </c:pt>
                      <c:pt idx="58" formatCode="General">
                        <c:v>-19.977477477477478</c:v>
                      </c:pt>
                      <c:pt idx="59" formatCode="General">
                        <c:v>-19.999924924924926</c:v>
                      </c:pt>
                      <c:pt idx="60" formatCode="General">
                        <c:v>-20.022372372372374</c:v>
                      </c:pt>
                      <c:pt idx="61" formatCode="General">
                        <c:v>-20.044819819819821</c:v>
                      </c:pt>
                      <c:pt idx="62" formatCode="General">
                        <c:v>-20.067647058823528</c:v>
                      </c:pt>
                      <c:pt idx="63" formatCode="General">
                        <c:v>-20.090588235294117</c:v>
                      </c:pt>
                      <c:pt idx="64" formatCode="General">
                        <c:v>-20.113030303030303</c:v>
                      </c:pt>
                      <c:pt idx="65" formatCode="General">
                        <c:v>-20.132727272727273</c:v>
                      </c:pt>
                      <c:pt idx="66" formatCode="General">
                        <c:v>-20.152424242424242</c:v>
                      </c:pt>
                      <c:pt idx="67" formatCode="General">
                        <c:v>-20.171764705882353</c:v>
                      </c:pt>
                      <c:pt idx="68" formatCode="General">
                        <c:v>-20.190882352941177</c:v>
                      </c:pt>
                      <c:pt idx="69" formatCode="General">
                        <c:v>-20.21</c:v>
                      </c:pt>
                      <c:pt idx="70" formatCode="General">
                        <c:v>-20.22969696969697</c:v>
                      </c:pt>
                      <c:pt idx="71" formatCode="General">
                        <c:v>-20.24939393939394</c:v>
                      </c:pt>
                      <c:pt idx="72" formatCode="General">
                        <c:v>-20.269022556390979</c:v>
                      </c:pt>
                      <c:pt idx="73" formatCode="General">
                        <c:v>-20.28857142857143</c:v>
                      </c:pt>
                      <c:pt idx="74" formatCode="General">
                        <c:v>-20.308120300751881</c:v>
                      </c:pt>
                      <c:pt idx="75" formatCode="General">
                        <c:v>-20.327669172932332</c:v>
                      </c:pt>
                      <c:pt idx="76" formatCode="General">
                        <c:v>-20.347218045112783</c:v>
                      </c:pt>
                      <c:pt idx="77" formatCode="General">
                        <c:v>-20.366766917293234</c:v>
                      </c:pt>
                      <c:pt idx="78" formatCode="General">
                        <c:v>-20.386315789473684</c:v>
                      </c:pt>
                      <c:pt idx="79" formatCode="General">
                        <c:v>-20.405864661654135</c:v>
                      </c:pt>
                      <c:pt idx="80" formatCode="General">
                        <c:v>-20.425413533834586</c:v>
                      </c:pt>
                      <c:pt idx="81" formatCode="General">
                        <c:v>-20.444962406015037</c:v>
                      </c:pt>
                      <c:pt idx="82" formatCode="General">
                        <c:v>-20.464253731343284</c:v>
                      </c:pt>
                      <c:pt idx="83" formatCode="General">
                        <c:v>-20.48268656716418</c:v>
                      </c:pt>
                      <c:pt idx="84" formatCode="General">
                        <c:v>-20.501119402985076</c:v>
                      </c:pt>
                      <c:pt idx="85" formatCode="General">
                        <c:v>-20.519552238805971</c:v>
                      </c:pt>
                      <c:pt idx="86" formatCode="General">
                        <c:v>-20.537985074626867</c:v>
                      </c:pt>
                      <c:pt idx="87" formatCode="General">
                        <c:v>-20.55641791044776</c:v>
                      </c:pt>
                      <c:pt idx="88" formatCode="General">
                        <c:v>-20.574850746268655</c:v>
                      </c:pt>
                      <c:pt idx="89" formatCode="General">
                        <c:v>-20.593283582089551</c:v>
                      </c:pt>
                      <c:pt idx="90" formatCode="General">
                        <c:v>-20.611716417910447</c:v>
                      </c:pt>
                      <c:pt idx="91" formatCode="General">
                        <c:v>-20.630149253731343</c:v>
                      </c:pt>
                      <c:pt idx="92" formatCode="General">
                        <c:v>-20.648582089552239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E9B-4A24-AF6E-BAFF55F304A7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-59.738018018018018</c:v>
                      </c:pt>
                      <c:pt idx="1">
                        <c:v>-58.270150150150151</c:v>
                      </c:pt>
                      <c:pt idx="2" formatCode="General">
                        <c:v>-56.802282282282285</c:v>
                      </c:pt>
                      <c:pt idx="3" formatCode="General">
                        <c:v>-55.828383233532939</c:v>
                      </c:pt>
                      <c:pt idx="4" formatCode="General">
                        <c:v>-54.97209580838323</c:v>
                      </c:pt>
                      <c:pt idx="5" formatCode="General">
                        <c:v>-54.192473053892215</c:v>
                      </c:pt>
                      <c:pt idx="6" formatCode="General">
                        <c:v>-53.657682634730534</c:v>
                      </c:pt>
                      <c:pt idx="7" formatCode="General">
                        <c:v>-53.122892215568861</c:v>
                      </c:pt>
                      <c:pt idx="8" formatCode="General">
                        <c:v>-52.697502994011977</c:v>
                      </c:pt>
                      <c:pt idx="9" formatCode="General">
                        <c:v>-52.326185628742515</c:v>
                      </c:pt>
                      <c:pt idx="10" formatCode="General">
                        <c:v>-51.973356287425155</c:v>
                      </c:pt>
                      <c:pt idx="11" formatCode="General">
                        <c:v>-51.78691916167665</c:v>
                      </c:pt>
                      <c:pt idx="12" formatCode="General">
                        <c:v>-51.600482035928145</c:v>
                      </c:pt>
                      <c:pt idx="13" formatCode="General">
                        <c:v>-51.563200598802396</c:v>
                      </c:pt>
                      <c:pt idx="14" formatCode="General">
                        <c:v>-51.657781437125749</c:v>
                      </c:pt>
                      <c:pt idx="15" formatCode="General">
                        <c:v>-51.752362275449102</c:v>
                      </c:pt>
                      <c:pt idx="16" formatCode="General">
                        <c:v>-52.190309309309306</c:v>
                      </c:pt>
                      <c:pt idx="17" formatCode="General">
                        <c:v>-52.64199099099099</c:v>
                      </c:pt>
                      <c:pt idx="18" formatCode="General">
                        <c:v>-53.067131736526946</c:v>
                      </c:pt>
                      <c:pt idx="19" formatCode="General">
                        <c:v>-53.452461077844312</c:v>
                      </c:pt>
                      <c:pt idx="20" formatCode="General">
                        <c:v>-53.837790419161678</c:v>
                      </c:pt>
                      <c:pt idx="21" formatCode="General">
                        <c:v>-54.24607784431138</c:v>
                      </c:pt>
                      <c:pt idx="22" formatCode="General">
                        <c:v>-54.659041916167666</c:v>
                      </c:pt>
                      <c:pt idx="23" formatCode="General">
                        <c:v>-55.069562874251496</c:v>
                      </c:pt>
                      <c:pt idx="24" formatCode="General">
                        <c:v>-55.473185628742513</c:v>
                      </c:pt>
                      <c:pt idx="25" formatCode="General">
                        <c:v>-55.876808383233538</c:v>
                      </c:pt>
                      <c:pt idx="26" formatCode="General">
                        <c:v>-56.28150898203593</c:v>
                      </c:pt>
                      <c:pt idx="27" formatCode="General">
                        <c:v>-56.686688622754488</c:v>
                      </c:pt>
                      <c:pt idx="28" formatCode="General">
                        <c:v>-57.091868263473046</c:v>
                      </c:pt>
                      <c:pt idx="29" formatCode="General">
                        <c:v>-57.497047904191611</c:v>
                      </c:pt>
                      <c:pt idx="30" formatCode="General">
                        <c:v>-57.902227544910176</c:v>
                      </c:pt>
                      <c:pt idx="31" formatCode="General">
                        <c:v>-58.295494382022468</c:v>
                      </c:pt>
                      <c:pt idx="32" formatCode="General">
                        <c:v>-58.679164794007491</c:v>
                      </c:pt>
                      <c:pt idx="33" formatCode="General">
                        <c:v>-59.062835205992513</c:v>
                      </c:pt>
                      <c:pt idx="34" formatCode="General">
                        <c:v>-59.446505617977529</c:v>
                      </c:pt>
                      <c:pt idx="35" formatCode="General">
                        <c:v>-59.830176029962551</c:v>
                      </c:pt>
                      <c:pt idx="36" formatCode="General">
                        <c:v>-60.213846441947567</c:v>
                      </c:pt>
                      <c:pt idx="37" formatCode="General">
                        <c:v>-60.597516853932589</c:v>
                      </c:pt>
                      <c:pt idx="38" formatCode="General">
                        <c:v>-60.981187265917605</c:v>
                      </c:pt>
                      <c:pt idx="39" formatCode="General">
                        <c:v>-61.364857677902627</c:v>
                      </c:pt>
                      <c:pt idx="40" formatCode="General">
                        <c:v>-61.748528089887643</c:v>
                      </c:pt>
                      <c:pt idx="41" formatCode="General">
                        <c:v>-62.126710861423227</c:v>
                      </c:pt>
                      <c:pt idx="42" formatCode="General">
                        <c:v>-62.49110037453184</c:v>
                      </c:pt>
                      <c:pt idx="43" formatCode="General">
                        <c:v>-62.855489887640452</c:v>
                      </c:pt>
                      <c:pt idx="44" formatCode="General">
                        <c:v>-63.219879400749065</c:v>
                      </c:pt>
                      <c:pt idx="45" formatCode="General">
                        <c:v>-63.584268913857684</c:v>
                      </c:pt>
                      <c:pt idx="46" formatCode="General">
                        <c:v>-63.948658426966297</c:v>
                      </c:pt>
                      <c:pt idx="47" formatCode="General">
                        <c:v>-64.31304794007491</c:v>
                      </c:pt>
                      <c:pt idx="48" formatCode="General">
                        <c:v>-64.677437453183529</c:v>
                      </c:pt>
                      <c:pt idx="49" formatCode="General">
                        <c:v>-65.041826966292135</c:v>
                      </c:pt>
                      <c:pt idx="50" formatCode="General">
                        <c:v>-65.406216479400754</c:v>
                      </c:pt>
                      <c:pt idx="51" formatCode="General">
                        <c:v>-65.770319819819818</c:v>
                      </c:pt>
                      <c:pt idx="52" formatCode="General">
                        <c:v>-66.116108108108108</c:v>
                      </c:pt>
                      <c:pt idx="53" formatCode="General">
                        <c:v>-66.461896396396398</c:v>
                      </c:pt>
                      <c:pt idx="54" formatCode="General">
                        <c:v>-66.807684684684688</c:v>
                      </c:pt>
                      <c:pt idx="55" formatCode="General">
                        <c:v>-67.153472972972978</c:v>
                      </c:pt>
                      <c:pt idx="56" formatCode="General">
                        <c:v>-67.499261261261253</c:v>
                      </c:pt>
                      <c:pt idx="57" formatCode="General">
                        <c:v>-67.845049549549543</c:v>
                      </c:pt>
                      <c:pt idx="58" formatCode="General">
                        <c:v>-68.190837837837833</c:v>
                      </c:pt>
                      <c:pt idx="59" formatCode="General">
                        <c:v>-68.536626126126123</c:v>
                      </c:pt>
                      <c:pt idx="60" formatCode="General">
                        <c:v>-68.882414414414413</c:v>
                      </c:pt>
                      <c:pt idx="61" formatCode="General">
                        <c:v>-69.228202702702703</c:v>
                      </c:pt>
                      <c:pt idx="62" formatCode="General">
                        <c:v>-69.563294117647061</c:v>
                      </c:pt>
                      <c:pt idx="63" formatCode="General">
                        <c:v>-69.89517647058824</c:v>
                      </c:pt>
                      <c:pt idx="64" formatCode="General">
                        <c:v>-70.227272727272734</c:v>
                      </c:pt>
                      <c:pt idx="65" formatCode="General">
                        <c:v>-70.560545454545462</c:v>
                      </c:pt>
                      <c:pt idx="66" formatCode="General">
                        <c:v>-70.89381818181819</c:v>
                      </c:pt>
                      <c:pt idx="67" formatCode="General">
                        <c:v>-71.221058823529418</c:v>
                      </c:pt>
                      <c:pt idx="68" formatCode="General">
                        <c:v>-71.544529411764699</c:v>
                      </c:pt>
                      <c:pt idx="69" formatCode="General">
                        <c:v>-71.867999999999995</c:v>
                      </c:pt>
                      <c:pt idx="70" formatCode="General">
                        <c:v>-72.200878787878793</c:v>
                      </c:pt>
                      <c:pt idx="71" formatCode="General">
                        <c:v>-72.533757575757576</c:v>
                      </c:pt>
                      <c:pt idx="72" formatCode="General">
                        <c:v>-72.86223308270678</c:v>
                      </c:pt>
                      <c:pt idx="73" formatCode="General">
                        <c:v>-73.185571428571436</c:v>
                      </c:pt>
                      <c:pt idx="74" formatCode="General">
                        <c:v>-73.508909774436091</c:v>
                      </c:pt>
                      <c:pt idx="75" formatCode="General">
                        <c:v>-73.832248120300747</c:v>
                      </c:pt>
                      <c:pt idx="76" formatCode="General">
                        <c:v>-74.155586466165417</c:v>
                      </c:pt>
                      <c:pt idx="77" formatCode="General">
                        <c:v>-74.478924812030073</c:v>
                      </c:pt>
                      <c:pt idx="78" formatCode="General">
                        <c:v>-74.802263157894728</c:v>
                      </c:pt>
                      <c:pt idx="79" formatCode="General">
                        <c:v>-75.125601503759384</c:v>
                      </c:pt>
                      <c:pt idx="80" formatCode="General">
                        <c:v>-75.448939849624054</c:v>
                      </c:pt>
                      <c:pt idx="81" formatCode="General">
                        <c:v>-75.77227819548871</c:v>
                      </c:pt>
                      <c:pt idx="82" formatCode="General">
                        <c:v>-76.09295522388058</c:v>
                      </c:pt>
                      <c:pt idx="83" formatCode="General">
                        <c:v>-76.404761194029845</c:v>
                      </c:pt>
                      <c:pt idx="84" formatCode="General">
                        <c:v>-76.716567164179096</c:v>
                      </c:pt>
                      <c:pt idx="85" formatCode="General">
                        <c:v>-77.028373134328348</c:v>
                      </c:pt>
                      <c:pt idx="86" formatCode="General">
                        <c:v>-77.340179104477599</c:v>
                      </c:pt>
                      <c:pt idx="87" formatCode="General">
                        <c:v>-77.651985074626865</c:v>
                      </c:pt>
                      <c:pt idx="88" formatCode="General">
                        <c:v>-77.963791044776116</c:v>
                      </c:pt>
                      <c:pt idx="89" formatCode="General">
                        <c:v>-78.275597014925367</c:v>
                      </c:pt>
                      <c:pt idx="90" formatCode="General">
                        <c:v>-78.587402985074618</c:v>
                      </c:pt>
                      <c:pt idx="91" formatCode="General">
                        <c:v>-78.899208955223884</c:v>
                      </c:pt>
                      <c:pt idx="92" formatCode="General">
                        <c:v>-79.211014925373135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E9B-4A24-AF6E-BAFF55F304A7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-37.719099099099097</c:v>
                      </c:pt>
                      <c:pt idx="1">
                        <c:v>-36.579159159159161</c:v>
                      </c:pt>
                      <c:pt idx="2" formatCode="General">
                        <c:v>-35.439219219219218</c:v>
                      </c:pt>
                      <c:pt idx="3" formatCode="General">
                        <c:v>-34.500089820359278</c:v>
                      </c:pt>
                      <c:pt idx="4" formatCode="General">
                        <c:v>-33.60877245508982</c:v>
                      </c:pt>
                      <c:pt idx="5" formatCode="General">
                        <c:v>-32.764419161676642</c:v>
                      </c:pt>
                      <c:pt idx="6" formatCode="General">
                        <c:v>-32.070047904191618</c:v>
                      </c:pt>
                      <c:pt idx="7" formatCode="General">
                        <c:v>-31.375676646706587</c:v>
                      </c:pt>
                      <c:pt idx="8" formatCode="General">
                        <c:v>-30.795916167664672</c:v>
                      </c:pt>
                      <c:pt idx="9" formatCode="General">
                        <c:v>-30.272802395209581</c:v>
                      </c:pt>
                      <c:pt idx="10" formatCode="General">
                        <c:v>-29.77206886227545</c:v>
                      </c:pt>
                      <c:pt idx="11" formatCode="General">
                        <c:v>-29.472757485029941</c:v>
                      </c:pt>
                      <c:pt idx="12" formatCode="General">
                        <c:v>-29.173446107784432</c:v>
                      </c:pt>
                      <c:pt idx="13" formatCode="General">
                        <c:v>-29.019158682634732</c:v>
                      </c:pt>
                      <c:pt idx="14" formatCode="General">
                        <c:v>-28.993080838323355</c:v>
                      </c:pt>
                      <c:pt idx="15" formatCode="General">
                        <c:v>-28.967002994011978</c:v>
                      </c:pt>
                      <c:pt idx="16" formatCode="General">
                        <c:v>-29.306465465465465</c:v>
                      </c:pt>
                      <c:pt idx="17" formatCode="General">
                        <c:v>-29.66054954954955</c:v>
                      </c:pt>
                      <c:pt idx="18" formatCode="General">
                        <c:v>-29.950844311377246</c:v>
                      </c:pt>
                      <c:pt idx="19" formatCode="General">
                        <c:v>-30.145455089820359</c:v>
                      </c:pt>
                      <c:pt idx="20" formatCode="General">
                        <c:v>-30.340065868263473</c:v>
                      </c:pt>
                      <c:pt idx="21" formatCode="General">
                        <c:v>-30.55440119760479</c:v>
                      </c:pt>
                      <c:pt idx="22" formatCode="General">
                        <c:v>-30.772754491017963</c:v>
                      </c:pt>
                      <c:pt idx="23" formatCode="General">
                        <c:v>-30.990700598802395</c:v>
                      </c:pt>
                      <c:pt idx="24" formatCode="General">
                        <c:v>-31.207497005988024</c:v>
                      </c:pt>
                      <c:pt idx="25" formatCode="General">
                        <c:v>-31.424293413173654</c:v>
                      </c:pt>
                      <c:pt idx="26" formatCode="General">
                        <c:v>-31.642167664670659</c:v>
                      </c:pt>
                      <c:pt idx="27" formatCode="General">
                        <c:v>-31.860520958083832</c:v>
                      </c:pt>
                      <c:pt idx="28" formatCode="General">
                        <c:v>-32.078874251497005</c:v>
                      </c:pt>
                      <c:pt idx="29" formatCode="General">
                        <c:v>-32.297227544910179</c:v>
                      </c:pt>
                      <c:pt idx="30" formatCode="General">
                        <c:v>-32.515580838323352</c:v>
                      </c:pt>
                      <c:pt idx="31" formatCode="General">
                        <c:v>-32.727876404494381</c:v>
                      </c:pt>
                      <c:pt idx="32" formatCode="General">
                        <c:v>-32.935292134831464</c:v>
                      </c:pt>
                      <c:pt idx="33" formatCode="General">
                        <c:v>-33.142707865168539</c:v>
                      </c:pt>
                      <c:pt idx="34" formatCode="General">
                        <c:v>-33.350123595505622</c:v>
                      </c:pt>
                      <c:pt idx="35" formatCode="General">
                        <c:v>-33.557539325842697</c:v>
                      </c:pt>
                      <c:pt idx="36" formatCode="General">
                        <c:v>-33.76495505617978</c:v>
                      </c:pt>
                      <c:pt idx="37" formatCode="General">
                        <c:v>-33.972370786516855</c:v>
                      </c:pt>
                      <c:pt idx="38" formatCode="General">
                        <c:v>-34.179786516853937</c:v>
                      </c:pt>
                      <c:pt idx="39" formatCode="General">
                        <c:v>-34.387202247191013</c:v>
                      </c:pt>
                      <c:pt idx="40" formatCode="General">
                        <c:v>-34.594617977528095</c:v>
                      </c:pt>
                      <c:pt idx="41" formatCode="General">
                        <c:v>-34.799040449438202</c:v>
                      </c:pt>
                      <c:pt idx="42" formatCode="General">
                        <c:v>-34.995939325842699</c:v>
                      </c:pt>
                      <c:pt idx="43" formatCode="General">
                        <c:v>-35.192838202247195</c:v>
                      </c:pt>
                      <c:pt idx="44" formatCode="General">
                        <c:v>-35.389737078651684</c:v>
                      </c:pt>
                      <c:pt idx="45" formatCode="General">
                        <c:v>-35.586635955056181</c:v>
                      </c:pt>
                      <c:pt idx="46" formatCode="General">
                        <c:v>-35.783534831460678</c:v>
                      </c:pt>
                      <c:pt idx="47" formatCode="General">
                        <c:v>-35.980433707865167</c:v>
                      </c:pt>
                      <c:pt idx="48" formatCode="General">
                        <c:v>-36.177332584269664</c:v>
                      </c:pt>
                      <c:pt idx="49" formatCode="General">
                        <c:v>-36.37423146067416</c:v>
                      </c:pt>
                      <c:pt idx="50" formatCode="General">
                        <c:v>-36.571130337078657</c:v>
                      </c:pt>
                      <c:pt idx="51" formatCode="General">
                        <c:v>-36.767872372372373</c:v>
                      </c:pt>
                      <c:pt idx="52" formatCode="General">
                        <c:v>-36.954576576576578</c:v>
                      </c:pt>
                      <c:pt idx="53" formatCode="General">
                        <c:v>-37.141280780780782</c:v>
                      </c:pt>
                      <c:pt idx="54" formatCode="General">
                        <c:v>-37.327984984984987</c:v>
                      </c:pt>
                      <c:pt idx="55" formatCode="General">
                        <c:v>-37.514689189189191</c:v>
                      </c:pt>
                      <c:pt idx="56" formatCode="General">
                        <c:v>-37.701393393393396</c:v>
                      </c:pt>
                      <c:pt idx="57" formatCode="General">
                        <c:v>-37.888097597597593</c:v>
                      </c:pt>
                      <c:pt idx="58" formatCode="General">
                        <c:v>-38.074801801801797</c:v>
                      </c:pt>
                      <c:pt idx="59" formatCode="General">
                        <c:v>-38.261506006006002</c:v>
                      </c:pt>
                      <c:pt idx="60" formatCode="General">
                        <c:v>-38.448210210210206</c:v>
                      </c:pt>
                      <c:pt idx="61" formatCode="General">
                        <c:v>-38.634914414414411</c:v>
                      </c:pt>
                      <c:pt idx="62" formatCode="General">
                        <c:v>-38.815647058823529</c:v>
                      </c:pt>
                      <c:pt idx="63" formatCode="General">
                        <c:v>-38.994588235294117</c:v>
                      </c:pt>
                      <c:pt idx="64" formatCode="General">
                        <c:v>-39.173636363636362</c:v>
                      </c:pt>
                      <c:pt idx="65" formatCode="General">
                        <c:v>-39.353272727272731</c:v>
                      </c:pt>
                      <c:pt idx="66" formatCode="General">
                        <c:v>-39.532909090909094</c:v>
                      </c:pt>
                      <c:pt idx="67" formatCode="General">
                        <c:v>-39.709294117647062</c:v>
                      </c:pt>
                      <c:pt idx="68" formatCode="General">
                        <c:v>-39.883647058823527</c:v>
                      </c:pt>
                      <c:pt idx="69" formatCode="General">
                        <c:v>-40.058</c:v>
                      </c:pt>
                      <c:pt idx="70" formatCode="General">
                        <c:v>-40.237242424242424</c:v>
                      </c:pt>
                      <c:pt idx="71" formatCode="General">
                        <c:v>-40.416484848484849</c:v>
                      </c:pt>
                      <c:pt idx="72" formatCode="General">
                        <c:v>-40.593210526315794</c:v>
                      </c:pt>
                      <c:pt idx="73" formatCode="General">
                        <c:v>-40.767000000000003</c:v>
                      </c:pt>
                      <c:pt idx="74" formatCode="General">
                        <c:v>-40.940789473684212</c:v>
                      </c:pt>
                      <c:pt idx="75" formatCode="General">
                        <c:v>-41.114578947368422</c:v>
                      </c:pt>
                      <c:pt idx="76" formatCode="General">
                        <c:v>-41.288368421052631</c:v>
                      </c:pt>
                      <c:pt idx="77" formatCode="General">
                        <c:v>-41.462157894736841</c:v>
                      </c:pt>
                      <c:pt idx="78" formatCode="General">
                        <c:v>-41.63594736842105</c:v>
                      </c:pt>
                      <c:pt idx="79" formatCode="General">
                        <c:v>-41.809736842105259</c:v>
                      </c:pt>
                      <c:pt idx="80" formatCode="General">
                        <c:v>-41.983526315789469</c:v>
                      </c:pt>
                      <c:pt idx="81" formatCode="General">
                        <c:v>-42.157315789473685</c:v>
                      </c:pt>
                      <c:pt idx="82" formatCode="General">
                        <c:v>-42.329597014925369</c:v>
                      </c:pt>
                      <c:pt idx="83" formatCode="General">
                        <c:v>-42.496850746268656</c:v>
                      </c:pt>
                      <c:pt idx="84" formatCode="General">
                        <c:v>-42.664104477611936</c:v>
                      </c:pt>
                      <c:pt idx="85" formatCode="General">
                        <c:v>-42.831358208955223</c:v>
                      </c:pt>
                      <c:pt idx="86" formatCode="General">
                        <c:v>-42.998611940298503</c:v>
                      </c:pt>
                      <c:pt idx="87" formatCode="General">
                        <c:v>-43.165865671641789</c:v>
                      </c:pt>
                      <c:pt idx="88" formatCode="General">
                        <c:v>-43.333119402985076</c:v>
                      </c:pt>
                      <c:pt idx="89" formatCode="General">
                        <c:v>-43.500373134328356</c:v>
                      </c:pt>
                      <c:pt idx="90" formatCode="General">
                        <c:v>-43.667626865671643</c:v>
                      </c:pt>
                      <c:pt idx="91" formatCode="General">
                        <c:v>-43.834880597014923</c:v>
                      </c:pt>
                      <c:pt idx="92" formatCode="General">
                        <c:v>-44.00213432835821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E9B-4A24-AF6E-BAFF55F304A7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-15.70018018018018</c:v>
                      </c:pt>
                      <c:pt idx="1">
                        <c:v>-14.888168168168168</c:v>
                      </c:pt>
                      <c:pt idx="2" formatCode="General">
                        <c:v>-14.076156156156156</c:v>
                      </c:pt>
                      <c:pt idx="3" formatCode="General">
                        <c:v>-13.171796407185628</c:v>
                      </c:pt>
                      <c:pt idx="4" formatCode="General">
                        <c:v>-12.245449101796405</c:v>
                      </c:pt>
                      <c:pt idx="5" formatCode="General">
                        <c:v>-11.336365269461076</c:v>
                      </c:pt>
                      <c:pt idx="6" formatCode="General">
                        <c:v>-10.482413173652693</c:v>
                      </c:pt>
                      <c:pt idx="7" formatCode="General">
                        <c:v>-9.628461077844312</c:v>
                      </c:pt>
                      <c:pt idx="8" formatCode="General">
                        <c:v>-8.8943293413173663</c:v>
                      </c:pt>
                      <c:pt idx="9" formatCode="General">
                        <c:v>-8.2194191616766474</c:v>
                      </c:pt>
                      <c:pt idx="10" formatCode="General">
                        <c:v>-7.5707814371257482</c:v>
                      </c:pt>
                      <c:pt idx="11" formatCode="General">
                        <c:v>-7.1585958083832333</c:v>
                      </c:pt>
                      <c:pt idx="12" formatCode="General">
                        <c:v>-6.7464101796407192</c:v>
                      </c:pt>
                      <c:pt idx="13" formatCode="General">
                        <c:v>-6.4751167664670657</c:v>
                      </c:pt>
                      <c:pt idx="14" formatCode="General">
                        <c:v>-6.3283802395209579</c:v>
                      </c:pt>
                      <c:pt idx="15" formatCode="General">
                        <c:v>-6.18164371257485</c:v>
                      </c:pt>
                      <c:pt idx="16" formatCode="General">
                        <c:v>-6.4226216216216221</c:v>
                      </c:pt>
                      <c:pt idx="17" formatCode="General">
                        <c:v>-6.6791081081081085</c:v>
                      </c:pt>
                      <c:pt idx="18" formatCode="General">
                        <c:v>-6.8345568862275448</c:v>
                      </c:pt>
                      <c:pt idx="19" formatCode="General">
                        <c:v>-6.8384491017964075</c:v>
                      </c:pt>
                      <c:pt idx="20" formatCode="General">
                        <c:v>-6.8423413173652694</c:v>
                      </c:pt>
                      <c:pt idx="21" formatCode="General">
                        <c:v>-6.8627245508982035</c:v>
                      </c:pt>
                      <c:pt idx="22" formatCode="General">
                        <c:v>-6.8864670658682634</c:v>
                      </c:pt>
                      <c:pt idx="23" formatCode="General">
                        <c:v>-6.911838323353293</c:v>
                      </c:pt>
                      <c:pt idx="24" formatCode="General">
                        <c:v>-6.9418083832335329</c:v>
                      </c:pt>
                      <c:pt idx="25" formatCode="General">
                        <c:v>-6.9717784431137719</c:v>
                      </c:pt>
                      <c:pt idx="26" formatCode="General">
                        <c:v>-7.0028263473053896</c:v>
                      </c:pt>
                      <c:pt idx="27" formatCode="General">
                        <c:v>-7.0343532934131741</c:v>
                      </c:pt>
                      <c:pt idx="28" formatCode="General">
                        <c:v>-7.0658802395209586</c:v>
                      </c:pt>
                      <c:pt idx="29" formatCode="General">
                        <c:v>-7.0974071856287431</c:v>
                      </c:pt>
                      <c:pt idx="30" formatCode="General">
                        <c:v>-7.1289341317365267</c:v>
                      </c:pt>
                      <c:pt idx="31" formatCode="General">
                        <c:v>-7.1602584269662923</c:v>
                      </c:pt>
                      <c:pt idx="32" formatCode="General">
                        <c:v>-7.1914194756554304</c:v>
                      </c:pt>
                      <c:pt idx="33" formatCode="General">
                        <c:v>-7.2225805243445693</c:v>
                      </c:pt>
                      <c:pt idx="34" formatCode="General">
                        <c:v>-7.2537415730337083</c:v>
                      </c:pt>
                      <c:pt idx="35" formatCode="General">
                        <c:v>-7.2849026217228463</c:v>
                      </c:pt>
                      <c:pt idx="36" formatCode="General">
                        <c:v>-7.3160636704119852</c:v>
                      </c:pt>
                      <c:pt idx="37" formatCode="General">
                        <c:v>-7.3472247191011233</c:v>
                      </c:pt>
                      <c:pt idx="38" formatCode="General">
                        <c:v>-7.3783857677902622</c:v>
                      </c:pt>
                      <c:pt idx="39" formatCode="General">
                        <c:v>-7.4095468164794012</c:v>
                      </c:pt>
                      <c:pt idx="40" formatCode="General">
                        <c:v>-7.4407078651685392</c:v>
                      </c:pt>
                      <c:pt idx="41" formatCode="General">
                        <c:v>-7.471370037453184</c:v>
                      </c:pt>
                      <c:pt idx="42" formatCode="General">
                        <c:v>-7.5007782771535583</c:v>
                      </c:pt>
                      <c:pt idx="43" formatCode="General">
                        <c:v>-7.5301865168539326</c:v>
                      </c:pt>
                      <c:pt idx="44" formatCode="General">
                        <c:v>-7.5595947565543069</c:v>
                      </c:pt>
                      <c:pt idx="45" formatCode="General">
                        <c:v>-7.5890029962546812</c:v>
                      </c:pt>
                      <c:pt idx="46" formatCode="General">
                        <c:v>-7.6184112359550564</c:v>
                      </c:pt>
                      <c:pt idx="47" formatCode="General">
                        <c:v>-7.6478194756554307</c:v>
                      </c:pt>
                      <c:pt idx="48" formatCode="General">
                        <c:v>-7.6772277153558051</c:v>
                      </c:pt>
                      <c:pt idx="49" formatCode="General">
                        <c:v>-7.7066359550561794</c:v>
                      </c:pt>
                      <c:pt idx="50" formatCode="General">
                        <c:v>-7.7360441947565537</c:v>
                      </c:pt>
                      <c:pt idx="51" formatCode="General">
                        <c:v>-7.7654249249249245</c:v>
                      </c:pt>
                      <c:pt idx="52" formatCode="General">
                        <c:v>-7.7930450450450452</c:v>
                      </c:pt>
                      <c:pt idx="53" formatCode="General">
                        <c:v>-7.8206651651651651</c:v>
                      </c:pt>
                      <c:pt idx="54" formatCode="General">
                        <c:v>-7.8482852852852849</c:v>
                      </c:pt>
                      <c:pt idx="55" formatCode="General">
                        <c:v>-7.8759054054054056</c:v>
                      </c:pt>
                      <c:pt idx="56" formatCode="General">
                        <c:v>-7.9035255255255255</c:v>
                      </c:pt>
                      <c:pt idx="57" formatCode="General">
                        <c:v>-7.9311456456456453</c:v>
                      </c:pt>
                      <c:pt idx="58" formatCode="General">
                        <c:v>-7.958765765765766</c:v>
                      </c:pt>
                      <c:pt idx="59" formatCode="General">
                        <c:v>-7.9863858858858858</c:v>
                      </c:pt>
                      <c:pt idx="60" formatCode="General">
                        <c:v>-8.0140060060060065</c:v>
                      </c:pt>
                      <c:pt idx="61" formatCode="General">
                        <c:v>-8.0416261261261255</c:v>
                      </c:pt>
                      <c:pt idx="62" formatCode="General">
                        <c:v>-8.0679999999999996</c:v>
                      </c:pt>
                      <c:pt idx="63" formatCode="General">
                        <c:v>-8.0939999999999994</c:v>
                      </c:pt>
                      <c:pt idx="64" formatCode="General">
                        <c:v>-8.1199999999999992</c:v>
                      </c:pt>
                      <c:pt idx="65" formatCode="General">
                        <c:v>-8.1460000000000008</c:v>
                      </c:pt>
                      <c:pt idx="66" formatCode="General">
                        <c:v>-8.1720000000000006</c:v>
                      </c:pt>
                      <c:pt idx="67" formatCode="General">
                        <c:v>-8.1975294117647053</c:v>
                      </c:pt>
                      <c:pt idx="68" formatCode="General">
                        <c:v>-8.2227647058823532</c:v>
                      </c:pt>
                      <c:pt idx="69" formatCode="General">
                        <c:v>-8.2479999999999993</c:v>
                      </c:pt>
                      <c:pt idx="70" formatCode="General">
                        <c:v>-8.2736060606060597</c:v>
                      </c:pt>
                      <c:pt idx="71" formatCode="General">
                        <c:v>-8.2992121212121219</c:v>
                      </c:pt>
                      <c:pt idx="72" formatCode="General">
                        <c:v>-8.3241879699248127</c:v>
                      </c:pt>
                      <c:pt idx="73" formatCode="General">
                        <c:v>-8.3484285714285722</c:v>
                      </c:pt>
                      <c:pt idx="74" formatCode="General">
                        <c:v>-8.3726691729323317</c:v>
                      </c:pt>
                      <c:pt idx="75" formatCode="General">
                        <c:v>-8.3969097744360912</c:v>
                      </c:pt>
                      <c:pt idx="76" formatCode="General">
                        <c:v>-8.4211503759398507</c:v>
                      </c:pt>
                      <c:pt idx="77" formatCode="General">
                        <c:v>-8.4453909774436084</c:v>
                      </c:pt>
                      <c:pt idx="78" formatCode="General">
                        <c:v>-8.469631578947368</c:v>
                      </c:pt>
                      <c:pt idx="79" formatCode="General">
                        <c:v>-8.4938721804511275</c:v>
                      </c:pt>
                      <c:pt idx="80" formatCode="General">
                        <c:v>-8.518112781954887</c:v>
                      </c:pt>
                      <c:pt idx="81" formatCode="General">
                        <c:v>-8.5423533834586465</c:v>
                      </c:pt>
                      <c:pt idx="82" formatCode="General">
                        <c:v>-8.5662388059701495</c:v>
                      </c:pt>
                      <c:pt idx="83" formatCode="General">
                        <c:v>-8.5889402985074632</c:v>
                      </c:pt>
                      <c:pt idx="84" formatCode="General">
                        <c:v>-8.6116417910447769</c:v>
                      </c:pt>
                      <c:pt idx="85" formatCode="General">
                        <c:v>-8.6343432835820888</c:v>
                      </c:pt>
                      <c:pt idx="86" formatCode="General">
                        <c:v>-8.6570447761194025</c:v>
                      </c:pt>
                      <c:pt idx="87" formatCode="General">
                        <c:v>-8.6797462686567162</c:v>
                      </c:pt>
                      <c:pt idx="88" formatCode="General">
                        <c:v>-8.7024477611940299</c:v>
                      </c:pt>
                      <c:pt idx="89" formatCode="General">
                        <c:v>-8.7251492537313435</c:v>
                      </c:pt>
                      <c:pt idx="90" formatCode="General">
                        <c:v>-8.7478507462686572</c:v>
                      </c:pt>
                      <c:pt idx="91" formatCode="General">
                        <c:v>-8.7705522388059709</c:v>
                      </c:pt>
                      <c:pt idx="92" formatCode="General">
                        <c:v>-8.7932537313432828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E9B-4A24-AF6E-BAFF55F304A7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-59.785315315315316</c:v>
                      </c:pt>
                      <c:pt idx="1">
                        <c:v>-57.064294294294292</c:v>
                      </c:pt>
                      <c:pt idx="2" formatCode="General">
                        <c:v>-54.343273273273276</c:v>
                      </c:pt>
                      <c:pt idx="3" formatCode="General">
                        <c:v>-51.679131736526941</c:v>
                      </c:pt>
                      <c:pt idx="4" formatCode="General">
                        <c:v>-49.028532934131732</c:v>
                      </c:pt>
                      <c:pt idx="5" formatCode="General">
                        <c:v>-46.442904191616762</c:v>
                      </c:pt>
                      <c:pt idx="6" formatCode="General">
                        <c:v>-44.064760479041915</c:v>
                      </c:pt>
                      <c:pt idx="7" formatCode="General">
                        <c:v>-41.686616766467068</c:v>
                      </c:pt>
                      <c:pt idx="8" formatCode="General">
                        <c:v>-39.548113772455089</c:v>
                      </c:pt>
                      <c:pt idx="9" formatCode="General">
                        <c:v>-37.528053892215567</c:v>
                      </c:pt>
                      <c:pt idx="10" formatCode="General">
                        <c:v>-35.541856287425148</c:v>
                      </c:pt>
                      <c:pt idx="11" formatCode="General">
                        <c:v>-33.860419161676646</c:v>
                      </c:pt>
                      <c:pt idx="12" formatCode="General">
                        <c:v>-32.178982035928144</c:v>
                      </c:pt>
                      <c:pt idx="13" formatCode="General">
                        <c:v>-30.619431137724554</c:v>
                      </c:pt>
                      <c:pt idx="14" formatCode="General">
                        <c:v>-29.167634730538925</c:v>
                      </c:pt>
                      <c:pt idx="15" formatCode="General">
                        <c:v>-27.715838323353292</c:v>
                      </c:pt>
                      <c:pt idx="16" formatCode="General">
                        <c:v>-27.333423423423422</c:v>
                      </c:pt>
                      <c:pt idx="17" formatCode="General">
                        <c:v>-26.993783783783783</c:v>
                      </c:pt>
                      <c:pt idx="18" formatCode="General">
                        <c:v>-26.995508982035929</c:v>
                      </c:pt>
                      <c:pt idx="19" formatCode="General">
                        <c:v>-27.509281437125747</c:v>
                      </c:pt>
                      <c:pt idx="20" formatCode="General">
                        <c:v>-28.023053892215568</c:v>
                      </c:pt>
                      <c:pt idx="21" formatCode="General">
                        <c:v>-28.530359281437125</c:v>
                      </c:pt>
                      <c:pt idx="22" formatCode="General">
                        <c:v>-29.036347305389221</c:v>
                      </c:pt>
                      <c:pt idx="23" formatCode="General">
                        <c:v>-29.540299401197604</c:v>
                      </c:pt>
                      <c:pt idx="24" formatCode="General">
                        <c:v>-30.038502994011978</c:v>
                      </c:pt>
                      <c:pt idx="25" formatCode="General">
                        <c:v>-30.536706586826348</c:v>
                      </c:pt>
                      <c:pt idx="26" formatCode="General">
                        <c:v>-31.026826347305391</c:v>
                      </c:pt>
                      <c:pt idx="27" formatCode="General">
                        <c:v>-31.513353293413175</c:v>
                      </c:pt>
                      <c:pt idx="28" formatCode="General">
                        <c:v>-31.998443113772456</c:v>
                      </c:pt>
                      <c:pt idx="29" formatCode="General">
                        <c:v>-32.47329341317365</c:v>
                      </c:pt>
                      <c:pt idx="30" formatCode="General">
                        <c:v>-32.948143712574847</c:v>
                      </c:pt>
                      <c:pt idx="31" formatCode="General">
                        <c:v>-33.403235955056175</c:v>
                      </c:pt>
                      <c:pt idx="32" formatCode="General">
                        <c:v>-33.842411985018728</c:v>
                      </c:pt>
                      <c:pt idx="33" formatCode="General">
                        <c:v>-34.281588014981274</c:v>
                      </c:pt>
                      <c:pt idx="34" formatCode="General">
                        <c:v>-34.72076404494382</c:v>
                      </c:pt>
                      <c:pt idx="35" formatCode="General">
                        <c:v>-35.159940074906366</c:v>
                      </c:pt>
                      <c:pt idx="36" formatCode="General">
                        <c:v>-35.599116104868912</c:v>
                      </c:pt>
                      <c:pt idx="37" formatCode="General">
                        <c:v>-36.038292134831465</c:v>
                      </c:pt>
                      <c:pt idx="38" formatCode="General">
                        <c:v>-36.477468164794011</c:v>
                      </c:pt>
                      <c:pt idx="39" formatCode="General">
                        <c:v>-36.916644194756557</c:v>
                      </c:pt>
                      <c:pt idx="40" formatCode="General">
                        <c:v>-37.355820224719103</c:v>
                      </c:pt>
                      <c:pt idx="41" formatCode="General">
                        <c:v>-37.774209737827718</c:v>
                      </c:pt>
                      <c:pt idx="42" formatCode="General">
                        <c:v>-38.1403520599251</c:v>
                      </c:pt>
                      <c:pt idx="43" formatCode="General">
                        <c:v>-38.506494382022474</c:v>
                      </c:pt>
                      <c:pt idx="44" formatCode="General">
                        <c:v>-38.872636704119856</c:v>
                      </c:pt>
                      <c:pt idx="45" formatCode="General">
                        <c:v>-39.23877902621723</c:v>
                      </c:pt>
                      <c:pt idx="46" formatCode="General">
                        <c:v>-39.604921348314612</c:v>
                      </c:pt>
                      <c:pt idx="47" formatCode="General">
                        <c:v>-39.971063670411986</c:v>
                      </c:pt>
                      <c:pt idx="48" formatCode="General">
                        <c:v>-40.337205992509368</c:v>
                      </c:pt>
                      <c:pt idx="49" formatCode="General">
                        <c:v>-40.703348314606743</c:v>
                      </c:pt>
                      <c:pt idx="50" formatCode="General">
                        <c:v>-41.069490636704124</c:v>
                      </c:pt>
                      <c:pt idx="51" formatCode="General">
                        <c:v>-41.434354354354355</c:v>
                      </c:pt>
                      <c:pt idx="52" formatCode="General">
                        <c:v>-41.71738738738739</c:v>
                      </c:pt>
                      <c:pt idx="53" formatCode="General">
                        <c:v>-42.000420420420419</c:v>
                      </c:pt>
                      <c:pt idx="54" formatCode="General">
                        <c:v>-42.283453453453454</c:v>
                      </c:pt>
                      <c:pt idx="55" formatCode="General">
                        <c:v>-42.56648648648649</c:v>
                      </c:pt>
                      <c:pt idx="56" formatCode="General">
                        <c:v>-42.849519519519518</c:v>
                      </c:pt>
                      <c:pt idx="57" formatCode="General">
                        <c:v>-43.132552552552553</c:v>
                      </c:pt>
                      <c:pt idx="58" formatCode="General">
                        <c:v>-43.415585585585582</c:v>
                      </c:pt>
                      <c:pt idx="59" formatCode="General">
                        <c:v>-43.698618618618617</c:v>
                      </c:pt>
                      <c:pt idx="60" formatCode="General">
                        <c:v>-43.981651651651653</c:v>
                      </c:pt>
                      <c:pt idx="61" formatCode="General">
                        <c:v>-44.264684684684681</c:v>
                      </c:pt>
                      <c:pt idx="62" formatCode="General">
                        <c:v>-44.497647058823524</c:v>
                      </c:pt>
                      <c:pt idx="63" formatCode="General">
                        <c:v>-44.715588235294113</c:v>
                      </c:pt>
                      <c:pt idx="64" formatCode="General">
                        <c:v>-44.93151515151515</c:v>
                      </c:pt>
                      <c:pt idx="65" formatCode="General">
                        <c:v>-45.136363636363633</c:v>
                      </c:pt>
                      <c:pt idx="66" formatCode="General">
                        <c:v>-45.341212121212124</c:v>
                      </c:pt>
                      <c:pt idx="67" formatCode="General">
                        <c:v>-45.523529411764706</c:v>
                      </c:pt>
                      <c:pt idx="68" formatCode="General">
                        <c:v>-45.691764705882356</c:v>
                      </c:pt>
                      <c:pt idx="69" formatCode="General">
                        <c:v>-45.86</c:v>
                      </c:pt>
                      <c:pt idx="70" formatCode="General">
                        <c:v>-46.013636363636365</c:v>
                      </c:pt>
                      <c:pt idx="71" formatCode="General">
                        <c:v>-46.167272727272724</c:v>
                      </c:pt>
                      <c:pt idx="72" formatCode="General">
                        <c:v>-46.288796992481203</c:v>
                      </c:pt>
                      <c:pt idx="73" formatCode="General">
                        <c:v>-46.372857142857143</c:v>
                      </c:pt>
                      <c:pt idx="74" formatCode="General">
                        <c:v>-46.456917293233083</c:v>
                      </c:pt>
                      <c:pt idx="75" formatCode="General">
                        <c:v>-46.540977443609023</c:v>
                      </c:pt>
                      <c:pt idx="76" formatCode="General">
                        <c:v>-46.625037593984963</c:v>
                      </c:pt>
                      <c:pt idx="77" formatCode="General">
                        <c:v>-46.709097744360903</c:v>
                      </c:pt>
                      <c:pt idx="78" formatCode="General">
                        <c:v>-46.793157894736844</c:v>
                      </c:pt>
                      <c:pt idx="79" formatCode="General">
                        <c:v>-46.877218045112784</c:v>
                      </c:pt>
                      <c:pt idx="80" formatCode="General">
                        <c:v>-46.961278195488724</c:v>
                      </c:pt>
                      <c:pt idx="81" formatCode="General">
                        <c:v>-47.045338345864664</c:v>
                      </c:pt>
                      <c:pt idx="82" formatCode="General">
                        <c:v>-47.104179104477609</c:v>
                      </c:pt>
                      <c:pt idx="83" formatCode="General">
                        <c:v>-47.078955223880598</c:v>
                      </c:pt>
                      <c:pt idx="84" formatCode="General">
                        <c:v>-47.05373134328358</c:v>
                      </c:pt>
                      <c:pt idx="85" formatCode="General">
                        <c:v>-47.028507462686569</c:v>
                      </c:pt>
                      <c:pt idx="86" formatCode="General">
                        <c:v>-47.003283582089551</c:v>
                      </c:pt>
                      <c:pt idx="87" formatCode="General">
                        <c:v>-46.978059701492541</c:v>
                      </c:pt>
                      <c:pt idx="88" formatCode="General">
                        <c:v>-46.952835820895523</c:v>
                      </c:pt>
                      <c:pt idx="89" formatCode="General">
                        <c:v>-46.927611940298512</c:v>
                      </c:pt>
                      <c:pt idx="90" formatCode="General">
                        <c:v>-46.902388059701494</c:v>
                      </c:pt>
                      <c:pt idx="91" formatCode="General">
                        <c:v>-46.877164179104476</c:v>
                      </c:pt>
                      <c:pt idx="92" formatCode="General">
                        <c:v>-46.851940298507465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E9B-4A24-AF6E-BAFF55F304A7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-22.018918918918921</c:v>
                      </c:pt>
                      <c:pt idx="1">
                        <c:v>-21.69099099099099</c:v>
                      </c:pt>
                      <c:pt idx="2" formatCode="General">
                        <c:v>-21.363063063063063</c:v>
                      </c:pt>
                      <c:pt idx="3" formatCode="General">
                        <c:v>-21.328293413173654</c:v>
                      </c:pt>
                      <c:pt idx="4" formatCode="General">
                        <c:v>-21.363323353293413</c:v>
                      </c:pt>
                      <c:pt idx="5" formatCode="General">
                        <c:v>-21.428053892215569</c:v>
                      </c:pt>
                      <c:pt idx="6" formatCode="General">
                        <c:v>-21.587634730538923</c:v>
                      </c:pt>
                      <c:pt idx="7" formatCode="General">
                        <c:v>-21.747215568862277</c:v>
                      </c:pt>
                      <c:pt idx="8" formatCode="General">
                        <c:v>-21.901586826347305</c:v>
                      </c:pt>
                      <c:pt idx="9" formatCode="General">
                        <c:v>-22.053383233532934</c:v>
                      </c:pt>
                      <c:pt idx="10" formatCode="General">
                        <c:v>-22.201287425149701</c:v>
                      </c:pt>
                      <c:pt idx="11" formatCode="General">
                        <c:v>-22.314161676646709</c:v>
                      </c:pt>
                      <c:pt idx="12" formatCode="General">
                        <c:v>-22.427035928143713</c:v>
                      </c:pt>
                      <c:pt idx="13" formatCode="General">
                        <c:v>-22.544041916167664</c:v>
                      </c:pt>
                      <c:pt idx="14" formatCode="General">
                        <c:v>-22.664700598802394</c:v>
                      </c:pt>
                      <c:pt idx="15" formatCode="General">
                        <c:v>-22.785359281437124</c:v>
                      </c:pt>
                      <c:pt idx="16" formatCode="General">
                        <c:v>-22.883843843843842</c:v>
                      </c:pt>
                      <c:pt idx="17" formatCode="General">
                        <c:v>-22.98144144144144</c:v>
                      </c:pt>
                      <c:pt idx="18" formatCode="General">
                        <c:v>-23.1162874251497</c:v>
                      </c:pt>
                      <c:pt idx="19" formatCode="General">
                        <c:v>-23.307005988023953</c:v>
                      </c:pt>
                      <c:pt idx="20" formatCode="General">
                        <c:v>-23.497724550898205</c:v>
                      </c:pt>
                      <c:pt idx="21" formatCode="General">
                        <c:v>-23.691676646706586</c:v>
                      </c:pt>
                      <c:pt idx="22" formatCode="General">
                        <c:v>-23.8862874251497</c:v>
                      </c:pt>
                      <c:pt idx="23" formatCode="General">
                        <c:v>-24.078862275449104</c:v>
                      </c:pt>
                      <c:pt idx="24" formatCode="General">
                        <c:v>-24.265688622754492</c:v>
                      </c:pt>
                      <c:pt idx="25" formatCode="General">
                        <c:v>-24.45251497005988</c:v>
                      </c:pt>
                      <c:pt idx="26" formatCode="General">
                        <c:v>-24.639341317365272</c:v>
                      </c:pt>
                      <c:pt idx="27" formatCode="General">
                        <c:v>-24.82616766467066</c:v>
                      </c:pt>
                      <c:pt idx="28" formatCode="General">
                        <c:v>-25.012994011976048</c:v>
                      </c:pt>
                      <c:pt idx="29" formatCode="General">
                        <c:v>-25.199820359281436</c:v>
                      </c:pt>
                      <c:pt idx="30" formatCode="General">
                        <c:v>-25.386646706586827</c:v>
                      </c:pt>
                      <c:pt idx="31" formatCode="General">
                        <c:v>-25.567617977528091</c:v>
                      </c:pt>
                      <c:pt idx="32" formatCode="General">
                        <c:v>-25.743872659176031</c:v>
                      </c:pt>
                      <c:pt idx="33" formatCode="General">
                        <c:v>-25.920127340823971</c:v>
                      </c:pt>
                      <c:pt idx="34" formatCode="General">
                        <c:v>-26.096382022471911</c:v>
                      </c:pt>
                      <c:pt idx="35" formatCode="General">
                        <c:v>-26.272636704119851</c:v>
                      </c:pt>
                      <c:pt idx="36" formatCode="General">
                        <c:v>-26.448891385767791</c:v>
                      </c:pt>
                      <c:pt idx="37" formatCode="General">
                        <c:v>-26.625146067415731</c:v>
                      </c:pt>
                      <c:pt idx="38" formatCode="General">
                        <c:v>-26.801400749063671</c:v>
                      </c:pt>
                      <c:pt idx="39" formatCode="General">
                        <c:v>-26.977655430711611</c:v>
                      </c:pt>
                      <c:pt idx="40" formatCode="General">
                        <c:v>-27.153910112359551</c:v>
                      </c:pt>
                      <c:pt idx="41" formatCode="General">
                        <c:v>-27.327670411985022</c:v>
                      </c:pt>
                      <c:pt idx="42" formatCode="General">
                        <c:v>-27.495161048689141</c:v>
                      </c:pt>
                      <c:pt idx="43" formatCode="General">
                        <c:v>-27.662651685393261</c:v>
                      </c:pt>
                      <c:pt idx="44" formatCode="General">
                        <c:v>-27.83014232209738</c:v>
                      </c:pt>
                      <c:pt idx="45" formatCode="General">
                        <c:v>-27.9976329588015</c:v>
                      </c:pt>
                      <c:pt idx="46" formatCode="General">
                        <c:v>-28.165123595505619</c:v>
                      </c:pt>
                      <c:pt idx="47" formatCode="General">
                        <c:v>-28.332614232209739</c:v>
                      </c:pt>
                      <c:pt idx="48" formatCode="General">
                        <c:v>-28.500104868913859</c:v>
                      </c:pt>
                      <c:pt idx="49" formatCode="General">
                        <c:v>-28.667595505617978</c:v>
                      </c:pt>
                      <c:pt idx="50" formatCode="General">
                        <c:v>-28.835086142322098</c:v>
                      </c:pt>
                      <c:pt idx="51" formatCode="General">
                        <c:v>-29.002447447447448</c:v>
                      </c:pt>
                      <c:pt idx="52" formatCode="General">
                        <c:v>-29.161531531531534</c:v>
                      </c:pt>
                      <c:pt idx="53" formatCode="General">
                        <c:v>-29.320615615615615</c:v>
                      </c:pt>
                      <c:pt idx="54" formatCode="General">
                        <c:v>-29.479699699699701</c:v>
                      </c:pt>
                      <c:pt idx="55" formatCode="General">
                        <c:v>-29.638783783783783</c:v>
                      </c:pt>
                      <c:pt idx="56" formatCode="General">
                        <c:v>-29.797867867867868</c:v>
                      </c:pt>
                      <c:pt idx="57" formatCode="General">
                        <c:v>-29.95695195195195</c:v>
                      </c:pt>
                      <c:pt idx="58" formatCode="General">
                        <c:v>-30.116036036036036</c:v>
                      </c:pt>
                      <c:pt idx="59" formatCode="General">
                        <c:v>-30.275120120120121</c:v>
                      </c:pt>
                      <c:pt idx="60" formatCode="General">
                        <c:v>-30.434204204204203</c:v>
                      </c:pt>
                      <c:pt idx="61" formatCode="General">
                        <c:v>-30.593288288288289</c:v>
                      </c:pt>
                      <c:pt idx="62" formatCode="General">
                        <c:v>-30.747647058823528</c:v>
                      </c:pt>
                      <c:pt idx="63" formatCode="General">
                        <c:v>-30.900588235294119</c:v>
                      </c:pt>
                      <c:pt idx="64" formatCode="General">
                        <c:v>-31.053636363636365</c:v>
                      </c:pt>
                      <c:pt idx="65" formatCode="General">
                        <c:v>-31.207272727272727</c:v>
                      </c:pt>
                      <c:pt idx="66" formatCode="General">
                        <c:v>-31.360909090909093</c:v>
                      </c:pt>
                      <c:pt idx="67" formatCode="General">
                        <c:v>-31.511764705882353</c:v>
                      </c:pt>
                      <c:pt idx="68" formatCode="General">
                        <c:v>-31.660882352941176</c:v>
                      </c:pt>
                      <c:pt idx="69" formatCode="General">
                        <c:v>-31.81</c:v>
                      </c:pt>
                      <c:pt idx="70" formatCode="General">
                        <c:v>-31.963636363636365</c:v>
                      </c:pt>
                      <c:pt idx="71" formatCode="General">
                        <c:v>-32.117272727272727</c:v>
                      </c:pt>
                      <c:pt idx="72" formatCode="General">
                        <c:v>-32.269022556390979</c:v>
                      </c:pt>
                      <c:pt idx="73" formatCode="General">
                        <c:v>-32.418571428571433</c:v>
                      </c:pt>
                      <c:pt idx="74" formatCode="General">
                        <c:v>-32.568120300751879</c:v>
                      </c:pt>
                      <c:pt idx="75" formatCode="General">
                        <c:v>-32.717669172932332</c:v>
                      </c:pt>
                      <c:pt idx="76" formatCode="General">
                        <c:v>-32.867218045112779</c:v>
                      </c:pt>
                      <c:pt idx="77" formatCode="General">
                        <c:v>-33.016766917293232</c:v>
                      </c:pt>
                      <c:pt idx="78" formatCode="General">
                        <c:v>-33.166315789473686</c:v>
                      </c:pt>
                      <c:pt idx="79" formatCode="General">
                        <c:v>-33.315864661654132</c:v>
                      </c:pt>
                      <c:pt idx="80" formatCode="General">
                        <c:v>-33.465413533834585</c:v>
                      </c:pt>
                      <c:pt idx="81" formatCode="General">
                        <c:v>-33.614962406015032</c:v>
                      </c:pt>
                      <c:pt idx="82" formatCode="General">
                        <c:v>-33.763358208955218</c:v>
                      </c:pt>
                      <c:pt idx="83" formatCode="General">
                        <c:v>-33.907910447761189</c:v>
                      </c:pt>
                      <c:pt idx="84" formatCode="General">
                        <c:v>-34.052462686567161</c:v>
                      </c:pt>
                      <c:pt idx="85" formatCode="General">
                        <c:v>-34.197014925373132</c:v>
                      </c:pt>
                      <c:pt idx="86" formatCode="General">
                        <c:v>-34.341567164179104</c:v>
                      </c:pt>
                      <c:pt idx="87" formatCode="General">
                        <c:v>-34.486119402985075</c:v>
                      </c:pt>
                      <c:pt idx="88" formatCode="General">
                        <c:v>-34.630671641791039</c:v>
                      </c:pt>
                      <c:pt idx="89" formatCode="General">
                        <c:v>-34.775223880597011</c:v>
                      </c:pt>
                      <c:pt idx="90" formatCode="General">
                        <c:v>-34.919776119402982</c:v>
                      </c:pt>
                      <c:pt idx="91" formatCode="General">
                        <c:v>-35.064328358208954</c:v>
                      </c:pt>
                      <c:pt idx="92" formatCode="General">
                        <c:v>-35.208880597014925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E9B-4A24-AF6E-BAFF55F304A7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-22.018918918918921</c:v>
                      </c:pt>
                      <c:pt idx="1">
                        <c:v>-21.69099099099099</c:v>
                      </c:pt>
                      <c:pt idx="2" formatCode="General">
                        <c:v>-21.363063063063063</c:v>
                      </c:pt>
                      <c:pt idx="3" formatCode="General">
                        <c:v>-21.328293413173654</c:v>
                      </c:pt>
                      <c:pt idx="4" formatCode="General">
                        <c:v>-21.363323353293413</c:v>
                      </c:pt>
                      <c:pt idx="5" formatCode="General">
                        <c:v>-21.428053892215569</c:v>
                      </c:pt>
                      <c:pt idx="6" formatCode="General">
                        <c:v>-21.587634730538923</c:v>
                      </c:pt>
                      <c:pt idx="7" formatCode="General">
                        <c:v>-21.747215568862277</c:v>
                      </c:pt>
                      <c:pt idx="8" formatCode="General">
                        <c:v>-21.901586826347305</c:v>
                      </c:pt>
                      <c:pt idx="9" formatCode="General">
                        <c:v>-22.053383233532934</c:v>
                      </c:pt>
                      <c:pt idx="10" formatCode="General">
                        <c:v>-22.201287425149701</c:v>
                      </c:pt>
                      <c:pt idx="11" formatCode="General">
                        <c:v>-22.314161676646709</c:v>
                      </c:pt>
                      <c:pt idx="12" formatCode="General">
                        <c:v>-22.427035928143713</c:v>
                      </c:pt>
                      <c:pt idx="13" formatCode="General">
                        <c:v>-22.544041916167664</c:v>
                      </c:pt>
                      <c:pt idx="14" formatCode="General">
                        <c:v>-22.664700598802394</c:v>
                      </c:pt>
                      <c:pt idx="15" formatCode="General">
                        <c:v>-22.785359281437124</c:v>
                      </c:pt>
                      <c:pt idx="16" formatCode="General">
                        <c:v>-22.883843843843842</c:v>
                      </c:pt>
                      <c:pt idx="17" formatCode="General">
                        <c:v>-22.98144144144144</c:v>
                      </c:pt>
                      <c:pt idx="18" formatCode="General">
                        <c:v>-23.1162874251497</c:v>
                      </c:pt>
                      <c:pt idx="19" formatCode="General">
                        <c:v>-23.307005988023953</c:v>
                      </c:pt>
                      <c:pt idx="20" formatCode="General">
                        <c:v>-23.497724550898205</c:v>
                      </c:pt>
                      <c:pt idx="21" formatCode="General">
                        <c:v>-23.691676646706586</c:v>
                      </c:pt>
                      <c:pt idx="22" formatCode="General">
                        <c:v>-23.8862874251497</c:v>
                      </c:pt>
                      <c:pt idx="23" formatCode="General">
                        <c:v>-24.078862275449104</c:v>
                      </c:pt>
                      <c:pt idx="24" formatCode="General">
                        <c:v>-24.265688622754492</c:v>
                      </c:pt>
                      <c:pt idx="25" formatCode="General">
                        <c:v>-24.45251497005988</c:v>
                      </c:pt>
                      <c:pt idx="26" formatCode="General">
                        <c:v>-24.639341317365272</c:v>
                      </c:pt>
                      <c:pt idx="27" formatCode="General">
                        <c:v>-24.82616766467066</c:v>
                      </c:pt>
                      <c:pt idx="28" formatCode="General">
                        <c:v>-25.012994011976048</c:v>
                      </c:pt>
                      <c:pt idx="29" formatCode="General">
                        <c:v>-25.199820359281436</c:v>
                      </c:pt>
                      <c:pt idx="30" formatCode="General">
                        <c:v>-25.386646706586827</c:v>
                      </c:pt>
                      <c:pt idx="31" formatCode="General">
                        <c:v>-25.567617977528091</c:v>
                      </c:pt>
                      <c:pt idx="32" formatCode="General">
                        <c:v>-25.743872659176031</c:v>
                      </c:pt>
                      <c:pt idx="33" formatCode="General">
                        <c:v>-25.920127340823971</c:v>
                      </c:pt>
                      <c:pt idx="34" formatCode="General">
                        <c:v>-26.096382022471911</c:v>
                      </c:pt>
                      <c:pt idx="35" formatCode="General">
                        <c:v>-26.272636704119851</c:v>
                      </c:pt>
                      <c:pt idx="36" formatCode="General">
                        <c:v>-26.448891385767791</c:v>
                      </c:pt>
                      <c:pt idx="37" formatCode="General">
                        <c:v>-26.625146067415731</c:v>
                      </c:pt>
                      <c:pt idx="38" formatCode="General">
                        <c:v>-26.801400749063671</c:v>
                      </c:pt>
                      <c:pt idx="39" formatCode="General">
                        <c:v>-26.977655430711611</c:v>
                      </c:pt>
                      <c:pt idx="40" formatCode="General">
                        <c:v>-27.153910112359551</c:v>
                      </c:pt>
                      <c:pt idx="41" formatCode="General">
                        <c:v>-27.327670411985022</c:v>
                      </c:pt>
                      <c:pt idx="42" formatCode="General">
                        <c:v>-27.495161048689141</c:v>
                      </c:pt>
                      <c:pt idx="43" formatCode="General">
                        <c:v>-27.662651685393261</c:v>
                      </c:pt>
                      <c:pt idx="44" formatCode="General">
                        <c:v>-27.83014232209738</c:v>
                      </c:pt>
                      <c:pt idx="45" formatCode="General">
                        <c:v>-27.9976329588015</c:v>
                      </c:pt>
                      <c:pt idx="46" formatCode="General">
                        <c:v>-28.165123595505619</c:v>
                      </c:pt>
                      <c:pt idx="47" formatCode="General">
                        <c:v>-28.332614232209739</c:v>
                      </c:pt>
                      <c:pt idx="48" formatCode="General">
                        <c:v>-28.500104868913859</c:v>
                      </c:pt>
                      <c:pt idx="49" formatCode="General">
                        <c:v>-28.667595505617978</c:v>
                      </c:pt>
                      <c:pt idx="50" formatCode="General">
                        <c:v>-28.835086142322098</c:v>
                      </c:pt>
                      <c:pt idx="51" formatCode="General">
                        <c:v>-29.002447447447448</c:v>
                      </c:pt>
                      <c:pt idx="52" formatCode="General">
                        <c:v>-29.161531531531534</c:v>
                      </c:pt>
                      <c:pt idx="53" formatCode="General">
                        <c:v>-29.320615615615615</c:v>
                      </c:pt>
                      <c:pt idx="54" formatCode="General">
                        <c:v>-29.479699699699701</c:v>
                      </c:pt>
                      <c:pt idx="55" formatCode="General">
                        <c:v>-29.638783783783783</c:v>
                      </c:pt>
                      <c:pt idx="56" formatCode="General">
                        <c:v>-29.797867867867868</c:v>
                      </c:pt>
                      <c:pt idx="57" formatCode="General">
                        <c:v>-29.95695195195195</c:v>
                      </c:pt>
                      <c:pt idx="58" formatCode="General">
                        <c:v>-30.116036036036036</c:v>
                      </c:pt>
                      <c:pt idx="59" formatCode="General">
                        <c:v>-30.275120120120121</c:v>
                      </c:pt>
                      <c:pt idx="60" formatCode="General">
                        <c:v>-30.434204204204203</c:v>
                      </c:pt>
                      <c:pt idx="61" formatCode="General">
                        <c:v>-30.593288288288289</c:v>
                      </c:pt>
                      <c:pt idx="62" formatCode="General">
                        <c:v>-30.747647058823528</c:v>
                      </c:pt>
                      <c:pt idx="63" formatCode="General">
                        <c:v>-30.900588235294119</c:v>
                      </c:pt>
                      <c:pt idx="64" formatCode="General">
                        <c:v>-31.053636363636365</c:v>
                      </c:pt>
                      <c:pt idx="65" formatCode="General">
                        <c:v>-31.207272727272727</c:v>
                      </c:pt>
                      <c:pt idx="66" formatCode="General">
                        <c:v>-31.360909090909093</c:v>
                      </c:pt>
                      <c:pt idx="67" formatCode="General">
                        <c:v>-31.511764705882353</c:v>
                      </c:pt>
                      <c:pt idx="68" formatCode="General">
                        <c:v>-31.660882352941176</c:v>
                      </c:pt>
                      <c:pt idx="69" formatCode="General">
                        <c:v>-31.81</c:v>
                      </c:pt>
                      <c:pt idx="70" formatCode="General">
                        <c:v>-31.963636363636365</c:v>
                      </c:pt>
                      <c:pt idx="71" formatCode="General">
                        <c:v>-32.117272727272727</c:v>
                      </c:pt>
                      <c:pt idx="72" formatCode="General">
                        <c:v>-32.269022556390979</c:v>
                      </c:pt>
                      <c:pt idx="73" formatCode="General">
                        <c:v>-32.418571428571433</c:v>
                      </c:pt>
                      <c:pt idx="74" formatCode="General">
                        <c:v>-32.568120300751879</c:v>
                      </c:pt>
                      <c:pt idx="75" formatCode="General">
                        <c:v>-32.717669172932332</c:v>
                      </c:pt>
                      <c:pt idx="76" formatCode="General">
                        <c:v>-32.867218045112779</c:v>
                      </c:pt>
                      <c:pt idx="77" formatCode="General">
                        <c:v>-33.016766917293232</c:v>
                      </c:pt>
                      <c:pt idx="78" formatCode="General">
                        <c:v>-33.166315789473686</c:v>
                      </c:pt>
                      <c:pt idx="79" formatCode="General">
                        <c:v>-33.315864661654132</c:v>
                      </c:pt>
                      <c:pt idx="80" formatCode="General">
                        <c:v>-33.465413533834585</c:v>
                      </c:pt>
                      <c:pt idx="81" formatCode="General">
                        <c:v>-33.614962406015032</c:v>
                      </c:pt>
                      <c:pt idx="82" formatCode="General">
                        <c:v>-33.763358208955218</c:v>
                      </c:pt>
                      <c:pt idx="83" formatCode="General">
                        <c:v>-33.907910447761189</c:v>
                      </c:pt>
                      <c:pt idx="84" formatCode="General">
                        <c:v>-34.052462686567161</c:v>
                      </c:pt>
                      <c:pt idx="85" formatCode="General">
                        <c:v>-34.197014925373132</c:v>
                      </c:pt>
                      <c:pt idx="86" formatCode="General">
                        <c:v>-34.341567164179104</c:v>
                      </c:pt>
                      <c:pt idx="87" formatCode="General">
                        <c:v>-34.486119402985075</c:v>
                      </c:pt>
                      <c:pt idx="88" formatCode="General">
                        <c:v>-34.630671641791039</c:v>
                      </c:pt>
                      <c:pt idx="89" formatCode="General">
                        <c:v>-34.775223880597011</c:v>
                      </c:pt>
                      <c:pt idx="90" formatCode="General">
                        <c:v>-34.919776119402982</c:v>
                      </c:pt>
                      <c:pt idx="91" formatCode="General">
                        <c:v>-35.064328358208954</c:v>
                      </c:pt>
                      <c:pt idx="92" formatCode="General">
                        <c:v>-35.208880597014925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E9B-4A24-AF6E-BAFF55F304A7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-22.018918918918921</c:v>
                      </c:pt>
                      <c:pt idx="1">
                        <c:v>-21.69099099099099</c:v>
                      </c:pt>
                      <c:pt idx="2" formatCode="General">
                        <c:v>-21.363063063063063</c:v>
                      </c:pt>
                      <c:pt idx="3" formatCode="General">
                        <c:v>-21.328293413173654</c:v>
                      </c:pt>
                      <c:pt idx="4" formatCode="General">
                        <c:v>-21.363323353293413</c:v>
                      </c:pt>
                      <c:pt idx="5" formatCode="General">
                        <c:v>-21.428053892215569</c:v>
                      </c:pt>
                      <c:pt idx="6" formatCode="General">
                        <c:v>-21.587634730538923</c:v>
                      </c:pt>
                      <c:pt idx="7" formatCode="General">
                        <c:v>-21.747215568862277</c:v>
                      </c:pt>
                      <c:pt idx="8" formatCode="General">
                        <c:v>-21.901586826347305</c:v>
                      </c:pt>
                      <c:pt idx="9" formatCode="General">
                        <c:v>-22.053383233532934</c:v>
                      </c:pt>
                      <c:pt idx="10" formatCode="General">
                        <c:v>-22.201287425149701</c:v>
                      </c:pt>
                      <c:pt idx="11" formatCode="General">
                        <c:v>-22.314161676646709</c:v>
                      </c:pt>
                      <c:pt idx="12" formatCode="General">
                        <c:v>-22.427035928143713</c:v>
                      </c:pt>
                      <c:pt idx="13" formatCode="General">
                        <c:v>-22.544041916167664</c:v>
                      </c:pt>
                      <c:pt idx="14" formatCode="General">
                        <c:v>-22.664700598802394</c:v>
                      </c:pt>
                      <c:pt idx="15" formatCode="General">
                        <c:v>-22.785359281437124</c:v>
                      </c:pt>
                      <c:pt idx="16" formatCode="General">
                        <c:v>-22.883843843843842</c:v>
                      </c:pt>
                      <c:pt idx="17" formatCode="General">
                        <c:v>-22.98144144144144</c:v>
                      </c:pt>
                      <c:pt idx="18" formatCode="General">
                        <c:v>-23.1162874251497</c:v>
                      </c:pt>
                      <c:pt idx="19" formatCode="General">
                        <c:v>-23.307005988023953</c:v>
                      </c:pt>
                      <c:pt idx="20" formatCode="General">
                        <c:v>-23.497724550898205</c:v>
                      </c:pt>
                      <c:pt idx="21" formatCode="General">
                        <c:v>-23.691676646706586</c:v>
                      </c:pt>
                      <c:pt idx="22" formatCode="General">
                        <c:v>-23.8862874251497</c:v>
                      </c:pt>
                      <c:pt idx="23" formatCode="General">
                        <c:v>-24.078862275449104</c:v>
                      </c:pt>
                      <c:pt idx="24" formatCode="General">
                        <c:v>-24.265688622754492</c:v>
                      </c:pt>
                      <c:pt idx="25" formatCode="General">
                        <c:v>-24.45251497005988</c:v>
                      </c:pt>
                      <c:pt idx="26" formatCode="General">
                        <c:v>-24.639341317365272</c:v>
                      </c:pt>
                      <c:pt idx="27" formatCode="General">
                        <c:v>-24.82616766467066</c:v>
                      </c:pt>
                      <c:pt idx="28" formatCode="General">
                        <c:v>-25.012994011976048</c:v>
                      </c:pt>
                      <c:pt idx="29" formatCode="General">
                        <c:v>-25.199820359281436</c:v>
                      </c:pt>
                      <c:pt idx="30" formatCode="General">
                        <c:v>-25.386646706586827</c:v>
                      </c:pt>
                      <c:pt idx="31" formatCode="General">
                        <c:v>-25.567617977528091</c:v>
                      </c:pt>
                      <c:pt idx="32" formatCode="General">
                        <c:v>-25.743872659176031</c:v>
                      </c:pt>
                      <c:pt idx="33" formatCode="General">
                        <c:v>-25.920127340823971</c:v>
                      </c:pt>
                      <c:pt idx="34" formatCode="General">
                        <c:v>-26.096382022471911</c:v>
                      </c:pt>
                      <c:pt idx="35" formatCode="General">
                        <c:v>-26.272636704119851</c:v>
                      </c:pt>
                      <c:pt idx="36" formatCode="General">
                        <c:v>-26.448891385767791</c:v>
                      </c:pt>
                      <c:pt idx="37" formatCode="General">
                        <c:v>-26.625146067415731</c:v>
                      </c:pt>
                      <c:pt idx="38" formatCode="General">
                        <c:v>-26.801400749063671</c:v>
                      </c:pt>
                      <c:pt idx="39" formatCode="General">
                        <c:v>-26.977655430711611</c:v>
                      </c:pt>
                      <c:pt idx="40" formatCode="General">
                        <c:v>-27.153910112359551</c:v>
                      </c:pt>
                      <c:pt idx="41" formatCode="General">
                        <c:v>-27.327670411985022</c:v>
                      </c:pt>
                      <c:pt idx="42" formatCode="General">
                        <c:v>-27.495161048689141</c:v>
                      </c:pt>
                      <c:pt idx="43" formatCode="General">
                        <c:v>-27.662651685393261</c:v>
                      </c:pt>
                      <c:pt idx="44" formatCode="General">
                        <c:v>-27.83014232209738</c:v>
                      </c:pt>
                      <c:pt idx="45" formatCode="General">
                        <c:v>-27.9976329588015</c:v>
                      </c:pt>
                      <c:pt idx="46" formatCode="General">
                        <c:v>-28.165123595505619</c:v>
                      </c:pt>
                      <c:pt idx="47" formatCode="General">
                        <c:v>-28.332614232209739</c:v>
                      </c:pt>
                      <c:pt idx="48" formatCode="General">
                        <c:v>-28.500104868913859</c:v>
                      </c:pt>
                      <c:pt idx="49" formatCode="General">
                        <c:v>-28.667595505617978</c:v>
                      </c:pt>
                      <c:pt idx="50" formatCode="General">
                        <c:v>-28.835086142322098</c:v>
                      </c:pt>
                      <c:pt idx="51" formatCode="General">
                        <c:v>-29.002447447447448</c:v>
                      </c:pt>
                      <c:pt idx="52" formatCode="General">
                        <c:v>-29.161531531531534</c:v>
                      </c:pt>
                      <c:pt idx="53" formatCode="General">
                        <c:v>-29.320615615615615</c:v>
                      </c:pt>
                      <c:pt idx="54" formatCode="General">
                        <c:v>-29.479699699699701</c:v>
                      </c:pt>
                      <c:pt idx="55" formatCode="General">
                        <c:v>-29.638783783783783</c:v>
                      </c:pt>
                      <c:pt idx="56" formatCode="General">
                        <c:v>-29.797867867867868</c:v>
                      </c:pt>
                      <c:pt idx="57" formatCode="General">
                        <c:v>-29.95695195195195</c:v>
                      </c:pt>
                      <c:pt idx="58" formatCode="General">
                        <c:v>-30.116036036036036</c:v>
                      </c:pt>
                      <c:pt idx="59" formatCode="General">
                        <c:v>-30.275120120120121</c:v>
                      </c:pt>
                      <c:pt idx="60" formatCode="General">
                        <c:v>-30.434204204204203</c:v>
                      </c:pt>
                      <c:pt idx="61" formatCode="General">
                        <c:v>-30.593288288288289</c:v>
                      </c:pt>
                      <c:pt idx="62" formatCode="General">
                        <c:v>-30.747647058823528</c:v>
                      </c:pt>
                      <c:pt idx="63" formatCode="General">
                        <c:v>-30.900588235294119</c:v>
                      </c:pt>
                      <c:pt idx="64" formatCode="General">
                        <c:v>-31.053636363636365</c:v>
                      </c:pt>
                      <c:pt idx="65" formatCode="General">
                        <c:v>-31.207272727272727</c:v>
                      </c:pt>
                      <c:pt idx="66" formatCode="General">
                        <c:v>-31.360909090909093</c:v>
                      </c:pt>
                      <c:pt idx="67" formatCode="General">
                        <c:v>-31.511764705882353</c:v>
                      </c:pt>
                      <c:pt idx="68" formatCode="General">
                        <c:v>-31.660882352941176</c:v>
                      </c:pt>
                      <c:pt idx="69" formatCode="General">
                        <c:v>-31.81</c:v>
                      </c:pt>
                      <c:pt idx="70" formatCode="General">
                        <c:v>-31.963636363636365</c:v>
                      </c:pt>
                      <c:pt idx="71" formatCode="General">
                        <c:v>-32.117272727272727</c:v>
                      </c:pt>
                      <c:pt idx="72" formatCode="General">
                        <c:v>-32.269022556390979</c:v>
                      </c:pt>
                      <c:pt idx="73" formatCode="General">
                        <c:v>-32.418571428571433</c:v>
                      </c:pt>
                      <c:pt idx="74" formatCode="General">
                        <c:v>-32.568120300751879</c:v>
                      </c:pt>
                      <c:pt idx="75" formatCode="General">
                        <c:v>-32.717669172932332</c:v>
                      </c:pt>
                      <c:pt idx="76" formatCode="General">
                        <c:v>-32.867218045112779</c:v>
                      </c:pt>
                      <c:pt idx="77" formatCode="General">
                        <c:v>-33.016766917293232</c:v>
                      </c:pt>
                      <c:pt idx="78" formatCode="General">
                        <c:v>-33.166315789473686</c:v>
                      </c:pt>
                      <c:pt idx="79" formatCode="General">
                        <c:v>-33.315864661654132</c:v>
                      </c:pt>
                      <c:pt idx="80" formatCode="General">
                        <c:v>-33.465413533834585</c:v>
                      </c:pt>
                      <c:pt idx="81" formatCode="General">
                        <c:v>-33.614962406015032</c:v>
                      </c:pt>
                      <c:pt idx="82" formatCode="General">
                        <c:v>-33.763358208955218</c:v>
                      </c:pt>
                      <c:pt idx="83" formatCode="General">
                        <c:v>-33.907910447761189</c:v>
                      </c:pt>
                      <c:pt idx="84" formatCode="General">
                        <c:v>-34.052462686567161</c:v>
                      </c:pt>
                      <c:pt idx="85" formatCode="General">
                        <c:v>-34.197014925373132</c:v>
                      </c:pt>
                      <c:pt idx="86" formatCode="General">
                        <c:v>-34.341567164179104</c:v>
                      </c:pt>
                      <c:pt idx="87" formatCode="General">
                        <c:v>-34.486119402985075</c:v>
                      </c:pt>
                      <c:pt idx="88" formatCode="General">
                        <c:v>-34.630671641791039</c:v>
                      </c:pt>
                      <c:pt idx="89" formatCode="General">
                        <c:v>-34.775223880597011</c:v>
                      </c:pt>
                      <c:pt idx="90" formatCode="General">
                        <c:v>-34.919776119402982</c:v>
                      </c:pt>
                      <c:pt idx="91" formatCode="General">
                        <c:v>-35.064328358208954</c:v>
                      </c:pt>
                      <c:pt idx="92" formatCode="General">
                        <c:v>-35.208880597014925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E9B-4A24-AF6E-BAFF55F304A7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-22.018918918918921</c:v>
                      </c:pt>
                      <c:pt idx="1">
                        <c:v>-21.69099099099099</c:v>
                      </c:pt>
                      <c:pt idx="2" formatCode="General">
                        <c:v>-21.363063063063063</c:v>
                      </c:pt>
                      <c:pt idx="3" formatCode="General">
                        <c:v>-21.328293413173654</c:v>
                      </c:pt>
                      <c:pt idx="4" formatCode="General">
                        <c:v>-21.363323353293413</c:v>
                      </c:pt>
                      <c:pt idx="5" formatCode="General">
                        <c:v>-21.428053892215569</c:v>
                      </c:pt>
                      <c:pt idx="6" formatCode="General">
                        <c:v>-21.587634730538923</c:v>
                      </c:pt>
                      <c:pt idx="7" formatCode="General">
                        <c:v>-21.747215568862277</c:v>
                      </c:pt>
                      <c:pt idx="8" formatCode="General">
                        <c:v>-21.901586826347305</c:v>
                      </c:pt>
                      <c:pt idx="9" formatCode="General">
                        <c:v>-22.053383233532934</c:v>
                      </c:pt>
                      <c:pt idx="10" formatCode="General">
                        <c:v>-22.201287425149701</c:v>
                      </c:pt>
                      <c:pt idx="11" formatCode="General">
                        <c:v>-22.314161676646709</c:v>
                      </c:pt>
                      <c:pt idx="12" formatCode="General">
                        <c:v>-22.427035928143713</c:v>
                      </c:pt>
                      <c:pt idx="13" formatCode="General">
                        <c:v>-22.544041916167664</c:v>
                      </c:pt>
                      <c:pt idx="14" formatCode="General">
                        <c:v>-22.664700598802394</c:v>
                      </c:pt>
                      <c:pt idx="15" formatCode="General">
                        <c:v>-22.785359281437124</c:v>
                      </c:pt>
                      <c:pt idx="16" formatCode="General">
                        <c:v>-22.883843843843842</c:v>
                      </c:pt>
                      <c:pt idx="17" formatCode="General">
                        <c:v>-22.98144144144144</c:v>
                      </c:pt>
                      <c:pt idx="18" formatCode="General">
                        <c:v>-23.1162874251497</c:v>
                      </c:pt>
                      <c:pt idx="19" formatCode="General">
                        <c:v>-23.307005988023953</c:v>
                      </c:pt>
                      <c:pt idx="20" formatCode="General">
                        <c:v>-23.497724550898205</c:v>
                      </c:pt>
                      <c:pt idx="21" formatCode="General">
                        <c:v>-23.691676646706586</c:v>
                      </c:pt>
                      <c:pt idx="22" formatCode="General">
                        <c:v>-23.8862874251497</c:v>
                      </c:pt>
                      <c:pt idx="23" formatCode="General">
                        <c:v>-24.078862275449104</c:v>
                      </c:pt>
                      <c:pt idx="24" formatCode="General">
                        <c:v>-24.265688622754492</c:v>
                      </c:pt>
                      <c:pt idx="25" formatCode="General">
                        <c:v>-24.45251497005988</c:v>
                      </c:pt>
                      <c:pt idx="26" formatCode="General">
                        <c:v>-24.639341317365272</c:v>
                      </c:pt>
                      <c:pt idx="27" formatCode="General">
                        <c:v>-24.82616766467066</c:v>
                      </c:pt>
                      <c:pt idx="28" formatCode="General">
                        <c:v>-25.012994011976048</c:v>
                      </c:pt>
                      <c:pt idx="29" formatCode="General">
                        <c:v>-25.199820359281436</c:v>
                      </c:pt>
                      <c:pt idx="30" formatCode="General">
                        <c:v>-25.386646706586827</c:v>
                      </c:pt>
                      <c:pt idx="31" formatCode="General">
                        <c:v>-25.567617977528091</c:v>
                      </c:pt>
                      <c:pt idx="32" formatCode="General">
                        <c:v>-25.743872659176031</c:v>
                      </c:pt>
                      <c:pt idx="33" formatCode="General">
                        <c:v>-25.920127340823971</c:v>
                      </c:pt>
                      <c:pt idx="34" formatCode="General">
                        <c:v>-26.096382022471911</c:v>
                      </c:pt>
                      <c:pt idx="35" formatCode="General">
                        <c:v>-26.272636704119851</c:v>
                      </c:pt>
                      <c:pt idx="36" formatCode="General">
                        <c:v>-26.448891385767791</c:v>
                      </c:pt>
                      <c:pt idx="37" formatCode="General">
                        <c:v>-26.625146067415731</c:v>
                      </c:pt>
                      <c:pt idx="38" formatCode="General">
                        <c:v>-26.801400749063671</c:v>
                      </c:pt>
                      <c:pt idx="39" formatCode="General">
                        <c:v>-26.977655430711611</c:v>
                      </c:pt>
                      <c:pt idx="40" formatCode="General">
                        <c:v>-27.153910112359551</c:v>
                      </c:pt>
                      <c:pt idx="41" formatCode="General">
                        <c:v>-27.327670411985022</c:v>
                      </c:pt>
                      <c:pt idx="42" formatCode="General">
                        <c:v>-27.495161048689141</c:v>
                      </c:pt>
                      <c:pt idx="43" formatCode="General">
                        <c:v>-27.662651685393261</c:v>
                      </c:pt>
                      <c:pt idx="44" formatCode="General">
                        <c:v>-27.83014232209738</c:v>
                      </c:pt>
                      <c:pt idx="45" formatCode="General">
                        <c:v>-27.9976329588015</c:v>
                      </c:pt>
                      <c:pt idx="46" formatCode="General">
                        <c:v>-28.165123595505619</c:v>
                      </c:pt>
                      <c:pt idx="47" formatCode="General">
                        <c:v>-28.332614232209739</c:v>
                      </c:pt>
                      <c:pt idx="48" formatCode="General">
                        <c:v>-28.500104868913859</c:v>
                      </c:pt>
                      <c:pt idx="49" formatCode="General">
                        <c:v>-28.667595505617978</c:v>
                      </c:pt>
                      <c:pt idx="50" formatCode="General">
                        <c:v>-28.835086142322098</c:v>
                      </c:pt>
                      <c:pt idx="51" formatCode="General">
                        <c:v>-29.002447447447448</c:v>
                      </c:pt>
                      <c:pt idx="52" formatCode="General">
                        <c:v>-29.161531531531534</c:v>
                      </c:pt>
                      <c:pt idx="53" formatCode="General">
                        <c:v>-29.320615615615615</c:v>
                      </c:pt>
                      <c:pt idx="54" formatCode="General">
                        <c:v>-29.479699699699701</c:v>
                      </c:pt>
                      <c:pt idx="55" formatCode="General">
                        <c:v>-29.638783783783783</c:v>
                      </c:pt>
                      <c:pt idx="56" formatCode="General">
                        <c:v>-29.797867867867868</c:v>
                      </c:pt>
                      <c:pt idx="57" formatCode="General">
                        <c:v>-29.95695195195195</c:v>
                      </c:pt>
                      <c:pt idx="58" formatCode="General">
                        <c:v>-30.116036036036036</c:v>
                      </c:pt>
                      <c:pt idx="59" formatCode="General">
                        <c:v>-30.275120120120121</c:v>
                      </c:pt>
                      <c:pt idx="60" formatCode="General">
                        <c:v>-30.434204204204203</c:v>
                      </c:pt>
                      <c:pt idx="61" formatCode="General">
                        <c:v>-30.593288288288289</c:v>
                      </c:pt>
                      <c:pt idx="62" formatCode="General">
                        <c:v>-30.747647058823528</c:v>
                      </c:pt>
                      <c:pt idx="63" formatCode="General">
                        <c:v>-30.900588235294119</c:v>
                      </c:pt>
                      <c:pt idx="64" formatCode="General">
                        <c:v>-31.053636363636365</c:v>
                      </c:pt>
                      <c:pt idx="65" formatCode="General">
                        <c:v>-31.207272727272727</c:v>
                      </c:pt>
                      <c:pt idx="66" formatCode="General">
                        <c:v>-31.360909090909093</c:v>
                      </c:pt>
                      <c:pt idx="67" formatCode="General">
                        <c:v>-31.511764705882353</c:v>
                      </c:pt>
                      <c:pt idx="68" formatCode="General">
                        <c:v>-31.660882352941176</c:v>
                      </c:pt>
                      <c:pt idx="69" formatCode="General">
                        <c:v>-31.81</c:v>
                      </c:pt>
                      <c:pt idx="70" formatCode="General">
                        <c:v>-31.963636363636365</c:v>
                      </c:pt>
                      <c:pt idx="71" formatCode="General">
                        <c:v>-32.117272727272727</c:v>
                      </c:pt>
                      <c:pt idx="72" formatCode="General">
                        <c:v>-32.269022556390979</c:v>
                      </c:pt>
                      <c:pt idx="73" formatCode="General">
                        <c:v>-32.418571428571433</c:v>
                      </c:pt>
                      <c:pt idx="74" formatCode="General">
                        <c:v>-32.568120300751879</c:v>
                      </c:pt>
                      <c:pt idx="75" formatCode="General">
                        <c:v>-32.717669172932332</c:v>
                      </c:pt>
                      <c:pt idx="76" formatCode="General">
                        <c:v>-32.867218045112779</c:v>
                      </c:pt>
                      <c:pt idx="77" formatCode="General">
                        <c:v>-33.016766917293232</c:v>
                      </c:pt>
                      <c:pt idx="78" formatCode="General">
                        <c:v>-33.166315789473686</c:v>
                      </c:pt>
                      <c:pt idx="79" formatCode="General">
                        <c:v>-33.315864661654132</c:v>
                      </c:pt>
                      <c:pt idx="80" formatCode="General">
                        <c:v>-33.465413533834585</c:v>
                      </c:pt>
                      <c:pt idx="81" formatCode="General">
                        <c:v>-33.614962406015032</c:v>
                      </c:pt>
                      <c:pt idx="82" formatCode="General">
                        <c:v>-33.763358208955218</c:v>
                      </c:pt>
                      <c:pt idx="83" formatCode="General">
                        <c:v>-33.907910447761189</c:v>
                      </c:pt>
                      <c:pt idx="84" formatCode="General">
                        <c:v>-34.052462686567161</c:v>
                      </c:pt>
                      <c:pt idx="85" formatCode="General">
                        <c:v>-34.197014925373132</c:v>
                      </c:pt>
                      <c:pt idx="86" formatCode="General">
                        <c:v>-34.341567164179104</c:v>
                      </c:pt>
                      <c:pt idx="87" formatCode="General">
                        <c:v>-34.486119402985075</c:v>
                      </c:pt>
                      <c:pt idx="88" formatCode="General">
                        <c:v>-34.630671641791039</c:v>
                      </c:pt>
                      <c:pt idx="89" formatCode="General">
                        <c:v>-34.775223880597011</c:v>
                      </c:pt>
                      <c:pt idx="90" formatCode="General">
                        <c:v>-34.919776119402982</c:v>
                      </c:pt>
                      <c:pt idx="91" formatCode="General">
                        <c:v>-35.064328358208954</c:v>
                      </c:pt>
                      <c:pt idx="92" formatCode="General">
                        <c:v>-35.208880597014925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E9B-4A24-AF6E-BAFF55F304A7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-15.70018018018018</c:v>
                      </c:pt>
                      <c:pt idx="1">
                        <c:v>-14.888168168168168</c:v>
                      </c:pt>
                      <c:pt idx="2" formatCode="General">
                        <c:v>-14.076156156156156</c:v>
                      </c:pt>
                      <c:pt idx="3" formatCode="General">
                        <c:v>-13.171796407185628</c:v>
                      </c:pt>
                      <c:pt idx="4" formatCode="General">
                        <c:v>-12.245449101796405</c:v>
                      </c:pt>
                      <c:pt idx="5" formatCode="General">
                        <c:v>-11.336365269461076</c:v>
                      </c:pt>
                      <c:pt idx="6" formatCode="General">
                        <c:v>-10.482413173652693</c:v>
                      </c:pt>
                      <c:pt idx="7" formatCode="General">
                        <c:v>-9.628461077844312</c:v>
                      </c:pt>
                      <c:pt idx="8" formatCode="General">
                        <c:v>-8.8943293413173663</c:v>
                      </c:pt>
                      <c:pt idx="9" formatCode="General">
                        <c:v>-8.2194191616766474</c:v>
                      </c:pt>
                      <c:pt idx="10" formatCode="General">
                        <c:v>-7.5707814371257482</c:v>
                      </c:pt>
                      <c:pt idx="11" formatCode="General">
                        <c:v>-7.1585958083832333</c:v>
                      </c:pt>
                      <c:pt idx="12" formatCode="General">
                        <c:v>-6.7464101796407192</c:v>
                      </c:pt>
                      <c:pt idx="13" formatCode="General">
                        <c:v>-6.4751167664670657</c:v>
                      </c:pt>
                      <c:pt idx="14" formatCode="General">
                        <c:v>-6.3283802395209579</c:v>
                      </c:pt>
                      <c:pt idx="15" formatCode="General">
                        <c:v>-6.18164371257485</c:v>
                      </c:pt>
                      <c:pt idx="16" formatCode="General">
                        <c:v>-6.4226216216216221</c:v>
                      </c:pt>
                      <c:pt idx="17" formatCode="General">
                        <c:v>-6.6791081081081085</c:v>
                      </c:pt>
                      <c:pt idx="18" formatCode="General">
                        <c:v>-6.8345568862275448</c:v>
                      </c:pt>
                      <c:pt idx="19" formatCode="General">
                        <c:v>-6.8384491017964075</c:v>
                      </c:pt>
                      <c:pt idx="20" formatCode="General">
                        <c:v>-6.8423413173652694</c:v>
                      </c:pt>
                      <c:pt idx="21" formatCode="General">
                        <c:v>-6.8627245508982035</c:v>
                      </c:pt>
                      <c:pt idx="22" formatCode="General">
                        <c:v>-6.8864670658682634</c:v>
                      </c:pt>
                      <c:pt idx="23" formatCode="General">
                        <c:v>-6.911838323353293</c:v>
                      </c:pt>
                      <c:pt idx="24" formatCode="General">
                        <c:v>-6.9418083832335329</c:v>
                      </c:pt>
                      <c:pt idx="25" formatCode="General">
                        <c:v>-6.9717784431137719</c:v>
                      </c:pt>
                      <c:pt idx="26" formatCode="General">
                        <c:v>-7.0028263473053896</c:v>
                      </c:pt>
                      <c:pt idx="27" formatCode="General">
                        <c:v>-7.0343532934131741</c:v>
                      </c:pt>
                      <c:pt idx="28" formatCode="General">
                        <c:v>-7.0658802395209586</c:v>
                      </c:pt>
                      <c:pt idx="29" formatCode="General">
                        <c:v>-7.0974071856287431</c:v>
                      </c:pt>
                      <c:pt idx="30" formatCode="General">
                        <c:v>-7.1289341317365267</c:v>
                      </c:pt>
                      <c:pt idx="31" formatCode="General">
                        <c:v>-7.1602584269662923</c:v>
                      </c:pt>
                      <c:pt idx="32" formatCode="General">
                        <c:v>-7.1914194756554304</c:v>
                      </c:pt>
                      <c:pt idx="33" formatCode="General">
                        <c:v>-7.2225805243445693</c:v>
                      </c:pt>
                      <c:pt idx="34" formatCode="General">
                        <c:v>-7.2537415730337083</c:v>
                      </c:pt>
                      <c:pt idx="35" formatCode="General">
                        <c:v>-7.2849026217228463</c:v>
                      </c:pt>
                      <c:pt idx="36" formatCode="General">
                        <c:v>-7.3160636704119852</c:v>
                      </c:pt>
                      <c:pt idx="37" formatCode="General">
                        <c:v>-7.3472247191011233</c:v>
                      </c:pt>
                      <c:pt idx="38" formatCode="General">
                        <c:v>-7.3783857677902622</c:v>
                      </c:pt>
                      <c:pt idx="39" formatCode="General">
                        <c:v>-7.4095468164794012</c:v>
                      </c:pt>
                      <c:pt idx="40" formatCode="General">
                        <c:v>-7.4407078651685392</c:v>
                      </c:pt>
                      <c:pt idx="41" formatCode="General">
                        <c:v>-7.471370037453184</c:v>
                      </c:pt>
                      <c:pt idx="42" formatCode="General">
                        <c:v>-7.5007782771535583</c:v>
                      </c:pt>
                      <c:pt idx="43" formatCode="General">
                        <c:v>-7.5301865168539326</c:v>
                      </c:pt>
                      <c:pt idx="44" formatCode="General">
                        <c:v>-7.5595947565543069</c:v>
                      </c:pt>
                      <c:pt idx="45" formatCode="General">
                        <c:v>-7.5890029962546812</c:v>
                      </c:pt>
                      <c:pt idx="46" formatCode="General">
                        <c:v>-7.6184112359550564</c:v>
                      </c:pt>
                      <c:pt idx="47" formatCode="General">
                        <c:v>-7.6478194756554307</c:v>
                      </c:pt>
                      <c:pt idx="48" formatCode="General">
                        <c:v>-7.6772277153558051</c:v>
                      </c:pt>
                      <c:pt idx="49" formatCode="General">
                        <c:v>-7.7066359550561794</c:v>
                      </c:pt>
                      <c:pt idx="50" formatCode="General">
                        <c:v>-7.7360441947565537</c:v>
                      </c:pt>
                      <c:pt idx="51" formatCode="General">
                        <c:v>-7.7654249249249245</c:v>
                      </c:pt>
                      <c:pt idx="52" formatCode="General">
                        <c:v>-7.7930450450450452</c:v>
                      </c:pt>
                      <c:pt idx="53" formatCode="General">
                        <c:v>-7.8206651651651651</c:v>
                      </c:pt>
                      <c:pt idx="54" formatCode="General">
                        <c:v>-7.8482852852852849</c:v>
                      </c:pt>
                      <c:pt idx="55" formatCode="General">
                        <c:v>-7.8759054054054056</c:v>
                      </c:pt>
                      <c:pt idx="56" formatCode="General">
                        <c:v>-7.9035255255255255</c:v>
                      </c:pt>
                      <c:pt idx="57" formatCode="General">
                        <c:v>-7.9311456456456453</c:v>
                      </c:pt>
                      <c:pt idx="58" formatCode="General">
                        <c:v>-7.958765765765766</c:v>
                      </c:pt>
                      <c:pt idx="59" formatCode="General">
                        <c:v>-7.9863858858858858</c:v>
                      </c:pt>
                      <c:pt idx="60" formatCode="General">
                        <c:v>-8.0140060060060065</c:v>
                      </c:pt>
                      <c:pt idx="61" formatCode="General">
                        <c:v>-8.0416261261261255</c:v>
                      </c:pt>
                      <c:pt idx="62" formatCode="General">
                        <c:v>-8.0679999999999996</c:v>
                      </c:pt>
                      <c:pt idx="63" formatCode="General">
                        <c:v>-8.0939999999999994</c:v>
                      </c:pt>
                      <c:pt idx="64" formatCode="General">
                        <c:v>-8.1199999999999992</c:v>
                      </c:pt>
                      <c:pt idx="65" formatCode="General">
                        <c:v>-8.1460000000000008</c:v>
                      </c:pt>
                      <c:pt idx="66" formatCode="General">
                        <c:v>-8.1720000000000006</c:v>
                      </c:pt>
                      <c:pt idx="67" formatCode="General">
                        <c:v>-8.1975294117647053</c:v>
                      </c:pt>
                      <c:pt idx="68" formatCode="General">
                        <c:v>-8.2227647058823532</c:v>
                      </c:pt>
                      <c:pt idx="69" formatCode="General">
                        <c:v>-8.2479999999999993</c:v>
                      </c:pt>
                      <c:pt idx="70" formatCode="General">
                        <c:v>-8.2736060606060597</c:v>
                      </c:pt>
                      <c:pt idx="71" formatCode="General">
                        <c:v>-8.2992121212121219</c:v>
                      </c:pt>
                      <c:pt idx="72" formatCode="General">
                        <c:v>-8.3241879699248127</c:v>
                      </c:pt>
                      <c:pt idx="73" formatCode="General">
                        <c:v>-8.3484285714285722</c:v>
                      </c:pt>
                      <c:pt idx="74" formatCode="General">
                        <c:v>-8.3726691729323317</c:v>
                      </c:pt>
                      <c:pt idx="75" formatCode="General">
                        <c:v>-8.3969097744360912</c:v>
                      </c:pt>
                      <c:pt idx="76" formatCode="General">
                        <c:v>-8.4211503759398507</c:v>
                      </c:pt>
                      <c:pt idx="77" formatCode="General">
                        <c:v>-8.4453909774436084</c:v>
                      </c:pt>
                      <c:pt idx="78" formatCode="General">
                        <c:v>-8.469631578947368</c:v>
                      </c:pt>
                      <c:pt idx="79" formatCode="General">
                        <c:v>-8.4938721804511275</c:v>
                      </c:pt>
                      <c:pt idx="80" formatCode="General">
                        <c:v>-8.518112781954887</c:v>
                      </c:pt>
                      <c:pt idx="81" formatCode="General">
                        <c:v>-8.5423533834586465</c:v>
                      </c:pt>
                      <c:pt idx="82" formatCode="General">
                        <c:v>-8.5662388059701495</c:v>
                      </c:pt>
                      <c:pt idx="83" formatCode="General">
                        <c:v>-8.5889402985074632</c:v>
                      </c:pt>
                      <c:pt idx="84" formatCode="General">
                        <c:v>-8.6116417910447769</c:v>
                      </c:pt>
                      <c:pt idx="85" formatCode="General">
                        <c:v>-8.6343432835820888</c:v>
                      </c:pt>
                      <c:pt idx="86" formatCode="General">
                        <c:v>-8.6570447761194025</c:v>
                      </c:pt>
                      <c:pt idx="87" formatCode="General">
                        <c:v>-8.6797462686567162</c:v>
                      </c:pt>
                      <c:pt idx="88" formatCode="General">
                        <c:v>-8.7024477611940299</c:v>
                      </c:pt>
                      <c:pt idx="89" formatCode="General">
                        <c:v>-8.7251492537313435</c:v>
                      </c:pt>
                      <c:pt idx="90" formatCode="General">
                        <c:v>-8.7478507462686572</c:v>
                      </c:pt>
                      <c:pt idx="91" formatCode="General">
                        <c:v>-8.7705522388059709</c:v>
                      </c:pt>
                      <c:pt idx="92" formatCode="General">
                        <c:v>-8.7932537313432828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E9B-4A24-AF6E-BAFF55F304A7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-18.878558558558559</c:v>
                      </c:pt>
                      <c:pt idx="1">
                        <c:v>-18.874654654654655</c:v>
                      </c:pt>
                      <c:pt idx="2" formatCode="General">
                        <c:v>-18.870750750750751</c:v>
                      </c:pt>
                      <c:pt idx="3" formatCode="General">
                        <c:v>-18.879431137724552</c:v>
                      </c:pt>
                      <c:pt idx="4" formatCode="General">
                        <c:v>-18.891107784431139</c:v>
                      </c:pt>
                      <c:pt idx="5" formatCode="General">
                        <c:v>-18.903712574850299</c:v>
                      </c:pt>
                      <c:pt idx="6" formatCode="General">
                        <c:v>-18.919281437125747</c:v>
                      </c:pt>
                      <c:pt idx="7" formatCode="General">
                        <c:v>-18.934850299401198</c:v>
                      </c:pt>
                      <c:pt idx="8" formatCode="General">
                        <c:v>-18.953023952095808</c:v>
                      </c:pt>
                      <c:pt idx="9" formatCode="General">
                        <c:v>-18.97248502994012</c:v>
                      </c:pt>
                      <c:pt idx="10" formatCode="General">
                        <c:v>-18.991946107784429</c:v>
                      </c:pt>
                      <c:pt idx="11" formatCode="General">
                        <c:v>-19.011407185628741</c:v>
                      </c:pt>
                      <c:pt idx="12" formatCode="General">
                        <c:v>-19.030868263473053</c:v>
                      </c:pt>
                      <c:pt idx="13" formatCode="General">
                        <c:v>-19.046197604790418</c:v>
                      </c:pt>
                      <c:pt idx="14" formatCode="General">
                        <c:v>-19.057874251497005</c:v>
                      </c:pt>
                      <c:pt idx="15" formatCode="General">
                        <c:v>-19.069550898203595</c:v>
                      </c:pt>
                      <c:pt idx="16" formatCode="General">
                        <c:v>-19.028708708708709</c:v>
                      </c:pt>
                      <c:pt idx="17" formatCode="General">
                        <c:v>-18.985765765765766</c:v>
                      </c:pt>
                      <c:pt idx="18" formatCode="General">
                        <c:v>-18.970898203592814</c:v>
                      </c:pt>
                      <c:pt idx="19" formatCode="General">
                        <c:v>-18.998143712574851</c:v>
                      </c:pt>
                      <c:pt idx="20" formatCode="General">
                        <c:v>-19.025389221556889</c:v>
                      </c:pt>
                      <c:pt idx="21" formatCode="General">
                        <c:v>-19.052634730538923</c:v>
                      </c:pt>
                      <c:pt idx="22" formatCode="General">
                        <c:v>-19.079880239520961</c:v>
                      </c:pt>
                      <c:pt idx="23" formatCode="General">
                        <c:v>-19.107125748502995</c:v>
                      </c:pt>
                      <c:pt idx="24" formatCode="General">
                        <c:v>-19.134371257485032</c:v>
                      </c:pt>
                      <c:pt idx="25" formatCode="General">
                        <c:v>-19.161616766467066</c:v>
                      </c:pt>
                      <c:pt idx="26" formatCode="General">
                        <c:v>-19.188862275449104</c:v>
                      </c:pt>
                      <c:pt idx="27" formatCode="General">
                        <c:v>-19.216107784431138</c:v>
                      </c:pt>
                      <c:pt idx="28" formatCode="General">
                        <c:v>-19.243353293413172</c:v>
                      </c:pt>
                      <c:pt idx="29" formatCode="General">
                        <c:v>-19.27059880239521</c:v>
                      </c:pt>
                      <c:pt idx="30" formatCode="General">
                        <c:v>-19.297844311377244</c:v>
                      </c:pt>
                      <c:pt idx="31" formatCode="General">
                        <c:v>-19.324022471910112</c:v>
                      </c:pt>
                      <c:pt idx="32" formatCode="General">
                        <c:v>-19.349340823970035</c:v>
                      </c:pt>
                      <c:pt idx="33" formatCode="General">
                        <c:v>-19.374659176029962</c:v>
                      </c:pt>
                      <c:pt idx="34" formatCode="General">
                        <c:v>-19.399977528089888</c:v>
                      </c:pt>
                      <c:pt idx="35" formatCode="General">
                        <c:v>-19.425295880149811</c:v>
                      </c:pt>
                      <c:pt idx="36" formatCode="General">
                        <c:v>-19.450614232209738</c:v>
                      </c:pt>
                      <c:pt idx="37" formatCode="General">
                        <c:v>-19.475932584269664</c:v>
                      </c:pt>
                      <c:pt idx="38" formatCode="General">
                        <c:v>-19.501250936329587</c:v>
                      </c:pt>
                      <c:pt idx="39" formatCode="General">
                        <c:v>-19.526569288389513</c:v>
                      </c:pt>
                      <c:pt idx="40" formatCode="General">
                        <c:v>-19.55188764044944</c:v>
                      </c:pt>
                      <c:pt idx="41" formatCode="General">
                        <c:v>-19.576928838951311</c:v>
                      </c:pt>
                      <c:pt idx="42" formatCode="General">
                        <c:v>-19.601273408239702</c:v>
                      </c:pt>
                      <c:pt idx="43" formatCode="General">
                        <c:v>-19.625617977528091</c:v>
                      </c:pt>
                      <c:pt idx="44" formatCode="General">
                        <c:v>-19.649962546816479</c:v>
                      </c:pt>
                      <c:pt idx="45" formatCode="General">
                        <c:v>-19.67430711610487</c:v>
                      </c:pt>
                      <c:pt idx="46" formatCode="General">
                        <c:v>-19.698651685393259</c:v>
                      </c:pt>
                      <c:pt idx="47" formatCode="General">
                        <c:v>-19.722996254681647</c:v>
                      </c:pt>
                      <c:pt idx="48" formatCode="General">
                        <c:v>-19.747340823970038</c:v>
                      </c:pt>
                      <c:pt idx="49" formatCode="General">
                        <c:v>-19.771685393258426</c:v>
                      </c:pt>
                      <c:pt idx="50" formatCode="General">
                        <c:v>-19.796029962546818</c:v>
                      </c:pt>
                      <c:pt idx="51" formatCode="General">
                        <c:v>-19.820345345345345</c:v>
                      </c:pt>
                      <c:pt idx="52" formatCode="General">
                        <c:v>-19.842792792792793</c:v>
                      </c:pt>
                      <c:pt idx="53" formatCode="General">
                        <c:v>-19.86524024024024</c:v>
                      </c:pt>
                      <c:pt idx="54" formatCode="General">
                        <c:v>-19.887687687687688</c:v>
                      </c:pt>
                      <c:pt idx="55" formatCode="General">
                        <c:v>-19.910135135135135</c:v>
                      </c:pt>
                      <c:pt idx="56" formatCode="General">
                        <c:v>-19.932582582582583</c:v>
                      </c:pt>
                      <c:pt idx="57" formatCode="General">
                        <c:v>-19.955030030030031</c:v>
                      </c:pt>
                      <c:pt idx="58" formatCode="General">
                        <c:v>-19.977477477477478</c:v>
                      </c:pt>
                      <c:pt idx="59" formatCode="General">
                        <c:v>-19.999924924924926</c:v>
                      </c:pt>
                      <c:pt idx="60" formatCode="General">
                        <c:v>-20.022372372372374</c:v>
                      </c:pt>
                      <c:pt idx="61" formatCode="General">
                        <c:v>-20.044819819819821</c:v>
                      </c:pt>
                      <c:pt idx="62" formatCode="General">
                        <c:v>-20.067647058823528</c:v>
                      </c:pt>
                      <c:pt idx="63" formatCode="General">
                        <c:v>-20.090588235294117</c:v>
                      </c:pt>
                      <c:pt idx="64" formatCode="General">
                        <c:v>-20.113030303030303</c:v>
                      </c:pt>
                      <c:pt idx="65" formatCode="General">
                        <c:v>-20.132727272727273</c:v>
                      </c:pt>
                      <c:pt idx="66" formatCode="General">
                        <c:v>-20.152424242424242</c:v>
                      </c:pt>
                      <c:pt idx="67" formatCode="General">
                        <c:v>-20.171764705882353</c:v>
                      </c:pt>
                      <c:pt idx="68" formatCode="General">
                        <c:v>-20.190882352941177</c:v>
                      </c:pt>
                      <c:pt idx="69" formatCode="General">
                        <c:v>-20.21</c:v>
                      </c:pt>
                      <c:pt idx="70" formatCode="General">
                        <c:v>-20.22969696969697</c:v>
                      </c:pt>
                      <c:pt idx="71" formatCode="General">
                        <c:v>-20.24939393939394</c:v>
                      </c:pt>
                      <c:pt idx="72" formatCode="General">
                        <c:v>-20.269022556390979</c:v>
                      </c:pt>
                      <c:pt idx="73" formatCode="General">
                        <c:v>-20.28857142857143</c:v>
                      </c:pt>
                      <c:pt idx="74" formatCode="General">
                        <c:v>-20.308120300751881</c:v>
                      </c:pt>
                      <c:pt idx="75" formatCode="General">
                        <c:v>-20.327669172932332</c:v>
                      </c:pt>
                      <c:pt idx="76" formatCode="General">
                        <c:v>-20.347218045112783</c:v>
                      </c:pt>
                      <c:pt idx="77" formatCode="General">
                        <c:v>-20.366766917293234</c:v>
                      </c:pt>
                      <c:pt idx="78" formatCode="General">
                        <c:v>-20.386315789473684</c:v>
                      </c:pt>
                      <c:pt idx="79" formatCode="General">
                        <c:v>-20.405864661654135</c:v>
                      </c:pt>
                      <c:pt idx="80" formatCode="General">
                        <c:v>-20.425413533834586</c:v>
                      </c:pt>
                      <c:pt idx="81" formatCode="General">
                        <c:v>-20.444962406015037</c:v>
                      </c:pt>
                      <c:pt idx="82" formatCode="General">
                        <c:v>-20.464253731343284</c:v>
                      </c:pt>
                      <c:pt idx="83" formatCode="General">
                        <c:v>-20.48268656716418</c:v>
                      </c:pt>
                      <c:pt idx="84" formatCode="General">
                        <c:v>-20.501119402985076</c:v>
                      </c:pt>
                      <c:pt idx="85" formatCode="General">
                        <c:v>-20.519552238805971</c:v>
                      </c:pt>
                      <c:pt idx="86" formatCode="General">
                        <c:v>-20.537985074626867</c:v>
                      </c:pt>
                      <c:pt idx="87" formatCode="General">
                        <c:v>-20.55641791044776</c:v>
                      </c:pt>
                      <c:pt idx="88" formatCode="General">
                        <c:v>-20.574850746268655</c:v>
                      </c:pt>
                      <c:pt idx="89" formatCode="General">
                        <c:v>-20.593283582089551</c:v>
                      </c:pt>
                      <c:pt idx="90" formatCode="General">
                        <c:v>-20.611716417910447</c:v>
                      </c:pt>
                      <c:pt idx="91" formatCode="General">
                        <c:v>-20.630149253731343</c:v>
                      </c:pt>
                      <c:pt idx="92" formatCode="General">
                        <c:v>-20.648582089552239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E9B-4A24-AF6E-BAFF55F304A7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-59.785315315315316</c:v>
                      </c:pt>
                      <c:pt idx="1">
                        <c:v>-57.064294294294292</c:v>
                      </c:pt>
                      <c:pt idx="2" formatCode="General">
                        <c:v>-54.343273273273276</c:v>
                      </c:pt>
                      <c:pt idx="3" formatCode="General">
                        <c:v>-51.679131736526941</c:v>
                      </c:pt>
                      <c:pt idx="4" formatCode="General">
                        <c:v>-49.028532934131732</c:v>
                      </c:pt>
                      <c:pt idx="5" formatCode="General">
                        <c:v>-46.442904191616762</c:v>
                      </c:pt>
                      <c:pt idx="6" formatCode="General">
                        <c:v>-44.064760479041915</c:v>
                      </c:pt>
                      <c:pt idx="7" formatCode="General">
                        <c:v>-41.686616766467068</c:v>
                      </c:pt>
                      <c:pt idx="8" formatCode="General">
                        <c:v>-39.548113772455089</c:v>
                      </c:pt>
                      <c:pt idx="9" formatCode="General">
                        <c:v>-37.528053892215567</c:v>
                      </c:pt>
                      <c:pt idx="10" formatCode="General">
                        <c:v>-35.541856287425148</c:v>
                      </c:pt>
                      <c:pt idx="11" formatCode="General">
                        <c:v>-33.860419161676646</c:v>
                      </c:pt>
                      <c:pt idx="12" formatCode="General">
                        <c:v>-32.178982035928144</c:v>
                      </c:pt>
                      <c:pt idx="13" formatCode="General">
                        <c:v>-30.619431137724554</c:v>
                      </c:pt>
                      <c:pt idx="14" formatCode="General">
                        <c:v>-29.167634730538925</c:v>
                      </c:pt>
                      <c:pt idx="15" formatCode="General">
                        <c:v>-27.715838323353292</c:v>
                      </c:pt>
                      <c:pt idx="16" formatCode="General">
                        <c:v>-27.333423423423422</c:v>
                      </c:pt>
                      <c:pt idx="17" formatCode="General">
                        <c:v>-26.993783783783783</c:v>
                      </c:pt>
                      <c:pt idx="18" formatCode="General">
                        <c:v>-26.995508982035929</c:v>
                      </c:pt>
                      <c:pt idx="19" formatCode="General">
                        <c:v>-27.509281437125747</c:v>
                      </c:pt>
                      <c:pt idx="20" formatCode="General">
                        <c:v>-28.023053892215568</c:v>
                      </c:pt>
                      <c:pt idx="21" formatCode="General">
                        <c:v>-28.530359281437125</c:v>
                      </c:pt>
                      <c:pt idx="22" formatCode="General">
                        <c:v>-29.036347305389221</c:v>
                      </c:pt>
                      <c:pt idx="23" formatCode="General">
                        <c:v>-29.540299401197604</c:v>
                      </c:pt>
                      <c:pt idx="24" formatCode="General">
                        <c:v>-30.038502994011978</c:v>
                      </c:pt>
                      <c:pt idx="25" formatCode="General">
                        <c:v>-30.536706586826348</c:v>
                      </c:pt>
                      <c:pt idx="26" formatCode="General">
                        <c:v>-31.026826347305391</c:v>
                      </c:pt>
                      <c:pt idx="27" formatCode="General">
                        <c:v>-31.513353293413175</c:v>
                      </c:pt>
                      <c:pt idx="28" formatCode="General">
                        <c:v>-31.998443113772456</c:v>
                      </c:pt>
                      <c:pt idx="29" formatCode="General">
                        <c:v>-32.47329341317365</c:v>
                      </c:pt>
                      <c:pt idx="30" formatCode="General">
                        <c:v>-32.948143712574847</c:v>
                      </c:pt>
                      <c:pt idx="31" formatCode="General">
                        <c:v>-33.403235955056175</c:v>
                      </c:pt>
                      <c:pt idx="32" formatCode="General">
                        <c:v>-33.842411985018728</c:v>
                      </c:pt>
                      <c:pt idx="33" formatCode="General">
                        <c:v>-34.281588014981274</c:v>
                      </c:pt>
                      <c:pt idx="34" formatCode="General">
                        <c:v>-34.72076404494382</c:v>
                      </c:pt>
                      <c:pt idx="35" formatCode="General">
                        <c:v>-35.159940074906366</c:v>
                      </c:pt>
                      <c:pt idx="36" formatCode="General">
                        <c:v>-35.599116104868912</c:v>
                      </c:pt>
                      <c:pt idx="37" formatCode="General">
                        <c:v>-36.038292134831465</c:v>
                      </c:pt>
                      <c:pt idx="38" formatCode="General">
                        <c:v>-36.477468164794011</c:v>
                      </c:pt>
                      <c:pt idx="39" formatCode="General">
                        <c:v>-36.916644194756557</c:v>
                      </c:pt>
                      <c:pt idx="40" formatCode="General">
                        <c:v>-37.355820224719103</c:v>
                      </c:pt>
                      <c:pt idx="41" formatCode="General">
                        <c:v>-37.774209737827718</c:v>
                      </c:pt>
                      <c:pt idx="42" formatCode="General">
                        <c:v>-38.1403520599251</c:v>
                      </c:pt>
                      <c:pt idx="43" formatCode="General">
                        <c:v>-38.506494382022474</c:v>
                      </c:pt>
                      <c:pt idx="44" formatCode="General">
                        <c:v>-38.872636704119856</c:v>
                      </c:pt>
                      <c:pt idx="45" formatCode="General">
                        <c:v>-39.23877902621723</c:v>
                      </c:pt>
                      <c:pt idx="46" formatCode="General">
                        <c:v>-39.604921348314612</c:v>
                      </c:pt>
                      <c:pt idx="47" formatCode="General">
                        <c:v>-39.971063670411986</c:v>
                      </c:pt>
                      <c:pt idx="48" formatCode="General">
                        <c:v>-40.337205992509368</c:v>
                      </c:pt>
                      <c:pt idx="49" formatCode="General">
                        <c:v>-40.703348314606743</c:v>
                      </c:pt>
                      <c:pt idx="50" formatCode="General">
                        <c:v>-41.069490636704124</c:v>
                      </c:pt>
                      <c:pt idx="51" formatCode="General">
                        <c:v>-41.434354354354355</c:v>
                      </c:pt>
                      <c:pt idx="52" formatCode="General">
                        <c:v>-41.71738738738739</c:v>
                      </c:pt>
                      <c:pt idx="53" formatCode="General">
                        <c:v>-42.000420420420419</c:v>
                      </c:pt>
                      <c:pt idx="54" formatCode="General">
                        <c:v>-42.283453453453454</c:v>
                      </c:pt>
                      <c:pt idx="55" formatCode="General">
                        <c:v>-42.56648648648649</c:v>
                      </c:pt>
                      <c:pt idx="56" formatCode="General">
                        <c:v>-42.849519519519518</c:v>
                      </c:pt>
                      <c:pt idx="57" formatCode="General">
                        <c:v>-43.132552552552553</c:v>
                      </c:pt>
                      <c:pt idx="58" formatCode="General">
                        <c:v>-43.415585585585582</c:v>
                      </c:pt>
                      <c:pt idx="59" formatCode="General">
                        <c:v>-43.698618618618617</c:v>
                      </c:pt>
                      <c:pt idx="60" formatCode="General">
                        <c:v>-43.981651651651653</c:v>
                      </c:pt>
                      <c:pt idx="61" formatCode="General">
                        <c:v>-44.264684684684681</c:v>
                      </c:pt>
                      <c:pt idx="62" formatCode="General">
                        <c:v>-44.497647058823524</c:v>
                      </c:pt>
                      <c:pt idx="63" formatCode="General">
                        <c:v>-44.715588235294113</c:v>
                      </c:pt>
                      <c:pt idx="64" formatCode="General">
                        <c:v>-44.93151515151515</c:v>
                      </c:pt>
                      <c:pt idx="65" formatCode="General">
                        <c:v>-45.136363636363633</c:v>
                      </c:pt>
                      <c:pt idx="66" formatCode="General">
                        <c:v>-45.341212121212124</c:v>
                      </c:pt>
                      <c:pt idx="67" formatCode="General">
                        <c:v>-45.523529411764706</c:v>
                      </c:pt>
                      <c:pt idx="68" formatCode="General">
                        <c:v>-45.691764705882356</c:v>
                      </c:pt>
                      <c:pt idx="69" formatCode="General">
                        <c:v>-45.86</c:v>
                      </c:pt>
                      <c:pt idx="70" formatCode="General">
                        <c:v>-46.013636363636365</c:v>
                      </c:pt>
                      <c:pt idx="71" formatCode="General">
                        <c:v>-46.167272727272724</c:v>
                      </c:pt>
                      <c:pt idx="72" formatCode="General">
                        <c:v>-46.288796992481203</c:v>
                      </c:pt>
                      <c:pt idx="73" formatCode="General">
                        <c:v>-46.372857142857143</c:v>
                      </c:pt>
                      <c:pt idx="74" formatCode="General">
                        <c:v>-46.456917293233083</c:v>
                      </c:pt>
                      <c:pt idx="75" formatCode="General">
                        <c:v>-46.540977443609023</c:v>
                      </c:pt>
                      <c:pt idx="76" formatCode="General">
                        <c:v>-46.625037593984963</c:v>
                      </c:pt>
                      <c:pt idx="77" formatCode="General">
                        <c:v>-46.709097744360903</c:v>
                      </c:pt>
                      <c:pt idx="78" formatCode="General">
                        <c:v>-46.793157894736844</c:v>
                      </c:pt>
                      <c:pt idx="79" formatCode="General">
                        <c:v>-46.877218045112784</c:v>
                      </c:pt>
                      <c:pt idx="80" formatCode="General">
                        <c:v>-46.961278195488724</c:v>
                      </c:pt>
                      <c:pt idx="81" formatCode="General">
                        <c:v>-47.045338345864664</c:v>
                      </c:pt>
                      <c:pt idx="82" formatCode="General">
                        <c:v>-47.104179104477609</c:v>
                      </c:pt>
                      <c:pt idx="83" formatCode="General">
                        <c:v>-47.078955223880598</c:v>
                      </c:pt>
                      <c:pt idx="84" formatCode="General">
                        <c:v>-47.05373134328358</c:v>
                      </c:pt>
                      <c:pt idx="85" formatCode="General">
                        <c:v>-47.028507462686569</c:v>
                      </c:pt>
                      <c:pt idx="86" formatCode="General">
                        <c:v>-47.003283582089551</c:v>
                      </c:pt>
                      <c:pt idx="87" formatCode="General">
                        <c:v>-46.978059701492541</c:v>
                      </c:pt>
                      <c:pt idx="88" formatCode="General">
                        <c:v>-46.952835820895523</c:v>
                      </c:pt>
                      <c:pt idx="89" formatCode="General">
                        <c:v>-46.927611940298512</c:v>
                      </c:pt>
                      <c:pt idx="90" formatCode="General">
                        <c:v>-46.902388059701494</c:v>
                      </c:pt>
                      <c:pt idx="91" formatCode="General">
                        <c:v>-46.877164179104476</c:v>
                      </c:pt>
                      <c:pt idx="92" formatCode="General">
                        <c:v>-46.851940298507465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E9B-4A24-AF6E-BAFF55F304A7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-15.70018018018018</c:v>
                      </c:pt>
                      <c:pt idx="1">
                        <c:v>-14.888168168168168</c:v>
                      </c:pt>
                      <c:pt idx="2" formatCode="General">
                        <c:v>-14.076156156156156</c:v>
                      </c:pt>
                      <c:pt idx="3" formatCode="General">
                        <c:v>-13.171796407185628</c:v>
                      </c:pt>
                      <c:pt idx="4" formatCode="General">
                        <c:v>-12.245449101796405</c:v>
                      </c:pt>
                      <c:pt idx="5" formatCode="General">
                        <c:v>-11.336365269461076</c:v>
                      </c:pt>
                      <c:pt idx="6" formatCode="General">
                        <c:v>-10.482413173652693</c:v>
                      </c:pt>
                      <c:pt idx="7" formatCode="General">
                        <c:v>-9.628461077844312</c:v>
                      </c:pt>
                      <c:pt idx="8" formatCode="General">
                        <c:v>-8.8943293413173663</c:v>
                      </c:pt>
                      <c:pt idx="9" formatCode="General">
                        <c:v>-8.2194191616766474</c:v>
                      </c:pt>
                      <c:pt idx="10" formatCode="General">
                        <c:v>-7.5707814371257482</c:v>
                      </c:pt>
                      <c:pt idx="11" formatCode="General">
                        <c:v>-7.1585958083832333</c:v>
                      </c:pt>
                      <c:pt idx="12" formatCode="General">
                        <c:v>-6.7464101796407192</c:v>
                      </c:pt>
                      <c:pt idx="13" formatCode="General">
                        <c:v>-6.4751167664670657</c:v>
                      </c:pt>
                      <c:pt idx="14" formatCode="General">
                        <c:v>-6.3283802395209579</c:v>
                      </c:pt>
                      <c:pt idx="15" formatCode="General">
                        <c:v>-6.18164371257485</c:v>
                      </c:pt>
                      <c:pt idx="16" formatCode="General">
                        <c:v>-6.4226216216216221</c:v>
                      </c:pt>
                      <c:pt idx="17" formatCode="General">
                        <c:v>-6.6791081081081085</c:v>
                      </c:pt>
                      <c:pt idx="18" formatCode="General">
                        <c:v>-6.8345568862275448</c:v>
                      </c:pt>
                      <c:pt idx="19" formatCode="General">
                        <c:v>-6.8384491017964075</c:v>
                      </c:pt>
                      <c:pt idx="20" formatCode="General">
                        <c:v>-6.8423413173652694</c:v>
                      </c:pt>
                      <c:pt idx="21" formatCode="General">
                        <c:v>-6.8627245508982035</c:v>
                      </c:pt>
                      <c:pt idx="22" formatCode="General">
                        <c:v>-6.8864670658682634</c:v>
                      </c:pt>
                      <c:pt idx="23" formatCode="General">
                        <c:v>-6.911838323353293</c:v>
                      </c:pt>
                      <c:pt idx="24" formatCode="General">
                        <c:v>-6.9418083832335329</c:v>
                      </c:pt>
                      <c:pt idx="25" formatCode="General">
                        <c:v>-6.9717784431137719</c:v>
                      </c:pt>
                      <c:pt idx="26" formatCode="General">
                        <c:v>-7.0028263473053896</c:v>
                      </c:pt>
                      <c:pt idx="27" formatCode="General">
                        <c:v>-7.0343532934131741</c:v>
                      </c:pt>
                      <c:pt idx="28" formatCode="General">
                        <c:v>-7.0658802395209586</c:v>
                      </c:pt>
                      <c:pt idx="29" formatCode="General">
                        <c:v>-7.0974071856287431</c:v>
                      </c:pt>
                      <c:pt idx="30" formatCode="General">
                        <c:v>-7.1289341317365267</c:v>
                      </c:pt>
                      <c:pt idx="31" formatCode="General">
                        <c:v>-7.1602584269662923</c:v>
                      </c:pt>
                      <c:pt idx="32" formatCode="General">
                        <c:v>-7.1914194756554304</c:v>
                      </c:pt>
                      <c:pt idx="33" formatCode="General">
                        <c:v>-7.2225805243445693</c:v>
                      </c:pt>
                      <c:pt idx="34" formatCode="General">
                        <c:v>-7.2537415730337083</c:v>
                      </c:pt>
                      <c:pt idx="35" formatCode="General">
                        <c:v>-7.2849026217228463</c:v>
                      </c:pt>
                      <c:pt idx="36" formatCode="General">
                        <c:v>-7.3160636704119852</c:v>
                      </c:pt>
                      <c:pt idx="37" formatCode="General">
                        <c:v>-7.3472247191011233</c:v>
                      </c:pt>
                      <c:pt idx="38" formatCode="General">
                        <c:v>-7.3783857677902622</c:v>
                      </c:pt>
                      <c:pt idx="39" formatCode="General">
                        <c:v>-7.4095468164794012</c:v>
                      </c:pt>
                      <c:pt idx="40" formatCode="General">
                        <c:v>-7.4407078651685392</c:v>
                      </c:pt>
                      <c:pt idx="41" formatCode="General">
                        <c:v>-7.471370037453184</c:v>
                      </c:pt>
                      <c:pt idx="42" formatCode="General">
                        <c:v>-7.5007782771535583</c:v>
                      </c:pt>
                      <c:pt idx="43" formatCode="General">
                        <c:v>-7.5301865168539326</c:v>
                      </c:pt>
                      <c:pt idx="44" formatCode="General">
                        <c:v>-7.5595947565543069</c:v>
                      </c:pt>
                      <c:pt idx="45" formatCode="General">
                        <c:v>-7.5890029962546812</c:v>
                      </c:pt>
                      <c:pt idx="46" formatCode="General">
                        <c:v>-7.6184112359550564</c:v>
                      </c:pt>
                      <c:pt idx="47" formatCode="General">
                        <c:v>-7.6478194756554307</c:v>
                      </c:pt>
                      <c:pt idx="48" formatCode="General">
                        <c:v>-7.6772277153558051</c:v>
                      </c:pt>
                      <c:pt idx="49" formatCode="General">
                        <c:v>-7.7066359550561794</c:v>
                      </c:pt>
                      <c:pt idx="50" formatCode="General">
                        <c:v>-7.7360441947565537</c:v>
                      </c:pt>
                      <c:pt idx="51" formatCode="General">
                        <c:v>-7.7654249249249245</c:v>
                      </c:pt>
                      <c:pt idx="52" formatCode="General">
                        <c:v>-7.7930450450450452</c:v>
                      </c:pt>
                      <c:pt idx="53" formatCode="General">
                        <c:v>-7.8206651651651651</c:v>
                      </c:pt>
                      <c:pt idx="54" formatCode="General">
                        <c:v>-7.8482852852852849</c:v>
                      </c:pt>
                      <c:pt idx="55" formatCode="General">
                        <c:v>-7.8759054054054056</c:v>
                      </c:pt>
                      <c:pt idx="56" formatCode="General">
                        <c:v>-7.9035255255255255</c:v>
                      </c:pt>
                      <c:pt idx="57" formatCode="General">
                        <c:v>-7.9311456456456453</c:v>
                      </c:pt>
                      <c:pt idx="58" formatCode="General">
                        <c:v>-7.958765765765766</c:v>
                      </c:pt>
                      <c:pt idx="59" formatCode="General">
                        <c:v>-7.9863858858858858</c:v>
                      </c:pt>
                      <c:pt idx="60" formatCode="General">
                        <c:v>-8.0140060060060065</c:v>
                      </c:pt>
                      <c:pt idx="61" formatCode="General">
                        <c:v>-8.0416261261261255</c:v>
                      </c:pt>
                      <c:pt idx="62" formatCode="General">
                        <c:v>-8.0679999999999996</c:v>
                      </c:pt>
                      <c:pt idx="63" formatCode="General">
                        <c:v>-8.0939999999999994</c:v>
                      </c:pt>
                      <c:pt idx="64" formatCode="General">
                        <c:v>-8.1199999999999992</c:v>
                      </c:pt>
                      <c:pt idx="65" formatCode="General">
                        <c:v>-8.1460000000000008</c:v>
                      </c:pt>
                      <c:pt idx="66" formatCode="General">
                        <c:v>-8.1720000000000006</c:v>
                      </c:pt>
                      <c:pt idx="67" formatCode="General">
                        <c:v>-8.1975294117647053</c:v>
                      </c:pt>
                      <c:pt idx="68" formatCode="General">
                        <c:v>-8.2227647058823532</c:v>
                      </c:pt>
                      <c:pt idx="69" formatCode="General">
                        <c:v>-8.2479999999999993</c:v>
                      </c:pt>
                      <c:pt idx="70" formatCode="General">
                        <c:v>-8.2736060606060597</c:v>
                      </c:pt>
                      <c:pt idx="71" formatCode="General">
                        <c:v>-8.2992121212121219</c:v>
                      </c:pt>
                      <c:pt idx="72" formatCode="General">
                        <c:v>-8.3241879699248127</c:v>
                      </c:pt>
                      <c:pt idx="73" formatCode="General">
                        <c:v>-8.3484285714285722</c:v>
                      </c:pt>
                      <c:pt idx="74" formatCode="General">
                        <c:v>-8.3726691729323317</c:v>
                      </c:pt>
                      <c:pt idx="75" formatCode="General">
                        <c:v>-8.3969097744360912</c:v>
                      </c:pt>
                      <c:pt idx="76" formatCode="General">
                        <c:v>-8.4211503759398507</c:v>
                      </c:pt>
                      <c:pt idx="77" formatCode="General">
                        <c:v>-8.4453909774436084</c:v>
                      </c:pt>
                      <c:pt idx="78" formatCode="General">
                        <c:v>-8.469631578947368</c:v>
                      </c:pt>
                      <c:pt idx="79" formatCode="General">
                        <c:v>-8.4938721804511275</c:v>
                      </c:pt>
                      <c:pt idx="80" formatCode="General">
                        <c:v>-8.518112781954887</c:v>
                      </c:pt>
                      <c:pt idx="81" formatCode="General">
                        <c:v>-8.5423533834586465</c:v>
                      </c:pt>
                      <c:pt idx="82" formatCode="General">
                        <c:v>-8.5662388059701495</c:v>
                      </c:pt>
                      <c:pt idx="83" formatCode="General">
                        <c:v>-8.5889402985074632</c:v>
                      </c:pt>
                      <c:pt idx="84" formatCode="General">
                        <c:v>-8.6116417910447769</c:v>
                      </c:pt>
                      <c:pt idx="85" formatCode="General">
                        <c:v>-8.6343432835820888</c:v>
                      </c:pt>
                      <c:pt idx="86" formatCode="General">
                        <c:v>-8.6570447761194025</c:v>
                      </c:pt>
                      <c:pt idx="87" formatCode="General">
                        <c:v>-8.6797462686567162</c:v>
                      </c:pt>
                      <c:pt idx="88" formatCode="General">
                        <c:v>-8.7024477611940299</c:v>
                      </c:pt>
                      <c:pt idx="89" formatCode="General">
                        <c:v>-8.7251492537313435</c:v>
                      </c:pt>
                      <c:pt idx="90" formatCode="General">
                        <c:v>-8.7478507462686572</c:v>
                      </c:pt>
                      <c:pt idx="91" formatCode="General">
                        <c:v>-8.7705522388059709</c:v>
                      </c:pt>
                      <c:pt idx="92" formatCode="General">
                        <c:v>-8.7932537313432828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E9B-4A24-AF6E-BAFF55F304A7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-22.018918918918921</c:v>
                      </c:pt>
                      <c:pt idx="1">
                        <c:v>-21.69099099099099</c:v>
                      </c:pt>
                      <c:pt idx="2" formatCode="General">
                        <c:v>-21.363063063063063</c:v>
                      </c:pt>
                      <c:pt idx="3" formatCode="General">
                        <c:v>-21.328293413173654</c:v>
                      </c:pt>
                      <c:pt idx="4" formatCode="General">
                        <c:v>-21.363323353293413</c:v>
                      </c:pt>
                      <c:pt idx="5" formatCode="General">
                        <c:v>-21.428053892215569</c:v>
                      </c:pt>
                      <c:pt idx="6" formatCode="General">
                        <c:v>-21.587634730538923</c:v>
                      </c:pt>
                      <c:pt idx="7" formatCode="General">
                        <c:v>-21.747215568862277</c:v>
                      </c:pt>
                      <c:pt idx="8" formatCode="General">
                        <c:v>-21.901586826347305</c:v>
                      </c:pt>
                      <c:pt idx="9" formatCode="General">
                        <c:v>-22.053383233532934</c:v>
                      </c:pt>
                      <c:pt idx="10" formatCode="General">
                        <c:v>-22.201287425149701</c:v>
                      </c:pt>
                      <c:pt idx="11" formatCode="General">
                        <c:v>-22.314161676646709</c:v>
                      </c:pt>
                      <c:pt idx="12" formatCode="General">
                        <c:v>-22.427035928143713</c:v>
                      </c:pt>
                      <c:pt idx="13" formatCode="General">
                        <c:v>-22.544041916167664</c:v>
                      </c:pt>
                      <c:pt idx="14" formatCode="General">
                        <c:v>-22.664700598802394</c:v>
                      </c:pt>
                      <c:pt idx="15" formatCode="General">
                        <c:v>-22.785359281437124</c:v>
                      </c:pt>
                      <c:pt idx="16" formatCode="General">
                        <c:v>-22.883843843843842</c:v>
                      </c:pt>
                      <c:pt idx="17" formatCode="General">
                        <c:v>-22.98144144144144</c:v>
                      </c:pt>
                      <c:pt idx="18" formatCode="General">
                        <c:v>-23.1162874251497</c:v>
                      </c:pt>
                      <c:pt idx="19" formatCode="General">
                        <c:v>-23.307005988023953</c:v>
                      </c:pt>
                      <c:pt idx="20" formatCode="General">
                        <c:v>-23.497724550898205</c:v>
                      </c:pt>
                      <c:pt idx="21" formatCode="General">
                        <c:v>-23.691676646706586</c:v>
                      </c:pt>
                      <c:pt idx="22" formatCode="General">
                        <c:v>-23.8862874251497</c:v>
                      </c:pt>
                      <c:pt idx="23" formatCode="General">
                        <c:v>-24.078862275449104</c:v>
                      </c:pt>
                      <c:pt idx="24" formatCode="General">
                        <c:v>-24.265688622754492</c:v>
                      </c:pt>
                      <c:pt idx="25" formatCode="General">
                        <c:v>-24.45251497005988</c:v>
                      </c:pt>
                      <c:pt idx="26" formatCode="General">
                        <c:v>-24.639341317365272</c:v>
                      </c:pt>
                      <c:pt idx="27" formatCode="General">
                        <c:v>-24.82616766467066</c:v>
                      </c:pt>
                      <c:pt idx="28" formatCode="General">
                        <c:v>-25.012994011976048</c:v>
                      </c:pt>
                      <c:pt idx="29" formatCode="General">
                        <c:v>-25.199820359281436</c:v>
                      </c:pt>
                      <c:pt idx="30" formatCode="General">
                        <c:v>-25.386646706586827</c:v>
                      </c:pt>
                      <c:pt idx="31" formatCode="General">
                        <c:v>-25.567617977528091</c:v>
                      </c:pt>
                      <c:pt idx="32" formatCode="General">
                        <c:v>-25.743872659176031</c:v>
                      </c:pt>
                      <c:pt idx="33" formatCode="General">
                        <c:v>-25.920127340823971</c:v>
                      </c:pt>
                      <c:pt idx="34" formatCode="General">
                        <c:v>-26.096382022471911</c:v>
                      </c:pt>
                      <c:pt idx="35" formatCode="General">
                        <c:v>-26.272636704119851</c:v>
                      </c:pt>
                      <c:pt idx="36" formatCode="General">
                        <c:v>-26.448891385767791</c:v>
                      </c:pt>
                      <c:pt idx="37" formatCode="General">
                        <c:v>-26.625146067415731</c:v>
                      </c:pt>
                      <c:pt idx="38" formatCode="General">
                        <c:v>-26.801400749063671</c:v>
                      </c:pt>
                      <c:pt idx="39" formatCode="General">
                        <c:v>-26.977655430711611</c:v>
                      </c:pt>
                      <c:pt idx="40" formatCode="General">
                        <c:v>-27.153910112359551</c:v>
                      </c:pt>
                      <c:pt idx="41" formatCode="General">
                        <c:v>-27.327670411985022</c:v>
                      </c:pt>
                      <c:pt idx="42" formatCode="General">
                        <c:v>-27.495161048689141</c:v>
                      </c:pt>
                      <c:pt idx="43" formatCode="General">
                        <c:v>-27.662651685393261</c:v>
                      </c:pt>
                      <c:pt idx="44" formatCode="General">
                        <c:v>-27.83014232209738</c:v>
                      </c:pt>
                      <c:pt idx="45" formatCode="General">
                        <c:v>-27.9976329588015</c:v>
                      </c:pt>
                      <c:pt idx="46" formatCode="General">
                        <c:v>-28.165123595505619</c:v>
                      </c:pt>
                      <c:pt idx="47" formatCode="General">
                        <c:v>-28.332614232209739</c:v>
                      </c:pt>
                      <c:pt idx="48" formatCode="General">
                        <c:v>-28.500104868913859</c:v>
                      </c:pt>
                      <c:pt idx="49" formatCode="General">
                        <c:v>-28.667595505617978</c:v>
                      </c:pt>
                      <c:pt idx="50" formatCode="General">
                        <c:v>-28.835086142322098</c:v>
                      </c:pt>
                      <c:pt idx="51" formatCode="General">
                        <c:v>-29.002447447447448</c:v>
                      </c:pt>
                      <c:pt idx="52" formatCode="General">
                        <c:v>-29.161531531531534</c:v>
                      </c:pt>
                      <c:pt idx="53" formatCode="General">
                        <c:v>-29.320615615615615</c:v>
                      </c:pt>
                      <c:pt idx="54" formatCode="General">
                        <c:v>-29.479699699699701</c:v>
                      </c:pt>
                      <c:pt idx="55" formatCode="General">
                        <c:v>-29.638783783783783</c:v>
                      </c:pt>
                      <c:pt idx="56" formatCode="General">
                        <c:v>-29.797867867867868</c:v>
                      </c:pt>
                      <c:pt idx="57" formatCode="General">
                        <c:v>-29.95695195195195</c:v>
                      </c:pt>
                      <c:pt idx="58" formatCode="General">
                        <c:v>-30.116036036036036</c:v>
                      </c:pt>
                      <c:pt idx="59" formatCode="General">
                        <c:v>-30.275120120120121</c:v>
                      </c:pt>
                      <c:pt idx="60" formatCode="General">
                        <c:v>-30.434204204204203</c:v>
                      </c:pt>
                      <c:pt idx="61" formatCode="General">
                        <c:v>-30.593288288288289</c:v>
                      </c:pt>
                      <c:pt idx="62" formatCode="General">
                        <c:v>-30.747647058823528</c:v>
                      </c:pt>
                      <c:pt idx="63" formatCode="General">
                        <c:v>-30.900588235294119</c:v>
                      </c:pt>
                      <c:pt idx="64" formatCode="General">
                        <c:v>-31.053636363636365</c:v>
                      </c:pt>
                      <c:pt idx="65" formatCode="General">
                        <c:v>-31.207272727272727</c:v>
                      </c:pt>
                      <c:pt idx="66" formatCode="General">
                        <c:v>-31.360909090909093</c:v>
                      </c:pt>
                      <c:pt idx="67" formatCode="General">
                        <c:v>-31.511764705882353</c:v>
                      </c:pt>
                      <c:pt idx="68" formatCode="General">
                        <c:v>-31.660882352941176</c:v>
                      </c:pt>
                      <c:pt idx="69" formatCode="General">
                        <c:v>-31.81</c:v>
                      </c:pt>
                      <c:pt idx="70" formatCode="General">
                        <c:v>-31.963636363636365</c:v>
                      </c:pt>
                      <c:pt idx="71" formatCode="General">
                        <c:v>-32.117272727272727</c:v>
                      </c:pt>
                      <c:pt idx="72" formatCode="General">
                        <c:v>-32.269022556390979</c:v>
                      </c:pt>
                      <c:pt idx="73" formatCode="General">
                        <c:v>-32.418571428571433</c:v>
                      </c:pt>
                      <c:pt idx="74" formatCode="General">
                        <c:v>-32.568120300751879</c:v>
                      </c:pt>
                      <c:pt idx="75" formatCode="General">
                        <c:v>-32.717669172932332</c:v>
                      </c:pt>
                      <c:pt idx="76" formatCode="General">
                        <c:v>-32.867218045112779</c:v>
                      </c:pt>
                      <c:pt idx="77" formatCode="General">
                        <c:v>-33.016766917293232</c:v>
                      </c:pt>
                      <c:pt idx="78" formatCode="General">
                        <c:v>-33.166315789473686</c:v>
                      </c:pt>
                      <c:pt idx="79" formatCode="General">
                        <c:v>-33.315864661654132</c:v>
                      </c:pt>
                      <c:pt idx="80" formatCode="General">
                        <c:v>-33.465413533834585</c:v>
                      </c:pt>
                      <c:pt idx="81" formatCode="General">
                        <c:v>-33.614962406015032</c:v>
                      </c:pt>
                      <c:pt idx="82" formatCode="General">
                        <c:v>-33.763358208955218</c:v>
                      </c:pt>
                      <c:pt idx="83" formatCode="General">
                        <c:v>-33.907910447761189</c:v>
                      </c:pt>
                      <c:pt idx="84" formatCode="General">
                        <c:v>-34.052462686567161</c:v>
                      </c:pt>
                      <c:pt idx="85" formatCode="General">
                        <c:v>-34.197014925373132</c:v>
                      </c:pt>
                      <c:pt idx="86" formatCode="General">
                        <c:v>-34.341567164179104</c:v>
                      </c:pt>
                      <c:pt idx="87" formatCode="General">
                        <c:v>-34.486119402985075</c:v>
                      </c:pt>
                      <c:pt idx="88" formatCode="General">
                        <c:v>-34.630671641791039</c:v>
                      </c:pt>
                      <c:pt idx="89" formatCode="General">
                        <c:v>-34.775223880597011</c:v>
                      </c:pt>
                      <c:pt idx="90" formatCode="General">
                        <c:v>-34.919776119402982</c:v>
                      </c:pt>
                      <c:pt idx="91" formatCode="General">
                        <c:v>-35.064328358208954</c:v>
                      </c:pt>
                      <c:pt idx="92" formatCode="General">
                        <c:v>-35.208880597014925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E9B-4A24-AF6E-BAFF55F304A7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E9B-4A24-AF6E-BAFF55F304A7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E9B-4A24-AF6E-BAFF55F304A7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E9B-4A24-AF6E-BAFF55F304A7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303</c:v>
                      </c:pt>
                      <c:pt idx="1">
                        <c:v>316</c:v>
                      </c:pt>
                      <c:pt idx="2">
                        <c:v>329</c:v>
                      </c:pt>
                      <c:pt idx="3">
                        <c:v>342</c:v>
                      </c:pt>
                      <c:pt idx="4">
                        <c:v>355</c:v>
                      </c:pt>
                      <c:pt idx="5">
                        <c:v>368</c:v>
                      </c:pt>
                      <c:pt idx="6">
                        <c:v>381</c:v>
                      </c:pt>
                      <c:pt idx="7">
                        <c:v>394</c:v>
                      </c:pt>
                      <c:pt idx="8">
                        <c:v>407</c:v>
                      </c:pt>
                      <c:pt idx="9">
                        <c:v>420</c:v>
                      </c:pt>
                      <c:pt idx="10">
                        <c:v>433</c:v>
                      </c:pt>
                      <c:pt idx="11">
                        <c:v>446</c:v>
                      </c:pt>
                      <c:pt idx="12">
                        <c:v>459</c:v>
                      </c:pt>
                      <c:pt idx="13">
                        <c:v>472</c:v>
                      </c:pt>
                      <c:pt idx="14">
                        <c:v>485</c:v>
                      </c:pt>
                      <c:pt idx="15">
                        <c:v>498</c:v>
                      </c:pt>
                      <c:pt idx="16">
                        <c:v>511</c:v>
                      </c:pt>
                      <c:pt idx="17">
                        <c:v>524</c:v>
                      </c:pt>
                      <c:pt idx="18">
                        <c:v>537</c:v>
                      </c:pt>
                      <c:pt idx="19">
                        <c:v>550</c:v>
                      </c:pt>
                      <c:pt idx="20">
                        <c:v>563</c:v>
                      </c:pt>
                      <c:pt idx="21">
                        <c:v>576</c:v>
                      </c:pt>
                      <c:pt idx="22">
                        <c:v>589</c:v>
                      </c:pt>
                      <c:pt idx="23">
                        <c:v>602</c:v>
                      </c:pt>
                      <c:pt idx="24">
                        <c:v>615</c:v>
                      </c:pt>
                      <c:pt idx="25">
                        <c:v>628</c:v>
                      </c:pt>
                      <c:pt idx="26">
                        <c:v>641</c:v>
                      </c:pt>
                      <c:pt idx="27">
                        <c:v>654</c:v>
                      </c:pt>
                      <c:pt idx="28">
                        <c:v>667</c:v>
                      </c:pt>
                      <c:pt idx="29">
                        <c:v>680</c:v>
                      </c:pt>
                      <c:pt idx="30">
                        <c:v>693</c:v>
                      </c:pt>
                      <c:pt idx="31">
                        <c:v>706</c:v>
                      </c:pt>
                      <c:pt idx="32">
                        <c:v>719</c:v>
                      </c:pt>
                      <c:pt idx="33">
                        <c:v>732</c:v>
                      </c:pt>
                      <c:pt idx="34">
                        <c:v>745</c:v>
                      </c:pt>
                      <c:pt idx="35">
                        <c:v>758</c:v>
                      </c:pt>
                      <c:pt idx="36">
                        <c:v>771</c:v>
                      </c:pt>
                      <c:pt idx="37">
                        <c:v>784</c:v>
                      </c:pt>
                      <c:pt idx="38">
                        <c:v>797</c:v>
                      </c:pt>
                      <c:pt idx="39">
                        <c:v>810</c:v>
                      </c:pt>
                      <c:pt idx="40">
                        <c:v>823</c:v>
                      </c:pt>
                      <c:pt idx="41">
                        <c:v>836</c:v>
                      </c:pt>
                      <c:pt idx="42">
                        <c:v>849</c:v>
                      </c:pt>
                      <c:pt idx="43">
                        <c:v>862</c:v>
                      </c:pt>
                      <c:pt idx="44">
                        <c:v>875</c:v>
                      </c:pt>
                      <c:pt idx="45">
                        <c:v>888</c:v>
                      </c:pt>
                      <c:pt idx="46">
                        <c:v>901</c:v>
                      </c:pt>
                      <c:pt idx="47">
                        <c:v>914</c:v>
                      </c:pt>
                      <c:pt idx="48">
                        <c:v>927</c:v>
                      </c:pt>
                      <c:pt idx="49">
                        <c:v>940</c:v>
                      </c:pt>
                      <c:pt idx="50">
                        <c:v>953</c:v>
                      </c:pt>
                      <c:pt idx="51">
                        <c:v>966</c:v>
                      </c:pt>
                      <c:pt idx="52">
                        <c:v>979</c:v>
                      </c:pt>
                      <c:pt idx="53">
                        <c:v>992</c:v>
                      </c:pt>
                      <c:pt idx="54">
                        <c:v>1005</c:v>
                      </c:pt>
                      <c:pt idx="55">
                        <c:v>1018</c:v>
                      </c:pt>
                      <c:pt idx="56">
                        <c:v>1031</c:v>
                      </c:pt>
                      <c:pt idx="57">
                        <c:v>1044</c:v>
                      </c:pt>
                      <c:pt idx="58">
                        <c:v>1057</c:v>
                      </c:pt>
                      <c:pt idx="59">
                        <c:v>1070</c:v>
                      </c:pt>
                      <c:pt idx="60">
                        <c:v>1083</c:v>
                      </c:pt>
                      <c:pt idx="61">
                        <c:v>1096</c:v>
                      </c:pt>
                      <c:pt idx="62">
                        <c:v>1109</c:v>
                      </c:pt>
                      <c:pt idx="63">
                        <c:v>1122</c:v>
                      </c:pt>
                      <c:pt idx="64">
                        <c:v>1135</c:v>
                      </c:pt>
                      <c:pt idx="65">
                        <c:v>1148</c:v>
                      </c:pt>
                      <c:pt idx="66">
                        <c:v>1161</c:v>
                      </c:pt>
                      <c:pt idx="67">
                        <c:v>1174</c:v>
                      </c:pt>
                      <c:pt idx="68">
                        <c:v>1187</c:v>
                      </c:pt>
                      <c:pt idx="69">
                        <c:v>1200</c:v>
                      </c:pt>
                      <c:pt idx="70">
                        <c:v>1213</c:v>
                      </c:pt>
                      <c:pt idx="71">
                        <c:v>1226</c:v>
                      </c:pt>
                      <c:pt idx="72">
                        <c:v>1239</c:v>
                      </c:pt>
                      <c:pt idx="73">
                        <c:v>1252</c:v>
                      </c:pt>
                      <c:pt idx="74">
                        <c:v>1265</c:v>
                      </c:pt>
                      <c:pt idx="75">
                        <c:v>1278</c:v>
                      </c:pt>
                      <c:pt idx="76">
                        <c:v>1291</c:v>
                      </c:pt>
                      <c:pt idx="77">
                        <c:v>1304</c:v>
                      </c:pt>
                      <c:pt idx="78">
                        <c:v>1317</c:v>
                      </c:pt>
                      <c:pt idx="79">
                        <c:v>1330</c:v>
                      </c:pt>
                      <c:pt idx="80">
                        <c:v>1343</c:v>
                      </c:pt>
                      <c:pt idx="81">
                        <c:v>1356</c:v>
                      </c:pt>
                      <c:pt idx="82">
                        <c:v>1369</c:v>
                      </c:pt>
                      <c:pt idx="83">
                        <c:v>1382</c:v>
                      </c:pt>
                      <c:pt idx="84">
                        <c:v>1395</c:v>
                      </c:pt>
                      <c:pt idx="85">
                        <c:v>1408</c:v>
                      </c:pt>
                      <c:pt idx="86">
                        <c:v>1421</c:v>
                      </c:pt>
                      <c:pt idx="87">
                        <c:v>1434</c:v>
                      </c:pt>
                      <c:pt idx="88">
                        <c:v>1447</c:v>
                      </c:pt>
                      <c:pt idx="89">
                        <c:v>1460</c:v>
                      </c:pt>
                      <c:pt idx="90">
                        <c:v>1473</c:v>
                      </c:pt>
                      <c:pt idx="91">
                        <c:v>1486</c:v>
                      </c:pt>
                      <c:pt idx="92">
                        <c:v>1499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E9B-4A24-AF6E-BAFF55F304A7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</c:valAx>
      <c:valAx>
        <c:axId val="938775583"/>
        <c:scaling>
          <c:orientation val="minMax"/>
          <c:max val="-110"/>
          <c:min val="-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44</xdr:col>
      <xdr:colOff>201706</xdr:colOff>
      <xdr:row>47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22492</xdr:colOff>
      <xdr:row>1</xdr:row>
      <xdr:rowOff>3523</xdr:rowOff>
    </xdr:from>
    <xdr:to>
      <xdr:col>51</xdr:col>
      <xdr:colOff>361950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41545</xdr:colOff>
      <xdr:row>114</xdr:row>
      <xdr:rowOff>266407</xdr:rowOff>
    </xdr:from>
    <xdr:to>
      <xdr:col>48</xdr:col>
      <xdr:colOff>773206</xdr:colOff>
      <xdr:row>135</xdr:row>
      <xdr:rowOff>76981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0</xdr:colOff>
      <xdr:row>18</xdr:row>
      <xdr:rowOff>0</xdr:rowOff>
    </xdr:from>
    <xdr:to>
      <xdr:col>51</xdr:col>
      <xdr:colOff>339458</xdr:colOff>
      <xdr:row>34</xdr:row>
      <xdr:rowOff>99674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4CE8508C-DB2F-493F-93F7-745779EAE9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46</xdr:col>
      <xdr:colOff>485775</xdr:colOff>
      <xdr:row>47</xdr:row>
      <xdr:rowOff>38100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22492</xdr:colOff>
      <xdr:row>1</xdr:row>
      <xdr:rowOff>3523</xdr:rowOff>
    </xdr:from>
    <xdr:to>
      <xdr:col>49</xdr:col>
      <xdr:colOff>876300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19050</xdr:colOff>
      <xdr:row>17</xdr:row>
      <xdr:rowOff>219075</xdr:rowOff>
    </xdr:from>
    <xdr:to>
      <xdr:col>49</xdr:col>
      <xdr:colOff>800100</xdr:colOff>
      <xdr:row>34</xdr:row>
      <xdr:rowOff>61574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857250</xdr:colOff>
      <xdr:row>115</xdr:row>
      <xdr:rowOff>238125</xdr:rowOff>
    </xdr:from>
    <xdr:to>
      <xdr:col>47</xdr:col>
      <xdr:colOff>57150</xdr:colOff>
      <xdr:row>136</xdr:row>
      <xdr:rowOff>95763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44</xdr:col>
      <xdr:colOff>201706</xdr:colOff>
      <xdr:row>47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22493</xdr:colOff>
      <xdr:row>0</xdr:row>
      <xdr:rowOff>1108423</xdr:rowOff>
    </xdr:from>
    <xdr:to>
      <xdr:col>49</xdr:col>
      <xdr:colOff>717177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75163</xdr:colOff>
      <xdr:row>115</xdr:row>
      <xdr:rowOff>19877</xdr:rowOff>
    </xdr:from>
    <xdr:to>
      <xdr:col>50</xdr:col>
      <xdr:colOff>56030</xdr:colOff>
      <xdr:row>135</xdr:row>
      <xdr:rowOff>99392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56029</xdr:colOff>
      <xdr:row>17</xdr:row>
      <xdr:rowOff>190501</xdr:rowOff>
    </xdr:from>
    <xdr:to>
      <xdr:col>49</xdr:col>
      <xdr:colOff>806823</xdr:colOff>
      <xdr:row>35</xdr:row>
      <xdr:rowOff>3304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47625</xdr:rowOff>
        </xdr:from>
        <xdr:to>
          <xdr:col>94</xdr:col>
          <xdr:colOff>647700</xdr:colOff>
          <xdr:row>0</xdr:row>
          <xdr:rowOff>381000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94</xdr:col>
      <xdr:colOff>155862</xdr:colOff>
      <xdr:row>99</xdr:row>
      <xdr:rowOff>65807</xdr:rowOff>
    </xdr:from>
    <xdr:to>
      <xdr:col>101</xdr:col>
      <xdr:colOff>576448</xdr:colOff>
      <xdr:row>114</xdr:row>
      <xdr:rowOff>212765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102</xdr:col>
      <xdr:colOff>0</xdr:colOff>
      <xdr:row>99</xdr:row>
      <xdr:rowOff>0</xdr:rowOff>
    </xdr:from>
    <xdr:to>
      <xdr:col>109</xdr:col>
      <xdr:colOff>420586</xdr:colOff>
      <xdr:row>114</xdr:row>
      <xdr:rowOff>146958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94</xdr:col>
      <xdr:colOff>0</xdr:colOff>
      <xdr:row>116</xdr:row>
      <xdr:rowOff>0</xdr:rowOff>
    </xdr:from>
    <xdr:to>
      <xdr:col>101</xdr:col>
      <xdr:colOff>420586</xdr:colOff>
      <xdr:row>131</xdr:row>
      <xdr:rowOff>169370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102</xdr:col>
      <xdr:colOff>108858</xdr:colOff>
      <xdr:row>116</xdr:row>
      <xdr:rowOff>108857</xdr:rowOff>
    </xdr:from>
    <xdr:to>
      <xdr:col>109</xdr:col>
      <xdr:colOff>529444</xdr:colOff>
      <xdr:row>132</xdr:row>
      <xdr:rowOff>6084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132</xdr:row>
      <xdr:rowOff>0</xdr:rowOff>
    </xdr:from>
    <xdr:to>
      <xdr:col>101</xdr:col>
      <xdr:colOff>420586</xdr:colOff>
      <xdr:row>147</xdr:row>
      <xdr:rowOff>169370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2736F07F-39AF-412D-A490-F9D932FF0C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3"/>
  <sheetViews>
    <sheetView zoomScale="115" zoomScaleNormal="115" workbookViewId="0">
      <selection activeCell="C9" sqref="C9:C10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39" t="s">
        <v>35</v>
      </c>
      <c r="B1" s="65">
        <v>731</v>
      </c>
      <c r="D1" s="88" t="s">
        <v>25</v>
      </c>
      <c r="E1" s="89"/>
      <c r="F1" s="89"/>
      <c r="G1" s="89"/>
    </row>
    <row r="2" spans="1:7" ht="21.75" thickTop="1" x14ac:dyDescent="0.35">
      <c r="D2" s="16" t="s">
        <v>1</v>
      </c>
      <c r="E2" s="16" t="s">
        <v>3</v>
      </c>
      <c r="F2" s="16" t="s">
        <v>4</v>
      </c>
      <c r="G2" s="16" t="s">
        <v>2</v>
      </c>
    </row>
    <row r="3" spans="1:7" ht="27.75" customHeight="1" x14ac:dyDescent="0.35">
      <c r="D3" s="65">
        <v>25</v>
      </c>
      <c r="E3" s="65">
        <v>15</v>
      </c>
      <c r="F3" s="65">
        <v>25</v>
      </c>
      <c r="G3" s="65">
        <v>60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BB148"/>
  <sheetViews>
    <sheetView tabSelected="1" topLeftCell="F45" zoomScaleNormal="100" zoomScaleSheetLayoutView="25" workbookViewId="0">
      <selection activeCell="AS44" sqref="AS44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37" width="8.6328125" hidden="1" customWidth="1"/>
    <col min="38" max="38" width="8.6328125" customWidth="1"/>
  </cols>
  <sheetData>
    <row r="1" spans="1:54" ht="29.25" customHeight="1" thickBot="1" x14ac:dyDescent="0.4">
      <c r="A1" s="92" t="s">
        <v>33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</row>
    <row r="2" spans="1:54" ht="21" customHeight="1" thickBot="1" x14ac:dyDescent="0.45">
      <c r="A2" s="28">
        <f>Values!B1</f>
        <v>731</v>
      </c>
      <c r="B2" s="41">
        <v>8.3145000000000007</v>
      </c>
      <c r="C2" s="1"/>
      <c r="D2" s="1"/>
      <c r="E2" s="2" t="s">
        <v>28</v>
      </c>
      <c r="F2" s="3"/>
      <c r="G2" s="2"/>
      <c r="H2" s="2"/>
      <c r="I2" s="2"/>
      <c r="J2" s="2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7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9"/>
    </row>
    <row r="3" spans="1:54" ht="21" customHeight="1" outlineLevel="1" thickTop="1" thickBot="1" x14ac:dyDescent="0.4">
      <c r="A3" s="67" t="s">
        <v>1</v>
      </c>
      <c r="B3" s="67" t="s">
        <v>2</v>
      </c>
      <c r="C3" s="67" t="s">
        <v>3</v>
      </c>
      <c r="D3" s="68" t="s">
        <v>4</v>
      </c>
      <c r="E3" s="77"/>
      <c r="F3" s="6">
        <v>298.2</v>
      </c>
      <c r="G3" s="6">
        <v>331.5</v>
      </c>
      <c r="H3" s="6">
        <v>364.9</v>
      </c>
      <c r="I3" s="6">
        <v>398.3</v>
      </c>
      <c r="J3" s="6">
        <v>431.7</v>
      </c>
      <c r="K3" s="6">
        <v>465.1</v>
      </c>
      <c r="L3" s="6">
        <v>498.5</v>
      </c>
      <c r="M3" s="6">
        <v>531.79999999999995</v>
      </c>
      <c r="N3" s="6">
        <v>565.20000000000005</v>
      </c>
      <c r="O3" s="6">
        <v>598.6</v>
      </c>
      <c r="P3" s="6">
        <v>632</v>
      </c>
      <c r="Q3" s="6">
        <v>665.4</v>
      </c>
      <c r="R3" s="6">
        <v>698.8</v>
      </c>
      <c r="S3" s="6">
        <v>832.3</v>
      </c>
      <c r="T3" s="6">
        <v>965.8</v>
      </c>
      <c r="U3" s="6">
        <v>1099</v>
      </c>
      <c r="V3" s="6">
        <v>1133</v>
      </c>
      <c r="W3" s="6">
        <v>1166</v>
      </c>
      <c r="X3" s="6">
        <v>1200</v>
      </c>
      <c r="Y3" s="6">
        <v>1233</v>
      </c>
      <c r="Z3" s="6">
        <v>1366</v>
      </c>
      <c r="AA3" s="6">
        <v>1500</v>
      </c>
      <c r="AB3" s="7"/>
      <c r="AC3" s="7"/>
      <c r="AD3" s="7"/>
      <c r="AE3" s="7"/>
      <c r="AF3" s="7"/>
      <c r="AG3" s="7"/>
      <c r="AH3" s="7"/>
      <c r="AI3" s="7"/>
      <c r="AJ3" s="7"/>
      <c r="AK3" s="7"/>
      <c r="AL3" s="40"/>
      <c r="AM3" s="50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2"/>
    </row>
    <row r="4" spans="1:54" ht="21" customHeight="1" outlineLevel="1" thickTop="1" thickBot="1" x14ac:dyDescent="0.4">
      <c r="A4" s="69">
        <f>IF( ISNUMBER( FIND(A$3,$E4,1)),   IF( ISNUMBER( VALUE(MID($E4,FIND(A$3,$E4,1)+2,1)) ), VALUE( MID($E4,FIND(A$3,$E4,1)+2,1) ),1),0)</f>
        <v>0</v>
      </c>
      <c r="B4" s="69">
        <f t="shared" ref="B4:D19" si="0">IF( ISNUMBER( FIND(B$3,$E4,1)),   IF( ISNUMBER( VALUE(MID($E4,FIND(B$3,$E4,1)+2,1)) ), VALUE( MID($E4,FIND(B$3,$E4,1)+2,1) ),1),0)</f>
        <v>1</v>
      </c>
      <c r="C4" s="69">
        <f t="shared" si="0"/>
        <v>1</v>
      </c>
      <c r="D4" s="69">
        <f t="shared" si="0"/>
        <v>0</v>
      </c>
      <c r="E4" s="76" t="s">
        <v>41</v>
      </c>
      <c r="F4" s="78">
        <v>3.4126E-9</v>
      </c>
      <c r="G4" s="78">
        <v>6.8971000000000001E-9</v>
      </c>
      <c r="H4" s="78">
        <v>1.2251999999999999E-8</v>
      </c>
      <c r="I4" s="78">
        <v>9.8437000000000007E-9</v>
      </c>
      <c r="J4" s="78">
        <v>7.0928999999999998E-9</v>
      </c>
      <c r="K4" s="78">
        <v>1.4511000000000001E-11</v>
      </c>
      <c r="L4" s="78">
        <v>7.7667000000000001E-23</v>
      </c>
      <c r="M4" s="78">
        <v>0</v>
      </c>
      <c r="N4" s="78">
        <v>0</v>
      </c>
      <c r="O4" s="78">
        <v>0</v>
      </c>
      <c r="P4" s="78">
        <v>0</v>
      </c>
      <c r="Q4" s="78">
        <v>0</v>
      </c>
      <c r="R4" s="78">
        <v>0</v>
      </c>
      <c r="S4" s="78">
        <v>0</v>
      </c>
      <c r="T4" s="78">
        <v>0</v>
      </c>
      <c r="U4" s="78">
        <v>0</v>
      </c>
      <c r="V4" s="78">
        <v>0</v>
      </c>
      <c r="W4" s="78">
        <v>0</v>
      </c>
      <c r="X4" s="78">
        <v>0</v>
      </c>
      <c r="Y4" s="78">
        <v>0</v>
      </c>
      <c r="Z4" s="78">
        <v>0</v>
      </c>
      <c r="AA4" s="78">
        <v>0</v>
      </c>
      <c r="AM4" s="50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2"/>
    </row>
    <row r="5" spans="1:54" ht="21" customHeight="1" outlineLevel="1" thickBot="1" x14ac:dyDescent="0.4">
      <c r="A5" s="69">
        <f t="shared" ref="A5:D27" si="1">IF( ISNUMBER( FIND(A$3,$E5,1)),   IF( ISNUMBER( VALUE(MID($E5,FIND(A$3,$E5,1)+2,1)) ), VALUE( MID($E5,FIND(A$3,$E5,1)+2,1) ),1),0)</f>
        <v>0</v>
      </c>
      <c r="B5" s="69">
        <f t="shared" si="0"/>
        <v>1</v>
      </c>
      <c r="C5" s="69">
        <f t="shared" si="0"/>
        <v>0</v>
      </c>
      <c r="D5" s="69">
        <f t="shared" si="0"/>
        <v>0</v>
      </c>
      <c r="E5" s="76" t="s">
        <v>42</v>
      </c>
      <c r="F5" s="78">
        <v>7.6016999999999998E-31</v>
      </c>
      <c r="G5" s="78">
        <v>2.9062E-21</v>
      </c>
      <c r="H5" s="78">
        <v>1.2167E-17</v>
      </c>
      <c r="I5" s="78">
        <v>3.46E-16</v>
      </c>
      <c r="J5" s="78">
        <v>7.1997000000000001E-13</v>
      </c>
      <c r="K5" s="78">
        <v>1.5125000000000001E-9</v>
      </c>
      <c r="L5" s="78">
        <v>7.1831999999999998E-9</v>
      </c>
      <c r="M5" s="78">
        <v>2.7564000000000001E-8</v>
      </c>
      <c r="N5" s="78">
        <v>2.1766000000000001E-8</v>
      </c>
      <c r="O5" s="78">
        <v>2.3666000000000002E-8</v>
      </c>
      <c r="P5" s="78">
        <v>2.4103000000000001E-8</v>
      </c>
      <c r="Q5" s="78">
        <v>2.3997E-8</v>
      </c>
      <c r="R5" s="78">
        <v>2.3738999999999998E-8</v>
      </c>
      <c r="S5" s="78">
        <v>2.1979000000000001E-8</v>
      </c>
      <c r="T5" s="78">
        <v>2.1196E-8</v>
      </c>
      <c r="U5" s="78">
        <v>2.1174999999999999E-8</v>
      </c>
      <c r="V5" s="78">
        <v>2.1165999999999999E-8</v>
      </c>
      <c r="W5" s="78">
        <v>2.1155E-8</v>
      </c>
      <c r="X5" s="78">
        <v>2.1212999999999999E-8</v>
      </c>
      <c r="Y5" s="78">
        <v>2.1276999999999999E-8</v>
      </c>
      <c r="Z5" s="78">
        <v>2.1562000000000001E-8</v>
      </c>
      <c r="AA5" s="78">
        <v>2.1891000000000001E-8</v>
      </c>
      <c r="AM5" s="50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2"/>
    </row>
    <row r="6" spans="1:54" ht="21" customHeight="1" outlineLevel="1" thickBot="1" x14ac:dyDescent="0.4">
      <c r="A6" s="69">
        <f t="shared" si="1"/>
        <v>0</v>
      </c>
      <c r="B6" s="69">
        <f t="shared" si="0"/>
        <v>3</v>
      </c>
      <c r="C6" s="69">
        <f t="shared" si="0"/>
        <v>0</v>
      </c>
      <c r="D6" s="69">
        <f t="shared" si="0"/>
        <v>2</v>
      </c>
      <c r="E6" s="76" t="s">
        <v>77</v>
      </c>
      <c r="F6" s="78">
        <v>6.1059000000000002E-2</v>
      </c>
      <c r="G6" s="78">
        <v>5.6835999999999998E-2</v>
      </c>
      <c r="H6" s="78">
        <v>5.3668E-2</v>
      </c>
      <c r="I6" s="78">
        <v>5.2597999999999999E-2</v>
      </c>
      <c r="J6" s="78">
        <v>5.1083000000000003E-2</v>
      </c>
      <c r="K6" s="78">
        <v>4.7363000000000002E-2</v>
      </c>
      <c r="L6" s="78">
        <v>3.9135999999999997E-2</v>
      </c>
      <c r="M6" s="78">
        <v>2.6801E-4</v>
      </c>
      <c r="N6" s="78">
        <v>2.7487E-8</v>
      </c>
      <c r="O6" s="78">
        <v>5.4257999999999998E-12</v>
      </c>
      <c r="P6" s="78">
        <v>1.9164999999999999E-15</v>
      </c>
      <c r="Q6" s="78">
        <v>1.1293999999999999E-18</v>
      </c>
      <c r="R6" s="78">
        <v>1.0498000000000001E-21</v>
      </c>
      <c r="S6" s="78">
        <v>3.3894E-32</v>
      </c>
      <c r="T6" s="78">
        <v>0</v>
      </c>
      <c r="U6" s="78">
        <v>0</v>
      </c>
      <c r="V6" s="78">
        <v>0</v>
      </c>
      <c r="W6" s="78">
        <v>0</v>
      </c>
      <c r="X6" s="78">
        <v>0</v>
      </c>
      <c r="Y6" s="78">
        <v>0</v>
      </c>
      <c r="Z6" s="78">
        <v>0</v>
      </c>
      <c r="AA6" s="78">
        <v>0</v>
      </c>
      <c r="AM6" s="50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2"/>
    </row>
    <row r="7" spans="1:54" ht="21" customHeight="1" outlineLevel="1" thickBot="1" x14ac:dyDescent="0.4">
      <c r="A7" s="69">
        <f t="shared" si="1"/>
        <v>0</v>
      </c>
      <c r="B7" s="69">
        <f t="shared" si="0"/>
        <v>0</v>
      </c>
      <c r="C7" s="69">
        <f t="shared" si="0"/>
        <v>1</v>
      </c>
      <c r="D7" s="69">
        <f t="shared" si="0"/>
        <v>0</v>
      </c>
      <c r="E7" s="76" t="s">
        <v>3</v>
      </c>
      <c r="F7" s="78">
        <v>0</v>
      </c>
      <c r="G7" s="78">
        <v>0</v>
      </c>
      <c r="H7" s="78">
        <v>0</v>
      </c>
      <c r="I7" s="78">
        <v>0</v>
      </c>
      <c r="J7" s="78">
        <v>0</v>
      </c>
      <c r="K7" s="78">
        <v>0</v>
      </c>
      <c r="L7" s="78">
        <v>4.7876999999999999E-34</v>
      </c>
      <c r="M7" s="78">
        <v>6.4196999999999995E-32</v>
      </c>
      <c r="N7" s="78">
        <v>1.0090000000000001E-29</v>
      </c>
      <c r="O7" s="78">
        <v>8.6744000000000001E-28</v>
      </c>
      <c r="P7" s="78">
        <v>4.6054000000000001E-26</v>
      </c>
      <c r="Q7" s="78">
        <v>1.6372E-24</v>
      </c>
      <c r="R7" s="78">
        <v>4.1365000000000001E-23</v>
      </c>
      <c r="S7" s="78">
        <v>1.2665E-18</v>
      </c>
      <c r="T7" s="78">
        <v>2.2310000000000002E-15</v>
      </c>
      <c r="U7" s="78">
        <v>6.3804999999999999E-13</v>
      </c>
      <c r="V7" s="78">
        <v>2.1290999999999999E-12</v>
      </c>
      <c r="W7" s="78">
        <v>6.6288000000000002E-12</v>
      </c>
      <c r="X7" s="78">
        <v>1.9369000000000001E-11</v>
      </c>
      <c r="Y7" s="78">
        <v>5.3384000000000003E-11</v>
      </c>
      <c r="Z7" s="78">
        <v>1.8718000000000001E-9</v>
      </c>
      <c r="AA7" s="78">
        <v>3.4675999999999999E-8</v>
      </c>
      <c r="AM7" s="50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2"/>
    </row>
    <row r="8" spans="1:54" ht="21" customHeight="1" outlineLevel="1" thickBot="1" x14ac:dyDescent="0.4">
      <c r="A8" s="69">
        <f t="shared" si="1"/>
        <v>1</v>
      </c>
      <c r="B8" s="69">
        <f t="shared" si="0"/>
        <v>0</v>
      </c>
      <c r="C8" s="69">
        <f t="shared" si="0"/>
        <v>0</v>
      </c>
      <c r="D8" s="69">
        <f t="shared" si="0"/>
        <v>0</v>
      </c>
      <c r="E8" s="76" t="s">
        <v>1</v>
      </c>
      <c r="F8" s="78">
        <v>0.2</v>
      </c>
      <c r="G8" s="78">
        <v>0.2</v>
      </c>
      <c r="H8" s="78">
        <v>0.2</v>
      </c>
      <c r="I8" s="78">
        <v>0.2</v>
      </c>
      <c r="J8" s="78">
        <v>0.2</v>
      </c>
      <c r="K8" s="78">
        <v>0.2</v>
      </c>
      <c r="L8" s="78">
        <v>0.2</v>
      </c>
      <c r="M8" s="78">
        <v>0.2</v>
      </c>
      <c r="N8" s="78">
        <v>0.2</v>
      </c>
      <c r="O8" s="78">
        <v>0.2</v>
      </c>
      <c r="P8" s="78">
        <v>0.2</v>
      </c>
      <c r="Q8" s="78">
        <v>0.2</v>
      </c>
      <c r="R8" s="78">
        <v>0.2</v>
      </c>
      <c r="S8" s="78">
        <v>0.2</v>
      </c>
      <c r="T8" s="78">
        <v>0.2</v>
      </c>
      <c r="U8" s="78">
        <v>0.2</v>
      </c>
      <c r="V8" s="78">
        <v>0.2</v>
      </c>
      <c r="W8" s="78">
        <v>0.2</v>
      </c>
      <c r="X8" s="78">
        <v>0.2</v>
      </c>
      <c r="Y8" s="78">
        <v>0.2</v>
      </c>
      <c r="Z8" s="78">
        <v>0.2</v>
      </c>
      <c r="AA8" s="78">
        <v>0.2</v>
      </c>
      <c r="AM8" s="50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2"/>
    </row>
    <row r="9" spans="1:54" ht="21" customHeight="1" outlineLevel="1" thickBot="1" x14ac:dyDescent="0.4">
      <c r="A9" s="69">
        <f t="shared" si="1"/>
        <v>0</v>
      </c>
      <c r="B9" s="69">
        <f t="shared" si="0"/>
        <v>2</v>
      </c>
      <c r="C9" s="69">
        <f t="shared" si="0"/>
        <v>1</v>
      </c>
      <c r="D9" s="69">
        <f t="shared" si="0"/>
        <v>0</v>
      </c>
      <c r="E9" s="76" t="s">
        <v>43</v>
      </c>
      <c r="F9" s="78">
        <v>5.2450999999999998E-2</v>
      </c>
      <c r="G9" s="78">
        <v>2.8126000000000002E-2</v>
      </c>
      <c r="H9" s="78">
        <v>7.5303999999999996E-3</v>
      </c>
      <c r="I9" s="78">
        <v>1.6239E-3</v>
      </c>
      <c r="J9" s="78">
        <v>3.8434999999999999E-4</v>
      </c>
      <c r="K9" s="78">
        <v>9.1833E-5</v>
      </c>
      <c r="L9" s="78">
        <v>1.6246999999999999E-5</v>
      </c>
      <c r="M9" s="78">
        <v>2.6618999999999999E-6</v>
      </c>
      <c r="N9" s="78">
        <v>2.8435999999999999E-7</v>
      </c>
      <c r="O9" s="78">
        <v>3.3676999999999998E-8</v>
      </c>
      <c r="P9" s="78">
        <v>4.5736E-9</v>
      </c>
      <c r="Q9" s="78">
        <v>7.0760000000000002E-10</v>
      </c>
      <c r="R9" s="78">
        <v>1.2301E-10</v>
      </c>
      <c r="S9" s="78">
        <v>2.8091000000000001E-13</v>
      </c>
      <c r="T9" s="78">
        <v>1.8204000000000002E-15</v>
      </c>
      <c r="U9" s="78">
        <v>2.3338E-17</v>
      </c>
      <c r="V9" s="78">
        <v>8.4999999999999995E-18</v>
      </c>
      <c r="W9" s="78">
        <v>3.1781000000000001E-18</v>
      </c>
      <c r="X9" s="78">
        <v>1.2172E-18</v>
      </c>
      <c r="Y9" s="78">
        <v>4.7653000000000002E-19</v>
      </c>
      <c r="Z9" s="78">
        <v>1.3479000000000001E-20</v>
      </c>
      <c r="AA9" s="78">
        <v>4.8049000000000002E-22</v>
      </c>
      <c r="AM9" s="50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/>
      <c r="BB9" s="52"/>
    </row>
    <row r="10" spans="1:54" ht="21" customHeight="1" outlineLevel="1" thickBot="1" x14ac:dyDescent="0.4">
      <c r="A10" s="69">
        <f t="shared" si="1"/>
        <v>0</v>
      </c>
      <c r="B10" s="69">
        <f t="shared" si="0"/>
        <v>1</v>
      </c>
      <c r="C10" s="69">
        <f t="shared" si="0"/>
        <v>1</v>
      </c>
      <c r="D10" s="69">
        <f t="shared" si="0"/>
        <v>0</v>
      </c>
      <c r="E10" s="76" t="s">
        <v>44</v>
      </c>
      <c r="F10" s="78">
        <v>6.7547999999999997E-2</v>
      </c>
      <c r="G10" s="78">
        <v>9.1858999999999996E-2</v>
      </c>
      <c r="H10" s="78">
        <v>0.11228</v>
      </c>
      <c r="I10" s="78">
        <v>0.11651</v>
      </c>
      <c r="J10" s="78">
        <v>0.10771</v>
      </c>
      <c r="K10" s="78">
        <v>7.7765000000000001E-2</v>
      </c>
      <c r="L10" s="78">
        <v>3.7217E-2</v>
      </c>
      <c r="M10" s="78">
        <v>1.4212000000000001E-2</v>
      </c>
      <c r="N10" s="78">
        <v>4.1484E-3</v>
      </c>
      <c r="O10" s="78">
        <v>1.2566999999999999E-3</v>
      </c>
      <c r="P10" s="78">
        <v>4.1047000000000002E-4</v>
      </c>
      <c r="Q10" s="78">
        <v>1.4464999999999999E-4</v>
      </c>
      <c r="R10" s="78">
        <v>5.4611999999999998E-5</v>
      </c>
      <c r="S10" s="78">
        <v>1.9085999999999998E-6</v>
      </c>
      <c r="T10" s="78">
        <v>1.2335E-7</v>
      </c>
      <c r="U10" s="78">
        <v>1.1891E-8</v>
      </c>
      <c r="V10" s="78">
        <v>6.9399E-9</v>
      </c>
      <c r="W10" s="78">
        <v>4.1128000000000001E-9</v>
      </c>
      <c r="X10" s="78">
        <v>2.4718000000000001E-9</v>
      </c>
      <c r="Y10" s="78">
        <v>1.5047E-9</v>
      </c>
      <c r="Z10" s="78">
        <v>2.3035999999999999E-10</v>
      </c>
      <c r="AA10" s="78">
        <v>4.0387000000000002E-11</v>
      </c>
      <c r="AM10" s="50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2"/>
    </row>
    <row r="11" spans="1:54" ht="21" customHeight="1" outlineLevel="1" thickBot="1" x14ac:dyDescent="0.4">
      <c r="A11" s="69">
        <f t="shared" si="1"/>
        <v>0</v>
      </c>
      <c r="B11" s="69">
        <f t="shared" si="0"/>
        <v>3</v>
      </c>
      <c r="C11" s="69">
        <f t="shared" si="0"/>
        <v>0</v>
      </c>
      <c r="D11" s="69">
        <f t="shared" si="0"/>
        <v>2</v>
      </c>
      <c r="E11" s="76" t="s">
        <v>45</v>
      </c>
      <c r="F11" s="78">
        <v>3.8941000000000003E-2</v>
      </c>
      <c r="G11" s="78">
        <v>4.3164000000000001E-2</v>
      </c>
      <c r="H11" s="78">
        <v>4.6331999999999998E-2</v>
      </c>
      <c r="I11" s="78">
        <v>4.7402E-2</v>
      </c>
      <c r="J11" s="78">
        <v>4.8917000000000002E-2</v>
      </c>
      <c r="K11" s="78">
        <v>5.2613E-2</v>
      </c>
      <c r="L11" s="78">
        <v>5.6087999999999999E-2</v>
      </c>
      <c r="M11" s="78">
        <v>1.0441999999999999E-3</v>
      </c>
      <c r="N11" s="78">
        <v>1.0938E-7</v>
      </c>
      <c r="O11" s="78">
        <v>2.1668999999999999E-11</v>
      </c>
      <c r="P11" s="78">
        <v>7.6620999999999996E-15</v>
      </c>
      <c r="Q11" s="78">
        <v>4.5167E-18</v>
      </c>
      <c r="R11" s="78">
        <v>4.1988000000000002E-21</v>
      </c>
      <c r="S11" s="78">
        <v>1.3557999999999999E-31</v>
      </c>
      <c r="T11" s="78">
        <v>0</v>
      </c>
      <c r="U11" s="78">
        <v>0</v>
      </c>
      <c r="V11" s="78">
        <v>0</v>
      </c>
      <c r="W11" s="78">
        <v>0</v>
      </c>
      <c r="X11" s="78">
        <v>0</v>
      </c>
      <c r="Y11" s="78">
        <v>0</v>
      </c>
      <c r="Z11" s="78">
        <v>0</v>
      </c>
      <c r="AA11" s="78">
        <v>0</v>
      </c>
      <c r="AM11" s="50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2"/>
    </row>
    <row r="12" spans="1:54" ht="21" customHeight="1" outlineLevel="1" thickBot="1" x14ac:dyDescent="0.4">
      <c r="A12" s="69">
        <f t="shared" si="1"/>
        <v>0</v>
      </c>
      <c r="B12" s="69">
        <f t="shared" si="0"/>
        <v>0</v>
      </c>
      <c r="C12" s="69">
        <f t="shared" si="0"/>
        <v>1</v>
      </c>
      <c r="D12" s="69">
        <f t="shared" si="0"/>
        <v>0</v>
      </c>
      <c r="E12" s="76" t="s">
        <v>46</v>
      </c>
      <c r="F12" s="78">
        <v>7.8764000000000003E-7</v>
      </c>
      <c r="G12" s="78">
        <v>7.4715999999999998E-6</v>
      </c>
      <c r="H12" s="78">
        <v>9.4738E-5</v>
      </c>
      <c r="I12" s="78">
        <v>9.3227000000000002E-4</v>
      </c>
      <c r="J12" s="78">
        <v>5.9503999999999998E-3</v>
      </c>
      <c r="K12" s="78">
        <v>2.1070999999999999E-2</v>
      </c>
      <c r="L12" s="78">
        <v>4.1383000000000003E-2</v>
      </c>
      <c r="M12" s="78">
        <v>5.2893000000000003E-2</v>
      </c>
      <c r="N12" s="78">
        <v>5.7925999999999998E-2</v>
      </c>
      <c r="O12" s="78">
        <v>5.9372000000000001E-2</v>
      </c>
      <c r="P12" s="78">
        <v>5.9795000000000001E-2</v>
      </c>
      <c r="Q12" s="78">
        <v>5.9928000000000002E-2</v>
      </c>
      <c r="R12" s="78">
        <v>5.9972999999999999E-2</v>
      </c>
      <c r="S12" s="78">
        <v>5.9998999999999997E-2</v>
      </c>
      <c r="T12" s="78">
        <v>0.06</v>
      </c>
      <c r="U12" s="78">
        <v>0.06</v>
      </c>
      <c r="V12" s="78">
        <v>0.06</v>
      </c>
      <c r="W12" s="78">
        <v>0.06</v>
      </c>
      <c r="X12" s="78">
        <v>0.06</v>
      </c>
      <c r="Y12" s="78">
        <v>0.06</v>
      </c>
      <c r="Z12" s="78">
        <v>0.06</v>
      </c>
      <c r="AA12" s="78">
        <v>0.06</v>
      </c>
      <c r="AM12" s="50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2"/>
    </row>
    <row r="13" spans="1:54" ht="21" customHeight="1" outlineLevel="1" thickBot="1" x14ac:dyDescent="0.4">
      <c r="A13" s="69">
        <f t="shared" si="1"/>
        <v>0</v>
      </c>
      <c r="B13" s="69">
        <f t="shared" si="0"/>
        <v>0</v>
      </c>
      <c r="C13" s="69">
        <f t="shared" si="0"/>
        <v>0</v>
      </c>
      <c r="D13" s="69">
        <f t="shared" si="0"/>
        <v>1</v>
      </c>
      <c r="E13" s="76" t="s">
        <v>47</v>
      </c>
      <c r="F13" s="78">
        <v>6.9119E-21</v>
      </c>
      <c r="G13" s="78">
        <v>3.1046E-17</v>
      </c>
      <c r="H13" s="78">
        <v>1.1613000000000001E-13</v>
      </c>
      <c r="I13" s="78">
        <v>2.0468999999999999E-10</v>
      </c>
      <c r="J13" s="78">
        <v>1.4782000000000001E-7</v>
      </c>
      <c r="K13" s="78">
        <v>4.8347000000000003E-5</v>
      </c>
      <c r="L13" s="78">
        <v>9.5520999999999991E-3</v>
      </c>
      <c r="M13" s="78">
        <v>0.19738</v>
      </c>
      <c r="N13" s="78">
        <v>0.2</v>
      </c>
      <c r="O13" s="78">
        <v>0.2</v>
      </c>
      <c r="P13" s="78">
        <v>0.2</v>
      </c>
      <c r="Q13" s="78">
        <v>0.2</v>
      </c>
      <c r="R13" s="78">
        <v>0.2</v>
      </c>
      <c r="S13" s="78">
        <v>0.2</v>
      </c>
      <c r="T13" s="78">
        <v>0.2</v>
      </c>
      <c r="U13" s="78">
        <v>0.2</v>
      </c>
      <c r="V13" s="78">
        <v>0.2</v>
      </c>
      <c r="W13" s="78">
        <v>0.2</v>
      </c>
      <c r="X13" s="78">
        <v>0.2</v>
      </c>
      <c r="Y13" s="78">
        <v>0.2</v>
      </c>
      <c r="Z13" s="78">
        <v>0.2</v>
      </c>
      <c r="AA13" s="78">
        <v>0.2</v>
      </c>
      <c r="AM13" s="50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2"/>
    </row>
    <row r="14" spans="1:54" ht="21" customHeight="1" outlineLevel="1" thickBot="1" x14ac:dyDescent="0.4">
      <c r="A14" s="69">
        <f t="shared" si="1"/>
        <v>0</v>
      </c>
      <c r="B14" s="69">
        <f t="shared" si="0"/>
        <v>1</v>
      </c>
      <c r="C14" s="69">
        <f t="shared" si="0"/>
        <v>0</v>
      </c>
      <c r="D14" s="69">
        <f t="shared" si="0"/>
        <v>0</v>
      </c>
      <c r="E14" s="76" t="s">
        <v>48</v>
      </c>
      <c r="F14" s="78">
        <v>6.5137E-9</v>
      </c>
      <c r="G14" s="78">
        <v>1.8022999999999999E-8</v>
      </c>
      <c r="H14" s="78">
        <v>1.9216000000000001E-8</v>
      </c>
      <c r="I14" s="78">
        <v>1.4127999999999999E-8</v>
      </c>
      <c r="J14" s="78">
        <v>1.0792E-8</v>
      </c>
      <c r="K14" s="78">
        <v>9.9617999999999992E-9</v>
      </c>
      <c r="L14" s="78">
        <v>1.0096E-8</v>
      </c>
      <c r="M14" s="78">
        <v>2.1419000000000001E-8</v>
      </c>
      <c r="N14" s="78">
        <v>1.5926E-8</v>
      </c>
      <c r="O14" s="78">
        <v>1.1574E-8</v>
      </c>
      <c r="P14" s="78">
        <v>8.3898000000000001E-9</v>
      </c>
      <c r="Q14" s="78">
        <v>6.0866000000000001E-9</v>
      </c>
      <c r="R14" s="78">
        <v>4.4243000000000001E-9</v>
      </c>
      <c r="S14" s="78">
        <v>1.2651999999999999E-9</v>
      </c>
      <c r="T14" s="78">
        <v>3.7555000000000001E-10</v>
      </c>
      <c r="U14" s="78">
        <v>1.1495E-10</v>
      </c>
      <c r="V14" s="78">
        <v>8.5818999999999999E-11</v>
      </c>
      <c r="W14" s="78">
        <v>6.4141000000000006E-11</v>
      </c>
      <c r="X14" s="78">
        <v>4.7985000000000003E-11</v>
      </c>
      <c r="Y14" s="78">
        <v>3.5928000000000001E-11</v>
      </c>
      <c r="Z14" s="78">
        <v>1.135E-11</v>
      </c>
      <c r="AA14" s="78">
        <v>3.5938999999999999E-12</v>
      </c>
      <c r="AM14" s="50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2"/>
    </row>
    <row r="15" spans="1:54" ht="21" customHeight="1" outlineLevel="1" thickBot="1" x14ac:dyDescent="0.4">
      <c r="A15" s="69">
        <f t="shared" si="1"/>
        <v>0</v>
      </c>
      <c r="B15" s="69">
        <f t="shared" si="0"/>
        <v>1</v>
      </c>
      <c r="C15" s="69">
        <f t="shared" si="0"/>
        <v>0</v>
      </c>
      <c r="D15" s="69">
        <f t="shared" si="0"/>
        <v>0</v>
      </c>
      <c r="E15" s="76" t="s">
        <v>49</v>
      </c>
      <c r="F15" s="78">
        <v>1.8050999999999999E-9</v>
      </c>
      <c r="G15" s="78">
        <v>6.1321000000000004E-9</v>
      </c>
      <c r="H15" s="78">
        <v>7.7454999999999998E-9</v>
      </c>
      <c r="I15" s="78">
        <v>6.5640999999999997E-9</v>
      </c>
      <c r="J15" s="78">
        <v>5.6573000000000003E-9</v>
      </c>
      <c r="K15" s="78">
        <v>5.7921000000000003E-9</v>
      </c>
      <c r="L15" s="78">
        <v>6.3408999999999999E-9</v>
      </c>
      <c r="M15" s="78">
        <v>1.3219000000000001E-8</v>
      </c>
      <c r="N15" s="78">
        <v>9.6430000000000007E-9</v>
      </c>
      <c r="O15" s="78">
        <v>6.8697E-9</v>
      </c>
      <c r="P15" s="78">
        <v>4.8790000000000002E-9</v>
      </c>
      <c r="Q15" s="78">
        <v>3.4675999999999999E-9</v>
      </c>
      <c r="R15" s="78">
        <v>2.4694000000000002E-9</v>
      </c>
      <c r="S15" s="78">
        <v>6.5206000000000002E-10</v>
      </c>
      <c r="T15" s="78">
        <v>1.7954999999999999E-10</v>
      </c>
      <c r="U15" s="78">
        <v>5.1136000000000002E-11</v>
      </c>
      <c r="V15" s="78">
        <v>3.7508999999999999E-11</v>
      </c>
      <c r="W15" s="78">
        <v>2.7548999999999999E-11</v>
      </c>
      <c r="X15" s="78">
        <v>2.0257999999999999E-11</v>
      </c>
      <c r="Y15" s="78">
        <v>1.4910999999999999E-11</v>
      </c>
      <c r="Z15" s="78">
        <v>4.4090000000000003E-12</v>
      </c>
      <c r="AA15" s="78">
        <v>1.311E-12</v>
      </c>
      <c r="AM15" s="50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2"/>
    </row>
    <row r="16" spans="1:54" ht="21" customHeight="1" outlineLevel="1" thickBot="1" x14ac:dyDescent="0.4">
      <c r="A16" s="69">
        <f t="shared" si="1"/>
        <v>0</v>
      </c>
      <c r="B16" s="69">
        <f t="shared" si="0"/>
        <v>1</v>
      </c>
      <c r="C16" s="69">
        <f t="shared" si="0"/>
        <v>0</v>
      </c>
      <c r="D16" s="69">
        <f t="shared" si="0"/>
        <v>0</v>
      </c>
      <c r="E16" s="76" t="s">
        <v>50</v>
      </c>
      <c r="F16" s="78">
        <v>7.5507999999999999E-3</v>
      </c>
      <c r="G16" s="78">
        <v>3.1889000000000001E-2</v>
      </c>
      <c r="H16" s="78">
        <v>5.2658999999999997E-2</v>
      </c>
      <c r="I16" s="78">
        <v>6.0241000000000003E-2</v>
      </c>
      <c r="J16" s="78">
        <v>7.1516999999999997E-2</v>
      </c>
      <c r="K16" s="78">
        <v>0.10212</v>
      </c>
      <c r="L16" s="78">
        <v>0.15708</v>
      </c>
      <c r="M16" s="78">
        <v>0.46184999999999998</v>
      </c>
      <c r="N16" s="78">
        <v>0.47585</v>
      </c>
      <c r="O16" s="78">
        <v>0.47874</v>
      </c>
      <c r="P16" s="78">
        <v>0.47959000000000002</v>
      </c>
      <c r="Q16" s="78">
        <v>0.47986000000000001</v>
      </c>
      <c r="R16" s="78">
        <v>0.47994999999999999</v>
      </c>
      <c r="S16" s="78">
        <v>0.48</v>
      </c>
      <c r="T16" s="78">
        <v>0.48</v>
      </c>
      <c r="U16" s="78">
        <v>0.48</v>
      </c>
      <c r="V16" s="78">
        <v>0.48</v>
      </c>
      <c r="W16" s="78">
        <v>0.48</v>
      </c>
      <c r="X16" s="78">
        <v>0.48</v>
      </c>
      <c r="Y16" s="78">
        <v>0.48</v>
      </c>
      <c r="Z16" s="78">
        <v>0.48</v>
      </c>
      <c r="AA16" s="78">
        <v>0.48</v>
      </c>
      <c r="AM16" s="50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2"/>
    </row>
    <row r="17" spans="1:54" ht="21" customHeight="1" outlineLevel="1" thickBot="1" x14ac:dyDescent="0.4">
      <c r="A17" s="69">
        <f t="shared" si="1"/>
        <v>0</v>
      </c>
      <c r="B17" s="69">
        <f t="shared" si="0"/>
        <v>1</v>
      </c>
      <c r="C17" s="69">
        <f t="shared" si="0"/>
        <v>0</v>
      </c>
      <c r="D17" s="69">
        <f t="shared" si="0"/>
        <v>0</v>
      </c>
      <c r="E17" s="76" t="s">
        <v>51</v>
      </c>
      <c r="F17" s="78">
        <v>3.0203999999999999E-11</v>
      </c>
      <c r="G17" s="78">
        <v>1.6382999999999999E-10</v>
      </c>
      <c r="H17" s="78">
        <v>3.0786000000000001E-10</v>
      </c>
      <c r="I17" s="78">
        <v>3.6768000000000002E-10</v>
      </c>
      <c r="J17" s="78">
        <v>4.2795999999999999E-10</v>
      </c>
      <c r="K17" s="78">
        <v>5.7186000000000003E-10</v>
      </c>
      <c r="L17" s="78">
        <v>7.9461000000000001E-10</v>
      </c>
      <c r="M17" s="78">
        <v>2.0544999999999999E-9</v>
      </c>
      <c r="N17" s="78">
        <v>1.8229E-9</v>
      </c>
      <c r="O17" s="78">
        <v>1.5537999999999999E-9</v>
      </c>
      <c r="P17" s="78">
        <v>1.3017E-9</v>
      </c>
      <c r="Q17" s="78">
        <v>1.0779E-9</v>
      </c>
      <c r="R17" s="78">
        <v>8.8486999999999996E-10</v>
      </c>
      <c r="S17" s="78">
        <v>3.7916999999999999E-10</v>
      </c>
      <c r="T17" s="78">
        <v>1.5362999999999999E-10</v>
      </c>
      <c r="U17" s="78">
        <v>6.0235999999999995E-11</v>
      </c>
      <c r="V17" s="78">
        <v>4.7475999999999998E-11</v>
      </c>
      <c r="W17" s="78">
        <v>3.7364999999999998E-11</v>
      </c>
      <c r="X17" s="78">
        <v>2.9366999999999998E-11</v>
      </c>
      <c r="Y17" s="78">
        <v>2.3048E-11</v>
      </c>
      <c r="Z17" s="78">
        <v>8.6270000000000003E-12</v>
      </c>
      <c r="AA17" s="78">
        <v>3.1578000000000001E-12</v>
      </c>
      <c r="AM17" s="50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2"/>
    </row>
    <row r="18" spans="1:54" ht="21" customHeight="1" outlineLevel="1" thickBot="1" x14ac:dyDescent="0.4">
      <c r="A18" s="69">
        <f t="shared" si="1"/>
        <v>0</v>
      </c>
      <c r="B18" s="69">
        <f t="shared" si="0"/>
        <v>0</v>
      </c>
      <c r="C18" s="69">
        <f t="shared" si="0"/>
        <v>1</v>
      </c>
      <c r="D18" s="69">
        <f t="shared" si="0"/>
        <v>0</v>
      </c>
      <c r="E18" s="76" t="s">
        <v>52</v>
      </c>
      <c r="F18" s="78">
        <v>7.8764000000000003E-7</v>
      </c>
      <c r="G18" s="78">
        <v>7.4715999999999998E-6</v>
      </c>
      <c r="H18" s="78">
        <v>9.4738E-5</v>
      </c>
      <c r="I18" s="78">
        <v>9.3227000000000002E-4</v>
      </c>
      <c r="J18" s="78">
        <v>5.9503999999999998E-3</v>
      </c>
      <c r="K18" s="78">
        <v>2.1070999999999999E-2</v>
      </c>
      <c r="L18" s="78">
        <v>4.1383000000000003E-2</v>
      </c>
      <c r="M18" s="78">
        <v>5.2893000000000003E-2</v>
      </c>
      <c r="N18" s="78">
        <v>5.7925999999999998E-2</v>
      </c>
      <c r="O18" s="78">
        <v>5.9372000000000001E-2</v>
      </c>
      <c r="P18" s="78">
        <v>5.9795000000000001E-2</v>
      </c>
      <c r="Q18" s="78">
        <v>5.9928000000000002E-2</v>
      </c>
      <c r="R18" s="78">
        <v>5.9972999999999999E-2</v>
      </c>
      <c r="S18" s="78">
        <v>5.9998999999999997E-2</v>
      </c>
      <c r="T18" s="78">
        <v>0.06</v>
      </c>
      <c r="U18" s="78">
        <v>0.06</v>
      </c>
      <c r="V18" s="78">
        <v>0.06</v>
      </c>
      <c r="W18" s="78">
        <v>0.06</v>
      </c>
      <c r="X18" s="78">
        <v>0.06</v>
      </c>
      <c r="Y18" s="78">
        <v>0.06</v>
      </c>
      <c r="Z18" s="78">
        <v>0.06</v>
      </c>
      <c r="AA18" s="78">
        <v>0.06</v>
      </c>
      <c r="AM18" s="50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2"/>
    </row>
    <row r="19" spans="1:54" ht="21" customHeight="1" outlineLevel="1" thickBot="1" x14ac:dyDescent="0.4">
      <c r="A19" s="69">
        <f t="shared" si="1"/>
        <v>1</v>
      </c>
      <c r="B19" s="69">
        <f t="shared" si="0"/>
        <v>0</v>
      </c>
      <c r="C19" s="69">
        <f t="shared" si="0"/>
        <v>0</v>
      </c>
      <c r="D19" s="69">
        <f t="shared" si="0"/>
        <v>0</v>
      </c>
      <c r="E19" s="76" t="s">
        <v>36</v>
      </c>
      <c r="F19" s="78">
        <v>-18.88</v>
      </c>
      <c r="G19" s="78">
        <v>-18.87</v>
      </c>
      <c r="H19" s="78">
        <v>-18.899999999999999</v>
      </c>
      <c r="I19" s="78">
        <v>-18.940000000000001</v>
      </c>
      <c r="J19" s="78">
        <v>-18.989999999999998</v>
      </c>
      <c r="K19" s="78">
        <v>-19.04</v>
      </c>
      <c r="L19" s="78">
        <v>-19.07</v>
      </c>
      <c r="M19" s="78">
        <v>-18.96</v>
      </c>
      <c r="N19" s="78">
        <v>-19.03</v>
      </c>
      <c r="O19" s="78">
        <v>-19.100000000000001</v>
      </c>
      <c r="P19" s="78">
        <v>-19.170000000000002</v>
      </c>
      <c r="Q19" s="78">
        <v>-19.239999999999998</v>
      </c>
      <c r="R19" s="78">
        <v>-19.309999999999999</v>
      </c>
      <c r="S19" s="78">
        <v>-19.57</v>
      </c>
      <c r="T19" s="78">
        <v>-19.82</v>
      </c>
      <c r="U19" s="78">
        <v>-20.05</v>
      </c>
      <c r="V19" s="78">
        <v>-20.11</v>
      </c>
      <c r="W19" s="78">
        <v>-20.16</v>
      </c>
      <c r="X19" s="78">
        <v>-20.21</v>
      </c>
      <c r="Y19" s="78">
        <v>-20.260000000000002</v>
      </c>
      <c r="Z19" s="78">
        <v>-20.46</v>
      </c>
      <c r="AA19" s="78">
        <v>-20.65</v>
      </c>
      <c r="AM19" s="50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2"/>
    </row>
    <row r="20" spans="1:54" ht="21" customHeight="1" outlineLevel="1" thickBot="1" x14ac:dyDescent="0.4">
      <c r="A20" s="69">
        <f t="shared" si="1"/>
        <v>0</v>
      </c>
      <c r="B20" s="69">
        <f t="shared" si="1"/>
        <v>0</v>
      </c>
      <c r="C20" s="69">
        <f t="shared" si="1"/>
        <v>0</v>
      </c>
      <c r="D20" s="69">
        <f t="shared" si="1"/>
        <v>1</v>
      </c>
      <c r="E20" s="76" t="s">
        <v>5</v>
      </c>
      <c r="F20" s="78">
        <v>-60.79</v>
      </c>
      <c r="G20" s="78">
        <v>-53.82</v>
      </c>
      <c r="H20" s="78">
        <v>-47.01</v>
      </c>
      <c r="I20" s="78">
        <v>-40.9</v>
      </c>
      <c r="J20" s="78">
        <v>-35.71</v>
      </c>
      <c r="K20" s="78">
        <v>-31.39</v>
      </c>
      <c r="L20" s="78">
        <v>-27.66</v>
      </c>
      <c r="M20" s="78">
        <v>-26.79</v>
      </c>
      <c r="N20" s="78">
        <v>-28.11</v>
      </c>
      <c r="O20" s="78">
        <v>-29.41</v>
      </c>
      <c r="P20" s="78">
        <v>-30.69</v>
      </c>
      <c r="Q20" s="78">
        <v>-31.94</v>
      </c>
      <c r="R20" s="78">
        <v>-33.159999999999997</v>
      </c>
      <c r="S20" s="78">
        <v>-37.67</v>
      </c>
      <c r="T20" s="78">
        <v>-41.43</v>
      </c>
      <c r="U20" s="78">
        <v>-44.33</v>
      </c>
      <c r="V20" s="78">
        <v>-44.9</v>
      </c>
      <c r="W20" s="78">
        <v>-45.42</v>
      </c>
      <c r="X20" s="78">
        <v>-45.86</v>
      </c>
      <c r="Y20" s="78">
        <v>-46.25</v>
      </c>
      <c r="Z20" s="78">
        <v>-47.11</v>
      </c>
      <c r="AA20" s="78">
        <v>-46.85</v>
      </c>
      <c r="AM20" s="50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2"/>
    </row>
    <row r="21" spans="1:54" ht="21" customHeight="1" outlineLevel="1" thickBot="1" x14ac:dyDescent="0.4">
      <c r="A21" s="69">
        <f t="shared" si="1"/>
        <v>0</v>
      </c>
      <c r="B21" s="69">
        <f t="shared" si="1"/>
        <v>0</v>
      </c>
      <c r="C21" s="69">
        <f t="shared" si="1"/>
        <v>1</v>
      </c>
      <c r="D21" s="69">
        <f t="shared" si="1"/>
        <v>0</v>
      </c>
      <c r="E21" s="76" t="s">
        <v>6</v>
      </c>
      <c r="F21" s="78">
        <v>-16</v>
      </c>
      <c r="G21" s="78">
        <v>-13.92</v>
      </c>
      <c r="H21" s="78">
        <v>-11.54</v>
      </c>
      <c r="I21" s="78">
        <v>-9.3460000000000001</v>
      </c>
      <c r="J21" s="78">
        <v>-7.6120000000000001</v>
      </c>
      <c r="K21" s="78">
        <v>-6.5529999999999999</v>
      </c>
      <c r="L21" s="78">
        <v>-6.1760000000000002</v>
      </c>
      <c r="M21" s="78">
        <v>-6.8330000000000002</v>
      </c>
      <c r="N21" s="78">
        <v>-6.843</v>
      </c>
      <c r="O21" s="78">
        <v>-6.9039999999999999</v>
      </c>
      <c r="P21" s="78">
        <v>-6.9809999999999999</v>
      </c>
      <c r="Q21" s="78">
        <v>-7.0620000000000003</v>
      </c>
      <c r="R21" s="78">
        <v>-7.1429999999999998</v>
      </c>
      <c r="S21" s="78">
        <v>-7.4630000000000001</v>
      </c>
      <c r="T21" s="78">
        <v>-7.7649999999999997</v>
      </c>
      <c r="U21" s="78">
        <v>-8.048</v>
      </c>
      <c r="V21" s="78">
        <v>-8.1159999999999997</v>
      </c>
      <c r="W21" s="78">
        <v>-8.1820000000000004</v>
      </c>
      <c r="X21" s="78">
        <v>-8.2479999999999993</v>
      </c>
      <c r="Y21" s="78">
        <v>-8.3130000000000006</v>
      </c>
      <c r="Z21" s="78">
        <v>-8.5609999999999999</v>
      </c>
      <c r="AA21" s="78">
        <v>-8.7949999999999999</v>
      </c>
      <c r="AM21" s="50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2"/>
    </row>
    <row r="22" spans="1:54" ht="21" customHeight="1" outlineLevel="1" thickBot="1" x14ac:dyDescent="0.4">
      <c r="A22" s="69">
        <f t="shared" si="1"/>
        <v>0</v>
      </c>
      <c r="B22" s="69">
        <f t="shared" si="1"/>
        <v>1</v>
      </c>
      <c r="C22" s="69">
        <f t="shared" si="1"/>
        <v>0</v>
      </c>
      <c r="D22" s="69">
        <f t="shared" si="1"/>
        <v>0</v>
      </c>
      <c r="E22" s="76" t="s">
        <v>7</v>
      </c>
      <c r="F22" s="78">
        <v>-22.14</v>
      </c>
      <c r="G22" s="78">
        <v>-21.3</v>
      </c>
      <c r="H22" s="78">
        <v>-21.39</v>
      </c>
      <c r="I22" s="78">
        <v>-21.8</v>
      </c>
      <c r="J22" s="78">
        <v>-22.19</v>
      </c>
      <c r="K22" s="78">
        <v>-22.48</v>
      </c>
      <c r="L22" s="78">
        <v>-22.79</v>
      </c>
      <c r="M22" s="78">
        <v>-23.04</v>
      </c>
      <c r="N22" s="78">
        <v>-23.53</v>
      </c>
      <c r="O22" s="78">
        <v>-24.03</v>
      </c>
      <c r="P22" s="78">
        <v>-24.51</v>
      </c>
      <c r="Q22" s="78">
        <v>-24.99</v>
      </c>
      <c r="R22" s="78">
        <v>-25.47</v>
      </c>
      <c r="S22" s="78">
        <v>-27.28</v>
      </c>
      <c r="T22" s="78">
        <v>-29</v>
      </c>
      <c r="U22" s="78">
        <v>-30.63</v>
      </c>
      <c r="V22" s="78">
        <v>-31.03</v>
      </c>
      <c r="W22" s="78">
        <v>-31.42</v>
      </c>
      <c r="X22" s="78">
        <v>-31.81</v>
      </c>
      <c r="Y22" s="78">
        <v>-32.200000000000003</v>
      </c>
      <c r="Z22" s="78">
        <v>-33.729999999999997</v>
      </c>
      <c r="AA22" s="78">
        <v>-35.22</v>
      </c>
      <c r="AM22" s="50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2"/>
    </row>
    <row r="23" spans="1:54" ht="21" customHeight="1" outlineLevel="1" thickBot="1" x14ac:dyDescent="0.4">
      <c r="A23" s="69">
        <f t="shared" si="1"/>
        <v>0</v>
      </c>
      <c r="B23" s="69">
        <f t="shared" si="1"/>
        <v>0</v>
      </c>
      <c r="C23" s="69">
        <f t="shared" si="1"/>
        <v>0</v>
      </c>
      <c r="D23" s="69">
        <f t="shared" si="1"/>
        <v>0</v>
      </c>
      <c r="E23" s="66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AM23" s="50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2"/>
    </row>
    <row r="24" spans="1:54" ht="21" customHeight="1" outlineLevel="1" thickBot="1" x14ac:dyDescent="0.4">
      <c r="A24" s="69">
        <f t="shared" si="1"/>
        <v>0</v>
      </c>
      <c r="B24" s="69">
        <f t="shared" si="1"/>
        <v>0</v>
      </c>
      <c r="C24" s="69">
        <f t="shared" si="1"/>
        <v>0</v>
      </c>
      <c r="D24" s="69">
        <f t="shared" si="1"/>
        <v>0</v>
      </c>
      <c r="E24" s="66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AM24" s="50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2"/>
    </row>
    <row r="25" spans="1:54" ht="21" customHeight="1" outlineLevel="1" thickBot="1" x14ac:dyDescent="0.4">
      <c r="A25" s="69">
        <f t="shared" si="1"/>
        <v>0</v>
      </c>
      <c r="B25" s="69">
        <f t="shared" si="1"/>
        <v>0</v>
      </c>
      <c r="C25" s="69">
        <f t="shared" si="1"/>
        <v>0</v>
      </c>
      <c r="D25" s="69">
        <f t="shared" si="1"/>
        <v>0</v>
      </c>
      <c r="E25" s="66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AM25" s="50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2"/>
    </row>
    <row r="26" spans="1:54" ht="21" customHeight="1" outlineLevel="1" thickBot="1" x14ac:dyDescent="0.4">
      <c r="A26" s="69">
        <f t="shared" si="1"/>
        <v>0</v>
      </c>
      <c r="B26" s="69">
        <f t="shared" si="1"/>
        <v>0</v>
      </c>
      <c r="C26" s="69">
        <f t="shared" si="1"/>
        <v>0</v>
      </c>
      <c r="D26" s="69">
        <f t="shared" si="1"/>
        <v>0</v>
      </c>
      <c r="E26" s="66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AM26" s="50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2"/>
    </row>
    <row r="27" spans="1:54" ht="21" customHeight="1" outlineLevel="1" thickBot="1" x14ac:dyDescent="0.4">
      <c r="A27" s="69">
        <f t="shared" si="1"/>
        <v>0</v>
      </c>
      <c r="B27" s="69">
        <f t="shared" si="1"/>
        <v>0</v>
      </c>
      <c r="C27" s="69">
        <f t="shared" si="1"/>
        <v>0</v>
      </c>
      <c r="D27" s="69">
        <f t="shared" si="1"/>
        <v>0</v>
      </c>
      <c r="E27" s="66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AM27" s="50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2"/>
    </row>
    <row r="28" spans="1:54" ht="21" customHeight="1" outlineLevel="1" thickBot="1" x14ac:dyDescent="0.4">
      <c r="A28" s="69">
        <f t="shared" ref="A28:D32" si="2">IF( ISNUMBER( FIND(A$3,$E28,1)),   IF( ISNUMBER( VALUE(MID($E28,FIND(A$3,$E28,1)+2,1)) ), VALUE( MID($E28,FIND(A$3,$E28,1)+2,1) ),1),0)</f>
        <v>0</v>
      </c>
      <c r="B28" s="69">
        <f t="shared" si="2"/>
        <v>0</v>
      </c>
      <c r="C28" s="69">
        <f t="shared" si="2"/>
        <v>0</v>
      </c>
      <c r="D28" s="69">
        <f t="shared" si="2"/>
        <v>0</v>
      </c>
      <c r="E28" s="66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AM28" s="50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2"/>
    </row>
    <row r="29" spans="1:54" ht="21" customHeight="1" outlineLevel="1" thickBot="1" x14ac:dyDescent="0.4">
      <c r="A29" s="69">
        <f t="shared" si="2"/>
        <v>0</v>
      </c>
      <c r="B29" s="69">
        <f t="shared" si="2"/>
        <v>0</v>
      </c>
      <c r="C29" s="69">
        <f t="shared" si="2"/>
        <v>0</v>
      </c>
      <c r="D29" s="69">
        <f t="shared" si="2"/>
        <v>0</v>
      </c>
      <c r="E29" s="66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AM29" s="50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2"/>
    </row>
    <row r="30" spans="1:54" ht="21" customHeight="1" outlineLevel="1" thickBot="1" x14ac:dyDescent="0.4">
      <c r="A30" s="69">
        <f t="shared" si="2"/>
        <v>0</v>
      </c>
      <c r="B30" s="69">
        <f t="shared" si="2"/>
        <v>0</v>
      </c>
      <c r="C30" s="69">
        <f t="shared" si="2"/>
        <v>0</v>
      </c>
      <c r="D30" s="69">
        <f t="shared" si="2"/>
        <v>0</v>
      </c>
      <c r="E30" s="66"/>
      <c r="AM30" s="50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2"/>
    </row>
    <row r="31" spans="1:54" ht="21" customHeight="1" outlineLevel="1" thickBot="1" x14ac:dyDescent="0.4">
      <c r="A31" s="69">
        <f t="shared" si="2"/>
        <v>0</v>
      </c>
      <c r="B31" s="69">
        <f t="shared" si="2"/>
        <v>0</v>
      </c>
      <c r="C31" s="69">
        <f t="shared" si="2"/>
        <v>0</v>
      </c>
      <c r="D31" s="69">
        <f t="shared" si="2"/>
        <v>0</v>
      </c>
      <c r="E31" s="66"/>
      <c r="AM31" s="50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2"/>
    </row>
    <row r="32" spans="1:54" ht="21" customHeight="1" outlineLevel="1" thickBot="1" x14ac:dyDescent="0.4">
      <c r="A32" s="69">
        <f t="shared" si="2"/>
        <v>0</v>
      </c>
      <c r="B32" s="69">
        <f t="shared" si="2"/>
        <v>0</v>
      </c>
      <c r="C32" s="69">
        <f t="shared" si="2"/>
        <v>0</v>
      </c>
      <c r="D32" s="69">
        <f t="shared" si="2"/>
        <v>0</v>
      </c>
      <c r="E32" s="66"/>
      <c r="F32" s="61"/>
      <c r="AM32" s="50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2"/>
    </row>
    <row r="33" spans="1:54" ht="21" customHeight="1" outlineLevel="1" thickBot="1" x14ac:dyDescent="0.4">
      <c r="A33" s="69">
        <f t="shared" ref="A33:D33" si="3">IF( ISNUMBER( FIND(A$3,$E33,1)),   IF( ISNUMBER( VALUE(MID($E33,FIND(A$3,$E33,1)+2,1)) ), VALUE( MID($E33,FIND(A$3,$E33,1)+2,1) ),1),0)</f>
        <v>0</v>
      </c>
      <c r="B33" s="69">
        <f t="shared" si="3"/>
        <v>0</v>
      </c>
      <c r="C33" s="69">
        <f t="shared" si="3"/>
        <v>0</v>
      </c>
      <c r="D33" s="69">
        <f t="shared" si="3"/>
        <v>0</v>
      </c>
      <c r="E33" s="66">
        <v>1</v>
      </c>
      <c r="AM33" s="50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2"/>
    </row>
    <row r="34" spans="1:54" ht="21" customHeight="1" outlineLevel="1" x14ac:dyDescent="0.35">
      <c r="A34" s="47">
        <f>$A$2</f>
        <v>731</v>
      </c>
      <c r="B34" s="49">
        <f>MIN(F4:AC22)</f>
        <v>-60.79</v>
      </c>
      <c r="C34" s="22" t="s">
        <v>36</v>
      </c>
      <c r="D34" s="75">
        <f>MATCH(C34,$E$4:$E$33)</f>
        <v>16</v>
      </c>
      <c r="E34" s="22" t="str">
        <f ca="1">OFFSET($E$3:$AL$3,$D34,0)</f>
        <v>H (Ar)</v>
      </c>
      <c r="F34" s="26">
        <f t="shared" ref="F34:AL37" ca="1" si="4">OFFSET($E$3:$AL$3,$D34,0)</f>
        <v>-18.88</v>
      </c>
      <c r="G34" s="26">
        <f t="shared" ca="1" si="4"/>
        <v>-18.87</v>
      </c>
      <c r="H34" s="26">
        <f t="shared" ca="1" si="4"/>
        <v>-18.899999999999999</v>
      </c>
      <c r="I34" s="26">
        <f t="shared" ca="1" si="4"/>
        <v>-18.940000000000001</v>
      </c>
      <c r="J34" s="26">
        <f t="shared" ca="1" si="4"/>
        <v>-18.989999999999998</v>
      </c>
      <c r="K34" s="26">
        <f t="shared" ca="1" si="4"/>
        <v>-19.04</v>
      </c>
      <c r="L34" s="26">
        <f t="shared" ca="1" si="4"/>
        <v>-19.07</v>
      </c>
      <c r="M34" s="26">
        <f t="shared" ca="1" si="4"/>
        <v>-18.96</v>
      </c>
      <c r="N34" s="26">
        <f t="shared" ca="1" si="4"/>
        <v>-19.03</v>
      </c>
      <c r="O34" s="26">
        <f t="shared" ca="1" si="4"/>
        <v>-19.100000000000001</v>
      </c>
      <c r="P34" s="26">
        <f t="shared" ca="1" si="4"/>
        <v>-19.170000000000002</v>
      </c>
      <c r="Q34" s="26">
        <f t="shared" ca="1" si="4"/>
        <v>-19.239999999999998</v>
      </c>
      <c r="R34" s="26">
        <f t="shared" ca="1" si="4"/>
        <v>-19.309999999999999</v>
      </c>
      <c r="S34" s="26">
        <f t="shared" ca="1" si="4"/>
        <v>-19.57</v>
      </c>
      <c r="T34" s="26">
        <f t="shared" ca="1" si="4"/>
        <v>-19.82</v>
      </c>
      <c r="U34" s="26">
        <f t="shared" ca="1" si="4"/>
        <v>-20.05</v>
      </c>
      <c r="V34" s="26">
        <f t="shared" ca="1" si="4"/>
        <v>-20.11</v>
      </c>
      <c r="W34" s="26">
        <f t="shared" ca="1" si="4"/>
        <v>-20.16</v>
      </c>
      <c r="X34" s="26">
        <f t="shared" ca="1" si="4"/>
        <v>-20.21</v>
      </c>
      <c r="Y34" s="26">
        <f t="shared" ca="1" si="4"/>
        <v>-20.260000000000002</v>
      </c>
      <c r="Z34" s="26">
        <f t="shared" ca="1" si="4"/>
        <v>-20.46</v>
      </c>
      <c r="AA34" s="26">
        <f t="shared" ca="1" si="4"/>
        <v>-20.65</v>
      </c>
      <c r="AB34" s="26">
        <f t="shared" ca="1" si="4"/>
        <v>0</v>
      </c>
      <c r="AC34" s="26">
        <f t="shared" ca="1" si="4"/>
        <v>0</v>
      </c>
      <c r="AD34" s="26">
        <f t="shared" ca="1" si="4"/>
        <v>0</v>
      </c>
      <c r="AE34" s="26">
        <f t="shared" ca="1" si="4"/>
        <v>0</v>
      </c>
      <c r="AF34" s="26">
        <f t="shared" ca="1" si="4"/>
        <v>0</v>
      </c>
      <c r="AG34" s="26">
        <f t="shared" ca="1" si="4"/>
        <v>0</v>
      </c>
      <c r="AH34" s="26">
        <f t="shared" ca="1" si="4"/>
        <v>0</v>
      </c>
      <c r="AI34" s="26">
        <f t="shared" ca="1" si="4"/>
        <v>0</v>
      </c>
      <c r="AJ34" s="26">
        <f t="shared" ca="1" si="4"/>
        <v>0</v>
      </c>
      <c r="AK34" s="26">
        <f t="shared" ca="1" si="4"/>
        <v>0</v>
      </c>
      <c r="AL34" s="26">
        <f t="shared" ca="1" si="4"/>
        <v>0</v>
      </c>
      <c r="AM34" s="50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2"/>
    </row>
    <row r="35" spans="1:54" s="61" customFormat="1" ht="21" customHeight="1" outlineLevel="1" thickBot="1" x14ac:dyDescent="0.4">
      <c r="A35" s="53">
        <f>$A$2</f>
        <v>731</v>
      </c>
      <c r="B35" s="74">
        <f>MAX(F4:AC22)</f>
        <v>0.48</v>
      </c>
      <c r="C35" s="22" t="s">
        <v>5</v>
      </c>
      <c r="D35" s="75">
        <f t="shared" ref="D35:D37" si="5">MATCH(C35,$E$4:$E$33)</f>
        <v>17</v>
      </c>
      <c r="E35" s="22" t="str">
        <f t="shared" ref="E35:E37" ca="1" si="6">OFFSET($E$3:$AL$3,$D35,0)</f>
        <v>H (Ga)</v>
      </c>
      <c r="F35" s="26">
        <f t="shared" ca="1" si="4"/>
        <v>-60.79</v>
      </c>
      <c r="G35" s="26">
        <f t="shared" ca="1" si="4"/>
        <v>-53.82</v>
      </c>
      <c r="H35" s="26">
        <f t="shared" ca="1" si="4"/>
        <v>-47.01</v>
      </c>
      <c r="I35" s="26">
        <f t="shared" ca="1" si="4"/>
        <v>-40.9</v>
      </c>
      <c r="J35" s="26">
        <f t="shared" ca="1" si="4"/>
        <v>-35.71</v>
      </c>
      <c r="K35" s="26">
        <f t="shared" ca="1" si="4"/>
        <v>-31.39</v>
      </c>
      <c r="L35" s="26">
        <f t="shared" ca="1" si="4"/>
        <v>-27.66</v>
      </c>
      <c r="M35" s="26">
        <f t="shared" ca="1" si="4"/>
        <v>-26.79</v>
      </c>
      <c r="N35" s="26">
        <f t="shared" ca="1" si="4"/>
        <v>-28.11</v>
      </c>
      <c r="O35" s="26">
        <f t="shared" ca="1" si="4"/>
        <v>-29.41</v>
      </c>
      <c r="P35" s="26">
        <f t="shared" ca="1" si="4"/>
        <v>-30.69</v>
      </c>
      <c r="Q35" s="26">
        <f t="shared" ca="1" si="4"/>
        <v>-31.94</v>
      </c>
      <c r="R35" s="26">
        <f t="shared" ca="1" si="4"/>
        <v>-33.159999999999997</v>
      </c>
      <c r="S35" s="26">
        <f t="shared" ca="1" si="4"/>
        <v>-37.67</v>
      </c>
      <c r="T35" s="26">
        <f t="shared" ca="1" si="4"/>
        <v>-41.43</v>
      </c>
      <c r="U35" s="26">
        <f t="shared" ca="1" si="4"/>
        <v>-44.33</v>
      </c>
      <c r="V35" s="26">
        <f t="shared" ca="1" si="4"/>
        <v>-44.9</v>
      </c>
      <c r="W35" s="26">
        <f t="shared" ca="1" si="4"/>
        <v>-45.42</v>
      </c>
      <c r="X35" s="26">
        <f t="shared" ca="1" si="4"/>
        <v>-45.86</v>
      </c>
      <c r="Y35" s="26">
        <f t="shared" ca="1" si="4"/>
        <v>-46.25</v>
      </c>
      <c r="Z35" s="26">
        <f t="shared" ca="1" si="4"/>
        <v>-47.11</v>
      </c>
      <c r="AA35" s="26">
        <f t="shared" ca="1" si="4"/>
        <v>-46.85</v>
      </c>
      <c r="AB35" s="26">
        <f t="shared" ca="1" si="4"/>
        <v>0</v>
      </c>
      <c r="AC35" s="26">
        <f t="shared" ca="1" si="4"/>
        <v>0</v>
      </c>
      <c r="AD35" s="26">
        <f t="shared" ca="1" si="4"/>
        <v>0</v>
      </c>
      <c r="AE35" s="26">
        <f t="shared" ca="1" si="4"/>
        <v>0</v>
      </c>
      <c r="AF35" s="26">
        <f t="shared" ca="1" si="4"/>
        <v>0</v>
      </c>
      <c r="AG35" s="26">
        <f t="shared" ca="1" si="4"/>
        <v>0</v>
      </c>
      <c r="AH35" s="26">
        <f t="shared" ca="1" si="4"/>
        <v>0</v>
      </c>
      <c r="AI35" s="26">
        <f t="shared" ca="1" si="4"/>
        <v>0</v>
      </c>
      <c r="AJ35" s="26">
        <f t="shared" ca="1" si="4"/>
        <v>0</v>
      </c>
      <c r="AK35" s="26">
        <f t="shared" ca="1" si="4"/>
        <v>0</v>
      </c>
      <c r="AL35" s="26">
        <f t="shared" ca="1" si="4"/>
        <v>0</v>
      </c>
      <c r="AM35" s="50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2"/>
    </row>
    <row r="36" spans="1:54" s="61" customFormat="1" ht="21" customHeight="1" outlineLevel="1" x14ac:dyDescent="0.35">
      <c r="C36" s="22" t="s">
        <v>6</v>
      </c>
      <c r="D36" s="75">
        <f t="shared" si="5"/>
        <v>18</v>
      </c>
      <c r="E36" s="22" t="str">
        <f t="shared" ca="1" si="6"/>
        <v>H (Ge)</v>
      </c>
      <c r="F36" s="26">
        <f t="shared" ca="1" si="4"/>
        <v>-16</v>
      </c>
      <c r="G36" s="26">
        <f t="shared" ca="1" si="4"/>
        <v>-13.92</v>
      </c>
      <c r="H36" s="26">
        <f t="shared" ca="1" si="4"/>
        <v>-11.54</v>
      </c>
      <c r="I36" s="26">
        <f t="shared" ca="1" si="4"/>
        <v>-9.3460000000000001</v>
      </c>
      <c r="J36" s="26">
        <f t="shared" ca="1" si="4"/>
        <v>-7.6120000000000001</v>
      </c>
      <c r="K36" s="26">
        <f t="shared" ca="1" si="4"/>
        <v>-6.5529999999999999</v>
      </c>
      <c r="L36" s="26">
        <f t="shared" ca="1" si="4"/>
        <v>-6.1760000000000002</v>
      </c>
      <c r="M36" s="26">
        <f t="shared" ca="1" si="4"/>
        <v>-6.8330000000000002</v>
      </c>
      <c r="N36" s="26">
        <f t="shared" ca="1" si="4"/>
        <v>-6.843</v>
      </c>
      <c r="O36" s="26">
        <f t="shared" ca="1" si="4"/>
        <v>-6.9039999999999999</v>
      </c>
      <c r="P36" s="26">
        <f t="shared" ca="1" si="4"/>
        <v>-6.9809999999999999</v>
      </c>
      <c r="Q36" s="26">
        <f t="shared" ca="1" si="4"/>
        <v>-7.0620000000000003</v>
      </c>
      <c r="R36" s="26">
        <f t="shared" ca="1" si="4"/>
        <v>-7.1429999999999998</v>
      </c>
      <c r="S36" s="26">
        <f t="shared" ca="1" si="4"/>
        <v>-7.4630000000000001</v>
      </c>
      <c r="T36" s="26">
        <f t="shared" ca="1" si="4"/>
        <v>-7.7649999999999997</v>
      </c>
      <c r="U36" s="26">
        <f t="shared" ca="1" si="4"/>
        <v>-8.048</v>
      </c>
      <c r="V36" s="26">
        <f t="shared" ca="1" si="4"/>
        <v>-8.1159999999999997</v>
      </c>
      <c r="W36" s="26">
        <f t="shared" ca="1" si="4"/>
        <v>-8.1820000000000004</v>
      </c>
      <c r="X36" s="26">
        <f t="shared" ca="1" si="4"/>
        <v>-8.2479999999999993</v>
      </c>
      <c r="Y36" s="26">
        <f t="shared" ca="1" si="4"/>
        <v>-8.3130000000000006</v>
      </c>
      <c r="Z36" s="26">
        <f t="shared" ca="1" si="4"/>
        <v>-8.5609999999999999</v>
      </c>
      <c r="AA36" s="26">
        <f t="shared" ca="1" si="4"/>
        <v>-8.7949999999999999</v>
      </c>
      <c r="AB36" s="26">
        <f t="shared" ca="1" si="4"/>
        <v>0</v>
      </c>
      <c r="AC36" s="26">
        <f t="shared" ca="1" si="4"/>
        <v>0</v>
      </c>
      <c r="AD36" s="26">
        <f t="shared" ca="1" si="4"/>
        <v>0</v>
      </c>
      <c r="AE36" s="26">
        <f t="shared" ca="1" si="4"/>
        <v>0</v>
      </c>
      <c r="AF36" s="26">
        <f t="shared" ca="1" si="4"/>
        <v>0</v>
      </c>
      <c r="AG36" s="26">
        <f t="shared" ca="1" si="4"/>
        <v>0</v>
      </c>
      <c r="AH36" s="26">
        <f t="shared" ca="1" si="4"/>
        <v>0</v>
      </c>
      <c r="AI36" s="26">
        <f t="shared" ca="1" si="4"/>
        <v>0</v>
      </c>
      <c r="AJ36" s="26">
        <f t="shared" ca="1" si="4"/>
        <v>0</v>
      </c>
      <c r="AK36" s="26">
        <f t="shared" ca="1" si="4"/>
        <v>0</v>
      </c>
      <c r="AL36" s="26">
        <f t="shared" ca="1" si="4"/>
        <v>0</v>
      </c>
      <c r="AM36" s="50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2"/>
    </row>
    <row r="37" spans="1:54" ht="21" customHeight="1" outlineLevel="1" thickBot="1" x14ac:dyDescent="0.4">
      <c r="C37" s="22" t="s">
        <v>7</v>
      </c>
      <c r="D37" s="75">
        <f t="shared" si="5"/>
        <v>19</v>
      </c>
      <c r="E37" s="22" t="str">
        <f t="shared" ca="1" si="6"/>
        <v>H (Se)</v>
      </c>
      <c r="F37" s="26">
        <f t="shared" ca="1" si="4"/>
        <v>-22.14</v>
      </c>
      <c r="G37" s="26">
        <f t="shared" ca="1" si="4"/>
        <v>-21.3</v>
      </c>
      <c r="H37" s="26">
        <f t="shared" ca="1" si="4"/>
        <v>-21.39</v>
      </c>
      <c r="I37" s="26">
        <f t="shared" ca="1" si="4"/>
        <v>-21.8</v>
      </c>
      <c r="J37" s="26">
        <f t="shared" ca="1" si="4"/>
        <v>-22.19</v>
      </c>
      <c r="K37" s="26">
        <f t="shared" ca="1" si="4"/>
        <v>-22.48</v>
      </c>
      <c r="L37" s="26">
        <f t="shared" ca="1" si="4"/>
        <v>-22.79</v>
      </c>
      <c r="M37" s="26">
        <f t="shared" ca="1" si="4"/>
        <v>-23.04</v>
      </c>
      <c r="N37" s="26">
        <f t="shared" ca="1" si="4"/>
        <v>-23.53</v>
      </c>
      <c r="O37" s="26">
        <f t="shared" ca="1" si="4"/>
        <v>-24.03</v>
      </c>
      <c r="P37" s="26">
        <f t="shared" ca="1" si="4"/>
        <v>-24.51</v>
      </c>
      <c r="Q37" s="26">
        <f t="shared" ca="1" si="4"/>
        <v>-24.99</v>
      </c>
      <c r="R37" s="26">
        <f t="shared" ca="1" si="4"/>
        <v>-25.47</v>
      </c>
      <c r="S37" s="26">
        <f t="shared" ca="1" si="4"/>
        <v>-27.28</v>
      </c>
      <c r="T37" s="26">
        <f t="shared" ca="1" si="4"/>
        <v>-29</v>
      </c>
      <c r="U37" s="26">
        <f t="shared" ca="1" si="4"/>
        <v>-30.63</v>
      </c>
      <c r="V37" s="26">
        <f t="shared" ca="1" si="4"/>
        <v>-31.03</v>
      </c>
      <c r="W37" s="26">
        <f t="shared" ca="1" si="4"/>
        <v>-31.42</v>
      </c>
      <c r="X37" s="26">
        <f t="shared" ca="1" si="4"/>
        <v>-31.81</v>
      </c>
      <c r="Y37" s="26">
        <f t="shared" ca="1" si="4"/>
        <v>-32.200000000000003</v>
      </c>
      <c r="Z37" s="26">
        <f t="shared" ca="1" si="4"/>
        <v>-33.729999999999997</v>
      </c>
      <c r="AA37" s="26">
        <f t="shared" ca="1" si="4"/>
        <v>-35.22</v>
      </c>
      <c r="AB37" s="26">
        <f t="shared" ca="1" si="4"/>
        <v>0</v>
      </c>
      <c r="AC37" s="26">
        <f t="shared" ca="1" si="4"/>
        <v>0</v>
      </c>
      <c r="AD37" s="26">
        <f t="shared" ca="1" si="4"/>
        <v>0</v>
      </c>
      <c r="AE37" s="26">
        <f t="shared" ca="1" si="4"/>
        <v>0</v>
      </c>
      <c r="AF37" s="26">
        <f t="shared" ca="1" si="4"/>
        <v>0</v>
      </c>
      <c r="AG37" s="26">
        <f t="shared" ca="1" si="4"/>
        <v>0</v>
      </c>
      <c r="AH37" s="26">
        <f t="shared" ca="1" si="4"/>
        <v>0</v>
      </c>
      <c r="AI37" s="26">
        <f t="shared" ca="1" si="4"/>
        <v>0</v>
      </c>
      <c r="AJ37" s="26">
        <f t="shared" ca="1" si="4"/>
        <v>0</v>
      </c>
      <c r="AK37" s="26">
        <f t="shared" ca="1" si="4"/>
        <v>0</v>
      </c>
      <c r="AL37" s="26">
        <f t="shared" ca="1" si="4"/>
        <v>0</v>
      </c>
      <c r="AM37" s="53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5"/>
    </row>
    <row r="38" spans="1:54" s="61" customFormat="1" ht="21" customHeight="1" thickBot="1" x14ac:dyDescent="0.4"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</row>
    <row r="39" spans="1:54" ht="21" customHeight="1" thickTop="1" thickBot="1" x14ac:dyDescent="0.45">
      <c r="A39" s="11" t="s">
        <v>8</v>
      </c>
      <c r="B39" s="12"/>
      <c r="C39" s="12"/>
      <c r="D39" s="13"/>
      <c r="E39" s="2" t="s">
        <v>29</v>
      </c>
      <c r="F39" s="3"/>
      <c r="G39" s="2"/>
      <c r="H39" s="2"/>
      <c r="I39" s="2"/>
      <c r="J39" s="2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5"/>
      <c r="AN39" s="15"/>
      <c r="AO39" s="15"/>
      <c r="AP39" s="15"/>
      <c r="AQ39" s="15"/>
      <c r="AR39" s="15"/>
    </row>
    <row r="40" spans="1:54" ht="21" customHeight="1" outlineLevel="1" thickTop="1" thickBot="1" x14ac:dyDescent="0.4">
      <c r="A40" s="16" t="s">
        <v>1</v>
      </c>
      <c r="B40" s="16" t="s">
        <v>3</v>
      </c>
      <c r="C40" s="16" t="s">
        <v>4</v>
      </c>
      <c r="D40" s="16" t="s">
        <v>2</v>
      </c>
      <c r="E40" s="16" t="s">
        <v>9</v>
      </c>
      <c r="F40" s="17">
        <f>F3</f>
        <v>298.2</v>
      </c>
      <c r="G40" s="17">
        <f t="shared" ref="G40:AL40" si="7">G3</f>
        <v>331.5</v>
      </c>
      <c r="H40" s="17">
        <f t="shared" si="7"/>
        <v>364.9</v>
      </c>
      <c r="I40" s="17">
        <f t="shared" si="7"/>
        <v>398.3</v>
      </c>
      <c r="J40" s="17">
        <f t="shared" si="7"/>
        <v>431.7</v>
      </c>
      <c r="K40" s="17">
        <f t="shared" si="7"/>
        <v>465.1</v>
      </c>
      <c r="L40" s="17">
        <f t="shared" si="7"/>
        <v>498.5</v>
      </c>
      <c r="M40" s="17">
        <f t="shared" si="7"/>
        <v>531.79999999999995</v>
      </c>
      <c r="N40" s="17">
        <f t="shared" si="7"/>
        <v>565.20000000000005</v>
      </c>
      <c r="O40" s="17">
        <f t="shared" si="7"/>
        <v>598.6</v>
      </c>
      <c r="P40" s="17">
        <f t="shared" si="7"/>
        <v>632</v>
      </c>
      <c r="Q40" s="17">
        <f t="shared" si="7"/>
        <v>665.4</v>
      </c>
      <c r="R40" s="17">
        <f t="shared" si="7"/>
        <v>698.8</v>
      </c>
      <c r="S40" s="17">
        <f t="shared" si="7"/>
        <v>832.3</v>
      </c>
      <c r="T40" s="17">
        <f t="shared" si="7"/>
        <v>965.8</v>
      </c>
      <c r="U40" s="17">
        <f t="shared" si="7"/>
        <v>1099</v>
      </c>
      <c r="V40" s="17">
        <f t="shared" si="7"/>
        <v>1133</v>
      </c>
      <c r="W40" s="17">
        <f t="shared" si="7"/>
        <v>1166</v>
      </c>
      <c r="X40" s="17">
        <f t="shared" si="7"/>
        <v>1200</v>
      </c>
      <c r="Y40" s="17">
        <f t="shared" si="7"/>
        <v>1233</v>
      </c>
      <c r="Z40" s="17">
        <f t="shared" si="7"/>
        <v>1366</v>
      </c>
      <c r="AA40" s="17">
        <f t="shared" si="7"/>
        <v>1500</v>
      </c>
      <c r="AB40" s="17">
        <f t="shared" si="7"/>
        <v>0</v>
      </c>
      <c r="AC40" s="17">
        <f t="shared" si="7"/>
        <v>0</v>
      </c>
      <c r="AD40" s="17">
        <f t="shared" si="7"/>
        <v>0</v>
      </c>
      <c r="AE40" s="17">
        <f t="shared" si="7"/>
        <v>0</v>
      </c>
      <c r="AF40" s="17">
        <f t="shared" si="7"/>
        <v>0</v>
      </c>
      <c r="AG40" s="17">
        <f t="shared" si="7"/>
        <v>0</v>
      </c>
      <c r="AH40" s="17">
        <f t="shared" si="7"/>
        <v>0</v>
      </c>
      <c r="AI40" s="17">
        <f t="shared" si="7"/>
        <v>0</v>
      </c>
      <c r="AJ40" s="17">
        <f t="shared" si="7"/>
        <v>0</v>
      </c>
      <c r="AK40" s="17">
        <f t="shared" si="7"/>
        <v>0</v>
      </c>
      <c r="AL40" s="17">
        <f t="shared" si="7"/>
        <v>0</v>
      </c>
    </row>
    <row r="41" spans="1:54" ht="21" customHeight="1" outlineLevel="1" thickTop="1" x14ac:dyDescent="0.35">
      <c r="A41" s="18">
        <f>A45/$B45</f>
        <v>1.6666666666666667</v>
      </c>
      <c r="B41" s="18">
        <f>B45/$B45</f>
        <v>1</v>
      </c>
      <c r="C41" s="18">
        <f>C45/$B45</f>
        <v>1.6666666666666667</v>
      </c>
      <c r="D41" s="18">
        <f>D45/$B45</f>
        <v>4</v>
      </c>
      <c r="E41" s="18">
        <f>SUM(A41:D41)</f>
        <v>8.3333333333333339</v>
      </c>
      <c r="F41" s="19">
        <f t="shared" ref="F41:AL41" ca="1" si="8">($B$41*H.Ge+$C$41*H.Ga+$D$41*H.Se)*F$40*$B$2/1000</f>
        <v>-510.44729271900002</v>
      </c>
      <c r="G41" s="19">
        <f t="shared" ca="1" si="8"/>
        <v>-520.43639953499996</v>
      </c>
      <c r="H41" s="19">
        <f t="shared" ca="1" si="8"/>
        <v>-532.30846622249999</v>
      </c>
      <c r="I41" s="19">
        <f t="shared" ca="1" si="8"/>
        <v>-545.47323090610018</v>
      </c>
      <c r="J41" s="19">
        <f t="shared" ca="1" si="8"/>
        <v>-559.54204891230006</v>
      </c>
      <c r="K41" s="19">
        <f t="shared" ca="1" si="8"/>
        <v>-575.38064399585016</v>
      </c>
      <c r="L41" s="19">
        <f t="shared" ca="1" si="8"/>
        <v>-594.51041306700006</v>
      </c>
      <c r="M41" s="19">
        <f t="shared" ca="1" si="8"/>
        <v>-635.13922895730002</v>
      </c>
      <c r="N41" s="19">
        <f t="shared" ca="1" si="8"/>
        <v>-694.62581974020009</v>
      </c>
      <c r="O41" s="19">
        <f t="shared" ca="1" si="8"/>
        <v>-756.71547482780011</v>
      </c>
      <c r="P41" s="19">
        <f t="shared" ca="1" si="8"/>
        <v>-820.64174864400013</v>
      </c>
      <c r="Q41" s="19">
        <f t="shared" ca="1" si="8"/>
        <v>-886.60755157260007</v>
      </c>
      <c r="R41" s="19">
        <f t="shared" ca="1" si="8"/>
        <v>-954.55131972980007</v>
      </c>
      <c r="S41" s="19">
        <f t="shared" ca="1" si="8"/>
        <v>-1241.2434293255499</v>
      </c>
      <c r="T41" s="19">
        <f t="shared" ca="1" si="8"/>
        <v>-1548.3322346415</v>
      </c>
      <c r="U41" s="19">
        <f t="shared" ca="1" si="8"/>
        <v>-1868.2017614890001</v>
      </c>
      <c r="V41" s="19">
        <f t="shared" ca="1" si="8"/>
        <v>-1950.6611422760002</v>
      </c>
      <c r="W41" s="19">
        <f t="shared" ca="1" si="8"/>
        <v>-2031.6421883340004</v>
      </c>
      <c r="X41" s="19">
        <f t="shared" ca="1" si="8"/>
        <v>-2114.4239112000005</v>
      </c>
      <c r="Y41" s="19">
        <f t="shared" ca="1" si="8"/>
        <v>-2195.8933648455004</v>
      </c>
      <c r="Z41" s="19">
        <f t="shared" ca="1" si="8"/>
        <v>-2521.3622529170002</v>
      </c>
      <c r="AA41" s="19">
        <f t="shared" ca="1" si="8"/>
        <v>-2840.5449937500002</v>
      </c>
      <c r="AB41" s="19">
        <f t="shared" ca="1" si="8"/>
        <v>0</v>
      </c>
      <c r="AC41" s="19">
        <f t="shared" ca="1" si="8"/>
        <v>0</v>
      </c>
      <c r="AD41" s="19">
        <f t="shared" ca="1" si="8"/>
        <v>0</v>
      </c>
      <c r="AE41" s="19">
        <f t="shared" ca="1" si="8"/>
        <v>0</v>
      </c>
      <c r="AF41" s="19">
        <f t="shared" ca="1" si="8"/>
        <v>0</v>
      </c>
      <c r="AG41" s="19">
        <f t="shared" ca="1" si="8"/>
        <v>0</v>
      </c>
      <c r="AH41" s="19">
        <f t="shared" ca="1" si="8"/>
        <v>0</v>
      </c>
      <c r="AI41" s="19">
        <f t="shared" ca="1" si="8"/>
        <v>0</v>
      </c>
      <c r="AJ41" s="19">
        <f t="shared" ca="1" si="8"/>
        <v>0</v>
      </c>
      <c r="AK41" s="19">
        <f t="shared" ca="1" si="8"/>
        <v>0</v>
      </c>
      <c r="AL41" s="19">
        <f t="shared" ca="1" si="8"/>
        <v>0</v>
      </c>
    </row>
    <row r="42" spans="1:54" ht="21" customHeight="1" outlineLevel="1" x14ac:dyDescent="0.35"/>
    <row r="43" spans="1:54" ht="21" customHeight="1" outlineLevel="1" thickBot="1" x14ac:dyDescent="0.4">
      <c r="A43" s="13" t="s">
        <v>10</v>
      </c>
      <c r="B43" s="13"/>
      <c r="C43" s="13"/>
      <c r="D43" s="72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</row>
    <row r="44" spans="1:54" ht="21" customHeight="1" outlineLevel="1" thickTop="1" thickBot="1" x14ac:dyDescent="0.4">
      <c r="A44" s="20" t="s">
        <v>1</v>
      </c>
      <c r="B44" s="20" t="s">
        <v>3</v>
      </c>
      <c r="C44" s="20" t="s">
        <v>4</v>
      </c>
      <c r="D44" s="20" t="s">
        <v>2</v>
      </c>
      <c r="E44" s="61"/>
    </row>
    <row r="45" spans="1:54" ht="21" customHeight="1" outlineLevel="1" thickTop="1" x14ac:dyDescent="0.35">
      <c r="A45" s="22">
        <f t="array" ref="A45:D45">Values!D3:G3</f>
        <v>25</v>
      </c>
      <c r="B45" s="22">
        <v>15</v>
      </c>
      <c r="C45" s="22">
        <v>25</v>
      </c>
      <c r="D45" s="22">
        <v>60</v>
      </c>
      <c r="W45" s="21"/>
    </row>
    <row r="46" spans="1:54" ht="21" customHeight="1" outlineLevel="1" x14ac:dyDescent="0.35"/>
    <row r="47" spans="1:54" ht="21" customHeight="1" thickBot="1" x14ac:dyDescent="0.4"/>
    <row r="48" spans="1:54" ht="21" customHeight="1" thickBot="1" x14ac:dyDescent="0.45">
      <c r="A48" s="1"/>
      <c r="B48" s="1"/>
      <c r="C48" s="1"/>
      <c r="D48" s="1"/>
      <c r="E48" s="2" t="s">
        <v>30</v>
      </c>
      <c r="F48" s="3"/>
      <c r="G48" s="2"/>
      <c r="H48" s="2"/>
      <c r="I48" s="2"/>
      <c r="J48" s="2"/>
      <c r="K48" s="2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</row>
    <row r="49" spans="1:38" ht="21" hidden="1" customHeight="1" outlineLevel="1" thickTop="1" thickBot="1" x14ac:dyDescent="0.4">
      <c r="A49" s="24" t="s">
        <v>1</v>
      </c>
      <c r="B49" s="24" t="s">
        <v>2</v>
      </c>
      <c r="C49" s="24" t="s">
        <v>3</v>
      </c>
      <c r="D49" s="25" t="s">
        <v>4</v>
      </c>
      <c r="E49" s="6">
        <f t="shared" ref="E49:AL49" si="9">E3</f>
        <v>0</v>
      </c>
      <c r="F49" s="6">
        <f t="shared" si="9"/>
        <v>298.2</v>
      </c>
      <c r="G49" s="6">
        <f t="shared" si="9"/>
        <v>331.5</v>
      </c>
      <c r="H49" s="6">
        <f t="shared" si="9"/>
        <v>364.9</v>
      </c>
      <c r="I49" s="6">
        <f t="shared" si="9"/>
        <v>398.3</v>
      </c>
      <c r="J49" s="6">
        <f t="shared" si="9"/>
        <v>431.7</v>
      </c>
      <c r="K49" s="6">
        <f t="shared" si="9"/>
        <v>465.1</v>
      </c>
      <c r="L49" s="6">
        <f t="shared" si="9"/>
        <v>498.5</v>
      </c>
      <c r="M49" s="6">
        <f t="shared" si="9"/>
        <v>531.79999999999995</v>
      </c>
      <c r="N49" s="6">
        <f t="shared" si="9"/>
        <v>565.20000000000005</v>
      </c>
      <c r="O49" s="6">
        <f t="shared" si="9"/>
        <v>598.6</v>
      </c>
      <c r="P49" s="6">
        <f t="shared" si="9"/>
        <v>632</v>
      </c>
      <c r="Q49" s="6">
        <f t="shared" si="9"/>
        <v>665.4</v>
      </c>
      <c r="R49" s="6">
        <f t="shared" si="9"/>
        <v>698.8</v>
      </c>
      <c r="S49" s="6">
        <f t="shared" si="9"/>
        <v>832.3</v>
      </c>
      <c r="T49" s="6">
        <f t="shared" si="9"/>
        <v>965.8</v>
      </c>
      <c r="U49" s="6">
        <f t="shared" si="9"/>
        <v>1099</v>
      </c>
      <c r="V49" s="6">
        <f t="shared" si="9"/>
        <v>1133</v>
      </c>
      <c r="W49" s="6">
        <f t="shared" si="9"/>
        <v>1166</v>
      </c>
      <c r="X49" s="6">
        <f t="shared" si="9"/>
        <v>1200</v>
      </c>
      <c r="Y49" s="6">
        <f t="shared" si="9"/>
        <v>1233</v>
      </c>
      <c r="Z49" s="6">
        <f t="shared" si="9"/>
        <v>1366</v>
      </c>
      <c r="AA49" s="6">
        <f t="shared" si="9"/>
        <v>1500</v>
      </c>
      <c r="AB49" s="6">
        <f t="shared" si="9"/>
        <v>0</v>
      </c>
      <c r="AC49" s="6">
        <f t="shared" si="9"/>
        <v>0</v>
      </c>
      <c r="AD49" s="6">
        <f t="shared" si="9"/>
        <v>0</v>
      </c>
      <c r="AE49" s="6">
        <f t="shared" si="9"/>
        <v>0</v>
      </c>
      <c r="AF49" s="6">
        <f t="shared" si="9"/>
        <v>0</v>
      </c>
      <c r="AG49" s="6">
        <f t="shared" si="9"/>
        <v>0</v>
      </c>
      <c r="AH49" s="6">
        <f t="shared" si="9"/>
        <v>0</v>
      </c>
      <c r="AI49" s="6">
        <f t="shared" si="9"/>
        <v>0</v>
      </c>
      <c r="AJ49" s="6">
        <f t="shared" si="9"/>
        <v>0</v>
      </c>
      <c r="AK49" s="6">
        <f t="shared" si="9"/>
        <v>0</v>
      </c>
      <c r="AL49" s="6">
        <f t="shared" si="9"/>
        <v>0</v>
      </c>
    </row>
    <row r="50" spans="1:38" ht="21" hidden="1" customHeight="1" outlineLevel="1" thickTop="1" thickBot="1" x14ac:dyDescent="0.4">
      <c r="A50" s="8">
        <f t="shared" ref="A50:E59" si="10">A4</f>
        <v>0</v>
      </c>
      <c r="B50" s="8">
        <f t="shared" si="10"/>
        <v>1</v>
      </c>
      <c r="C50" s="8">
        <f t="shared" si="10"/>
        <v>1</v>
      </c>
      <c r="D50" s="8">
        <f t="shared" si="10"/>
        <v>0</v>
      </c>
      <c r="E50" s="9" t="str">
        <f t="shared" si="10"/>
        <v>*GeSe</v>
      </c>
      <c r="F50" s="26">
        <f t="shared" ref="F50:O59" ca="1" si="11">$A50*H.Ar + $B50*H.Se + $C50*H.Ge + $D50*H.Ga</f>
        <v>-38.14</v>
      </c>
      <c r="G50" s="26">
        <f t="shared" ca="1" si="11"/>
        <v>-35.22</v>
      </c>
      <c r="H50" s="26">
        <f t="shared" ca="1" si="11"/>
        <v>-32.93</v>
      </c>
      <c r="I50" s="26">
        <f t="shared" ca="1" si="11"/>
        <v>-31.146000000000001</v>
      </c>
      <c r="J50" s="26">
        <f t="shared" ca="1" si="11"/>
        <v>-29.802</v>
      </c>
      <c r="K50" s="26">
        <f t="shared" ca="1" si="11"/>
        <v>-29.033000000000001</v>
      </c>
      <c r="L50" s="26">
        <f t="shared" ca="1" si="11"/>
        <v>-28.966000000000001</v>
      </c>
      <c r="M50" s="26">
        <f t="shared" ca="1" si="11"/>
        <v>-29.872999999999998</v>
      </c>
      <c r="N50" s="26">
        <f t="shared" ca="1" si="11"/>
        <v>-30.373000000000001</v>
      </c>
      <c r="O50" s="26">
        <f t="shared" ca="1" si="11"/>
        <v>-30.934000000000001</v>
      </c>
      <c r="P50" s="26">
        <f t="shared" ref="P50:AE59" ca="1" si="12">$A50*H.Ar + $B50*H.Se + $C50*H.Ge + $D50*H.Ga</f>
        <v>-31.491</v>
      </c>
      <c r="Q50" s="26">
        <f t="shared" ca="1" si="12"/>
        <v>-32.052</v>
      </c>
      <c r="R50" s="26">
        <f t="shared" ca="1" si="12"/>
        <v>-32.613</v>
      </c>
      <c r="S50" s="26">
        <f t="shared" ca="1" si="12"/>
        <v>-34.743000000000002</v>
      </c>
      <c r="T50" s="26">
        <f t="shared" ca="1" si="12"/>
        <v>-36.765000000000001</v>
      </c>
      <c r="U50" s="26">
        <f t="shared" ca="1" si="12"/>
        <v>-38.677999999999997</v>
      </c>
      <c r="V50" s="26">
        <f t="shared" ca="1" si="12"/>
        <v>-39.146000000000001</v>
      </c>
      <c r="W50" s="26">
        <f t="shared" ca="1" si="12"/>
        <v>-39.602000000000004</v>
      </c>
      <c r="X50" s="26">
        <f t="shared" ca="1" si="12"/>
        <v>-40.058</v>
      </c>
      <c r="Y50" s="26">
        <f t="shared" ca="1" si="12"/>
        <v>-40.513000000000005</v>
      </c>
      <c r="Z50" s="26">
        <f t="shared" ca="1" si="12"/>
        <v>-42.290999999999997</v>
      </c>
      <c r="AA50" s="26">
        <f t="shared" ca="1" si="12"/>
        <v>-44.015000000000001</v>
      </c>
      <c r="AB50" s="26">
        <f t="shared" ca="1" si="12"/>
        <v>0</v>
      </c>
      <c r="AC50" s="26">
        <f t="shared" ca="1" si="12"/>
        <v>0</v>
      </c>
      <c r="AD50" s="26">
        <f t="shared" ca="1" si="12"/>
        <v>0</v>
      </c>
      <c r="AE50" s="26">
        <f t="shared" ca="1" si="12"/>
        <v>0</v>
      </c>
      <c r="AF50" s="26">
        <f t="shared" ref="AF50:AL50" ca="1" si="13">$A50*H.Ar + $B50*H.Se + $C50*H.Ge + $D50*H.Ga</f>
        <v>0</v>
      </c>
      <c r="AG50" s="26">
        <f t="shared" ca="1" si="13"/>
        <v>0</v>
      </c>
      <c r="AH50" s="26">
        <f t="shared" ca="1" si="13"/>
        <v>0</v>
      </c>
      <c r="AI50" s="26">
        <f t="shared" ca="1" si="13"/>
        <v>0</v>
      </c>
      <c r="AJ50" s="26">
        <f t="shared" ca="1" si="13"/>
        <v>0</v>
      </c>
      <c r="AK50" s="26">
        <f t="shared" ca="1" si="13"/>
        <v>0</v>
      </c>
      <c r="AL50" s="26">
        <f t="shared" ca="1" si="13"/>
        <v>0</v>
      </c>
    </row>
    <row r="51" spans="1:38" ht="21" hidden="1" customHeight="1" outlineLevel="1" thickBot="1" x14ac:dyDescent="0.4">
      <c r="A51" s="8">
        <f t="shared" si="10"/>
        <v>0</v>
      </c>
      <c r="B51" s="8">
        <f t="shared" si="10"/>
        <v>1</v>
      </c>
      <c r="C51" s="8">
        <f t="shared" si="10"/>
        <v>0</v>
      </c>
      <c r="D51" s="8">
        <f t="shared" si="10"/>
        <v>0</v>
      </c>
      <c r="E51" s="9" t="str">
        <f t="shared" si="10"/>
        <v>*Se[m]</v>
      </c>
      <c r="F51" s="26">
        <f t="shared" ca="1" si="11"/>
        <v>-22.14</v>
      </c>
      <c r="G51" s="26">
        <f t="shared" ca="1" si="11"/>
        <v>-21.3</v>
      </c>
      <c r="H51" s="26">
        <f t="shared" ca="1" si="11"/>
        <v>-21.39</v>
      </c>
      <c r="I51" s="26">
        <f t="shared" ca="1" si="11"/>
        <v>-21.8</v>
      </c>
      <c r="J51" s="26">
        <f t="shared" ca="1" si="11"/>
        <v>-22.19</v>
      </c>
      <c r="K51" s="26">
        <f t="shared" ca="1" si="11"/>
        <v>-22.48</v>
      </c>
      <c r="L51" s="26">
        <f t="shared" ca="1" si="11"/>
        <v>-22.79</v>
      </c>
      <c r="M51" s="26">
        <f t="shared" ca="1" si="11"/>
        <v>-23.04</v>
      </c>
      <c r="N51" s="26">
        <f t="shared" ca="1" si="11"/>
        <v>-23.53</v>
      </c>
      <c r="O51" s="26">
        <f t="shared" ca="1" si="11"/>
        <v>-24.03</v>
      </c>
      <c r="P51" s="26">
        <f t="shared" ca="1" si="12"/>
        <v>-24.51</v>
      </c>
      <c r="Q51" s="26">
        <f t="shared" ca="1" si="12"/>
        <v>-24.99</v>
      </c>
      <c r="R51" s="26">
        <f t="shared" ca="1" si="12"/>
        <v>-25.47</v>
      </c>
      <c r="S51" s="26">
        <f t="shared" ca="1" si="12"/>
        <v>-27.28</v>
      </c>
      <c r="T51" s="26">
        <f t="shared" ca="1" si="12"/>
        <v>-29</v>
      </c>
      <c r="U51" s="26">
        <f t="shared" ca="1" si="12"/>
        <v>-30.63</v>
      </c>
      <c r="V51" s="26">
        <f t="shared" ca="1" si="12"/>
        <v>-31.03</v>
      </c>
      <c r="W51" s="26">
        <f t="shared" ca="1" si="12"/>
        <v>-31.42</v>
      </c>
      <c r="X51" s="26">
        <f t="shared" ca="1" si="12"/>
        <v>-31.81</v>
      </c>
      <c r="Y51" s="26">
        <f t="shared" ref="Y51:AL65" ca="1" si="14">$A51*H.Ar + $B51*H.Se + $C51*H.Ge + $D51*H.Ga</f>
        <v>-32.200000000000003</v>
      </c>
      <c r="Z51" s="26">
        <f t="shared" ca="1" si="14"/>
        <v>-33.729999999999997</v>
      </c>
      <c r="AA51" s="26">
        <f t="shared" ca="1" si="14"/>
        <v>-35.22</v>
      </c>
      <c r="AB51" s="26">
        <f t="shared" ca="1" si="14"/>
        <v>0</v>
      </c>
      <c r="AC51" s="26">
        <f t="shared" ca="1" si="14"/>
        <v>0</v>
      </c>
      <c r="AD51" s="26">
        <f t="shared" ca="1" si="14"/>
        <v>0</v>
      </c>
      <c r="AE51" s="26">
        <f t="shared" ca="1" si="14"/>
        <v>0</v>
      </c>
      <c r="AF51" s="26">
        <f t="shared" ca="1" si="14"/>
        <v>0</v>
      </c>
      <c r="AG51" s="26">
        <f t="shared" ca="1" si="14"/>
        <v>0</v>
      </c>
      <c r="AH51" s="26">
        <f t="shared" ca="1" si="14"/>
        <v>0</v>
      </c>
      <c r="AI51" s="26">
        <f t="shared" ca="1" si="14"/>
        <v>0</v>
      </c>
      <c r="AJ51" s="26">
        <f t="shared" ca="1" si="14"/>
        <v>0</v>
      </c>
      <c r="AK51" s="26">
        <f t="shared" ca="1" si="14"/>
        <v>0</v>
      </c>
      <c r="AL51" s="26">
        <f t="shared" ca="1" si="14"/>
        <v>0</v>
      </c>
    </row>
    <row r="52" spans="1:38" ht="21" hidden="1" customHeight="1" outlineLevel="1" thickBot="1" x14ac:dyDescent="0.4">
      <c r="A52" s="8">
        <f t="shared" si="10"/>
        <v>0</v>
      </c>
      <c r="B52" s="8">
        <f t="shared" si="10"/>
        <v>3</v>
      </c>
      <c r="C52" s="8">
        <f t="shared" si="10"/>
        <v>0</v>
      </c>
      <c r="D52" s="8">
        <f t="shared" si="10"/>
        <v>2</v>
      </c>
      <c r="E52" s="9" t="str">
        <f t="shared" si="10"/>
        <v>*Ga2Se3</v>
      </c>
      <c r="F52" s="26">
        <f t="shared" ca="1" si="11"/>
        <v>-188</v>
      </c>
      <c r="G52" s="26">
        <f t="shared" ca="1" si="11"/>
        <v>-171.54000000000002</v>
      </c>
      <c r="H52" s="26">
        <f t="shared" ca="1" si="11"/>
        <v>-158.19</v>
      </c>
      <c r="I52" s="26">
        <f t="shared" ca="1" si="11"/>
        <v>-147.19999999999999</v>
      </c>
      <c r="J52" s="26">
        <f t="shared" ca="1" si="11"/>
        <v>-137.99</v>
      </c>
      <c r="K52" s="26">
        <f t="shared" ca="1" si="11"/>
        <v>-130.22</v>
      </c>
      <c r="L52" s="26">
        <f t="shared" ca="1" si="11"/>
        <v>-123.69</v>
      </c>
      <c r="M52" s="26">
        <f t="shared" ca="1" si="11"/>
        <v>-122.7</v>
      </c>
      <c r="N52" s="26">
        <f t="shared" ca="1" si="11"/>
        <v>-126.81</v>
      </c>
      <c r="O52" s="26">
        <f t="shared" ca="1" si="11"/>
        <v>-130.91</v>
      </c>
      <c r="P52" s="26">
        <f t="shared" ca="1" si="12"/>
        <v>-134.91</v>
      </c>
      <c r="Q52" s="26">
        <f t="shared" ca="1" si="12"/>
        <v>-138.85</v>
      </c>
      <c r="R52" s="26">
        <f t="shared" ca="1" si="12"/>
        <v>-142.72999999999999</v>
      </c>
      <c r="S52" s="26">
        <f t="shared" ca="1" si="12"/>
        <v>-157.18</v>
      </c>
      <c r="T52" s="26">
        <f t="shared" ca="1" si="12"/>
        <v>-169.86</v>
      </c>
      <c r="U52" s="26">
        <f t="shared" ca="1" si="12"/>
        <v>-180.55</v>
      </c>
      <c r="V52" s="26">
        <f t="shared" ca="1" si="12"/>
        <v>-182.89</v>
      </c>
      <c r="W52" s="26">
        <f t="shared" ca="1" si="12"/>
        <v>-185.10000000000002</v>
      </c>
      <c r="X52" s="26">
        <f t="shared" ca="1" si="12"/>
        <v>-187.14999999999998</v>
      </c>
      <c r="Y52" s="26">
        <f t="shared" ca="1" si="14"/>
        <v>-189.10000000000002</v>
      </c>
      <c r="Z52" s="26">
        <f t="shared" ca="1" si="14"/>
        <v>-195.41</v>
      </c>
      <c r="AA52" s="26">
        <f t="shared" ca="1" si="14"/>
        <v>-199.36</v>
      </c>
      <c r="AB52" s="26">
        <f t="shared" ca="1" si="14"/>
        <v>0</v>
      </c>
      <c r="AC52" s="26">
        <f t="shared" ca="1" si="14"/>
        <v>0</v>
      </c>
      <c r="AD52" s="26">
        <f t="shared" ca="1" si="14"/>
        <v>0</v>
      </c>
      <c r="AE52" s="26">
        <f t="shared" ca="1" si="14"/>
        <v>0</v>
      </c>
      <c r="AF52" s="26">
        <f t="shared" ca="1" si="14"/>
        <v>0</v>
      </c>
      <c r="AG52" s="26">
        <f t="shared" ca="1" si="14"/>
        <v>0</v>
      </c>
      <c r="AH52" s="26">
        <f t="shared" ca="1" si="14"/>
        <v>0</v>
      </c>
      <c r="AI52" s="26">
        <f t="shared" ca="1" si="14"/>
        <v>0</v>
      </c>
      <c r="AJ52" s="26">
        <f t="shared" ca="1" si="14"/>
        <v>0</v>
      </c>
      <c r="AK52" s="26">
        <f t="shared" ca="1" si="14"/>
        <v>0</v>
      </c>
      <c r="AL52" s="26">
        <f t="shared" ca="1" si="14"/>
        <v>0</v>
      </c>
    </row>
    <row r="53" spans="1:38" ht="21" hidden="1" customHeight="1" outlineLevel="1" thickBot="1" x14ac:dyDescent="0.4">
      <c r="A53" s="8">
        <f t="shared" si="10"/>
        <v>0</v>
      </c>
      <c r="B53" s="8">
        <f t="shared" si="10"/>
        <v>0</v>
      </c>
      <c r="C53" s="8">
        <f t="shared" si="10"/>
        <v>1</v>
      </c>
      <c r="D53" s="8">
        <f t="shared" si="10"/>
        <v>0</v>
      </c>
      <c r="E53" s="9" t="str">
        <f t="shared" si="10"/>
        <v>Ge</v>
      </c>
      <c r="F53" s="26">
        <f t="shared" ca="1" si="11"/>
        <v>-16</v>
      </c>
      <c r="G53" s="26">
        <f t="shared" ca="1" si="11"/>
        <v>-13.92</v>
      </c>
      <c r="H53" s="26">
        <f t="shared" ca="1" si="11"/>
        <v>-11.54</v>
      </c>
      <c r="I53" s="26">
        <f t="shared" ca="1" si="11"/>
        <v>-9.3460000000000001</v>
      </c>
      <c r="J53" s="26">
        <f t="shared" ca="1" si="11"/>
        <v>-7.6120000000000001</v>
      </c>
      <c r="K53" s="26">
        <f t="shared" ca="1" si="11"/>
        <v>-6.5529999999999999</v>
      </c>
      <c r="L53" s="26">
        <f t="shared" ca="1" si="11"/>
        <v>-6.1760000000000002</v>
      </c>
      <c r="M53" s="26">
        <f t="shared" ca="1" si="11"/>
        <v>-6.8330000000000002</v>
      </c>
      <c r="N53" s="26">
        <f t="shared" ca="1" si="11"/>
        <v>-6.843</v>
      </c>
      <c r="O53" s="26">
        <f t="shared" ca="1" si="11"/>
        <v>-6.9039999999999999</v>
      </c>
      <c r="P53" s="26">
        <f t="shared" ca="1" si="12"/>
        <v>-6.9809999999999999</v>
      </c>
      <c r="Q53" s="26">
        <f t="shared" ca="1" si="12"/>
        <v>-7.0620000000000003</v>
      </c>
      <c r="R53" s="26">
        <f t="shared" ca="1" si="12"/>
        <v>-7.1429999999999998</v>
      </c>
      <c r="S53" s="26">
        <f t="shared" ca="1" si="12"/>
        <v>-7.4630000000000001</v>
      </c>
      <c r="T53" s="26">
        <f t="shared" ca="1" si="12"/>
        <v>-7.7649999999999997</v>
      </c>
      <c r="U53" s="26">
        <f t="shared" ca="1" si="12"/>
        <v>-8.048</v>
      </c>
      <c r="V53" s="26">
        <f t="shared" ca="1" si="12"/>
        <v>-8.1159999999999997</v>
      </c>
      <c r="W53" s="26">
        <f t="shared" ca="1" si="12"/>
        <v>-8.1820000000000004</v>
      </c>
      <c r="X53" s="26">
        <f t="shared" ca="1" si="12"/>
        <v>-8.2479999999999993</v>
      </c>
      <c r="Y53" s="26">
        <f t="shared" ca="1" si="14"/>
        <v>-8.3130000000000006</v>
      </c>
      <c r="Z53" s="26">
        <f t="shared" ca="1" si="14"/>
        <v>-8.5609999999999999</v>
      </c>
      <c r="AA53" s="26">
        <f t="shared" ca="1" si="14"/>
        <v>-8.7949999999999999</v>
      </c>
      <c r="AB53" s="26">
        <f t="shared" ca="1" si="14"/>
        <v>0</v>
      </c>
      <c r="AC53" s="26">
        <f t="shared" ca="1" si="14"/>
        <v>0</v>
      </c>
      <c r="AD53" s="26">
        <f t="shared" ca="1" si="14"/>
        <v>0</v>
      </c>
      <c r="AE53" s="26">
        <f t="shared" ca="1" si="14"/>
        <v>0</v>
      </c>
      <c r="AF53" s="26">
        <f t="shared" ca="1" si="14"/>
        <v>0</v>
      </c>
      <c r="AG53" s="26">
        <f t="shared" ca="1" si="14"/>
        <v>0</v>
      </c>
      <c r="AH53" s="26">
        <f t="shared" ca="1" si="14"/>
        <v>0</v>
      </c>
      <c r="AI53" s="26">
        <f t="shared" ca="1" si="14"/>
        <v>0</v>
      </c>
      <c r="AJ53" s="26">
        <f t="shared" ca="1" si="14"/>
        <v>0</v>
      </c>
      <c r="AK53" s="26">
        <f t="shared" ca="1" si="14"/>
        <v>0</v>
      </c>
      <c r="AL53" s="26">
        <f t="shared" ca="1" si="14"/>
        <v>0</v>
      </c>
    </row>
    <row r="54" spans="1:38" ht="21" hidden="1" customHeight="1" outlineLevel="1" thickBot="1" x14ac:dyDescent="0.4">
      <c r="A54" s="8">
        <f t="shared" si="10"/>
        <v>1</v>
      </c>
      <c r="B54" s="8">
        <f t="shared" si="10"/>
        <v>0</v>
      </c>
      <c r="C54" s="8">
        <f t="shared" si="10"/>
        <v>0</v>
      </c>
      <c r="D54" s="8">
        <f t="shared" si="10"/>
        <v>0</v>
      </c>
      <c r="E54" s="9" t="str">
        <f t="shared" si="10"/>
        <v>Ar</v>
      </c>
      <c r="F54" s="26">
        <f t="shared" ca="1" si="11"/>
        <v>-18.88</v>
      </c>
      <c r="G54" s="26">
        <f t="shared" ca="1" si="11"/>
        <v>-18.87</v>
      </c>
      <c r="H54" s="26">
        <f t="shared" ca="1" si="11"/>
        <v>-18.899999999999999</v>
      </c>
      <c r="I54" s="26">
        <f t="shared" ca="1" si="11"/>
        <v>-18.940000000000001</v>
      </c>
      <c r="J54" s="26">
        <f t="shared" ca="1" si="11"/>
        <v>-18.989999999999998</v>
      </c>
      <c r="K54" s="26">
        <f t="shared" ca="1" si="11"/>
        <v>-19.04</v>
      </c>
      <c r="L54" s="26">
        <f t="shared" ca="1" si="11"/>
        <v>-19.07</v>
      </c>
      <c r="M54" s="26">
        <f t="shared" ca="1" si="11"/>
        <v>-18.96</v>
      </c>
      <c r="N54" s="26">
        <f t="shared" ca="1" si="11"/>
        <v>-19.03</v>
      </c>
      <c r="O54" s="26">
        <f t="shared" ca="1" si="11"/>
        <v>-19.100000000000001</v>
      </c>
      <c r="P54" s="26">
        <f t="shared" ca="1" si="12"/>
        <v>-19.170000000000002</v>
      </c>
      <c r="Q54" s="26">
        <f t="shared" ca="1" si="12"/>
        <v>-19.239999999999998</v>
      </c>
      <c r="R54" s="26">
        <f t="shared" ca="1" si="12"/>
        <v>-19.309999999999999</v>
      </c>
      <c r="S54" s="26">
        <f t="shared" ca="1" si="12"/>
        <v>-19.57</v>
      </c>
      <c r="T54" s="26">
        <f t="shared" ca="1" si="12"/>
        <v>-19.82</v>
      </c>
      <c r="U54" s="26">
        <f t="shared" ca="1" si="12"/>
        <v>-20.05</v>
      </c>
      <c r="V54" s="26">
        <f t="shared" ca="1" si="12"/>
        <v>-20.11</v>
      </c>
      <c r="W54" s="26">
        <f t="shared" ca="1" si="12"/>
        <v>-20.16</v>
      </c>
      <c r="X54" s="26">
        <f t="shared" ca="1" si="12"/>
        <v>-20.21</v>
      </c>
      <c r="Y54" s="26">
        <f t="shared" ca="1" si="14"/>
        <v>-20.260000000000002</v>
      </c>
      <c r="Z54" s="26">
        <f t="shared" ca="1" si="14"/>
        <v>-20.46</v>
      </c>
      <c r="AA54" s="26">
        <f t="shared" ca="1" si="14"/>
        <v>-20.65</v>
      </c>
      <c r="AB54" s="26">
        <f t="shared" ca="1" si="14"/>
        <v>0</v>
      </c>
      <c r="AC54" s="26">
        <f t="shared" ca="1" si="14"/>
        <v>0</v>
      </c>
      <c r="AD54" s="26">
        <f t="shared" ca="1" si="14"/>
        <v>0</v>
      </c>
      <c r="AE54" s="26">
        <f t="shared" ca="1" si="14"/>
        <v>0</v>
      </c>
      <c r="AF54" s="26">
        <f t="shared" ca="1" si="14"/>
        <v>0</v>
      </c>
      <c r="AG54" s="26">
        <f t="shared" ca="1" si="14"/>
        <v>0</v>
      </c>
      <c r="AH54" s="26">
        <f t="shared" ca="1" si="14"/>
        <v>0</v>
      </c>
      <c r="AI54" s="26">
        <f t="shared" ca="1" si="14"/>
        <v>0</v>
      </c>
      <c r="AJ54" s="26">
        <f t="shared" ca="1" si="14"/>
        <v>0</v>
      </c>
      <c r="AK54" s="26">
        <f t="shared" ca="1" si="14"/>
        <v>0</v>
      </c>
      <c r="AL54" s="26">
        <f t="shared" ca="1" si="14"/>
        <v>0</v>
      </c>
    </row>
    <row r="55" spans="1:38" ht="21" hidden="1" customHeight="1" outlineLevel="1" thickBot="1" x14ac:dyDescent="0.4">
      <c r="A55" s="8">
        <f t="shared" si="10"/>
        <v>0</v>
      </c>
      <c r="B55" s="8">
        <f t="shared" si="10"/>
        <v>2</v>
      </c>
      <c r="C55" s="8">
        <f t="shared" si="10"/>
        <v>1</v>
      </c>
      <c r="D55" s="8">
        <f t="shared" si="10"/>
        <v>0</v>
      </c>
      <c r="E55" s="9" t="str">
        <f t="shared" si="10"/>
        <v>(l)GeSe2</v>
      </c>
      <c r="F55" s="26">
        <f t="shared" ca="1" si="11"/>
        <v>-60.28</v>
      </c>
      <c r="G55" s="26">
        <f t="shared" ca="1" si="11"/>
        <v>-56.52</v>
      </c>
      <c r="H55" s="26">
        <f t="shared" ca="1" si="11"/>
        <v>-54.32</v>
      </c>
      <c r="I55" s="26">
        <f t="shared" ca="1" si="11"/>
        <v>-52.945999999999998</v>
      </c>
      <c r="J55" s="26">
        <f t="shared" ca="1" si="11"/>
        <v>-51.992000000000004</v>
      </c>
      <c r="K55" s="26">
        <f t="shared" ca="1" si="11"/>
        <v>-51.512999999999998</v>
      </c>
      <c r="L55" s="26">
        <f t="shared" ca="1" si="11"/>
        <v>-51.756</v>
      </c>
      <c r="M55" s="26">
        <f t="shared" ca="1" si="11"/>
        <v>-52.912999999999997</v>
      </c>
      <c r="N55" s="26">
        <f t="shared" ca="1" si="11"/>
        <v>-53.903000000000006</v>
      </c>
      <c r="O55" s="26">
        <f t="shared" ca="1" si="11"/>
        <v>-54.963999999999999</v>
      </c>
      <c r="P55" s="26">
        <f t="shared" ca="1" si="12"/>
        <v>-56.001000000000005</v>
      </c>
      <c r="Q55" s="26">
        <f t="shared" ca="1" si="12"/>
        <v>-57.041999999999994</v>
      </c>
      <c r="R55" s="26">
        <f t="shared" ca="1" si="12"/>
        <v>-58.082999999999998</v>
      </c>
      <c r="S55" s="26">
        <f t="shared" ca="1" si="12"/>
        <v>-62.023000000000003</v>
      </c>
      <c r="T55" s="26">
        <f t="shared" ca="1" si="12"/>
        <v>-65.765000000000001</v>
      </c>
      <c r="U55" s="26">
        <f t="shared" ca="1" si="12"/>
        <v>-69.307999999999993</v>
      </c>
      <c r="V55" s="26">
        <f t="shared" ca="1" si="12"/>
        <v>-70.176000000000002</v>
      </c>
      <c r="W55" s="26">
        <f t="shared" ca="1" si="12"/>
        <v>-71.022000000000006</v>
      </c>
      <c r="X55" s="26">
        <f t="shared" ca="1" si="12"/>
        <v>-71.867999999999995</v>
      </c>
      <c r="Y55" s="26">
        <f t="shared" ca="1" si="14"/>
        <v>-72.713000000000008</v>
      </c>
      <c r="Z55" s="26">
        <f t="shared" ca="1" si="14"/>
        <v>-76.020999999999987</v>
      </c>
      <c r="AA55" s="26">
        <f t="shared" ca="1" si="14"/>
        <v>-79.234999999999999</v>
      </c>
      <c r="AB55" s="26">
        <f t="shared" ca="1" si="14"/>
        <v>0</v>
      </c>
      <c r="AC55" s="26">
        <f t="shared" ca="1" si="14"/>
        <v>0</v>
      </c>
      <c r="AD55" s="26">
        <f t="shared" ca="1" si="14"/>
        <v>0</v>
      </c>
      <c r="AE55" s="26">
        <f t="shared" ca="1" si="14"/>
        <v>0</v>
      </c>
      <c r="AF55" s="26">
        <f t="shared" ca="1" si="14"/>
        <v>0</v>
      </c>
      <c r="AG55" s="26">
        <f t="shared" ca="1" si="14"/>
        <v>0</v>
      </c>
      <c r="AH55" s="26">
        <f t="shared" ca="1" si="14"/>
        <v>0</v>
      </c>
      <c r="AI55" s="26">
        <f t="shared" ca="1" si="14"/>
        <v>0</v>
      </c>
      <c r="AJ55" s="26">
        <f t="shared" ca="1" si="14"/>
        <v>0</v>
      </c>
      <c r="AK55" s="26">
        <f t="shared" ca="1" si="14"/>
        <v>0</v>
      </c>
      <c r="AL55" s="26">
        <f t="shared" ca="1" si="14"/>
        <v>0</v>
      </c>
    </row>
    <row r="56" spans="1:38" ht="21" hidden="1" customHeight="1" outlineLevel="1" thickBot="1" x14ac:dyDescent="0.4">
      <c r="A56" s="8">
        <f t="shared" si="10"/>
        <v>0</v>
      </c>
      <c r="B56" s="8">
        <f t="shared" si="10"/>
        <v>1</v>
      </c>
      <c r="C56" s="8">
        <f t="shared" si="10"/>
        <v>1</v>
      </c>
      <c r="D56" s="8">
        <f t="shared" si="10"/>
        <v>0</v>
      </c>
      <c r="E56" s="9" t="str">
        <f t="shared" si="10"/>
        <v>(l)GeSe</v>
      </c>
      <c r="F56" s="26">
        <f t="shared" ca="1" si="11"/>
        <v>-38.14</v>
      </c>
      <c r="G56" s="26">
        <f t="shared" ca="1" si="11"/>
        <v>-35.22</v>
      </c>
      <c r="H56" s="26">
        <f t="shared" ca="1" si="11"/>
        <v>-32.93</v>
      </c>
      <c r="I56" s="26">
        <f t="shared" ca="1" si="11"/>
        <v>-31.146000000000001</v>
      </c>
      <c r="J56" s="26">
        <f t="shared" ca="1" si="11"/>
        <v>-29.802</v>
      </c>
      <c r="K56" s="26">
        <f t="shared" ca="1" si="11"/>
        <v>-29.033000000000001</v>
      </c>
      <c r="L56" s="26">
        <f t="shared" ca="1" si="11"/>
        <v>-28.966000000000001</v>
      </c>
      <c r="M56" s="26">
        <f t="shared" ca="1" si="11"/>
        <v>-29.872999999999998</v>
      </c>
      <c r="N56" s="26">
        <f t="shared" ca="1" si="11"/>
        <v>-30.373000000000001</v>
      </c>
      <c r="O56" s="26">
        <f t="shared" ca="1" si="11"/>
        <v>-30.934000000000001</v>
      </c>
      <c r="P56" s="26">
        <f t="shared" ca="1" si="12"/>
        <v>-31.491</v>
      </c>
      <c r="Q56" s="26">
        <f t="shared" ca="1" si="12"/>
        <v>-32.052</v>
      </c>
      <c r="R56" s="26">
        <f t="shared" ca="1" si="12"/>
        <v>-32.613</v>
      </c>
      <c r="S56" s="26">
        <f t="shared" ca="1" si="12"/>
        <v>-34.743000000000002</v>
      </c>
      <c r="T56" s="26">
        <f t="shared" ca="1" si="12"/>
        <v>-36.765000000000001</v>
      </c>
      <c r="U56" s="26">
        <f t="shared" ca="1" si="12"/>
        <v>-38.677999999999997</v>
      </c>
      <c r="V56" s="26">
        <f t="shared" ca="1" si="12"/>
        <v>-39.146000000000001</v>
      </c>
      <c r="W56" s="26">
        <f t="shared" ca="1" si="12"/>
        <v>-39.602000000000004</v>
      </c>
      <c r="X56" s="26">
        <f t="shared" ca="1" si="12"/>
        <v>-40.058</v>
      </c>
      <c r="Y56" s="26">
        <f t="shared" ca="1" si="14"/>
        <v>-40.513000000000005</v>
      </c>
      <c r="Z56" s="26">
        <f t="shared" ca="1" si="14"/>
        <v>-42.290999999999997</v>
      </c>
      <c r="AA56" s="26">
        <f t="shared" ca="1" si="14"/>
        <v>-44.015000000000001</v>
      </c>
      <c r="AB56" s="26">
        <f t="shared" ca="1" si="14"/>
        <v>0</v>
      </c>
      <c r="AC56" s="26">
        <f t="shared" ca="1" si="14"/>
        <v>0</v>
      </c>
      <c r="AD56" s="26">
        <f t="shared" ca="1" si="14"/>
        <v>0</v>
      </c>
      <c r="AE56" s="26">
        <f t="shared" ca="1" si="14"/>
        <v>0</v>
      </c>
      <c r="AF56" s="26">
        <f t="shared" ca="1" si="14"/>
        <v>0</v>
      </c>
      <c r="AG56" s="26">
        <f t="shared" ca="1" si="14"/>
        <v>0</v>
      </c>
      <c r="AH56" s="26">
        <f t="shared" ca="1" si="14"/>
        <v>0</v>
      </c>
      <c r="AI56" s="26">
        <f t="shared" ca="1" si="14"/>
        <v>0</v>
      </c>
      <c r="AJ56" s="26">
        <f t="shared" ca="1" si="14"/>
        <v>0</v>
      </c>
      <c r="AK56" s="26">
        <f t="shared" ca="1" si="14"/>
        <v>0</v>
      </c>
      <c r="AL56" s="26">
        <f t="shared" ca="1" si="14"/>
        <v>0</v>
      </c>
    </row>
    <row r="57" spans="1:38" ht="21" hidden="1" customHeight="1" outlineLevel="1" thickBot="1" x14ac:dyDescent="0.4">
      <c r="A57" s="8">
        <f t="shared" si="10"/>
        <v>0</v>
      </c>
      <c r="B57" s="8">
        <f t="shared" si="10"/>
        <v>3</v>
      </c>
      <c r="C57" s="8">
        <f t="shared" si="10"/>
        <v>0</v>
      </c>
      <c r="D57" s="8">
        <f t="shared" si="10"/>
        <v>2</v>
      </c>
      <c r="E57" s="9" t="str">
        <f t="shared" si="10"/>
        <v>(l)Ga2Se3</v>
      </c>
      <c r="F57" s="26">
        <f t="shared" ca="1" si="11"/>
        <v>-188</v>
      </c>
      <c r="G57" s="26">
        <f t="shared" ca="1" si="11"/>
        <v>-171.54000000000002</v>
      </c>
      <c r="H57" s="26">
        <f t="shared" ca="1" si="11"/>
        <v>-158.19</v>
      </c>
      <c r="I57" s="26">
        <f t="shared" ca="1" si="11"/>
        <v>-147.19999999999999</v>
      </c>
      <c r="J57" s="26">
        <f t="shared" ca="1" si="11"/>
        <v>-137.99</v>
      </c>
      <c r="K57" s="26">
        <f t="shared" ca="1" si="11"/>
        <v>-130.22</v>
      </c>
      <c r="L57" s="26">
        <f t="shared" ca="1" si="11"/>
        <v>-123.69</v>
      </c>
      <c r="M57" s="26">
        <f t="shared" ca="1" si="11"/>
        <v>-122.7</v>
      </c>
      <c r="N57" s="26">
        <f t="shared" ca="1" si="11"/>
        <v>-126.81</v>
      </c>
      <c r="O57" s="26">
        <f t="shared" ca="1" si="11"/>
        <v>-130.91</v>
      </c>
      <c r="P57" s="26">
        <f t="shared" ca="1" si="12"/>
        <v>-134.91</v>
      </c>
      <c r="Q57" s="26">
        <f t="shared" ca="1" si="12"/>
        <v>-138.85</v>
      </c>
      <c r="R57" s="26">
        <f t="shared" ca="1" si="12"/>
        <v>-142.72999999999999</v>
      </c>
      <c r="S57" s="26">
        <f t="shared" ca="1" si="12"/>
        <v>-157.18</v>
      </c>
      <c r="T57" s="26">
        <f t="shared" ca="1" si="12"/>
        <v>-169.86</v>
      </c>
      <c r="U57" s="26">
        <f t="shared" ca="1" si="12"/>
        <v>-180.55</v>
      </c>
      <c r="V57" s="26">
        <f t="shared" ca="1" si="12"/>
        <v>-182.89</v>
      </c>
      <c r="W57" s="26">
        <f t="shared" ca="1" si="12"/>
        <v>-185.10000000000002</v>
      </c>
      <c r="X57" s="26">
        <f t="shared" ca="1" si="12"/>
        <v>-187.14999999999998</v>
      </c>
      <c r="Y57" s="26">
        <f t="shared" ca="1" si="14"/>
        <v>-189.10000000000002</v>
      </c>
      <c r="Z57" s="26">
        <f t="shared" ca="1" si="14"/>
        <v>-195.41</v>
      </c>
      <c r="AA57" s="26">
        <f t="shared" ca="1" si="14"/>
        <v>-199.36</v>
      </c>
      <c r="AB57" s="26">
        <f t="shared" ca="1" si="14"/>
        <v>0</v>
      </c>
      <c r="AC57" s="26">
        <f t="shared" ca="1" si="14"/>
        <v>0</v>
      </c>
      <c r="AD57" s="26">
        <f t="shared" ca="1" si="14"/>
        <v>0</v>
      </c>
      <c r="AE57" s="26">
        <f t="shared" ca="1" si="14"/>
        <v>0</v>
      </c>
      <c r="AF57" s="26">
        <f t="shared" ca="1" si="14"/>
        <v>0</v>
      </c>
      <c r="AG57" s="26">
        <f t="shared" ca="1" si="14"/>
        <v>0</v>
      </c>
      <c r="AH57" s="26">
        <f t="shared" ca="1" si="14"/>
        <v>0</v>
      </c>
      <c r="AI57" s="26">
        <f t="shared" ca="1" si="14"/>
        <v>0</v>
      </c>
      <c r="AJ57" s="26">
        <f t="shared" ca="1" si="14"/>
        <v>0</v>
      </c>
      <c r="AK57" s="26">
        <f t="shared" ca="1" si="14"/>
        <v>0</v>
      </c>
      <c r="AL57" s="26">
        <f t="shared" ca="1" si="14"/>
        <v>0</v>
      </c>
    </row>
    <row r="58" spans="1:38" ht="21" hidden="1" customHeight="1" outlineLevel="1" thickBot="1" x14ac:dyDescent="0.4">
      <c r="A58" s="8">
        <f t="shared" si="10"/>
        <v>0</v>
      </c>
      <c r="B58" s="8">
        <f t="shared" si="10"/>
        <v>0</v>
      </c>
      <c r="C58" s="8">
        <f t="shared" si="10"/>
        <v>1</v>
      </c>
      <c r="D58" s="8">
        <f t="shared" si="10"/>
        <v>0</v>
      </c>
      <c r="E58" s="9" t="str">
        <f t="shared" si="10"/>
        <v>(l)Ge</v>
      </c>
      <c r="F58" s="26">
        <f t="shared" ca="1" si="11"/>
        <v>-16</v>
      </c>
      <c r="G58" s="26">
        <f t="shared" ca="1" si="11"/>
        <v>-13.92</v>
      </c>
      <c r="H58" s="26">
        <f t="shared" ca="1" si="11"/>
        <v>-11.54</v>
      </c>
      <c r="I58" s="26">
        <f t="shared" ca="1" si="11"/>
        <v>-9.3460000000000001</v>
      </c>
      <c r="J58" s="26">
        <f t="shared" ca="1" si="11"/>
        <v>-7.6120000000000001</v>
      </c>
      <c r="K58" s="26">
        <f t="shared" ca="1" si="11"/>
        <v>-6.5529999999999999</v>
      </c>
      <c r="L58" s="26">
        <f t="shared" ca="1" si="11"/>
        <v>-6.1760000000000002</v>
      </c>
      <c r="M58" s="26">
        <f t="shared" ca="1" si="11"/>
        <v>-6.8330000000000002</v>
      </c>
      <c r="N58" s="26">
        <f t="shared" ca="1" si="11"/>
        <v>-6.843</v>
      </c>
      <c r="O58" s="26">
        <f t="shared" ca="1" si="11"/>
        <v>-6.9039999999999999</v>
      </c>
      <c r="P58" s="26">
        <f t="shared" ca="1" si="12"/>
        <v>-6.9809999999999999</v>
      </c>
      <c r="Q58" s="26">
        <f t="shared" ca="1" si="12"/>
        <v>-7.0620000000000003</v>
      </c>
      <c r="R58" s="26">
        <f t="shared" ca="1" si="12"/>
        <v>-7.1429999999999998</v>
      </c>
      <c r="S58" s="26">
        <f t="shared" ca="1" si="12"/>
        <v>-7.4630000000000001</v>
      </c>
      <c r="T58" s="26">
        <f t="shared" ca="1" si="12"/>
        <v>-7.7649999999999997</v>
      </c>
      <c r="U58" s="26">
        <f t="shared" ca="1" si="12"/>
        <v>-8.048</v>
      </c>
      <c r="V58" s="26">
        <f t="shared" ca="1" si="12"/>
        <v>-8.1159999999999997</v>
      </c>
      <c r="W58" s="26">
        <f t="shared" ca="1" si="12"/>
        <v>-8.1820000000000004</v>
      </c>
      <c r="X58" s="26">
        <f t="shared" ca="1" si="12"/>
        <v>-8.2479999999999993</v>
      </c>
      <c r="Y58" s="26">
        <f t="shared" ca="1" si="14"/>
        <v>-8.3130000000000006</v>
      </c>
      <c r="Z58" s="26">
        <f t="shared" ca="1" si="14"/>
        <v>-8.5609999999999999</v>
      </c>
      <c r="AA58" s="26">
        <f t="shared" ca="1" si="14"/>
        <v>-8.7949999999999999</v>
      </c>
      <c r="AB58" s="26">
        <f t="shared" ca="1" si="14"/>
        <v>0</v>
      </c>
      <c r="AC58" s="26">
        <f t="shared" ca="1" si="14"/>
        <v>0</v>
      </c>
      <c r="AD58" s="26">
        <f t="shared" ca="1" si="14"/>
        <v>0</v>
      </c>
      <c r="AE58" s="26">
        <f t="shared" ca="1" si="14"/>
        <v>0</v>
      </c>
      <c r="AF58" s="26">
        <f t="shared" ca="1" si="14"/>
        <v>0</v>
      </c>
      <c r="AG58" s="26">
        <f t="shared" ca="1" si="14"/>
        <v>0</v>
      </c>
      <c r="AH58" s="26">
        <f t="shared" ca="1" si="14"/>
        <v>0</v>
      </c>
      <c r="AI58" s="26">
        <f t="shared" ca="1" si="14"/>
        <v>0</v>
      </c>
      <c r="AJ58" s="26">
        <f t="shared" ca="1" si="14"/>
        <v>0</v>
      </c>
      <c r="AK58" s="26">
        <f t="shared" ca="1" si="14"/>
        <v>0</v>
      </c>
      <c r="AL58" s="26">
        <f t="shared" ca="1" si="14"/>
        <v>0</v>
      </c>
    </row>
    <row r="59" spans="1:38" ht="21" hidden="1" customHeight="1" outlineLevel="1" thickBot="1" x14ac:dyDescent="0.4">
      <c r="A59" s="8">
        <f t="shared" si="10"/>
        <v>0</v>
      </c>
      <c r="B59" s="8">
        <f t="shared" si="10"/>
        <v>0</v>
      </c>
      <c r="C59" s="8">
        <f t="shared" si="10"/>
        <v>0</v>
      </c>
      <c r="D59" s="8">
        <f t="shared" si="10"/>
        <v>1</v>
      </c>
      <c r="E59" s="9" t="str">
        <f t="shared" si="10"/>
        <v>(l)Ga</v>
      </c>
      <c r="F59" s="26">
        <f t="shared" ca="1" si="11"/>
        <v>-60.79</v>
      </c>
      <c r="G59" s="26">
        <f t="shared" ca="1" si="11"/>
        <v>-53.82</v>
      </c>
      <c r="H59" s="26">
        <f t="shared" ca="1" si="11"/>
        <v>-47.01</v>
      </c>
      <c r="I59" s="26">
        <f t="shared" ca="1" si="11"/>
        <v>-40.9</v>
      </c>
      <c r="J59" s="26">
        <f t="shared" ca="1" si="11"/>
        <v>-35.71</v>
      </c>
      <c r="K59" s="26">
        <f t="shared" ca="1" si="11"/>
        <v>-31.39</v>
      </c>
      <c r="L59" s="26">
        <f t="shared" ca="1" si="11"/>
        <v>-27.66</v>
      </c>
      <c r="M59" s="26">
        <f t="shared" ca="1" si="11"/>
        <v>-26.79</v>
      </c>
      <c r="N59" s="26">
        <f t="shared" ca="1" si="11"/>
        <v>-28.11</v>
      </c>
      <c r="O59" s="26">
        <f t="shared" ca="1" si="11"/>
        <v>-29.41</v>
      </c>
      <c r="P59" s="26">
        <f t="shared" ca="1" si="12"/>
        <v>-30.69</v>
      </c>
      <c r="Q59" s="26">
        <f t="shared" ca="1" si="12"/>
        <v>-31.94</v>
      </c>
      <c r="R59" s="26">
        <f t="shared" ca="1" si="12"/>
        <v>-33.159999999999997</v>
      </c>
      <c r="S59" s="26">
        <f t="shared" ca="1" si="12"/>
        <v>-37.67</v>
      </c>
      <c r="T59" s="26">
        <f t="shared" ca="1" si="12"/>
        <v>-41.43</v>
      </c>
      <c r="U59" s="26">
        <f t="shared" ca="1" si="12"/>
        <v>-44.33</v>
      </c>
      <c r="V59" s="26">
        <f t="shared" ca="1" si="12"/>
        <v>-44.9</v>
      </c>
      <c r="W59" s="26">
        <f t="shared" ca="1" si="12"/>
        <v>-45.42</v>
      </c>
      <c r="X59" s="26">
        <f t="shared" ca="1" si="12"/>
        <v>-45.86</v>
      </c>
      <c r="Y59" s="26">
        <f t="shared" ca="1" si="14"/>
        <v>-46.25</v>
      </c>
      <c r="Z59" s="26">
        <f t="shared" ca="1" si="14"/>
        <v>-47.11</v>
      </c>
      <c r="AA59" s="26">
        <f t="shared" ca="1" si="14"/>
        <v>-46.85</v>
      </c>
      <c r="AB59" s="26">
        <f t="shared" ca="1" si="14"/>
        <v>0</v>
      </c>
      <c r="AC59" s="26">
        <f t="shared" ca="1" si="14"/>
        <v>0</v>
      </c>
      <c r="AD59" s="26">
        <f t="shared" ca="1" si="14"/>
        <v>0</v>
      </c>
      <c r="AE59" s="26">
        <f t="shared" ca="1" si="14"/>
        <v>0</v>
      </c>
      <c r="AF59" s="26">
        <f t="shared" ca="1" si="14"/>
        <v>0</v>
      </c>
      <c r="AG59" s="26">
        <f t="shared" ca="1" si="14"/>
        <v>0</v>
      </c>
      <c r="AH59" s="26">
        <f t="shared" ca="1" si="14"/>
        <v>0</v>
      </c>
      <c r="AI59" s="26">
        <f t="shared" ca="1" si="14"/>
        <v>0</v>
      </c>
      <c r="AJ59" s="26">
        <f t="shared" ca="1" si="14"/>
        <v>0</v>
      </c>
      <c r="AK59" s="26">
        <f t="shared" ca="1" si="14"/>
        <v>0</v>
      </c>
      <c r="AL59" s="26">
        <f t="shared" ca="1" si="14"/>
        <v>0</v>
      </c>
    </row>
    <row r="60" spans="1:38" ht="21" hidden="1" customHeight="1" outlineLevel="1" thickBot="1" x14ac:dyDescent="0.4">
      <c r="A60" s="8">
        <f t="shared" ref="A60:E69" si="15">A14</f>
        <v>0</v>
      </c>
      <c r="B60" s="8">
        <f t="shared" si="15"/>
        <v>1</v>
      </c>
      <c r="C60" s="8">
        <f t="shared" si="15"/>
        <v>0</v>
      </c>
      <c r="D60" s="8">
        <f t="shared" si="15"/>
        <v>0</v>
      </c>
      <c r="E60" s="9" t="str">
        <f t="shared" si="15"/>
        <v>(l)Se</v>
      </c>
      <c r="F60" s="26">
        <f t="shared" ref="F60:O69" ca="1" si="16">$A60*H.Ar + $B60*H.Se + $C60*H.Ge + $D60*H.Ga</f>
        <v>-22.14</v>
      </c>
      <c r="G60" s="26">
        <f t="shared" ca="1" si="16"/>
        <v>-21.3</v>
      </c>
      <c r="H60" s="26">
        <f t="shared" ca="1" si="16"/>
        <v>-21.39</v>
      </c>
      <c r="I60" s="26">
        <f t="shared" ca="1" si="16"/>
        <v>-21.8</v>
      </c>
      <c r="J60" s="26">
        <f t="shared" ca="1" si="16"/>
        <v>-22.19</v>
      </c>
      <c r="K60" s="26">
        <f t="shared" ca="1" si="16"/>
        <v>-22.48</v>
      </c>
      <c r="L60" s="26">
        <f t="shared" ca="1" si="16"/>
        <v>-22.79</v>
      </c>
      <c r="M60" s="26">
        <f t="shared" ca="1" si="16"/>
        <v>-23.04</v>
      </c>
      <c r="N60" s="26">
        <f t="shared" ca="1" si="16"/>
        <v>-23.53</v>
      </c>
      <c r="O60" s="26">
        <f t="shared" ca="1" si="16"/>
        <v>-24.03</v>
      </c>
      <c r="P60" s="26">
        <f t="shared" ref="P60:AE69" ca="1" si="17">$A60*H.Ar + $B60*H.Se + $C60*H.Ge + $D60*H.Ga</f>
        <v>-24.51</v>
      </c>
      <c r="Q60" s="26">
        <f t="shared" ca="1" si="17"/>
        <v>-24.99</v>
      </c>
      <c r="R60" s="26">
        <f t="shared" ca="1" si="17"/>
        <v>-25.47</v>
      </c>
      <c r="S60" s="26">
        <f t="shared" ca="1" si="17"/>
        <v>-27.28</v>
      </c>
      <c r="T60" s="26">
        <f t="shared" ca="1" si="17"/>
        <v>-29</v>
      </c>
      <c r="U60" s="26">
        <f t="shared" ca="1" si="17"/>
        <v>-30.63</v>
      </c>
      <c r="V60" s="26">
        <f t="shared" ca="1" si="17"/>
        <v>-31.03</v>
      </c>
      <c r="W60" s="26">
        <f t="shared" ca="1" si="17"/>
        <v>-31.42</v>
      </c>
      <c r="X60" s="26">
        <f t="shared" ca="1" si="17"/>
        <v>-31.81</v>
      </c>
      <c r="Y60" s="26">
        <f t="shared" ca="1" si="17"/>
        <v>-32.200000000000003</v>
      </c>
      <c r="Z60" s="26">
        <f t="shared" ca="1" si="17"/>
        <v>-33.729999999999997</v>
      </c>
      <c r="AA60" s="26">
        <f t="shared" ca="1" si="17"/>
        <v>-35.22</v>
      </c>
      <c r="AB60" s="26">
        <f t="shared" ca="1" si="17"/>
        <v>0</v>
      </c>
      <c r="AC60" s="26">
        <f t="shared" ca="1" si="17"/>
        <v>0</v>
      </c>
      <c r="AD60" s="26">
        <f t="shared" ca="1" si="17"/>
        <v>0</v>
      </c>
      <c r="AE60" s="26">
        <f t="shared" ca="1" si="17"/>
        <v>0</v>
      </c>
      <c r="AF60" s="26">
        <f t="shared" ca="1" si="14"/>
        <v>0</v>
      </c>
      <c r="AG60" s="26">
        <f t="shared" ca="1" si="14"/>
        <v>0</v>
      </c>
      <c r="AH60" s="26">
        <f t="shared" ca="1" si="14"/>
        <v>0</v>
      </c>
      <c r="AI60" s="26">
        <f t="shared" ca="1" si="14"/>
        <v>0</v>
      </c>
      <c r="AJ60" s="26">
        <f t="shared" ca="1" si="14"/>
        <v>0</v>
      </c>
      <c r="AK60" s="26">
        <f t="shared" ca="1" si="14"/>
        <v>0</v>
      </c>
      <c r="AL60" s="26">
        <f t="shared" ca="1" si="14"/>
        <v>0</v>
      </c>
    </row>
    <row r="61" spans="1:38" ht="21" hidden="1" customHeight="1" outlineLevel="1" thickBot="1" x14ac:dyDescent="0.4">
      <c r="A61" s="8">
        <f t="shared" si="15"/>
        <v>0</v>
      </c>
      <c r="B61" s="8">
        <f t="shared" si="15"/>
        <v>1</v>
      </c>
      <c r="C61" s="8">
        <f t="shared" si="15"/>
        <v>0</v>
      </c>
      <c r="D61" s="8">
        <f t="shared" si="15"/>
        <v>0</v>
      </c>
      <c r="E61" s="9" t="str">
        <f t="shared" si="15"/>
        <v>(l)Se[a]</v>
      </c>
      <c r="F61" s="26">
        <f t="shared" ca="1" si="16"/>
        <v>-22.14</v>
      </c>
      <c r="G61" s="26">
        <f t="shared" ca="1" si="16"/>
        <v>-21.3</v>
      </c>
      <c r="H61" s="26">
        <f t="shared" ca="1" si="16"/>
        <v>-21.39</v>
      </c>
      <c r="I61" s="26">
        <f t="shared" ca="1" si="16"/>
        <v>-21.8</v>
      </c>
      <c r="J61" s="26">
        <f t="shared" ca="1" si="16"/>
        <v>-22.19</v>
      </c>
      <c r="K61" s="26">
        <f t="shared" ca="1" si="16"/>
        <v>-22.48</v>
      </c>
      <c r="L61" s="26">
        <f t="shared" ca="1" si="16"/>
        <v>-22.79</v>
      </c>
      <c r="M61" s="26">
        <f t="shared" ca="1" si="16"/>
        <v>-23.04</v>
      </c>
      <c r="N61" s="26">
        <f t="shared" ca="1" si="16"/>
        <v>-23.53</v>
      </c>
      <c r="O61" s="26">
        <f t="shared" ca="1" si="16"/>
        <v>-24.03</v>
      </c>
      <c r="P61" s="26">
        <f t="shared" ca="1" si="17"/>
        <v>-24.51</v>
      </c>
      <c r="Q61" s="26">
        <f t="shared" ca="1" si="17"/>
        <v>-24.99</v>
      </c>
      <c r="R61" s="26">
        <f t="shared" ca="1" si="17"/>
        <v>-25.47</v>
      </c>
      <c r="S61" s="26">
        <f t="shared" ca="1" si="17"/>
        <v>-27.28</v>
      </c>
      <c r="T61" s="26">
        <f t="shared" ca="1" si="17"/>
        <v>-29</v>
      </c>
      <c r="U61" s="26">
        <f t="shared" ca="1" si="17"/>
        <v>-30.63</v>
      </c>
      <c r="V61" s="26">
        <f t="shared" ca="1" si="17"/>
        <v>-31.03</v>
      </c>
      <c r="W61" s="26">
        <f t="shared" ca="1" si="17"/>
        <v>-31.42</v>
      </c>
      <c r="X61" s="26">
        <f t="shared" ca="1" si="17"/>
        <v>-31.81</v>
      </c>
      <c r="Y61" s="26">
        <f t="shared" ca="1" si="14"/>
        <v>-32.200000000000003</v>
      </c>
      <c r="Z61" s="26">
        <f t="shared" ca="1" si="14"/>
        <v>-33.729999999999997</v>
      </c>
      <c r="AA61" s="26">
        <f t="shared" ca="1" si="14"/>
        <v>-35.22</v>
      </c>
      <c r="AB61" s="26">
        <f t="shared" ca="1" si="14"/>
        <v>0</v>
      </c>
      <c r="AC61" s="26">
        <f t="shared" ca="1" si="14"/>
        <v>0</v>
      </c>
      <c r="AD61" s="26">
        <f t="shared" ca="1" si="14"/>
        <v>0</v>
      </c>
      <c r="AE61" s="26">
        <f t="shared" ca="1" si="14"/>
        <v>0</v>
      </c>
      <c r="AF61" s="26">
        <f t="shared" ca="1" si="14"/>
        <v>0</v>
      </c>
      <c r="AG61" s="26">
        <f t="shared" ca="1" si="14"/>
        <v>0</v>
      </c>
      <c r="AH61" s="26">
        <f t="shared" ca="1" si="14"/>
        <v>0</v>
      </c>
      <c r="AI61" s="26">
        <f t="shared" ca="1" si="14"/>
        <v>0</v>
      </c>
      <c r="AJ61" s="26">
        <f t="shared" ca="1" si="14"/>
        <v>0</v>
      </c>
      <c r="AK61" s="26">
        <f t="shared" ca="1" si="14"/>
        <v>0</v>
      </c>
      <c r="AL61" s="26">
        <f t="shared" ca="1" si="14"/>
        <v>0</v>
      </c>
    </row>
    <row r="62" spans="1:38" ht="21" hidden="1" customHeight="1" outlineLevel="1" thickBot="1" x14ac:dyDescent="0.4">
      <c r="A62" s="8">
        <f t="shared" si="15"/>
        <v>0</v>
      </c>
      <c r="B62" s="8">
        <f t="shared" si="15"/>
        <v>1</v>
      </c>
      <c r="C62" s="8">
        <f t="shared" si="15"/>
        <v>0</v>
      </c>
      <c r="D62" s="8">
        <f t="shared" si="15"/>
        <v>0</v>
      </c>
      <c r="E62" s="9" t="str">
        <f t="shared" si="15"/>
        <v>(l)Se[m]</v>
      </c>
      <c r="F62" s="26">
        <f t="shared" ca="1" si="16"/>
        <v>-22.14</v>
      </c>
      <c r="G62" s="26">
        <f t="shared" ca="1" si="16"/>
        <v>-21.3</v>
      </c>
      <c r="H62" s="26">
        <f t="shared" ca="1" si="16"/>
        <v>-21.39</v>
      </c>
      <c r="I62" s="26">
        <f t="shared" ca="1" si="16"/>
        <v>-21.8</v>
      </c>
      <c r="J62" s="26">
        <f t="shared" ca="1" si="16"/>
        <v>-22.19</v>
      </c>
      <c r="K62" s="26">
        <f t="shared" ca="1" si="16"/>
        <v>-22.48</v>
      </c>
      <c r="L62" s="26">
        <f t="shared" ca="1" si="16"/>
        <v>-22.79</v>
      </c>
      <c r="M62" s="26">
        <f t="shared" ca="1" si="16"/>
        <v>-23.04</v>
      </c>
      <c r="N62" s="26">
        <f t="shared" ca="1" si="16"/>
        <v>-23.53</v>
      </c>
      <c r="O62" s="26">
        <f t="shared" ca="1" si="16"/>
        <v>-24.03</v>
      </c>
      <c r="P62" s="26">
        <f t="shared" ca="1" si="17"/>
        <v>-24.51</v>
      </c>
      <c r="Q62" s="26">
        <f t="shared" ca="1" si="17"/>
        <v>-24.99</v>
      </c>
      <c r="R62" s="26">
        <f t="shared" ca="1" si="17"/>
        <v>-25.47</v>
      </c>
      <c r="S62" s="26">
        <f t="shared" ca="1" si="17"/>
        <v>-27.28</v>
      </c>
      <c r="T62" s="26">
        <f t="shared" ca="1" si="17"/>
        <v>-29</v>
      </c>
      <c r="U62" s="26">
        <f t="shared" ca="1" si="17"/>
        <v>-30.63</v>
      </c>
      <c r="V62" s="26">
        <f t="shared" ca="1" si="17"/>
        <v>-31.03</v>
      </c>
      <c r="W62" s="26">
        <f t="shared" ca="1" si="17"/>
        <v>-31.42</v>
      </c>
      <c r="X62" s="26">
        <f t="shared" ca="1" si="17"/>
        <v>-31.81</v>
      </c>
      <c r="Y62" s="26">
        <f t="shared" ca="1" si="14"/>
        <v>-32.200000000000003</v>
      </c>
      <c r="Z62" s="26">
        <f t="shared" ca="1" si="14"/>
        <v>-33.729999999999997</v>
      </c>
      <c r="AA62" s="26">
        <f t="shared" ca="1" si="14"/>
        <v>-35.22</v>
      </c>
      <c r="AB62" s="26">
        <f t="shared" ca="1" si="14"/>
        <v>0</v>
      </c>
      <c r="AC62" s="26">
        <f t="shared" ca="1" si="14"/>
        <v>0</v>
      </c>
      <c r="AD62" s="26">
        <f t="shared" ca="1" si="14"/>
        <v>0</v>
      </c>
      <c r="AE62" s="26">
        <f t="shared" ca="1" si="14"/>
        <v>0</v>
      </c>
      <c r="AF62" s="26">
        <f t="shared" ca="1" si="14"/>
        <v>0</v>
      </c>
      <c r="AG62" s="26">
        <f t="shared" ca="1" si="14"/>
        <v>0</v>
      </c>
      <c r="AH62" s="26">
        <f t="shared" ca="1" si="14"/>
        <v>0</v>
      </c>
      <c r="AI62" s="26">
        <f t="shared" ca="1" si="14"/>
        <v>0</v>
      </c>
      <c r="AJ62" s="26">
        <f t="shared" ca="1" si="14"/>
        <v>0</v>
      </c>
      <c r="AK62" s="26">
        <f t="shared" ca="1" si="14"/>
        <v>0</v>
      </c>
      <c r="AL62" s="26">
        <f t="shared" ca="1" si="14"/>
        <v>0</v>
      </c>
    </row>
    <row r="63" spans="1:38" ht="21" hidden="1" customHeight="1" outlineLevel="1" thickBot="1" x14ac:dyDescent="0.4">
      <c r="A63" s="8">
        <f t="shared" si="15"/>
        <v>0</v>
      </c>
      <c r="B63" s="8">
        <f t="shared" si="15"/>
        <v>1</v>
      </c>
      <c r="C63" s="8">
        <f t="shared" si="15"/>
        <v>0</v>
      </c>
      <c r="D63" s="8">
        <f t="shared" si="15"/>
        <v>0</v>
      </c>
      <c r="E63" s="9" t="str">
        <f t="shared" si="15"/>
        <v>(l)Se[r]</v>
      </c>
      <c r="F63" s="26">
        <f t="shared" ca="1" si="16"/>
        <v>-22.14</v>
      </c>
      <c r="G63" s="26">
        <f t="shared" ca="1" si="16"/>
        <v>-21.3</v>
      </c>
      <c r="H63" s="26">
        <f t="shared" ca="1" si="16"/>
        <v>-21.39</v>
      </c>
      <c r="I63" s="26">
        <f t="shared" ca="1" si="16"/>
        <v>-21.8</v>
      </c>
      <c r="J63" s="26">
        <f t="shared" ca="1" si="16"/>
        <v>-22.19</v>
      </c>
      <c r="K63" s="26">
        <f t="shared" ca="1" si="16"/>
        <v>-22.48</v>
      </c>
      <c r="L63" s="26">
        <f t="shared" ca="1" si="16"/>
        <v>-22.79</v>
      </c>
      <c r="M63" s="26">
        <f t="shared" ca="1" si="16"/>
        <v>-23.04</v>
      </c>
      <c r="N63" s="26">
        <f t="shared" ca="1" si="16"/>
        <v>-23.53</v>
      </c>
      <c r="O63" s="26">
        <f t="shared" ca="1" si="16"/>
        <v>-24.03</v>
      </c>
      <c r="P63" s="26">
        <f t="shared" ca="1" si="17"/>
        <v>-24.51</v>
      </c>
      <c r="Q63" s="26">
        <f t="shared" ca="1" si="17"/>
        <v>-24.99</v>
      </c>
      <c r="R63" s="26">
        <f t="shared" ca="1" si="17"/>
        <v>-25.47</v>
      </c>
      <c r="S63" s="26">
        <f t="shared" ca="1" si="17"/>
        <v>-27.28</v>
      </c>
      <c r="T63" s="26">
        <f t="shared" ca="1" si="17"/>
        <v>-29</v>
      </c>
      <c r="U63" s="26">
        <f t="shared" ca="1" si="17"/>
        <v>-30.63</v>
      </c>
      <c r="V63" s="26">
        <f t="shared" ca="1" si="17"/>
        <v>-31.03</v>
      </c>
      <c r="W63" s="26">
        <f t="shared" ca="1" si="17"/>
        <v>-31.42</v>
      </c>
      <c r="X63" s="26">
        <f t="shared" ca="1" si="17"/>
        <v>-31.81</v>
      </c>
      <c r="Y63" s="26">
        <f t="shared" ca="1" si="14"/>
        <v>-32.200000000000003</v>
      </c>
      <c r="Z63" s="26">
        <f t="shared" ca="1" si="14"/>
        <v>-33.729999999999997</v>
      </c>
      <c r="AA63" s="26">
        <f t="shared" ca="1" si="14"/>
        <v>-35.22</v>
      </c>
      <c r="AB63" s="26">
        <f t="shared" ca="1" si="14"/>
        <v>0</v>
      </c>
      <c r="AC63" s="26">
        <f t="shared" ca="1" si="14"/>
        <v>0</v>
      </c>
      <c r="AD63" s="26">
        <f t="shared" ca="1" si="14"/>
        <v>0</v>
      </c>
      <c r="AE63" s="26">
        <f t="shared" ca="1" si="14"/>
        <v>0</v>
      </c>
      <c r="AF63" s="26">
        <f t="shared" ca="1" si="14"/>
        <v>0</v>
      </c>
      <c r="AG63" s="26">
        <f t="shared" ca="1" si="14"/>
        <v>0</v>
      </c>
      <c r="AH63" s="26">
        <f t="shared" ca="1" si="14"/>
        <v>0</v>
      </c>
      <c r="AI63" s="26">
        <f t="shared" ca="1" si="14"/>
        <v>0</v>
      </c>
      <c r="AJ63" s="26">
        <f t="shared" ca="1" si="14"/>
        <v>0</v>
      </c>
      <c r="AK63" s="26">
        <f t="shared" ca="1" si="14"/>
        <v>0</v>
      </c>
      <c r="AL63" s="26">
        <f t="shared" ca="1" si="14"/>
        <v>0</v>
      </c>
    </row>
    <row r="64" spans="1:38" ht="21" hidden="1" customHeight="1" outlineLevel="1" thickBot="1" x14ac:dyDescent="0.4">
      <c r="A64" s="8">
        <f t="shared" si="15"/>
        <v>0</v>
      </c>
      <c r="B64" s="8">
        <f t="shared" si="15"/>
        <v>0</v>
      </c>
      <c r="C64" s="8">
        <f t="shared" si="15"/>
        <v>1</v>
      </c>
      <c r="D64" s="8">
        <f t="shared" si="15"/>
        <v>0</v>
      </c>
      <c r="E64" s="9" t="str">
        <f t="shared" si="15"/>
        <v>(l)Ge[c]</v>
      </c>
      <c r="F64" s="26">
        <f t="shared" ca="1" si="16"/>
        <v>-16</v>
      </c>
      <c r="G64" s="26">
        <f t="shared" ca="1" si="16"/>
        <v>-13.92</v>
      </c>
      <c r="H64" s="26">
        <f t="shared" ca="1" si="16"/>
        <v>-11.54</v>
      </c>
      <c r="I64" s="26">
        <f t="shared" ca="1" si="16"/>
        <v>-9.3460000000000001</v>
      </c>
      <c r="J64" s="26">
        <f t="shared" ca="1" si="16"/>
        <v>-7.6120000000000001</v>
      </c>
      <c r="K64" s="26">
        <f t="shared" ca="1" si="16"/>
        <v>-6.5529999999999999</v>
      </c>
      <c r="L64" s="26">
        <f t="shared" ca="1" si="16"/>
        <v>-6.1760000000000002</v>
      </c>
      <c r="M64" s="26">
        <f t="shared" ca="1" si="16"/>
        <v>-6.8330000000000002</v>
      </c>
      <c r="N64" s="26">
        <f t="shared" ca="1" si="16"/>
        <v>-6.843</v>
      </c>
      <c r="O64" s="26">
        <f t="shared" ca="1" si="16"/>
        <v>-6.9039999999999999</v>
      </c>
      <c r="P64" s="26">
        <f t="shared" ca="1" si="17"/>
        <v>-6.9809999999999999</v>
      </c>
      <c r="Q64" s="26">
        <f t="shared" ca="1" si="17"/>
        <v>-7.0620000000000003</v>
      </c>
      <c r="R64" s="26">
        <f t="shared" ca="1" si="17"/>
        <v>-7.1429999999999998</v>
      </c>
      <c r="S64" s="26">
        <f t="shared" ca="1" si="17"/>
        <v>-7.4630000000000001</v>
      </c>
      <c r="T64" s="26">
        <f t="shared" ca="1" si="17"/>
        <v>-7.7649999999999997</v>
      </c>
      <c r="U64" s="26">
        <f t="shared" ca="1" si="17"/>
        <v>-8.048</v>
      </c>
      <c r="V64" s="26">
        <f t="shared" ca="1" si="17"/>
        <v>-8.1159999999999997</v>
      </c>
      <c r="W64" s="26">
        <f t="shared" ca="1" si="17"/>
        <v>-8.1820000000000004</v>
      </c>
      <c r="X64" s="26">
        <f t="shared" ca="1" si="17"/>
        <v>-8.2479999999999993</v>
      </c>
      <c r="Y64" s="26">
        <f t="shared" ca="1" si="14"/>
        <v>-8.3130000000000006</v>
      </c>
      <c r="Z64" s="26">
        <f t="shared" ca="1" si="14"/>
        <v>-8.5609999999999999</v>
      </c>
      <c r="AA64" s="26">
        <f t="shared" ca="1" si="14"/>
        <v>-8.7949999999999999</v>
      </c>
      <c r="AB64" s="26">
        <f t="shared" ca="1" si="14"/>
        <v>0</v>
      </c>
      <c r="AC64" s="26">
        <f t="shared" ca="1" si="14"/>
        <v>0</v>
      </c>
      <c r="AD64" s="26">
        <f t="shared" ca="1" si="14"/>
        <v>0</v>
      </c>
      <c r="AE64" s="26">
        <f t="shared" ca="1" si="14"/>
        <v>0</v>
      </c>
      <c r="AF64" s="26">
        <f t="shared" ca="1" si="14"/>
        <v>0</v>
      </c>
      <c r="AG64" s="26">
        <f t="shared" ca="1" si="14"/>
        <v>0</v>
      </c>
      <c r="AH64" s="26">
        <f t="shared" ca="1" si="14"/>
        <v>0</v>
      </c>
      <c r="AI64" s="26">
        <f t="shared" ca="1" si="14"/>
        <v>0</v>
      </c>
      <c r="AJ64" s="26">
        <f t="shared" ca="1" si="14"/>
        <v>0</v>
      </c>
      <c r="AK64" s="26">
        <f t="shared" ca="1" si="14"/>
        <v>0</v>
      </c>
      <c r="AL64" s="26">
        <f t="shared" ca="1" si="14"/>
        <v>0</v>
      </c>
    </row>
    <row r="65" spans="1:38" ht="21" hidden="1" customHeight="1" outlineLevel="1" thickBot="1" x14ac:dyDescent="0.4">
      <c r="A65" s="8">
        <f t="shared" si="15"/>
        <v>1</v>
      </c>
      <c r="B65" s="8">
        <f t="shared" si="15"/>
        <v>0</v>
      </c>
      <c r="C65" s="8">
        <f t="shared" si="15"/>
        <v>0</v>
      </c>
      <c r="D65" s="8">
        <f t="shared" si="15"/>
        <v>0</v>
      </c>
      <c r="E65" s="9" t="str">
        <f t="shared" si="15"/>
        <v>H (Ar)</v>
      </c>
      <c r="F65" s="26">
        <f t="shared" ca="1" si="16"/>
        <v>-18.88</v>
      </c>
      <c r="G65" s="26">
        <f t="shared" ca="1" si="16"/>
        <v>-18.87</v>
      </c>
      <c r="H65" s="26">
        <f t="shared" ca="1" si="16"/>
        <v>-18.899999999999999</v>
      </c>
      <c r="I65" s="26">
        <f t="shared" ca="1" si="16"/>
        <v>-18.940000000000001</v>
      </c>
      <c r="J65" s="26">
        <f t="shared" ca="1" si="16"/>
        <v>-18.989999999999998</v>
      </c>
      <c r="K65" s="26">
        <f t="shared" ca="1" si="16"/>
        <v>-19.04</v>
      </c>
      <c r="L65" s="26">
        <f t="shared" ca="1" si="16"/>
        <v>-19.07</v>
      </c>
      <c r="M65" s="26">
        <f t="shared" ca="1" si="16"/>
        <v>-18.96</v>
      </c>
      <c r="N65" s="26">
        <f t="shared" ca="1" si="16"/>
        <v>-19.03</v>
      </c>
      <c r="O65" s="26">
        <f t="shared" ca="1" si="16"/>
        <v>-19.100000000000001</v>
      </c>
      <c r="P65" s="26">
        <f t="shared" ca="1" si="17"/>
        <v>-19.170000000000002</v>
      </c>
      <c r="Q65" s="26">
        <f t="shared" ca="1" si="17"/>
        <v>-19.239999999999998</v>
      </c>
      <c r="R65" s="26">
        <f t="shared" ca="1" si="17"/>
        <v>-19.309999999999999</v>
      </c>
      <c r="S65" s="26">
        <f t="shared" ca="1" si="17"/>
        <v>-19.57</v>
      </c>
      <c r="T65" s="26">
        <f t="shared" ca="1" si="17"/>
        <v>-19.82</v>
      </c>
      <c r="U65" s="26">
        <f t="shared" ca="1" si="17"/>
        <v>-20.05</v>
      </c>
      <c r="V65" s="26">
        <f t="shared" ca="1" si="17"/>
        <v>-20.11</v>
      </c>
      <c r="W65" s="26">
        <f t="shared" ca="1" si="17"/>
        <v>-20.16</v>
      </c>
      <c r="X65" s="26">
        <f t="shared" ca="1" si="17"/>
        <v>-20.21</v>
      </c>
      <c r="Y65" s="26">
        <f t="shared" ca="1" si="14"/>
        <v>-20.260000000000002</v>
      </c>
      <c r="Z65" s="26">
        <f t="shared" ca="1" si="14"/>
        <v>-20.46</v>
      </c>
      <c r="AA65" s="26">
        <f t="shared" ca="1" si="14"/>
        <v>-20.65</v>
      </c>
      <c r="AB65" s="26">
        <f t="shared" ca="1" si="14"/>
        <v>0</v>
      </c>
      <c r="AC65" s="26">
        <f t="shared" ca="1" si="14"/>
        <v>0</v>
      </c>
      <c r="AD65" s="26">
        <f t="shared" ca="1" si="14"/>
        <v>0</v>
      </c>
      <c r="AE65" s="26">
        <f t="shared" ca="1" si="14"/>
        <v>0</v>
      </c>
      <c r="AF65" s="26">
        <f t="shared" ca="1" si="14"/>
        <v>0</v>
      </c>
      <c r="AG65" s="26">
        <f t="shared" ca="1" si="14"/>
        <v>0</v>
      </c>
      <c r="AH65" s="26">
        <f t="shared" ca="1" si="14"/>
        <v>0</v>
      </c>
      <c r="AI65" s="26">
        <f t="shared" ca="1" si="14"/>
        <v>0</v>
      </c>
      <c r="AJ65" s="26">
        <f t="shared" ca="1" si="14"/>
        <v>0</v>
      </c>
      <c r="AK65" s="26">
        <f t="shared" ca="1" si="14"/>
        <v>0</v>
      </c>
      <c r="AL65" s="26">
        <f t="shared" ca="1" si="14"/>
        <v>0</v>
      </c>
    </row>
    <row r="66" spans="1:38" ht="21" hidden="1" customHeight="1" outlineLevel="1" thickBot="1" x14ac:dyDescent="0.4">
      <c r="A66" s="8">
        <f t="shared" si="15"/>
        <v>0</v>
      </c>
      <c r="B66" s="8">
        <f t="shared" si="15"/>
        <v>0</v>
      </c>
      <c r="C66" s="8">
        <f t="shared" si="15"/>
        <v>0</v>
      </c>
      <c r="D66" s="8">
        <f t="shared" si="15"/>
        <v>1</v>
      </c>
      <c r="E66" s="9" t="str">
        <f t="shared" si="15"/>
        <v>H (Ga)</v>
      </c>
      <c r="F66" s="26">
        <f t="shared" ca="1" si="16"/>
        <v>-60.79</v>
      </c>
      <c r="G66" s="26">
        <f t="shared" ca="1" si="16"/>
        <v>-53.82</v>
      </c>
      <c r="H66" s="26">
        <f t="shared" ca="1" si="16"/>
        <v>-47.01</v>
      </c>
      <c r="I66" s="26">
        <f t="shared" ca="1" si="16"/>
        <v>-40.9</v>
      </c>
      <c r="J66" s="26">
        <f t="shared" ca="1" si="16"/>
        <v>-35.71</v>
      </c>
      <c r="K66" s="26">
        <f t="shared" ca="1" si="16"/>
        <v>-31.39</v>
      </c>
      <c r="L66" s="26">
        <f t="shared" ca="1" si="16"/>
        <v>-27.66</v>
      </c>
      <c r="M66" s="26">
        <f t="shared" ca="1" si="16"/>
        <v>-26.79</v>
      </c>
      <c r="N66" s="26">
        <f t="shared" ca="1" si="16"/>
        <v>-28.11</v>
      </c>
      <c r="O66" s="26">
        <f t="shared" ca="1" si="16"/>
        <v>-29.41</v>
      </c>
      <c r="P66" s="26">
        <f t="shared" ca="1" si="17"/>
        <v>-30.69</v>
      </c>
      <c r="Q66" s="26">
        <f t="shared" ca="1" si="17"/>
        <v>-31.94</v>
      </c>
      <c r="R66" s="26">
        <f t="shared" ca="1" si="17"/>
        <v>-33.159999999999997</v>
      </c>
      <c r="S66" s="26">
        <f t="shared" ca="1" si="17"/>
        <v>-37.67</v>
      </c>
      <c r="T66" s="26">
        <f t="shared" ca="1" si="17"/>
        <v>-41.43</v>
      </c>
      <c r="U66" s="26">
        <f t="shared" ca="1" si="17"/>
        <v>-44.33</v>
      </c>
      <c r="V66" s="26">
        <f t="shared" ca="1" si="17"/>
        <v>-44.9</v>
      </c>
      <c r="W66" s="26">
        <f t="shared" ca="1" si="17"/>
        <v>-45.42</v>
      </c>
      <c r="X66" s="26">
        <f t="shared" ca="1" si="17"/>
        <v>-45.86</v>
      </c>
      <c r="Y66" s="26">
        <f t="shared" ref="Y66:AL78" ca="1" si="18">$A66*H.Ar + $B66*H.Se + $C66*H.Ge + $D66*H.Ga</f>
        <v>-46.25</v>
      </c>
      <c r="Z66" s="26">
        <f t="shared" ca="1" si="18"/>
        <v>-47.11</v>
      </c>
      <c r="AA66" s="26">
        <f t="shared" ca="1" si="18"/>
        <v>-46.85</v>
      </c>
      <c r="AB66" s="26">
        <f t="shared" ca="1" si="18"/>
        <v>0</v>
      </c>
      <c r="AC66" s="26">
        <f t="shared" ca="1" si="18"/>
        <v>0</v>
      </c>
      <c r="AD66" s="26">
        <f t="shared" ca="1" si="18"/>
        <v>0</v>
      </c>
      <c r="AE66" s="26">
        <f t="shared" ca="1" si="18"/>
        <v>0</v>
      </c>
      <c r="AF66" s="26">
        <f t="shared" ca="1" si="18"/>
        <v>0</v>
      </c>
      <c r="AG66" s="26">
        <f t="shared" ca="1" si="18"/>
        <v>0</v>
      </c>
      <c r="AH66" s="26">
        <f t="shared" ca="1" si="18"/>
        <v>0</v>
      </c>
      <c r="AI66" s="26">
        <f t="shared" ca="1" si="18"/>
        <v>0</v>
      </c>
      <c r="AJ66" s="26">
        <f t="shared" ca="1" si="18"/>
        <v>0</v>
      </c>
      <c r="AK66" s="26">
        <f t="shared" ca="1" si="18"/>
        <v>0</v>
      </c>
      <c r="AL66" s="26">
        <f t="shared" ca="1" si="18"/>
        <v>0</v>
      </c>
    </row>
    <row r="67" spans="1:38" ht="21" hidden="1" customHeight="1" outlineLevel="1" thickBot="1" x14ac:dyDescent="0.4">
      <c r="A67" s="8">
        <f t="shared" si="15"/>
        <v>0</v>
      </c>
      <c r="B67" s="8">
        <f t="shared" si="15"/>
        <v>0</v>
      </c>
      <c r="C67" s="8">
        <f t="shared" si="15"/>
        <v>1</v>
      </c>
      <c r="D67" s="8">
        <f t="shared" si="15"/>
        <v>0</v>
      </c>
      <c r="E67" s="9" t="str">
        <f t="shared" si="15"/>
        <v>H (Ge)</v>
      </c>
      <c r="F67" s="26">
        <f t="shared" ca="1" si="16"/>
        <v>-16</v>
      </c>
      <c r="G67" s="26">
        <f t="shared" ca="1" si="16"/>
        <v>-13.92</v>
      </c>
      <c r="H67" s="26">
        <f t="shared" ca="1" si="16"/>
        <v>-11.54</v>
      </c>
      <c r="I67" s="26">
        <f t="shared" ca="1" si="16"/>
        <v>-9.3460000000000001</v>
      </c>
      <c r="J67" s="26">
        <f t="shared" ca="1" si="16"/>
        <v>-7.6120000000000001</v>
      </c>
      <c r="K67" s="26">
        <f t="shared" ca="1" si="16"/>
        <v>-6.5529999999999999</v>
      </c>
      <c r="L67" s="26">
        <f t="shared" ca="1" si="16"/>
        <v>-6.1760000000000002</v>
      </c>
      <c r="M67" s="26">
        <f t="shared" ca="1" si="16"/>
        <v>-6.8330000000000002</v>
      </c>
      <c r="N67" s="26">
        <f t="shared" ca="1" si="16"/>
        <v>-6.843</v>
      </c>
      <c r="O67" s="26">
        <f t="shared" ca="1" si="16"/>
        <v>-6.9039999999999999</v>
      </c>
      <c r="P67" s="26">
        <f t="shared" ca="1" si="17"/>
        <v>-6.9809999999999999</v>
      </c>
      <c r="Q67" s="26">
        <f t="shared" ca="1" si="17"/>
        <v>-7.0620000000000003</v>
      </c>
      <c r="R67" s="26">
        <f t="shared" ca="1" si="17"/>
        <v>-7.1429999999999998</v>
      </c>
      <c r="S67" s="26">
        <f t="shared" ca="1" si="17"/>
        <v>-7.4630000000000001</v>
      </c>
      <c r="T67" s="26">
        <f t="shared" ca="1" si="17"/>
        <v>-7.7649999999999997</v>
      </c>
      <c r="U67" s="26">
        <f t="shared" ca="1" si="17"/>
        <v>-8.048</v>
      </c>
      <c r="V67" s="26">
        <f t="shared" ca="1" si="17"/>
        <v>-8.1159999999999997</v>
      </c>
      <c r="W67" s="26">
        <f t="shared" ca="1" si="17"/>
        <v>-8.1820000000000004</v>
      </c>
      <c r="X67" s="26">
        <f t="shared" ca="1" si="17"/>
        <v>-8.2479999999999993</v>
      </c>
      <c r="Y67" s="26">
        <f t="shared" ca="1" si="18"/>
        <v>-8.3130000000000006</v>
      </c>
      <c r="Z67" s="26">
        <f t="shared" ca="1" si="18"/>
        <v>-8.5609999999999999</v>
      </c>
      <c r="AA67" s="26">
        <f t="shared" ca="1" si="18"/>
        <v>-8.7949999999999999</v>
      </c>
      <c r="AB67" s="26">
        <f t="shared" ca="1" si="18"/>
        <v>0</v>
      </c>
      <c r="AC67" s="26">
        <f t="shared" ca="1" si="18"/>
        <v>0</v>
      </c>
      <c r="AD67" s="26">
        <f t="shared" ca="1" si="18"/>
        <v>0</v>
      </c>
      <c r="AE67" s="26">
        <f t="shared" ca="1" si="18"/>
        <v>0</v>
      </c>
      <c r="AF67" s="26">
        <f t="shared" ca="1" si="18"/>
        <v>0</v>
      </c>
      <c r="AG67" s="26">
        <f t="shared" ca="1" si="18"/>
        <v>0</v>
      </c>
      <c r="AH67" s="26">
        <f t="shared" ca="1" si="18"/>
        <v>0</v>
      </c>
      <c r="AI67" s="26">
        <f t="shared" ca="1" si="18"/>
        <v>0</v>
      </c>
      <c r="AJ67" s="26">
        <f t="shared" ca="1" si="18"/>
        <v>0</v>
      </c>
      <c r="AK67" s="26">
        <f t="shared" ca="1" si="18"/>
        <v>0</v>
      </c>
      <c r="AL67" s="26">
        <f t="shared" ca="1" si="18"/>
        <v>0</v>
      </c>
    </row>
    <row r="68" spans="1:38" ht="21" hidden="1" customHeight="1" outlineLevel="1" thickBot="1" x14ac:dyDescent="0.4">
      <c r="A68" s="8">
        <f t="shared" si="15"/>
        <v>0</v>
      </c>
      <c r="B68" s="8">
        <f t="shared" si="15"/>
        <v>1</v>
      </c>
      <c r="C68" s="8">
        <f t="shared" si="15"/>
        <v>0</v>
      </c>
      <c r="D68" s="8">
        <f t="shared" si="15"/>
        <v>0</v>
      </c>
      <c r="E68" s="9" t="str">
        <f t="shared" si="15"/>
        <v>H (Se)</v>
      </c>
      <c r="F68" s="26">
        <f t="shared" ca="1" si="16"/>
        <v>-22.14</v>
      </c>
      <c r="G68" s="26">
        <f t="shared" ca="1" si="16"/>
        <v>-21.3</v>
      </c>
      <c r="H68" s="26">
        <f t="shared" ca="1" si="16"/>
        <v>-21.39</v>
      </c>
      <c r="I68" s="26">
        <f t="shared" ca="1" si="16"/>
        <v>-21.8</v>
      </c>
      <c r="J68" s="26">
        <f t="shared" ca="1" si="16"/>
        <v>-22.19</v>
      </c>
      <c r="K68" s="26">
        <f t="shared" ca="1" si="16"/>
        <v>-22.48</v>
      </c>
      <c r="L68" s="26">
        <f t="shared" ca="1" si="16"/>
        <v>-22.79</v>
      </c>
      <c r="M68" s="26">
        <f t="shared" ca="1" si="16"/>
        <v>-23.04</v>
      </c>
      <c r="N68" s="26">
        <f t="shared" ca="1" si="16"/>
        <v>-23.53</v>
      </c>
      <c r="O68" s="26">
        <f t="shared" ca="1" si="16"/>
        <v>-24.03</v>
      </c>
      <c r="P68" s="26">
        <f t="shared" ca="1" si="17"/>
        <v>-24.51</v>
      </c>
      <c r="Q68" s="26">
        <f t="shared" ca="1" si="17"/>
        <v>-24.99</v>
      </c>
      <c r="R68" s="26">
        <f t="shared" ca="1" si="17"/>
        <v>-25.47</v>
      </c>
      <c r="S68" s="26">
        <f t="shared" ca="1" si="17"/>
        <v>-27.28</v>
      </c>
      <c r="T68" s="26">
        <f t="shared" ca="1" si="17"/>
        <v>-29</v>
      </c>
      <c r="U68" s="26">
        <f t="shared" ca="1" si="17"/>
        <v>-30.63</v>
      </c>
      <c r="V68" s="26">
        <f t="shared" ca="1" si="17"/>
        <v>-31.03</v>
      </c>
      <c r="W68" s="26">
        <f t="shared" ca="1" si="17"/>
        <v>-31.42</v>
      </c>
      <c r="X68" s="26">
        <f t="shared" ca="1" si="17"/>
        <v>-31.81</v>
      </c>
      <c r="Y68" s="26">
        <f t="shared" ca="1" si="18"/>
        <v>-32.200000000000003</v>
      </c>
      <c r="Z68" s="26">
        <f t="shared" ca="1" si="18"/>
        <v>-33.729999999999997</v>
      </c>
      <c r="AA68" s="26">
        <f t="shared" ca="1" si="18"/>
        <v>-35.22</v>
      </c>
      <c r="AB68" s="26">
        <f t="shared" ca="1" si="18"/>
        <v>0</v>
      </c>
      <c r="AC68" s="26">
        <f t="shared" ca="1" si="18"/>
        <v>0</v>
      </c>
      <c r="AD68" s="26">
        <f t="shared" ca="1" si="18"/>
        <v>0</v>
      </c>
      <c r="AE68" s="26">
        <f t="shared" ca="1" si="18"/>
        <v>0</v>
      </c>
      <c r="AF68" s="26">
        <f t="shared" ca="1" si="18"/>
        <v>0</v>
      </c>
      <c r="AG68" s="26">
        <f t="shared" ca="1" si="18"/>
        <v>0</v>
      </c>
      <c r="AH68" s="26">
        <f t="shared" ca="1" si="18"/>
        <v>0</v>
      </c>
      <c r="AI68" s="26">
        <f t="shared" ca="1" si="18"/>
        <v>0</v>
      </c>
      <c r="AJ68" s="26">
        <f t="shared" ca="1" si="18"/>
        <v>0</v>
      </c>
      <c r="AK68" s="26">
        <f t="shared" ca="1" si="18"/>
        <v>0</v>
      </c>
      <c r="AL68" s="26">
        <f t="shared" ca="1" si="18"/>
        <v>0</v>
      </c>
    </row>
    <row r="69" spans="1:38" ht="21" hidden="1" customHeight="1" outlineLevel="1" thickBot="1" x14ac:dyDescent="0.4">
      <c r="A69" s="8">
        <f t="shared" si="15"/>
        <v>0</v>
      </c>
      <c r="B69" s="8">
        <f t="shared" si="15"/>
        <v>0</v>
      </c>
      <c r="C69" s="8">
        <f t="shared" si="15"/>
        <v>0</v>
      </c>
      <c r="D69" s="8">
        <f t="shared" si="15"/>
        <v>0</v>
      </c>
      <c r="E69" s="9">
        <f t="shared" si="15"/>
        <v>0</v>
      </c>
      <c r="F69" s="26">
        <f t="shared" ca="1" si="16"/>
        <v>0</v>
      </c>
      <c r="G69" s="26">
        <f t="shared" ca="1" si="16"/>
        <v>0</v>
      </c>
      <c r="H69" s="26">
        <f t="shared" ca="1" si="16"/>
        <v>0</v>
      </c>
      <c r="I69" s="26">
        <f t="shared" ca="1" si="16"/>
        <v>0</v>
      </c>
      <c r="J69" s="26">
        <f t="shared" ca="1" si="16"/>
        <v>0</v>
      </c>
      <c r="K69" s="26">
        <f t="shared" ca="1" si="16"/>
        <v>0</v>
      </c>
      <c r="L69" s="26">
        <f t="shared" ca="1" si="16"/>
        <v>0</v>
      </c>
      <c r="M69" s="26">
        <f t="shared" ca="1" si="16"/>
        <v>0</v>
      </c>
      <c r="N69" s="26">
        <f t="shared" ca="1" si="16"/>
        <v>0</v>
      </c>
      <c r="O69" s="26">
        <f t="shared" ca="1" si="16"/>
        <v>0</v>
      </c>
      <c r="P69" s="26">
        <f t="shared" ca="1" si="17"/>
        <v>0</v>
      </c>
      <c r="Q69" s="26">
        <f t="shared" ca="1" si="17"/>
        <v>0</v>
      </c>
      <c r="R69" s="26">
        <f t="shared" ca="1" si="17"/>
        <v>0</v>
      </c>
      <c r="S69" s="26">
        <f t="shared" ca="1" si="17"/>
        <v>0</v>
      </c>
      <c r="T69" s="26">
        <f t="shared" ca="1" si="17"/>
        <v>0</v>
      </c>
      <c r="U69" s="26">
        <f t="shared" ca="1" si="17"/>
        <v>0</v>
      </c>
      <c r="V69" s="26">
        <f t="shared" ca="1" si="17"/>
        <v>0</v>
      </c>
      <c r="W69" s="26">
        <f t="shared" ca="1" si="17"/>
        <v>0</v>
      </c>
      <c r="X69" s="26">
        <f t="shared" ca="1" si="17"/>
        <v>0</v>
      </c>
      <c r="Y69" s="26">
        <f t="shared" ca="1" si="18"/>
        <v>0</v>
      </c>
      <c r="Z69" s="26">
        <f t="shared" ca="1" si="18"/>
        <v>0</v>
      </c>
      <c r="AA69" s="26">
        <f t="shared" ca="1" si="18"/>
        <v>0</v>
      </c>
      <c r="AB69" s="26">
        <f t="shared" ca="1" si="18"/>
        <v>0</v>
      </c>
      <c r="AC69" s="26">
        <f t="shared" ca="1" si="18"/>
        <v>0</v>
      </c>
      <c r="AD69" s="26">
        <f t="shared" ca="1" si="18"/>
        <v>0</v>
      </c>
      <c r="AE69" s="26">
        <f t="shared" ca="1" si="18"/>
        <v>0</v>
      </c>
      <c r="AF69" s="26">
        <f t="shared" ca="1" si="18"/>
        <v>0</v>
      </c>
      <c r="AG69" s="26">
        <f t="shared" ca="1" si="18"/>
        <v>0</v>
      </c>
      <c r="AH69" s="26">
        <f t="shared" ca="1" si="18"/>
        <v>0</v>
      </c>
      <c r="AI69" s="26">
        <f t="shared" ca="1" si="18"/>
        <v>0</v>
      </c>
      <c r="AJ69" s="26">
        <f t="shared" ca="1" si="18"/>
        <v>0</v>
      </c>
      <c r="AK69" s="26">
        <f t="shared" ca="1" si="18"/>
        <v>0</v>
      </c>
      <c r="AL69" s="26">
        <f t="shared" ca="1" si="18"/>
        <v>0</v>
      </c>
    </row>
    <row r="70" spans="1:38" ht="21" hidden="1" customHeight="1" outlineLevel="1" thickBot="1" x14ac:dyDescent="0.4">
      <c r="A70" s="8">
        <f t="shared" ref="A70:E79" si="19">A24</f>
        <v>0</v>
      </c>
      <c r="B70" s="8">
        <f t="shared" si="19"/>
        <v>0</v>
      </c>
      <c r="C70" s="8">
        <f t="shared" si="19"/>
        <v>0</v>
      </c>
      <c r="D70" s="8">
        <f t="shared" si="19"/>
        <v>0</v>
      </c>
      <c r="E70" s="9">
        <f t="shared" si="19"/>
        <v>0</v>
      </c>
      <c r="F70" s="26">
        <f t="shared" ref="F70:O78" ca="1" si="20">$A70*H.Ar + $B70*H.Se + $C70*H.Ge + $D70*H.Ga</f>
        <v>0</v>
      </c>
      <c r="G70" s="26">
        <f t="shared" ca="1" si="20"/>
        <v>0</v>
      </c>
      <c r="H70" s="26">
        <f t="shared" ca="1" si="20"/>
        <v>0</v>
      </c>
      <c r="I70" s="26">
        <f t="shared" ca="1" si="20"/>
        <v>0</v>
      </c>
      <c r="J70" s="26">
        <f t="shared" ca="1" si="20"/>
        <v>0</v>
      </c>
      <c r="K70" s="26">
        <f t="shared" ca="1" si="20"/>
        <v>0</v>
      </c>
      <c r="L70" s="26">
        <f t="shared" ca="1" si="20"/>
        <v>0</v>
      </c>
      <c r="M70" s="26">
        <f t="shared" ca="1" si="20"/>
        <v>0</v>
      </c>
      <c r="N70" s="26">
        <f t="shared" ca="1" si="20"/>
        <v>0</v>
      </c>
      <c r="O70" s="26">
        <f t="shared" ca="1" si="20"/>
        <v>0</v>
      </c>
      <c r="P70" s="26">
        <f t="shared" ref="P70:AE78" ca="1" si="21">$A70*H.Ar + $B70*H.Se + $C70*H.Ge + $D70*H.Ga</f>
        <v>0</v>
      </c>
      <c r="Q70" s="26">
        <f t="shared" ca="1" si="21"/>
        <v>0</v>
      </c>
      <c r="R70" s="26">
        <f t="shared" ca="1" si="21"/>
        <v>0</v>
      </c>
      <c r="S70" s="26">
        <f t="shared" ca="1" si="21"/>
        <v>0</v>
      </c>
      <c r="T70" s="26">
        <f t="shared" ca="1" si="21"/>
        <v>0</v>
      </c>
      <c r="U70" s="26">
        <f t="shared" ca="1" si="21"/>
        <v>0</v>
      </c>
      <c r="V70" s="26">
        <f t="shared" ca="1" si="21"/>
        <v>0</v>
      </c>
      <c r="W70" s="26">
        <f t="shared" ca="1" si="21"/>
        <v>0</v>
      </c>
      <c r="X70" s="26">
        <f t="shared" ca="1" si="21"/>
        <v>0</v>
      </c>
      <c r="Y70" s="26">
        <f t="shared" ca="1" si="21"/>
        <v>0</v>
      </c>
      <c r="Z70" s="26">
        <f t="shared" ca="1" si="21"/>
        <v>0</v>
      </c>
      <c r="AA70" s="26">
        <f t="shared" ca="1" si="21"/>
        <v>0</v>
      </c>
      <c r="AB70" s="26">
        <f t="shared" ca="1" si="21"/>
        <v>0</v>
      </c>
      <c r="AC70" s="26">
        <f t="shared" ca="1" si="21"/>
        <v>0</v>
      </c>
      <c r="AD70" s="26">
        <f t="shared" ca="1" si="21"/>
        <v>0</v>
      </c>
      <c r="AE70" s="26">
        <f t="shared" ca="1" si="21"/>
        <v>0</v>
      </c>
      <c r="AF70" s="26">
        <f t="shared" ca="1" si="18"/>
        <v>0</v>
      </c>
      <c r="AG70" s="26">
        <f t="shared" ca="1" si="18"/>
        <v>0</v>
      </c>
      <c r="AH70" s="26">
        <f t="shared" ca="1" si="18"/>
        <v>0</v>
      </c>
      <c r="AI70" s="26">
        <f t="shared" ca="1" si="18"/>
        <v>0</v>
      </c>
      <c r="AJ70" s="26">
        <f t="shared" ca="1" si="18"/>
        <v>0</v>
      </c>
      <c r="AK70" s="26">
        <f t="shared" ca="1" si="18"/>
        <v>0</v>
      </c>
      <c r="AL70" s="26">
        <f t="shared" ca="1" si="18"/>
        <v>0</v>
      </c>
    </row>
    <row r="71" spans="1:38" ht="21" hidden="1" customHeight="1" outlineLevel="1" thickBot="1" x14ac:dyDescent="0.4">
      <c r="A71" s="8">
        <f t="shared" si="19"/>
        <v>0</v>
      </c>
      <c r="B71" s="8">
        <f t="shared" si="19"/>
        <v>0</v>
      </c>
      <c r="C71" s="8">
        <f t="shared" si="19"/>
        <v>0</v>
      </c>
      <c r="D71" s="8">
        <f t="shared" si="19"/>
        <v>0</v>
      </c>
      <c r="E71" s="9">
        <f t="shared" si="19"/>
        <v>0</v>
      </c>
      <c r="F71" s="26">
        <f t="shared" ca="1" si="20"/>
        <v>0</v>
      </c>
      <c r="G71" s="26">
        <f t="shared" ca="1" si="20"/>
        <v>0</v>
      </c>
      <c r="H71" s="26">
        <f t="shared" ca="1" si="20"/>
        <v>0</v>
      </c>
      <c r="I71" s="26">
        <f t="shared" ca="1" si="20"/>
        <v>0</v>
      </c>
      <c r="J71" s="26">
        <f t="shared" ca="1" si="20"/>
        <v>0</v>
      </c>
      <c r="K71" s="26">
        <f t="shared" ca="1" si="20"/>
        <v>0</v>
      </c>
      <c r="L71" s="26">
        <f t="shared" ca="1" si="20"/>
        <v>0</v>
      </c>
      <c r="M71" s="26">
        <f t="shared" ca="1" si="20"/>
        <v>0</v>
      </c>
      <c r="N71" s="26">
        <f t="shared" ca="1" si="20"/>
        <v>0</v>
      </c>
      <c r="O71" s="26">
        <f t="shared" ca="1" si="20"/>
        <v>0</v>
      </c>
      <c r="P71" s="26">
        <f t="shared" ca="1" si="21"/>
        <v>0</v>
      </c>
      <c r="Q71" s="26">
        <f t="shared" ca="1" si="21"/>
        <v>0</v>
      </c>
      <c r="R71" s="26">
        <f t="shared" ca="1" si="21"/>
        <v>0</v>
      </c>
      <c r="S71" s="26">
        <f t="shared" ca="1" si="21"/>
        <v>0</v>
      </c>
      <c r="T71" s="26">
        <f t="shared" ca="1" si="21"/>
        <v>0</v>
      </c>
      <c r="U71" s="26">
        <f t="shared" ca="1" si="21"/>
        <v>0</v>
      </c>
      <c r="V71" s="26">
        <f t="shared" ca="1" si="21"/>
        <v>0</v>
      </c>
      <c r="W71" s="26">
        <f t="shared" ca="1" si="21"/>
        <v>0</v>
      </c>
      <c r="X71" s="26">
        <f t="shared" ca="1" si="21"/>
        <v>0</v>
      </c>
      <c r="Y71" s="26">
        <f t="shared" ca="1" si="18"/>
        <v>0</v>
      </c>
      <c r="Z71" s="26">
        <f t="shared" ca="1" si="18"/>
        <v>0</v>
      </c>
      <c r="AA71" s="26">
        <f t="shared" ca="1" si="18"/>
        <v>0</v>
      </c>
      <c r="AB71" s="26">
        <f t="shared" ca="1" si="18"/>
        <v>0</v>
      </c>
      <c r="AC71" s="26">
        <f t="shared" ca="1" si="18"/>
        <v>0</v>
      </c>
      <c r="AD71" s="26">
        <f t="shared" ca="1" si="18"/>
        <v>0</v>
      </c>
      <c r="AE71" s="26">
        <f t="shared" ca="1" si="18"/>
        <v>0</v>
      </c>
      <c r="AF71" s="26">
        <f t="shared" ca="1" si="18"/>
        <v>0</v>
      </c>
      <c r="AG71" s="26">
        <f t="shared" ca="1" si="18"/>
        <v>0</v>
      </c>
      <c r="AH71" s="26">
        <f t="shared" ca="1" si="18"/>
        <v>0</v>
      </c>
      <c r="AI71" s="26">
        <f t="shared" ca="1" si="18"/>
        <v>0</v>
      </c>
      <c r="AJ71" s="26">
        <f t="shared" ca="1" si="18"/>
        <v>0</v>
      </c>
      <c r="AK71" s="26">
        <f t="shared" ca="1" si="18"/>
        <v>0</v>
      </c>
      <c r="AL71" s="26">
        <f t="shared" ca="1" si="18"/>
        <v>0</v>
      </c>
    </row>
    <row r="72" spans="1:38" ht="21" hidden="1" customHeight="1" outlineLevel="1" thickBot="1" x14ac:dyDescent="0.4">
      <c r="A72" s="8">
        <f t="shared" si="19"/>
        <v>0</v>
      </c>
      <c r="B72" s="8">
        <f t="shared" si="19"/>
        <v>0</v>
      </c>
      <c r="C72" s="8">
        <f t="shared" si="19"/>
        <v>0</v>
      </c>
      <c r="D72" s="8">
        <f t="shared" si="19"/>
        <v>0</v>
      </c>
      <c r="E72" s="9">
        <f t="shared" si="19"/>
        <v>0</v>
      </c>
      <c r="F72" s="26">
        <f t="shared" ca="1" si="20"/>
        <v>0</v>
      </c>
      <c r="G72" s="26">
        <f t="shared" ca="1" si="20"/>
        <v>0</v>
      </c>
      <c r="H72" s="26">
        <f t="shared" ca="1" si="20"/>
        <v>0</v>
      </c>
      <c r="I72" s="26">
        <f t="shared" ca="1" si="20"/>
        <v>0</v>
      </c>
      <c r="J72" s="26">
        <f t="shared" ca="1" si="20"/>
        <v>0</v>
      </c>
      <c r="K72" s="26">
        <f t="shared" ca="1" si="20"/>
        <v>0</v>
      </c>
      <c r="L72" s="26">
        <f t="shared" ca="1" si="20"/>
        <v>0</v>
      </c>
      <c r="M72" s="26">
        <f t="shared" ca="1" si="20"/>
        <v>0</v>
      </c>
      <c r="N72" s="26">
        <f t="shared" ca="1" si="20"/>
        <v>0</v>
      </c>
      <c r="O72" s="26">
        <f t="shared" ca="1" si="20"/>
        <v>0</v>
      </c>
      <c r="P72" s="26">
        <f t="shared" ca="1" si="21"/>
        <v>0</v>
      </c>
      <c r="Q72" s="26">
        <f t="shared" ca="1" si="21"/>
        <v>0</v>
      </c>
      <c r="R72" s="26">
        <f t="shared" ca="1" si="21"/>
        <v>0</v>
      </c>
      <c r="S72" s="26">
        <f t="shared" ca="1" si="21"/>
        <v>0</v>
      </c>
      <c r="T72" s="26">
        <f t="shared" ca="1" si="21"/>
        <v>0</v>
      </c>
      <c r="U72" s="26">
        <f t="shared" ca="1" si="21"/>
        <v>0</v>
      </c>
      <c r="V72" s="26">
        <f t="shared" ca="1" si="21"/>
        <v>0</v>
      </c>
      <c r="W72" s="26">
        <f t="shared" ca="1" si="21"/>
        <v>0</v>
      </c>
      <c r="X72" s="26">
        <f t="shared" ca="1" si="21"/>
        <v>0</v>
      </c>
      <c r="Y72" s="26">
        <f t="shared" ca="1" si="18"/>
        <v>0</v>
      </c>
      <c r="Z72" s="26">
        <f t="shared" ca="1" si="18"/>
        <v>0</v>
      </c>
      <c r="AA72" s="26">
        <f t="shared" ca="1" si="18"/>
        <v>0</v>
      </c>
      <c r="AB72" s="26">
        <f t="shared" ca="1" si="18"/>
        <v>0</v>
      </c>
      <c r="AC72" s="26">
        <f t="shared" ca="1" si="18"/>
        <v>0</v>
      </c>
      <c r="AD72" s="26">
        <f t="shared" ca="1" si="18"/>
        <v>0</v>
      </c>
      <c r="AE72" s="26">
        <f t="shared" ca="1" si="18"/>
        <v>0</v>
      </c>
      <c r="AF72" s="26">
        <f t="shared" ca="1" si="18"/>
        <v>0</v>
      </c>
      <c r="AG72" s="26">
        <f t="shared" ca="1" si="18"/>
        <v>0</v>
      </c>
      <c r="AH72" s="26">
        <f t="shared" ca="1" si="18"/>
        <v>0</v>
      </c>
      <c r="AI72" s="26">
        <f t="shared" ca="1" si="18"/>
        <v>0</v>
      </c>
      <c r="AJ72" s="26">
        <f t="shared" ca="1" si="18"/>
        <v>0</v>
      </c>
      <c r="AK72" s="26">
        <f t="shared" ca="1" si="18"/>
        <v>0</v>
      </c>
      <c r="AL72" s="26">
        <f t="shared" ca="1" si="18"/>
        <v>0</v>
      </c>
    </row>
    <row r="73" spans="1:38" ht="21" hidden="1" customHeight="1" outlineLevel="1" thickBot="1" x14ac:dyDescent="0.4">
      <c r="A73" s="8">
        <f t="shared" si="19"/>
        <v>0</v>
      </c>
      <c r="B73" s="8">
        <f t="shared" si="19"/>
        <v>0</v>
      </c>
      <c r="C73" s="8">
        <f t="shared" si="19"/>
        <v>0</v>
      </c>
      <c r="D73" s="8">
        <f t="shared" si="19"/>
        <v>0</v>
      </c>
      <c r="E73" s="9">
        <f t="shared" si="19"/>
        <v>0</v>
      </c>
      <c r="F73" s="26">
        <f t="shared" ca="1" si="20"/>
        <v>0</v>
      </c>
      <c r="G73" s="26">
        <f t="shared" ca="1" si="20"/>
        <v>0</v>
      </c>
      <c r="H73" s="26">
        <f t="shared" ca="1" si="20"/>
        <v>0</v>
      </c>
      <c r="I73" s="26">
        <f t="shared" ca="1" si="20"/>
        <v>0</v>
      </c>
      <c r="J73" s="26">
        <f t="shared" ca="1" si="20"/>
        <v>0</v>
      </c>
      <c r="K73" s="26">
        <f t="shared" ca="1" si="20"/>
        <v>0</v>
      </c>
      <c r="L73" s="26">
        <f t="shared" ca="1" si="20"/>
        <v>0</v>
      </c>
      <c r="M73" s="26">
        <f t="shared" ca="1" si="20"/>
        <v>0</v>
      </c>
      <c r="N73" s="26">
        <f t="shared" ca="1" si="20"/>
        <v>0</v>
      </c>
      <c r="O73" s="26">
        <f t="shared" ca="1" si="20"/>
        <v>0</v>
      </c>
      <c r="P73" s="26">
        <f t="shared" ca="1" si="21"/>
        <v>0</v>
      </c>
      <c r="Q73" s="26">
        <f t="shared" ca="1" si="21"/>
        <v>0</v>
      </c>
      <c r="R73" s="26">
        <f t="shared" ca="1" si="21"/>
        <v>0</v>
      </c>
      <c r="S73" s="26">
        <f t="shared" ca="1" si="21"/>
        <v>0</v>
      </c>
      <c r="T73" s="26">
        <f t="shared" ca="1" si="21"/>
        <v>0</v>
      </c>
      <c r="U73" s="26">
        <f t="shared" ca="1" si="21"/>
        <v>0</v>
      </c>
      <c r="V73" s="26">
        <f t="shared" ca="1" si="21"/>
        <v>0</v>
      </c>
      <c r="W73" s="26">
        <f t="shared" ca="1" si="21"/>
        <v>0</v>
      </c>
      <c r="X73" s="26">
        <f t="shared" ca="1" si="21"/>
        <v>0</v>
      </c>
      <c r="Y73" s="26">
        <f t="shared" ca="1" si="18"/>
        <v>0</v>
      </c>
      <c r="Z73" s="26">
        <f t="shared" ca="1" si="18"/>
        <v>0</v>
      </c>
      <c r="AA73" s="26">
        <f t="shared" ca="1" si="18"/>
        <v>0</v>
      </c>
      <c r="AB73" s="26">
        <f t="shared" ca="1" si="18"/>
        <v>0</v>
      </c>
      <c r="AC73" s="26">
        <f t="shared" ca="1" si="18"/>
        <v>0</v>
      </c>
      <c r="AD73" s="26">
        <f t="shared" ca="1" si="18"/>
        <v>0</v>
      </c>
      <c r="AE73" s="26">
        <f t="shared" ca="1" si="18"/>
        <v>0</v>
      </c>
      <c r="AF73" s="26">
        <f t="shared" ca="1" si="18"/>
        <v>0</v>
      </c>
      <c r="AG73" s="26">
        <f t="shared" ca="1" si="18"/>
        <v>0</v>
      </c>
      <c r="AH73" s="26">
        <f t="shared" ca="1" si="18"/>
        <v>0</v>
      </c>
      <c r="AI73" s="26">
        <f t="shared" ca="1" si="18"/>
        <v>0</v>
      </c>
      <c r="AJ73" s="26">
        <f t="shared" ca="1" si="18"/>
        <v>0</v>
      </c>
      <c r="AK73" s="26">
        <f t="shared" ca="1" si="18"/>
        <v>0</v>
      </c>
      <c r="AL73" s="26">
        <f t="shared" ca="1" si="18"/>
        <v>0</v>
      </c>
    </row>
    <row r="74" spans="1:38" ht="21" hidden="1" customHeight="1" outlineLevel="1" thickBot="1" x14ac:dyDescent="0.4">
      <c r="A74" s="8">
        <f t="shared" si="19"/>
        <v>0</v>
      </c>
      <c r="B74" s="8">
        <f t="shared" si="19"/>
        <v>0</v>
      </c>
      <c r="C74" s="8">
        <f t="shared" si="19"/>
        <v>0</v>
      </c>
      <c r="D74" s="8">
        <f t="shared" si="19"/>
        <v>0</v>
      </c>
      <c r="E74" s="9">
        <f t="shared" si="19"/>
        <v>0</v>
      </c>
      <c r="F74" s="26">
        <f t="shared" ca="1" si="20"/>
        <v>0</v>
      </c>
      <c r="G74" s="26">
        <f t="shared" ca="1" si="20"/>
        <v>0</v>
      </c>
      <c r="H74" s="26">
        <f t="shared" ca="1" si="20"/>
        <v>0</v>
      </c>
      <c r="I74" s="26">
        <f t="shared" ca="1" si="20"/>
        <v>0</v>
      </c>
      <c r="J74" s="26">
        <f t="shared" ca="1" si="20"/>
        <v>0</v>
      </c>
      <c r="K74" s="26">
        <f t="shared" ca="1" si="20"/>
        <v>0</v>
      </c>
      <c r="L74" s="26">
        <f t="shared" ca="1" si="20"/>
        <v>0</v>
      </c>
      <c r="M74" s="26">
        <f t="shared" ca="1" si="20"/>
        <v>0</v>
      </c>
      <c r="N74" s="26">
        <f t="shared" ca="1" si="20"/>
        <v>0</v>
      </c>
      <c r="O74" s="26">
        <f t="shared" ca="1" si="20"/>
        <v>0</v>
      </c>
      <c r="P74" s="26">
        <f t="shared" ca="1" si="21"/>
        <v>0</v>
      </c>
      <c r="Q74" s="26">
        <f t="shared" ca="1" si="21"/>
        <v>0</v>
      </c>
      <c r="R74" s="26">
        <f t="shared" ca="1" si="21"/>
        <v>0</v>
      </c>
      <c r="S74" s="26">
        <f t="shared" ca="1" si="21"/>
        <v>0</v>
      </c>
      <c r="T74" s="26">
        <f t="shared" ca="1" si="21"/>
        <v>0</v>
      </c>
      <c r="U74" s="26">
        <f t="shared" ca="1" si="21"/>
        <v>0</v>
      </c>
      <c r="V74" s="26">
        <f t="shared" ca="1" si="21"/>
        <v>0</v>
      </c>
      <c r="W74" s="26">
        <f t="shared" ca="1" si="21"/>
        <v>0</v>
      </c>
      <c r="X74" s="26">
        <f t="shared" ca="1" si="21"/>
        <v>0</v>
      </c>
      <c r="Y74" s="26">
        <f t="shared" ca="1" si="18"/>
        <v>0</v>
      </c>
      <c r="Z74" s="26">
        <f t="shared" ca="1" si="18"/>
        <v>0</v>
      </c>
      <c r="AA74" s="26">
        <f t="shared" ca="1" si="18"/>
        <v>0</v>
      </c>
      <c r="AB74" s="26">
        <f t="shared" ca="1" si="18"/>
        <v>0</v>
      </c>
      <c r="AC74" s="26">
        <f t="shared" ca="1" si="18"/>
        <v>0</v>
      </c>
      <c r="AD74" s="26">
        <f t="shared" ca="1" si="18"/>
        <v>0</v>
      </c>
      <c r="AE74" s="26">
        <f t="shared" ca="1" si="18"/>
        <v>0</v>
      </c>
      <c r="AF74" s="26">
        <f t="shared" ca="1" si="18"/>
        <v>0</v>
      </c>
      <c r="AG74" s="26">
        <f t="shared" ca="1" si="18"/>
        <v>0</v>
      </c>
      <c r="AH74" s="26">
        <f t="shared" ca="1" si="18"/>
        <v>0</v>
      </c>
      <c r="AI74" s="26">
        <f t="shared" ca="1" si="18"/>
        <v>0</v>
      </c>
      <c r="AJ74" s="26">
        <f t="shared" ca="1" si="18"/>
        <v>0</v>
      </c>
      <c r="AK74" s="26">
        <f t="shared" ca="1" si="18"/>
        <v>0</v>
      </c>
      <c r="AL74" s="26">
        <f t="shared" ca="1" si="18"/>
        <v>0</v>
      </c>
    </row>
    <row r="75" spans="1:38" ht="21" hidden="1" customHeight="1" outlineLevel="1" thickBot="1" x14ac:dyDescent="0.4">
      <c r="A75" s="8">
        <f t="shared" si="19"/>
        <v>0</v>
      </c>
      <c r="B75" s="8">
        <f t="shared" si="19"/>
        <v>0</v>
      </c>
      <c r="C75" s="8">
        <f t="shared" si="19"/>
        <v>0</v>
      </c>
      <c r="D75" s="8">
        <f t="shared" si="19"/>
        <v>0</v>
      </c>
      <c r="E75" s="9">
        <f t="shared" si="19"/>
        <v>0</v>
      </c>
      <c r="F75" s="26">
        <f t="shared" ca="1" si="20"/>
        <v>0</v>
      </c>
      <c r="G75" s="26">
        <f t="shared" ca="1" si="20"/>
        <v>0</v>
      </c>
      <c r="H75" s="26">
        <f t="shared" ca="1" si="20"/>
        <v>0</v>
      </c>
      <c r="I75" s="26">
        <f t="shared" ca="1" si="20"/>
        <v>0</v>
      </c>
      <c r="J75" s="26">
        <f t="shared" ca="1" si="20"/>
        <v>0</v>
      </c>
      <c r="K75" s="26">
        <f t="shared" ca="1" si="20"/>
        <v>0</v>
      </c>
      <c r="L75" s="26">
        <f t="shared" ca="1" si="20"/>
        <v>0</v>
      </c>
      <c r="M75" s="26">
        <f t="shared" ca="1" si="20"/>
        <v>0</v>
      </c>
      <c r="N75" s="26">
        <f t="shared" ca="1" si="20"/>
        <v>0</v>
      </c>
      <c r="O75" s="26">
        <f t="shared" ca="1" si="20"/>
        <v>0</v>
      </c>
      <c r="P75" s="26">
        <f t="shared" ca="1" si="21"/>
        <v>0</v>
      </c>
      <c r="Q75" s="26">
        <f t="shared" ca="1" si="21"/>
        <v>0</v>
      </c>
      <c r="R75" s="26">
        <f t="shared" ca="1" si="21"/>
        <v>0</v>
      </c>
      <c r="S75" s="26">
        <f t="shared" ca="1" si="21"/>
        <v>0</v>
      </c>
      <c r="T75" s="26">
        <f t="shared" ca="1" si="21"/>
        <v>0</v>
      </c>
      <c r="U75" s="26">
        <f t="shared" ca="1" si="21"/>
        <v>0</v>
      </c>
      <c r="V75" s="26">
        <f t="shared" ca="1" si="21"/>
        <v>0</v>
      </c>
      <c r="W75" s="26">
        <f t="shared" ca="1" si="21"/>
        <v>0</v>
      </c>
      <c r="X75" s="26">
        <f t="shared" ca="1" si="21"/>
        <v>0</v>
      </c>
      <c r="Y75" s="26">
        <f t="shared" ca="1" si="18"/>
        <v>0</v>
      </c>
      <c r="Z75" s="26">
        <f t="shared" ca="1" si="18"/>
        <v>0</v>
      </c>
      <c r="AA75" s="26">
        <f t="shared" ca="1" si="18"/>
        <v>0</v>
      </c>
      <c r="AB75" s="26">
        <f t="shared" ca="1" si="18"/>
        <v>0</v>
      </c>
      <c r="AC75" s="26">
        <f t="shared" ca="1" si="18"/>
        <v>0</v>
      </c>
      <c r="AD75" s="26">
        <f t="shared" ca="1" si="18"/>
        <v>0</v>
      </c>
      <c r="AE75" s="26">
        <f t="shared" ca="1" si="18"/>
        <v>0</v>
      </c>
      <c r="AF75" s="26">
        <f t="shared" ca="1" si="18"/>
        <v>0</v>
      </c>
      <c r="AG75" s="26">
        <f t="shared" ca="1" si="18"/>
        <v>0</v>
      </c>
      <c r="AH75" s="26">
        <f t="shared" ca="1" si="18"/>
        <v>0</v>
      </c>
      <c r="AI75" s="26">
        <f t="shared" ca="1" si="18"/>
        <v>0</v>
      </c>
      <c r="AJ75" s="26">
        <f t="shared" ca="1" si="18"/>
        <v>0</v>
      </c>
      <c r="AK75" s="26">
        <f t="shared" ca="1" si="18"/>
        <v>0</v>
      </c>
      <c r="AL75" s="26">
        <f t="shared" ca="1" si="18"/>
        <v>0</v>
      </c>
    </row>
    <row r="76" spans="1:38" ht="21" hidden="1" customHeight="1" outlineLevel="1" thickBot="1" x14ac:dyDescent="0.4">
      <c r="A76" s="8">
        <f t="shared" si="19"/>
        <v>0</v>
      </c>
      <c r="B76" s="8">
        <f t="shared" si="19"/>
        <v>0</v>
      </c>
      <c r="C76" s="8">
        <f t="shared" si="19"/>
        <v>0</v>
      </c>
      <c r="D76" s="8">
        <f t="shared" si="19"/>
        <v>0</v>
      </c>
      <c r="E76" s="9">
        <f t="shared" si="19"/>
        <v>0</v>
      </c>
      <c r="F76" s="26">
        <f t="shared" ca="1" si="20"/>
        <v>0</v>
      </c>
      <c r="G76" s="26">
        <f t="shared" ca="1" si="20"/>
        <v>0</v>
      </c>
      <c r="H76" s="26">
        <f t="shared" ca="1" si="20"/>
        <v>0</v>
      </c>
      <c r="I76" s="26">
        <f t="shared" ca="1" si="20"/>
        <v>0</v>
      </c>
      <c r="J76" s="26">
        <f t="shared" ca="1" si="20"/>
        <v>0</v>
      </c>
      <c r="K76" s="26">
        <f t="shared" ca="1" si="20"/>
        <v>0</v>
      </c>
      <c r="L76" s="26">
        <f t="shared" ca="1" si="20"/>
        <v>0</v>
      </c>
      <c r="M76" s="26">
        <f t="shared" ca="1" si="20"/>
        <v>0</v>
      </c>
      <c r="N76" s="26">
        <f t="shared" ca="1" si="20"/>
        <v>0</v>
      </c>
      <c r="O76" s="26">
        <f t="shared" ca="1" si="20"/>
        <v>0</v>
      </c>
      <c r="P76" s="26">
        <f t="shared" ca="1" si="21"/>
        <v>0</v>
      </c>
      <c r="Q76" s="26">
        <f t="shared" ca="1" si="21"/>
        <v>0</v>
      </c>
      <c r="R76" s="26">
        <f t="shared" ca="1" si="21"/>
        <v>0</v>
      </c>
      <c r="S76" s="26">
        <f t="shared" ca="1" si="21"/>
        <v>0</v>
      </c>
      <c r="T76" s="26">
        <f t="shared" ca="1" si="21"/>
        <v>0</v>
      </c>
      <c r="U76" s="26">
        <f t="shared" ca="1" si="21"/>
        <v>0</v>
      </c>
      <c r="V76" s="26">
        <f t="shared" ca="1" si="21"/>
        <v>0</v>
      </c>
      <c r="W76" s="26">
        <f t="shared" ca="1" si="21"/>
        <v>0</v>
      </c>
      <c r="X76" s="26">
        <f t="shared" ca="1" si="21"/>
        <v>0</v>
      </c>
      <c r="Y76" s="26">
        <f t="shared" ca="1" si="18"/>
        <v>0</v>
      </c>
      <c r="Z76" s="26">
        <f t="shared" ca="1" si="18"/>
        <v>0</v>
      </c>
      <c r="AA76" s="26">
        <f t="shared" ca="1" si="18"/>
        <v>0</v>
      </c>
      <c r="AB76" s="26">
        <f t="shared" ca="1" si="18"/>
        <v>0</v>
      </c>
      <c r="AC76" s="26">
        <f t="shared" ca="1" si="18"/>
        <v>0</v>
      </c>
      <c r="AD76" s="26">
        <f t="shared" ca="1" si="18"/>
        <v>0</v>
      </c>
      <c r="AE76" s="26">
        <f t="shared" ca="1" si="18"/>
        <v>0</v>
      </c>
      <c r="AF76" s="26">
        <f t="shared" ca="1" si="18"/>
        <v>0</v>
      </c>
      <c r="AG76" s="26">
        <f t="shared" ca="1" si="18"/>
        <v>0</v>
      </c>
      <c r="AH76" s="26">
        <f t="shared" ca="1" si="18"/>
        <v>0</v>
      </c>
      <c r="AI76" s="26">
        <f t="shared" ca="1" si="18"/>
        <v>0</v>
      </c>
      <c r="AJ76" s="26">
        <f t="shared" ca="1" si="18"/>
        <v>0</v>
      </c>
      <c r="AK76" s="26">
        <f t="shared" ca="1" si="18"/>
        <v>0</v>
      </c>
      <c r="AL76" s="26">
        <f t="shared" ca="1" si="18"/>
        <v>0</v>
      </c>
    </row>
    <row r="77" spans="1:38" ht="21" hidden="1" customHeight="1" outlineLevel="1" thickBot="1" x14ac:dyDescent="0.4">
      <c r="A77" s="8">
        <f t="shared" si="19"/>
        <v>0</v>
      </c>
      <c r="B77" s="8">
        <f t="shared" si="19"/>
        <v>0</v>
      </c>
      <c r="C77" s="8">
        <f t="shared" si="19"/>
        <v>0</v>
      </c>
      <c r="D77" s="8">
        <f t="shared" si="19"/>
        <v>0</v>
      </c>
      <c r="E77" s="9">
        <f t="shared" si="19"/>
        <v>0</v>
      </c>
      <c r="F77" s="26">
        <f t="shared" ca="1" si="20"/>
        <v>0</v>
      </c>
      <c r="G77" s="26">
        <f t="shared" ca="1" si="20"/>
        <v>0</v>
      </c>
      <c r="H77" s="26">
        <f t="shared" ca="1" si="20"/>
        <v>0</v>
      </c>
      <c r="I77" s="26">
        <f t="shared" ca="1" si="20"/>
        <v>0</v>
      </c>
      <c r="J77" s="26">
        <f t="shared" ca="1" si="20"/>
        <v>0</v>
      </c>
      <c r="K77" s="26">
        <f t="shared" ca="1" si="20"/>
        <v>0</v>
      </c>
      <c r="L77" s="26">
        <f t="shared" ca="1" si="20"/>
        <v>0</v>
      </c>
      <c r="M77" s="26">
        <f t="shared" ca="1" si="20"/>
        <v>0</v>
      </c>
      <c r="N77" s="26">
        <f t="shared" ca="1" si="20"/>
        <v>0</v>
      </c>
      <c r="O77" s="26">
        <f t="shared" ca="1" si="20"/>
        <v>0</v>
      </c>
      <c r="P77" s="26">
        <f t="shared" ca="1" si="21"/>
        <v>0</v>
      </c>
      <c r="Q77" s="26">
        <f t="shared" ca="1" si="21"/>
        <v>0</v>
      </c>
      <c r="R77" s="26">
        <f t="shared" ca="1" si="21"/>
        <v>0</v>
      </c>
      <c r="S77" s="26">
        <f t="shared" ca="1" si="21"/>
        <v>0</v>
      </c>
      <c r="T77" s="26">
        <f t="shared" ca="1" si="21"/>
        <v>0</v>
      </c>
      <c r="U77" s="26">
        <f t="shared" ca="1" si="21"/>
        <v>0</v>
      </c>
      <c r="V77" s="26">
        <f t="shared" ca="1" si="21"/>
        <v>0</v>
      </c>
      <c r="W77" s="26">
        <f t="shared" ca="1" si="21"/>
        <v>0</v>
      </c>
      <c r="X77" s="26">
        <f t="shared" ca="1" si="21"/>
        <v>0</v>
      </c>
      <c r="Y77" s="26">
        <f t="shared" ca="1" si="18"/>
        <v>0</v>
      </c>
      <c r="Z77" s="26">
        <f t="shared" ca="1" si="18"/>
        <v>0</v>
      </c>
      <c r="AA77" s="26">
        <f t="shared" ca="1" si="18"/>
        <v>0</v>
      </c>
      <c r="AB77" s="26">
        <f t="shared" ca="1" si="18"/>
        <v>0</v>
      </c>
      <c r="AC77" s="26">
        <f t="shared" ca="1" si="18"/>
        <v>0</v>
      </c>
      <c r="AD77" s="26">
        <f t="shared" ca="1" si="18"/>
        <v>0</v>
      </c>
      <c r="AE77" s="26">
        <f t="shared" ca="1" si="18"/>
        <v>0</v>
      </c>
      <c r="AF77" s="26">
        <f t="shared" ca="1" si="18"/>
        <v>0</v>
      </c>
      <c r="AG77" s="26">
        <f t="shared" ca="1" si="18"/>
        <v>0</v>
      </c>
      <c r="AH77" s="26">
        <f t="shared" ca="1" si="18"/>
        <v>0</v>
      </c>
      <c r="AI77" s="26">
        <f t="shared" ca="1" si="18"/>
        <v>0</v>
      </c>
      <c r="AJ77" s="26">
        <f t="shared" ca="1" si="18"/>
        <v>0</v>
      </c>
      <c r="AK77" s="26">
        <f t="shared" ca="1" si="18"/>
        <v>0</v>
      </c>
      <c r="AL77" s="26">
        <f t="shared" ca="1" si="18"/>
        <v>0</v>
      </c>
    </row>
    <row r="78" spans="1:38" ht="21" hidden="1" customHeight="1" outlineLevel="1" thickBot="1" x14ac:dyDescent="0.4">
      <c r="A78" s="8">
        <f t="shared" si="19"/>
        <v>0</v>
      </c>
      <c r="B78" s="8">
        <f t="shared" si="19"/>
        <v>0</v>
      </c>
      <c r="C78" s="8">
        <f t="shared" si="19"/>
        <v>0</v>
      </c>
      <c r="D78" s="8">
        <f t="shared" si="19"/>
        <v>0</v>
      </c>
      <c r="E78" s="9">
        <f t="shared" si="19"/>
        <v>0</v>
      </c>
      <c r="F78" s="26">
        <f t="shared" ca="1" si="20"/>
        <v>0</v>
      </c>
      <c r="G78" s="26">
        <f t="shared" ca="1" si="20"/>
        <v>0</v>
      </c>
      <c r="H78" s="26">
        <f t="shared" ca="1" si="20"/>
        <v>0</v>
      </c>
      <c r="I78" s="26">
        <f t="shared" ca="1" si="20"/>
        <v>0</v>
      </c>
      <c r="J78" s="26">
        <f t="shared" ca="1" si="20"/>
        <v>0</v>
      </c>
      <c r="K78" s="26">
        <f t="shared" ca="1" si="20"/>
        <v>0</v>
      </c>
      <c r="L78" s="26">
        <f t="shared" ca="1" si="20"/>
        <v>0</v>
      </c>
      <c r="M78" s="26">
        <f t="shared" ca="1" si="20"/>
        <v>0</v>
      </c>
      <c r="N78" s="26">
        <f t="shared" ca="1" si="20"/>
        <v>0</v>
      </c>
      <c r="O78" s="26">
        <f t="shared" ca="1" si="20"/>
        <v>0</v>
      </c>
      <c r="P78" s="26">
        <f t="shared" ca="1" si="21"/>
        <v>0</v>
      </c>
      <c r="Q78" s="26">
        <f t="shared" ca="1" si="21"/>
        <v>0</v>
      </c>
      <c r="R78" s="26">
        <f t="shared" ca="1" si="21"/>
        <v>0</v>
      </c>
      <c r="S78" s="26">
        <f t="shared" ca="1" si="21"/>
        <v>0</v>
      </c>
      <c r="T78" s="26">
        <f t="shared" ca="1" si="21"/>
        <v>0</v>
      </c>
      <c r="U78" s="26">
        <f t="shared" ca="1" si="21"/>
        <v>0</v>
      </c>
      <c r="V78" s="26">
        <f t="shared" ca="1" si="21"/>
        <v>0</v>
      </c>
      <c r="W78" s="26">
        <f t="shared" ca="1" si="21"/>
        <v>0</v>
      </c>
      <c r="X78" s="26">
        <f t="shared" ca="1" si="21"/>
        <v>0</v>
      </c>
      <c r="Y78" s="26">
        <f t="shared" ca="1" si="18"/>
        <v>0</v>
      </c>
      <c r="Z78" s="26">
        <f t="shared" ca="1" si="18"/>
        <v>0</v>
      </c>
      <c r="AA78" s="26">
        <f t="shared" ca="1" si="18"/>
        <v>0</v>
      </c>
      <c r="AB78" s="26">
        <f t="shared" ca="1" si="18"/>
        <v>0</v>
      </c>
      <c r="AC78" s="26">
        <f t="shared" ca="1" si="18"/>
        <v>0</v>
      </c>
      <c r="AD78" s="26">
        <f t="shared" ca="1" si="18"/>
        <v>0</v>
      </c>
      <c r="AE78" s="26">
        <f t="shared" ca="1" si="18"/>
        <v>0</v>
      </c>
      <c r="AF78" s="26">
        <f t="shared" ca="1" si="18"/>
        <v>0</v>
      </c>
      <c r="AG78" s="26">
        <f t="shared" ca="1" si="18"/>
        <v>0</v>
      </c>
      <c r="AH78" s="26">
        <f t="shared" ca="1" si="18"/>
        <v>0</v>
      </c>
      <c r="AI78" s="26">
        <f t="shared" ca="1" si="18"/>
        <v>0</v>
      </c>
      <c r="AJ78" s="26">
        <f t="shared" ca="1" si="18"/>
        <v>0</v>
      </c>
      <c r="AK78" s="26">
        <f t="shared" ca="1" si="18"/>
        <v>0</v>
      </c>
      <c r="AL78" s="26">
        <f t="shared" ca="1" si="18"/>
        <v>0</v>
      </c>
    </row>
    <row r="79" spans="1:38" ht="21" hidden="1" customHeight="1" outlineLevel="1" thickBot="1" x14ac:dyDescent="0.4">
      <c r="A79" s="8">
        <f t="shared" si="19"/>
        <v>0</v>
      </c>
      <c r="B79" s="8">
        <f t="shared" si="19"/>
        <v>0</v>
      </c>
      <c r="C79" s="8">
        <f t="shared" si="19"/>
        <v>0</v>
      </c>
      <c r="D79" s="8">
        <f t="shared" si="19"/>
        <v>0</v>
      </c>
      <c r="E79" s="9">
        <f t="shared" si="19"/>
        <v>1</v>
      </c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</row>
    <row r="80" spans="1:38" ht="21" hidden="1" customHeight="1" outlineLevel="1" x14ac:dyDescent="0.35"/>
    <row r="81" spans="1:38" ht="21" customHeight="1" collapsed="1" thickBot="1" x14ac:dyDescent="0.4">
      <c r="W81" s="21"/>
    </row>
    <row r="82" spans="1:38" ht="21" customHeight="1" thickBot="1" x14ac:dyDescent="0.45">
      <c r="A82" s="26"/>
      <c r="B82" s="26"/>
      <c r="C82" s="38">
        <f>E41</f>
        <v>8.3333333333333339</v>
      </c>
      <c r="D82" s="1"/>
      <c r="E82" s="2" t="s">
        <v>31</v>
      </c>
      <c r="F82" s="3"/>
      <c r="G82" s="2"/>
      <c r="H82" s="2"/>
      <c r="I82" s="2"/>
      <c r="J82" s="2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</row>
    <row r="83" spans="1:38" ht="21" hidden="1" customHeight="1" outlineLevel="1" thickTop="1" thickBot="1" x14ac:dyDescent="0.4">
      <c r="A83" s="24" t="s">
        <v>1</v>
      </c>
      <c r="B83" s="5" t="s">
        <v>2</v>
      </c>
      <c r="C83" s="5" t="s">
        <v>3</v>
      </c>
      <c r="D83" s="25" t="s">
        <v>4</v>
      </c>
      <c r="E83" s="6">
        <f t="shared" ref="E83:E113" si="22">E49</f>
        <v>0</v>
      </c>
      <c r="F83" s="6">
        <f t="shared" ref="F83:AL83" si="23">F3</f>
        <v>298.2</v>
      </c>
      <c r="G83" s="6">
        <f t="shared" si="23"/>
        <v>331.5</v>
      </c>
      <c r="H83" s="6">
        <f t="shared" si="23"/>
        <v>364.9</v>
      </c>
      <c r="I83" s="6">
        <f t="shared" si="23"/>
        <v>398.3</v>
      </c>
      <c r="J83" s="6">
        <f t="shared" si="23"/>
        <v>431.7</v>
      </c>
      <c r="K83" s="6">
        <f t="shared" si="23"/>
        <v>465.1</v>
      </c>
      <c r="L83" s="6">
        <f t="shared" si="23"/>
        <v>498.5</v>
      </c>
      <c r="M83" s="6">
        <f t="shared" si="23"/>
        <v>531.79999999999995</v>
      </c>
      <c r="N83" s="6">
        <f t="shared" si="23"/>
        <v>565.20000000000005</v>
      </c>
      <c r="O83" s="6">
        <f t="shared" si="23"/>
        <v>598.6</v>
      </c>
      <c r="P83" s="6">
        <f t="shared" si="23"/>
        <v>632</v>
      </c>
      <c r="Q83" s="6">
        <f t="shared" si="23"/>
        <v>665.4</v>
      </c>
      <c r="R83" s="6">
        <f t="shared" si="23"/>
        <v>698.8</v>
      </c>
      <c r="S83" s="6">
        <f t="shared" si="23"/>
        <v>832.3</v>
      </c>
      <c r="T83" s="6">
        <f t="shared" si="23"/>
        <v>965.8</v>
      </c>
      <c r="U83" s="6">
        <f t="shared" si="23"/>
        <v>1099</v>
      </c>
      <c r="V83" s="6">
        <f t="shared" si="23"/>
        <v>1133</v>
      </c>
      <c r="W83" s="6">
        <f t="shared" si="23"/>
        <v>1166</v>
      </c>
      <c r="X83" s="6">
        <f t="shared" si="23"/>
        <v>1200</v>
      </c>
      <c r="Y83" s="6">
        <f t="shared" si="23"/>
        <v>1233</v>
      </c>
      <c r="Z83" s="6">
        <f t="shared" si="23"/>
        <v>1366</v>
      </c>
      <c r="AA83" s="6">
        <f t="shared" si="23"/>
        <v>1500</v>
      </c>
      <c r="AB83" s="6">
        <f t="shared" si="23"/>
        <v>0</v>
      </c>
      <c r="AC83" s="6">
        <f t="shared" si="23"/>
        <v>0</v>
      </c>
      <c r="AD83" s="6">
        <f t="shared" si="23"/>
        <v>0</v>
      </c>
      <c r="AE83" s="6">
        <f t="shared" si="23"/>
        <v>0</v>
      </c>
      <c r="AF83" s="6">
        <f t="shared" si="23"/>
        <v>0</v>
      </c>
      <c r="AG83" s="6">
        <f t="shared" si="23"/>
        <v>0</v>
      </c>
      <c r="AH83" s="6">
        <f t="shared" si="23"/>
        <v>0</v>
      </c>
      <c r="AI83" s="6">
        <f t="shared" si="23"/>
        <v>0</v>
      </c>
      <c r="AJ83" s="6">
        <f t="shared" si="23"/>
        <v>0</v>
      </c>
      <c r="AK83" s="6">
        <f t="shared" si="23"/>
        <v>0</v>
      </c>
      <c r="AL83" s="6">
        <f t="shared" si="23"/>
        <v>0</v>
      </c>
    </row>
    <row r="84" spans="1:38" ht="21" hidden="1" customHeight="1" outlineLevel="1" thickTop="1" thickBot="1" x14ac:dyDescent="0.4">
      <c r="A84" s="8">
        <f>A50</f>
        <v>0</v>
      </c>
      <c r="B84" s="8">
        <f t="shared" ref="B84:D84" si="24">B50</f>
        <v>1</v>
      </c>
      <c r="C84" s="8">
        <f t="shared" si="24"/>
        <v>1</v>
      </c>
      <c r="D84" s="8">
        <f t="shared" si="24"/>
        <v>0</v>
      </c>
      <c r="E84" s="9" t="str">
        <f t="shared" si="22"/>
        <v>*GeSe</v>
      </c>
      <c r="F84" s="26">
        <f t="shared" ref="F84:AL84" si="25">F4*$C$82</f>
        <v>2.8438333333333336E-8</v>
      </c>
      <c r="G84" s="26">
        <f t="shared" si="25"/>
        <v>5.747583333333334E-8</v>
      </c>
      <c r="H84" s="26">
        <f t="shared" si="25"/>
        <v>1.0210000000000001E-7</v>
      </c>
      <c r="I84" s="26">
        <f t="shared" si="25"/>
        <v>8.2030833333333344E-8</v>
      </c>
      <c r="J84" s="26">
        <f t="shared" si="25"/>
        <v>5.9107500000000002E-8</v>
      </c>
      <c r="K84" s="26">
        <f t="shared" si="25"/>
        <v>1.2092500000000002E-10</v>
      </c>
      <c r="L84" s="26">
        <f t="shared" si="25"/>
        <v>6.4722500000000006E-22</v>
      </c>
      <c r="M84" s="26">
        <f t="shared" si="25"/>
        <v>0</v>
      </c>
      <c r="N84" s="26">
        <f t="shared" si="25"/>
        <v>0</v>
      </c>
      <c r="O84" s="26">
        <f t="shared" si="25"/>
        <v>0</v>
      </c>
      <c r="P84" s="26">
        <f t="shared" si="25"/>
        <v>0</v>
      </c>
      <c r="Q84" s="26">
        <f t="shared" si="25"/>
        <v>0</v>
      </c>
      <c r="R84" s="26">
        <f t="shared" si="25"/>
        <v>0</v>
      </c>
      <c r="S84" s="26">
        <f t="shared" si="25"/>
        <v>0</v>
      </c>
      <c r="T84" s="26">
        <f t="shared" si="25"/>
        <v>0</v>
      </c>
      <c r="U84" s="26">
        <f t="shared" si="25"/>
        <v>0</v>
      </c>
      <c r="V84" s="26">
        <f t="shared" si="25"/>
        <v>0</v>
      </c>
      <c r="W84" s="26">
        <f t="shared" si="25"/>
        <v>0</v>
      </c>
      <c r="X84" s="26">
        <f t="shared" si="25"/>
        <v>0</v>
      </c>
      <c r="Y84" s="26">
        <f t="shared" si="25"/>
        <v>0</v>
      </c>
      <c r="Z84" s="26">
        <f t="shared" si="25"/>
        <v>0</v>
      </c>
      <c r="AA84" s="26">
        <f t="shared" si="25"/>
        <v>0</v>
      </c>
      <c r="AB84" s="26">
        <f t="shared" si="25"/>
        <v>0</v>
      </c>
      <c r="AC84" s="26">
        <f t="shared" si="25"/>
        <v>0</v>
      </c>
      <c r="AD84" s="26">
        <f t="shared" si="25"/>
        <v>0</v>
      </c>
      <c r="AE84" s="26">
        <f t="shared" si="25"/>
        <v>0</v>
      </c>
      <c r="AF84" s="26">
        <f t="shared" si="25"/>
        <v>0</v>
      </c>
      <c r="AG84" s="26">
        <f t="shared" si="25"/>
        <v>0</v>
      </c>
      <c r="AH84" s="26">
        <f t="shared" si="25"/>
        <v>0</v>
      </c>
      <c r="AI84" s="26">
        <f t="shared" si="25"/>
        <v>0</v>
      </c>
      <c r="AJ84" s="26">
        <f t="shared" si="25"/>
        <v>0</v>
      </c>
      <c r="AK84" s="26">
        <f t="shared" si="25"/>
        <v>0</v>
      </c>
      <c r="AL84" s="26">
        <f t="shared" si="25"/>
        <v>0</v>
      </c>
    </row>
    <row r="85" spans="1:38" ht="21" hidden="1" customHeight="1" outlineLevel="1" thickBot="1" x14ac:dyDescent="0.4">
      <c r="A85" s="8">
        <f t="shared" ref="A85:D100" si="26">A51</f>
        <v>0</v>
      </c>
      <c r="B85" s="8">
        <f t="shared" si="26"/>
        <v>1</v>
      </c>
      <c r="C85" s="8">
        <f t="shared" si="26"/>
        <v>0</v>
      </c>
      <c r="D85" s="8">
        <f t="shared" si="26"/>
        <v>0</v>
      </c>
      <c r="E85" s="9" t="str">
        <f t="shared" si="22"/>
        <v>*Se[m]</v>
      </c>
      <c r="F85" s="26">
        <f t="shared" ref="F85:AL85" si="27">F5*$C$82</f>
        <v>6.3347500000000005E-30</v>
      </c>
      <c r="G85" s="26">
        <f t="shared" si="27"/>
        <v>2.4218333333333334E-20</v>
      </c>
      <c r="H85" s="26">
        <f t="shared" si="27"/>
        <v>1.0139166666666667E-16</v>
      </c>
      <c r="I85" s="26">
        <f t="shared" si="27"/>
        <v>2.8833333333333334E-15</v>
      </c>
      <c r="J85" s="26">
        <f t="shared" si="27"/>
        <v>5.9997500000000006E-12</v>
      </c>
      <c r="K85" s="26">
        <f t="shared" si="27"/>
        <v>1.2604166666666668E-8</v>
      </c>
      <c r="L85" s="26">
        <f t="shared" si="27"/>
        <v>5.9860000000000008E-8</v>
      </c>
      <c r="M85" s="26">
        <f t="shared" si="27"/>
        <v>2.2970000000000003E-7</v>
      </c>
      <c r="N85" s="26">
        <f t="shared" si="27"/>
        <v>1.8138333333333335E-7</v>
      </c>
      <c r="O85" s="26">
        <f t="shared" si="27"/>
        <v>1.972166666666667E-7</v>
      </c>
      <c r="P85" s="26">
        <f t="shared" si="27"/>
        <v>2.0085833333333335E-7</v>
      </c>
      <c r="Q85" s="26">
        <f t="shared" si="27"/>
        <v>1.9997500000000002E-7</v>
      </c>
      <c r="R85" s="26">
        <f t="shared" si="27"/>
        <v>1.9782500000000001E-7</v>
      </c>
      <c r="S85" s="26">
        <f t="shared" si="27"/>
        <v>1.8315833333333335E-7</v>
      </c>
      <c r="T85" s="26">
        <f t="shared" si="27"/>
        <v>1.7663333333333333E-7</v>
      </c>
      <c r="U85" s="26">
        <f t="shared" si="27"/>
        <v>1.7645833333333335E-7</v>
      </c>
      <c r="V85" s="26">
        <f t="shared" si="27"/>
        <v>1.7638333333333334E-7</v>
      </c>
      <c r="W85" s="26">
        <f t="shared" si="27"/>
        <v>1.7629166666666669E-7</v>
      </c>
      <c r="X85" s="26">
        <f t="shared" si="27"/>
        <v>1.7677500000000002E-7</v>
      </c>
      <c r="Y85" s="26">
        <f t="shared" si="27"/>
        <v>1.7730833333333333E-7</v>
      </c>
      <c r="Z85" s="26">
        <f t="shared" si="27"/>
        <v>1.7968333333333335E-7</v>
      </c>
      <c r="AA85" s="26">
        <f t="shared" si="27"/>
        <v>1.8242500000000002E-7</v>
      </c>
      <c r="AB85" s="26">
        <f t="shared" si="27"/>
        <v>0</v>
      </c>
      <c r="AC85" s="26">
        <f t="shared" si="27"/>
        <v>0</v>
      </c>
      <c r="AD85" s="26">
        <f t="shared" si="27"/>
        <v>0</v>
      </c>
      <c r="AE85" s="26">
        <f t="shared" si="27"/>
        <v>0</v>
      </c>
      <c r="AF85" s="26">
        <f t="shared" si="27"/>
        <v>0</v>
      </c>
      <c r="AG85" s="26">
        <f t="shared" si="27"/>
        <v>0</v>
      </c>
      <c r="AH85" s="26">
        <f t="shared" si="27"/>
        <v>0</v>
      </c>
      <c r="AI85" s="26">
        <f t="shared" si="27"/>
        <v>0</v>
      </c>
      <c r="AJ85" s="26">
        <f t="shared" si="27"/>
        <v>0</v>
      </c>
      <c r="AK85" s="26">
        <f t="shared" si="27"/>
        <v>0</v>
      </c>
      <c r="AL85" s="26">
        <f t="shared" si="27"/>
        <v>0</v>
      </c>
    </row>
    <row r="86" spans="1:38" ht="21" hidden="1" customHeight="1" outlineLevel="1" thickBot="1" x14ac:dyDescent="0.4">
      <c r="A86" s="8">
        <f t="shared" si="26"/>
        <v>0</v>
      </c>
      <c r="B86" s="8">
        <f t="shared" si="26"/>
        <v>3</v>
      </c>
      <c r="C86" s="8">
        <f t="shared" si="26"/>
        <v>0</v>
      </c>
      <c r="D86" s="8">
        <f t="shared" si="26"/>
        <v>2</v>
      </c>
      <c r="E86" s="9" t="str">
        <f t="shared" si="22"/>
        <v>*Ga2Se3</v>
      </c>
      <c r="F86" s="26">
        <f t="shared" ref="F86:AL86" si="28">F6*$C$82</f>
        <v>0.50882500000000008</v>
      </c>
      <c r="G86" s="26">
        <f t="shared" si="28"/>
        <v>0.47363333333333335</v>
      </c>
      <c r="H86" s="26">
        <f t="shared" si="28"/>
        <v>0.44723333333333337</v>
      </c>
      <c r="I86" s="26">
        <f t="shared" si="28"/>
        <v>0.43831666666666669</v>
      </c>
      <c r="J86" s="26">
        <f t="shared" si="28"/>
        <v>0.42569166666666675</v>
      </c>
      <c r="K86" s="26">
        <f t="shared" si="28"/>
        <v>0.39469166666666672</v>
      </c>
      <c r="L86" s="26">
        <f t="shared" si="28"/>
        <v>0.32613333333333333</v>
      </c>
      <c r="M86" s="26">
        <f t="shared" si="28"/>
        <v>2.233416666666667E-3</v>
      </c>
      <c r="N86" s="26">
        <f t="shared" si="28"/>
        <v>2.2905833333333335E-7</v>
      </c>
      <c r="O86" s="26">
        <f t="shared" si="28"/>
        <v>4.5215000000000002E-11</v>
      </c>
      <c r="P86" s="26">
        <f t="shared" si="28"/>
        <v>1.5970833333333332E-14</v>
      </c>
      <c r="Q86" s="26">
        <f t="shared" si="28"/>
        <v>9.411666666666667E-18</v>
      </c>
      <c r="R86" s="26">
        <f t="shared" si="28"/>
        <v>8.7483333333333341E-21</v>
      </c>
      <c r="S86" s="26">
        <f t="shared" si="28"/>
        <v>2.8245E-31</v>
      </c>
      <c r="T86" s="26">
        <f t="shared" si="28"/>
        <v>0</v>
      </c>
      <c r="U86" s="26">
        <f t="shared" si="28"/>
        <v>0</v>
      </c>
      <c r="V86" s="26">
        <f t="shared" si="28"/>
        <v>0</v>
      </c>
      <c r="W86" s="26">
        <f t="shared" si="28"/>
        <v>0</v>
      </c>
      <c r="X86" s="26">
        <f t="shared" si="28"/>
        <v>0</v>
      </c>
      <c r="Y86" s="26">
        <f t="shared" si="28"/>
        <v>0</v>
      </c>
      <c r="Z86" s="26">
        <f t="shared" si="28"/>
        <v>0</v>
      </c>
      <c r="AA86" s="26">
        <f t="shared" si="28"/>
        <v>0</v>
      </c>
      <c r="AB86" s="26">
        <f t="shared" si="28"/>
        <v>0</v>
      </c>
      <c r="AC86" s="26">
        <f t="shared" si="28"/>
        <v>0</v>
      </c>
      <c r="AD86" s="26">
        <f t="shared" si="28"/>
        <v>0</v>
      </c>
      <c r="AE86" s="26">
        <f t="shared" si="28"/>
        <v>0</v>
      </c>
      <c r="AF86" s="26">
        <f t="shared" si="28"/>
        <v>0</v>
      </c>
      <c r="AG86" s="26">
        <f t="shared" si="28"/>
        <v>0</v>
      </c>
      <c r="AH86" s="26">
        <f t="shared" si="28"/>
        <v>0</v>
      </c>
      <c r="AI86" s="26">
        <f t="shared" si="28"/>
        <v>0</v>
      </c>
      <c r="AJ86" s="26">
        <f t="shared" si="28"/>
        <v>0</v>
      </c>
      <c r="AK86" s="26">
        <f t="shared" si="28"/>
        <v>0</v>
      </c>
      <c r="AL86" s="26">
        <f t="shared" si="28"/>
        <v>0</v>
      </c>
    </row>
    <row r="87" spans="1:38" ht="21" hidden="1" customHeight="1" outlineLevel="1" thickBot="1" x14ac:dyDescent="0.4">
      <c r="A87" s="8">
        <f t="shared" si="26"/>
        <v>0</v>
      </c>
      <c r="B87" s="8">
        <f t="shared" si="26"/>
        <v>0</v>
      </c>
      <c r="C87" s="8">
        <f t="shared" si="26"/>
        <v>1</v>
      </c>
      <c r="D87" s="8">
        <f t="shared" si="26"/>
        <v>0</v>
      </c>
      <c r="E87" s="9" t="str">
        <f t="shared" si="22"/>
        <v>Ge</v>
      </c>
      <c r="F87" s="26">
        <f t="shared" ref="F87:AL87" si="29">F7*$C$82</f>
        <v>0</v>
      </c>
      <c r="G87" s="26">
        <f t="shared" si="29"/>
        <v>0</v>
      </c>
      <c r="H87" s="26">
        <f t="shared" si="29"/>
        <v>0</v>
      </c>
      <c r="I87" s="26">
        <f t="shared" si="29"/>
        <v>0</v>
      </c>
      <c r="J87" s="26">
        <f t="shared" si="29"/>
        <v>0</v>
      </c>
      <c r="K87" s="26">
        <f t="shared" si="29"/>
        <v>0</v>
      </c>
      <c r="L87" s="26">
        <f t="shared" si="29"/>
        <v>3.9897500000000001E-33</v>
      </c>
      <c r="M87" s="26">
        <f t="shared" si="29"/>
        <v>5.3497499999999999E-31</v>
      </c>
      <c r="N87" s="26">
        <f t="shared" si="29"/>
        <v>8.4083333333333345E-29</v>
      </c>
      <c r="O87" s="26">
        <f t="shared" si="29"/>
        <v>7.2286666666666678E-27</v>
      </c>
      <c r="P87" s="26">
        <f t="shared" si="29"/>
        <v>3.8378333333333335E-25</v>
      </c>
      <c r="Q87" s="26">
        <f t="shared" si="29"/>
        <v>1.3643333333333334E-23</v>
      </c>
      <c r="R87" s="26">
        <f t="shared" si="29"/>
        <v>3.4470833333333338E-22</v>
      </c>
      <c r="S87" s="26">
        <f t="shared" si="29"/>
        <v>1.0554166666666667E-17</v>
      </c>
      <c r="T87" s="26">
        <f t="shared" si="29"/>
        <v>1.8591666666666669E-14</v>
      </c>
      <c r="U87" s="26">
        <f t="shared" si="29"/>
        <v>5.3170833333333338E-12</v>
      </c>
      <c r="V87" s="26">
        <f t="shared" si="29"/>
        <v>1.77425E-11</v>
      </c>
      <c r="W87" s="26">
        <f t="shared" si="29"/>
        <v>5.5240000000000008E-11</v>
      </c>
      <c r="X87" s="26">
        <f t="shared" si="29"/>
        <v>1.6140833333333334E-10</v>
      </c>
      <c r="Y87" s="26">
        <f t="shared" si="29"/>
        <v>4.4486666666666674E-10</v>
      </c>
      <c r="Z87" s="26">
        <f t="shared" si="29"/>
        <v>1.5598333333333334E-8</v>
      </c>
      <c r="AA87" s="26">
        <f t="shared" si="29"/>
        <v>2.8896666666666665E-7</v>
      </c>
      <c r="AB87" s="26">
        <f t="shared" si="29"/>
        <v>0</v>
      </c>
      <c r="AC87" s="26">
        <f t="shared" si="29"/>
        <v>0</v>
      </c>
      <c r="AD87" s="26">
        <f t="shared" si="29"/>
        <v>0</v>
      </c>
      <c r="AE87" s="26">
        <f t="shared" si="29"/>
        <v>0</v>
      </c>
      <c r="AF87" s="26">
        <f t="shared" si="29"/>
        <v>0</v>
      </c>
      <c r="AG87" s="26">
        <f t="shared" si="29"/>
        <v>0</v>
      </c>
      <c r="AH87" s="26">
        <f t="shared" si="29"/>
        <v>0</v>
      </c>
      <c r="AI87" s="26">
        <f t="shared" si="29"/>
        <v>0</v>
      </c>
      <c r="AJ87" s="26">
        <f t="shared" si="29"/>
        <v>0</v>
      </c>
      <c r="AK87" s="26">
        <f t="shared" si="29"/>
        <v>0</v>
      </c>
      <c r="AL87" s="26">
        <f t="shared" si="29"/>
        <v>0</v>
      </c>
    </row>
    <row r="88" spans="1:38" ht="21" hidden="1" customHeight="1" outlineLevel="1" thickBot="1" x14ac:dyDescent="0.4">
      <c r="A88" s="8">
        <f t="shared" si="26"/>
        <v>1</v>
      </c>
      <c r="B88" s="8">
        <f t="shared" si="26"/>
        <v>0</v>
      </c>
      <c r="C88" s="8">
        <f t="shared" si="26"/>
        <v>0</v>
      </c>
      <c r="D88" s="8">
        <f t="shared" si="26"/>
        <v>0</v>
      </c>
      <c r="E88" s="9" t="str">
        <f t="shared" si="22"/>
        <v>Ar</v>
      </c>
      <c r="F88" s="26">
        <f t="shared" ref="F88:AL88" si="30">F8*$C$82</f>
        <v>1.666666666666667</v>
      </c>
      <c r="G88" s="26">
        <f t="shared" si="30"/>
        <v>1.666666666666667</v>
      </c>
      <c r="H88" s="26">
        <f t="shared" si="30"/>
        <v>1.666666666666667</v>
      </c>
      <c r="I88" s="26">
        <f t="shared" si="30"/>
        <v>1.666666666666667</v>
      </c>
      <c r="J88" s="26">
        <f t="shared" si="30"/>
        <v>1.666666666666667</v>
      </c>
      <c r="K88" s="26">
        <f t="shared" si="30"/>
        <v>1.666666666666667</v>
      </c>
      <c r="L88" s="26">
        <f t="shared" si="30"/>
        <v>1.666666666666667</v>
      </c>
      <c r="M88" s="26">
        <f t="shared" si="30"/>
        <v>1.666666666666667</v>
      </c>
      <c r="N88" s="26">
        <f t="shared" si="30"/>
        <v>1.666666666666667</v>
      </c>
      <c r="O88" s="26">
        <f t="shared" si="30"/>
        <v>1.666666666666667</v>
      </c>
      <c r="P88" s="26">
        <f t="shared" si="30"/>
        <v>1.666666666666667</v>
      </c>
      <c r="Q88" s="26">
        <f t="shared" si="30"/>
        <v>1.666666666666667</v>
      </c>
      <c r="R88" s="26">
        <f t="shared" si="30"/>
        <v>1.666666666666667</v>
      </c>
      <c r="S88" s="26">
        <f t="shared" si="30"/>
        <v>1.666666666666667</v>
      </c>
      <c r="T88" s="26">
        <f t="shared" si="30"/>
        <v>1.666666666666667</v>
      </c>
      <c r="U88" s="26">
        <f t="shared" si="30"/>
        <v>1.666666666666667</v>
      </c>
      <c r="V88" s="26">
        <f t="shared" si="30"/>
        <v>1.666666666666667</v>
      </c>
      <c r="W88" s="26">
        <f t="shared" si="30"/>
        <v>1.666666666666667</v>
      </c>
      <c r="X88" s="26">
        <f t="shared" si="30"/>
        <v>1.666666666666667</v>
      </c>
      <c r="Y88" s="26">
        <f t="shared" si="30"/>
        <v>1.666666666666667</v>
      </c>
      <c r="Z88" s="26">
        <f t="shared" si="30"/>
        <v>1.666666666666667</v>
      </c>
      <c r="AA88" s="26">
        <f t="shared" si="30"/>
        <v>1.666666666666667</v>
      </c>
      <c r="AB88" s="26">
        <f t="shared" si="30"/>
        <v>0</v>
      </c>
      <c r="AC88" s="26">
        <f t="shared" si="30"/>
        <v>0</v>
      </c>
      <c r="AD88" s="26">
        <f t="shared" si="30"/>
        <v>0</v>
      </c>
      <c r="AE88" s="26">
        <f t="shared" si="30"/>
        <v>0</v>
      </c>
      <c r="AF88" s="26">
        <f t="shared" si="30"/>
        <v>0</v>
      </c>
      <c r="AG88" s="26">
        <f t="shared" si="30"/>
        <v>0</v>
      </c>
      <c r="AH88" s="26">
        <f t="shared" si="30"/>
        <v>0</v>
      </c>
      <c r="AI88" s="26">
        <f t="shared" si="30"/>
        <v>0</v>
      </c>
      <c r="AJ88" s="26">
        <f t="shared" si="30"/>
        <v>0</v>
      </c>
      <c r="AK88" s="26">
        <f t="shared" si="30"/>
        <v>0</v>
      </c>
      <c r="AL88" s="26">
        <f t="shared" si="30"/>
        <v>0</v>
      </c>
    </row>
    <row r="89" spans="1:38" ht="21" hidden="1" customHeight="1" outlineLevel="1" thickBot="1" x14ac:dyDescent="0.4">
      <c r="A89" s="8">
        <f t="shared" si="26"/>
        <v>0</v>
      </c>
      <c r="B89" s="8">
        <f t="shared" si="26"/>
        <v>2</v>
      </c>
      <c r="C89" s="8">
        <f t="shared" si="26"/>
        <v>1</v>
      </c>
      <c r="D89" s="8">
        <f t="shared" si="26"/>
        <v>0</v>
      </c>
      <c r="E89" s="9" t="str">
        <f t="shared" si="22"/>
        <v>(l)GeSe2</v>
      </c>
      <c r="F89" s="26">
        <f t="shared" ref="F89:AL89" si="31">F9*$C$82</f>
        <v>0.43709166666666666</v>
      </c>
      <c r="G89" s="26">
        <f t="shared" si="31"/>
        <v>0.23438333333333336</v>
      </c>
      <c r="H89" s="26">
        <f t="shared" si="31"/>
        <v>6.2753333333333328E-2</v>
      </c>
      <c r="I89" s="26">
        <f t="shared" si="31"/>
        <v>1.3532500000000001E-2</v>
      </c>
      <c r="J89" s="26">
        <f t="shared" si="31"/>
        <v>3.2029166666666668E-3</v>
      </c>
      <c r="K89" s="26">
        <f t="shared" si="31"/>
        <v>7.6527500000000005E-4</v>
      </c>
      <c r="L89" s="26">
        <f t="shared" si="31"/>
        <v>1.3539166666666667E-4</v>
      </c>
      <c r="M89" s="26">
        <f t="shared" si="31"/>
        <v>2.21825E-5</v>
      </c>
      <c r="N89" s="26">
        <f t="shared" si="31"/>
        <v>2.3696666666666665E-6</v>
      </c>
      <c r="O89" s="26">
        <f t="shared" si="31"/>
        <v>2.8064166666666666E-7</v>
      </c>
      <c r="P89" s="26">
        <f t="shared" si="31"/>
        <v>3.8113333333333334E-8</v>
      </c>
      <c r="Q89" s="26">
        <f t="shared" si="31"/>
        <v>5.8966666666666672E-9</v>
      </c>
      <c r="R89" s="26">
        <f t="shared" si="31"/>
        <v>1.0250833333333334E-9</v>
      </c>
      <c r="S89" s="26">
        <f t="shared" si="31"/>
        <v>2.3409166666666668E-12</v>
      </c>
      <c r="T89" s="26">
        <f t="shared" si="31"/>
        <v>1.5170000000000003E-14</v>
      </c>
      <c r="U89" s="26">
        <f t="shared" si="31"/>
        <v>1.9448333333333336E-16</v>
      </c>
      <c r="V89" s="26">
        <f t="shared" si="31"/>
        <v>7.0833333333333334E-17</v>
      </c>
      <c r="W89" s="26">
        <f t="shared" si="31"/>
        <v>2.6484166666666669E-17</v>
      </c>
      <c r="X89" s="26">
        <f t="shared" si="31"/>
        <v>1.0143333333333334E-17</v>
      </c>
      <c r="Y89" s="26">
        <f t="shared" si="31"/>
        <v>3.9710833333333336E-18</v>
      </c>
      <c r="Z89" s="26">
        <f t="shared" si="31"/>
        <v>1.1232500000000002E-19</v>
      </c>
      <c r="AA89" s="26">
        <f t="shared" si="31"/>
        <v>4.0040833333333334E-21</v>
      </c>
      <c r="AB89" s="26">
        <f t="shared" si="31"/>
        <v>0</v>
      </c>
      <c r="AC89" s="26">
        <f t="shared" si="31"/>
        <v>0</v>
      </c>
      <c r="AD89" s="26">
        <f t="shared" si="31"/>
        <v>0</v>
      </c>
      <c r="AE89" s="26">
        <f t="shared" si="31"/>
        <v>0</v>
      </c>
      <c r="AF89" s="26">
        <f t="shared" si="31"/>
        <v>0</v>
      </c>
      <c r="AG89" s="26">
        <f t="shared" si="31"/>
        <v>0</v>
      </c>
      <c r="AH89" s="26">
        <f t="shared" si="31"/>
        <v>0</v>
      </c>
      <c r="AI89" s="26">
        <f t="shared" si="31"/>
        <v>0</v>
      </c>
      <c r="AJ89" s="26">
        <f t="shared" si="31"/>
        <v>0</v>
      </c>
      <c r="AK89" s="26">
        <f t="shared" si="31"/>
        <v>0</v>
      </c>
      <c r="AL89" s="26">
        <f t="shared" si="31"/>
        <v>0</v>
      </c>
    </row>
    <row r="90" spans="1:38" ht="21" hidden="1" customHeight="1" outlineLevel="1" thickBot="1" x14ac:dyDescent="0.4">
      <c r="A90" s="8">
        <f t="shared" si="26"/>
        <v>0</v>
      </c>
      <c r="B90" s="8">
        <f t="shared" si="26"/>
        <v>1</v>
      </c>
      <c r="C90" s="8">
        <f t="shared" si="26"/>
        <v>1</v>
      </c>
      <c r="D90" s="8">
        <f t="shared" si="26"/>
        <v>0</v>
      </c>
      <c r="E90" s="9" t="str">
        <f t="shared" si="22"/>
        <v>(l)GeSe</v>
      </c>
      <c r="F90" s="26">
        <f t="shared" ref="F90:AL90" si="32">F10*$C$82</f>
        <v>0.56290000000000007</v>
      </c>
      <c r="G90" s="26">
        <f t="shared" si="32"/>
        <v>0.76549166666666668</v>
      </c>
      <c r="H90" s="26">
        <f t="shared" si="32"/>
        <v>0.93566666666666676</v>
      </c>
      <c r="I90" s="26">
        <f t="shared" si="32"/>
        <v>0.97091666666666676</v>
      </c>
      <c r="J90" s="26">
        <f t="shared" si="32"/>
        <v>0.8975833333333334</v>
      </c>
      <c r="K90" s="26">
        <f t="shared" si="32"/>
        <v>0.64804166666666674</v>
      </c>
      <c r="L90" s="26">
        <f t="shared" si="32"/>
        <v>0.3101416666666667</v>
      </c>
      <c r="M90" s="26">
        <f t="shared" si="32"/>
        <v>0.11843333333333335</v>
      </c>
      <c r="N90" s="26">
        <f t="shared" si="32"/>
        <v>3.4570000000000004E-2</v>
      </c>
      <c r="O90" s="26">
        <f t="shared" si="32"/>
        <v>1.0472500000000001E-2</v>
      </c>
      <c r="P90" s="26">
        <f t="shared" si="32"/>
        <v>3.4205833333333336E-3</v>
      </c>
      <c r="Q90" s="26">
        <f t="shared" si="32"/>
        <v>1.2054166666666667E-3</v>
      </c>
      <c r="R90" s="26">
        <f t="shared" si="32"/>
        <v>4.551E-4</v>
      </c>
      <c r="S90" s="26">
        <f t="shared" si="32"/>
        <v>1.5905000000000001E-5</v>
      </c>
      <c r="T90" s="26">
        <f t="shared" si="32"/>
        <v>1.0279166666666668E-6</v>
      </c>
      <c r="U90" s="26">
        <f t="shared" si="32"/>
        <v>9.9091666666666682E-8</v>
      </c>
      <c r="V90" s="26">
        <f t="shared" si="32"/>
        <v>5.7832500000000005E-8</v>
      </c>
      <c r="W90" s="26">
        <f t="shared" si="32"/>
        <v>3.4273333333333335E-8</v>
      </c>
      <c r="X90" s="26">
        <f t="shared" si="32"/>
        <v>2.0598333333333336E-8</v>
      </c>
      <c r="Y90" s="26">
        <f t="shared" si="32"/>
        <v>1.2539166666666667E-8</v>
      </c>
      <c r="Z90" s="26">
        <f t="shared" si="32"/>
        <v>1.9196666666666666E-9</v>
      </c>
      <c r="AA90" s="26">
        <f t="shared" si="32"/>
        <v>3.3655833333333338E-10</v>
      </c>
      <c r="AB90" s="26">
        <f t="shared" si="32"/>
        <v>0</v>
      </c>
      <c r="AC90" s="26">
        <f t="shared" si="32"/>
        <v>0</v>
      </c>
      <c r="AD90" s="26">
        <f t="shared" si="32"/>
        <v>0</v>
      </c>
      <c r="AE90" s="26">
        <f t="shared" si="32"/>
        <v>0</v>
      </c>
      <c r="AF90" s="26">
        <f t="shared" si="32"/>
        <v>0</v>
      </c>
      <c r="AG90" s="26">
        <f t="shared" si="32"/>
        <v>0</v>
      </c>
      <c r="AH90" s="26">
        <f t="shared" si="32"/>
        <v>0</v>
      </c>
      <c r="AI90" s="26">
        <f t="shared" si="32"/>
        <v>0</v>
      </c>
      <c r="AJ90" s="26">
        <f t="shared" si="32"/>
        <v>0</v>
      </c>
      <c r="AK90" s="26">
        <f t="shared" si="32"/>
        <v>0</v>
      </c>
      <c r="AL90" s="26">
        <f t="shared" si="32"/>
        <v>0</v>
      </c>
    </row>
    <row r="91" spans="1:38" ht="21" hidden="1" customHeight="1" outlineLevel="1" thickBot="1" x14ac:dyDescent="0.4">
      <c r="A91" s="8">
        <f t="shared" si="26"/>
        <v>0</v>
      </c>
      <c r="B91" s="8">
        <f t="shared" si="26"/>
        <v>3</v>
      </c>
      <c r="C91" s="8">
        <f t="shared" si="26"/>
        <v>0</v>
      </c>
      <c r="D91" s="8">
        <f t="shared" si="26"/>
        <v>2</v>
      </c>
      <c r="E91" s="9" t="str">
        <f t="shared" si="22"/>
        <v>(l)Ga2Se3</v>
      </c>
      <c r="F91" s="26">
        <f t="shared" ref="F91:AL91" si="33">F11*$C$82</f>
        <v>0.3245083333333334</v>
      </c>
      <c r="G91" s="26">
        <f t="shared" si="33"/>
        <v>0.35970000000000002</v>
      </c>
      <c r="H91" s="26">
        <f t="shared" si="33"/>
        <v>0.3861</v>
      </c>
      <c r="I91" s="26">
        <f t="shared" si="33"/>
        <v>0.39501666666666668</v>
      </c>
      <c r="J91" s="26">
        <f t="shared" si="33"/>
        <v>0.40764166666666674</v>
      </c>
      <c r="K91" s="26">
        <f t="shared" si="33"/>
        <v>0.43844166666666667</v>
      </c>
      <c r="L91" s="26">
        <f t="shared" si="33"/>
        <v>0.46740000000000004</v>
      </c>
      <c r="M91" s="26">
        <f t="shared" si="33"/>
        <v>8.7016666666666666E-3</v>
      </c>
      <c r="N91" s="26">
        <f t="shared" si="33"/>
        <v>9.1150000000000008E-7</v>
      </c>
      <c r="O91" s="26">
        <f t="shared" si="33"/>
        <v>1.8057499999999999E-10</v>
      </c>
      <c r="P91" s="26">
        <f t="shared" si="33"/>
        <v>6.3850833333333335E-14</v>
      </c>
      <c r="Q91" s="26">
        <f t="shared" si="33"/>
        <v>3.7639166666666669E-17</v>
      </c>
      <c r="R91" s="26">
        <f t="shared" si="33"/>
        <v>3.4990000000000001E-20</v>
      </c>
      <c r="S91" s="26">
        <f t="shared" si="33"/>
        <v>1.1298333333333334E-30</v>
      </c>
      <c r="T91" s="26">
        <f t="shared" si="33"/>
        <v>0</v>
      </c>
      <c r="U91" s="26">
        <f t="shared" si="33"/>
        <v>0</v>
      </c>
      <c r="V91" s="26">
        <f t="shared" si="33"/>
        <v>0</v>
      </c>
      <c r="W91" s="26">
        <f t="shared" si="33"/>
        <v>0</v>
      </c>
      <c r="X91" s="26">
        <f t="shared" si="33"/>
        <v>0</v>
      </c>
      <c r="Y91" s="26">
        <f t="shared" si="33"/>
        <v>0</v>
      </c>
      <c r="Z91" s="26">
        <f t="shared" si="33"/>
        <v>0</v>
      </c>
      <c r="AA91" s="26">
        <f t="shared" si="33"/>
        <v>0</v>
      </c>
      <c r="AB91" s="26">
        <f t="shared" si="33"/>
        <v>0</v>
      </c>
      <c r="AC91" s="26">
        <f t="shared" si="33"/>
        <v>0</v>
      </c>
      <c r="AD91" s="26">
        <f t="shared" si="33"/>
        <v>0</v>
      </c>
      <c r="AE91" s="26">
        <f t="shared" si="33"/>
        <v>0</v>
      </c>
      <c r="AF91" s="26">
        <f t="shared" si="33"/>
        <v>0</v>
      </c>
      <c r="AG91" s="26">
        <f t="shared" si="33"/>
        <v>0</v>
      </c>
      <c r="AH91" s="26">
        <f t="shared" si="33"/>
        <v>0</v>
      </c>
      <c r="AI91" s="26">
        <f t="shared" si="33"/>
        <v>0</v>
      </c>
      <c r="AJ91" s="26">
        <f t="shared" si="33"/>
        <v>0</v>
      </c>
      <c r="AK91" s="26">
        <f t="shared" si="33"/>
        <v>0</v>
      </c>
      <c r="AL91" s="26">
        <f t="shared" si="33"/>
        <v>0</v>
      </c>
    </row>
    <row r="92" spans="1:38" ht="21" hidden="1" customHeight="1" outlineLevel="1" thickBot="1" x14ac:dyDescent="0.4">
      <c r="A92" s="8">
        <f t="shared" si="26"/>
        <v>0</v>
      </c>
      <c r="B92" s="8">
        <f t="shared" si="26"/>
        <v>0</v>
      </c>
      <c r="C92" s="8">
        <f t="shared" si="26"/>
        <v>1</v>
      </c>
      <c r="D92" s="8">
        <f t="shared" si="26"/>
        <v>0</v>
      </c>
      <c r="E92" s="9" t="str">
        <f t="shared" si="22"/>
        <v>(l)Ge</v>
      </c>
      <c r="F92" s="26">
        <f t="shared" ref="F92:AL92" si="34">F12*$C$82</f>
        <v>6.5636666666666678E-6</v>
      </c>
      <c r="G92" s="26">
        <f t="shared" si="34"/>
        <v>6.2263333333333331E-5</v>
      </c>
      <c r="H92" s="26">
        <f t="shared" si="34"/>
        <v>7.8948333333333338E-4</v>
      </c>
      <c r="I92" s="26">
        <f t="shared" si="34"/>
        <v>7.768916666666667E-3</v>
      </c>
      <c r="J92" s="26">
        <f t="shared" si="34"/>
        <v>4.9586666666666668E-2</v>
      </c>
      <c r="K92" s="26">
        <f t="shared" si="34"/>
        <v>0.17559166666666667</v>
      </c>
      <c r="L92" s="26">
        <f t="shared" si="34"/>
        <v>0.34485833333333338</v>
      </c>
      <c r="M92" s="26">
        <f t="shared" si="34"/>
        <v>0.44077500000000003</v>
      </c>
      <c r="N92" s="26">
        <f t="shared" si="34"/>
        <v>0.48271666666666668</v>
      </c>
      <c r="O92" s="26">
        <f t="shared" si="34"/>
        <v>0.49476666666666669</v>
      </c>
      <c r="P92" s="26">
        <f t="shared" si="34"/>
        <v>0.49829166666666669</v>
      </c>
      <c r="Q92" s="26">
        <f t="shared" si="34"/>
        <v>0.49940000000000007</v>
      </c>
      <c r="R92" s="26">
        <f t="shared" si="34"/>
        <v>0.49977500000000002</v>
      </c>
      <c r="S92" s="26">
        <f t="shared" si="34"/>
        <v>0.49999166666666667</v>
      </c>
      <c r="T92" s="26">
        <f t="shared" si="34"/>
        <v>0.5</v>
      </c>
      <c r="U92" s="26">
        <f t="shared" si="34"/>
        <v>0.5</v>
      </c>
      <c r="V92" s="26">
        <f t="shared" si="34"/>
        <v>0.5</v>
      </c>
      <c r="W92" s="26">
        <f t="shared" si="34"/>
        <v>0.5</v>
      </c>
      <c r="X92" s="26">
        <f t="shared" si="34"/>
        <v>0.5</v>
      </c>
      <c r="Y92" s="26">
        <f t="shared" si="34"/>
        <v>0.5</v>
      </c>
      <c r="Z92" s="26">
        <f t="shared" si="34"/>
        <v>0.5</v>
      </c>
      <c r="AA92" s="26">
        <f t="shared" si="34"/>
        <v>0.5</v>
      </c>
      <c r="AB92" s="26">
        <f t="shared" si="34"/>
        <v>0</v>
      </c>
      <c r="AC92" s="26">
        <f t="shared" si="34"/>
        <v>0</v>
      </c>
      <c r="AD92" s="26">
        <f t="shared" si="34"/>
        <v>0</v>
      </c>
      <c r="AE92" s="26">
        <f t="shared" si="34"/>
        <v>0</v>
      </c>
      <c r="AF92" s="26">
        <f t="shared" si="34"/>
        <v>0</v>
      </c>
      <c r="AG92" s="26">
        <f t="shared" si="34"/>
        <v>0</v>
      </c>
      <c r="AH92" s="26">
        <f t="shared" si="34"/>
        <v>0</v>
      </c>
      <c r="AI92" s="26">
        <f t="shared" si="34"/>
        <v>0</v>
      </c>
      <c r="AJ92" s="26">
        <f t="shared" si="34"/>
        <v>0</v>
      </c>
      <c r="AK92" s="26">
        <f t="shared" si="34"/>
        <v>0</v>
      </c>
      <c r="AL92" s="26">
        <f t="shared" si="34"/>
        <v>0</v>
      </c>
    </row>
    <row r="93" spans="1:38" ht="21" hidden="1" customHeight="1" outlineLevel="1" thickBot="1" x14ac:dyDescent="0.4">
      <c r="A93" s="8">
        <f t="shared" si="26"/>
        <v>0</v>
      </c>
      <c r="B93" s="8">
        <f t="shared" si="26"/>
        <v>0</v>
      </c>
      <c r="C93" s="8">
        <f t="shared" si="26"/>
        <v>0</v>
      </c>
      <c r="D93" s="8">
        <f t="shared" si="26"/>
        <v>1</v>
      </c>
      <c r="E93" s="9" t="str">
        <f t="shared" si="22"/>
        <v>(l)Ga</v>
      </c>
      <c r="F93" s="26">
        <f t="shared" ref="F93:AL93" si="35">F13*$C$82</f>
        <v>5.7599166666666671E-20</v>
      </c>
      <c r="G93" s="26">
        <f t="shared" si="35"/>
        <v>2.5871666666666667E-16</v>
      </c>
      <c r="H93" s="26">
        <f t="shared" si="35"/>
        <v>9.6775000000000019E-13</v>
      </c>
      <c r="I93" s="26">
        <f t="shared" si="35"/>
        <v>1.70575E-9</v>
      </c>
      <c r="J93" s="26">
        <f t="shared" si="35"/>
        <v>1.2318333333333334E-6</v>
      </c>
      <c r="K93" s="26">
        <f t="shared" si="35"/>
        <v>4.028916666666667E-4</v>
      </c>
      <c r="L93" s="26">
        <f t="shared" si="35"/>
        <v>7.9600833333333329E-2</v>
      </c>
      <c r="M93" s="26">
        <f t="shared" si="35"/>
        <v>1.6448333333333334</v>
      </c>
      <c r="N93" s="26">
        <f t="shared" si="35"/>
        <v>1.666666666666667</v>
      </c>
      <c r="O93" s="26">
        <f t="shared" si="35"/>
        <v>1.666666666666667</v>
      </c>
      <c r="P93" s="26">
        <f t="shared" si="35"/>
        <v>1.666666666666667</v>
      </c>
      <c r="Q93" s="26">
        <f t="shared" si="35"/>
        <v>1.666666666666667</v>
      </c>
      <c r="R93" s="26">
        <f t="shared" si="35"/>
        <v>1.666666666666667</v>
      </c>
      <c r="S93" s="26">
        <f t="shared" si="35"/>
        <v>1.666666666666667</v>
      </c>
      <c r="T93" s="26">
        <f t="shared" si="35"/>
        <v>1.666666666666667</v>
      </c>
      <c r="U93" s="26">
        <f t="shared" si="35"/>
        <v>1.666666666666667</v>
      </c>
      <c r="V93" s="26">
        <f t="shared" si="35"/>
        <v>1.666666666666667</v>
      </c>
      <c r="W93" s="26">
        <f t="shared" si="35"/>
        <v>1.666666666666667</v>
      </c>
      <c r="X93" s="26">
        <f t="shared" si="35"/>
        <v>1.666666666666667</v>
      </c>
      <c r="Y93" s="26">
        <f t="shared" si="35"/>
        <v>1.666666666666667</v>
      </c>
      <c r="Z93" s="26">
        <f t="shared" si="35"/>
        <v>1.666666666666667</v>
      </c>
      <c r="AA93" s="26">
        <f t="shared" si="35"/>
        <v>1.666666666666667</v>
      </c>
      <c r="AB93" s="26">
        <f t="shared" si="35"/>
        <v>0</v>
      </c>
      <c r="AC93" s="26">
        <f t="shared" si="35"/>
        <v>0</v>
      </c>
      <c r="AD93" s="26">
        <f t="shared" si="35"/>
        <v>0</v>
      </c>
      <c r="AE93" s="26">
        <f t="shared" si="35"/>
        <v>0</v>
      </c>
      <c r="AF93" s="26">
        <f t="shared" si="35"/>
        <v>0</v>
      </c>
      <c r="AG93" s="26">
        <f t="shared" si="35"/>
        <v>0</v>
      </c>
      <c r="AH93" s="26">
        <f t="shared" si="35"/>
        <v>0</v>
      </c>
      <c r="AI93" s="26">
        <f t="shared" si="35"/>
        <v>0</v>
      </c>
      <c r="AJ93" s="26">
        <f t="shared" si="35"/>
        <v>0</v>
      </c>
      <c r="AK93" s="26">
        <f t="shared" si="35"/>
        <v>0</v>
      </c>
      <c r="AL93" s="26">
        <f t="shared" si="35"/>
        <v>0</v>
      </c>
    </row>
    <row r="94" spans="1:38" ht="21" hidden="1" customHeight="1" outlineLevel="1" thickBot="1" x14ac:dyDescent="0.4">
      <c r="A94" s="8">
        <f t="shared" si="26"/>
        <v>0</v>
      </c>
      <c r="B94" s="8">
        <f t="shared" si="26"/>
        <v>1</v>
      </c>
      <c r="C94" s="8">
        <f t="shared" si="26"/>
        <v>0</v>
      </c>
      <c r="D94" s="8">
        <f t="shared" si="26"/>
        <v>0</v>
      </c>
      <c r="E94" s="9" t="str">
        <f t="shared" si="22"/>
        <v>(l)Se</v>
      </c>
      <c r="F94" s="26">
        <f t="shared" ref="F94:AL94" si="36">F14*$C$82</f>
        <v>5.4280833333333337E-8</v>
      </c>
      <c r="G94" s="26">
        <f t="shared" si="36"/>
        <v>1.5019166666666666E-7</v>
      </c>
      <c r="H94" s="26">
        <f t="shared" si="36"/>
        <v>1.6013333333333336E-7</v>
      </c>
      <c r="I94" s="26">
        <f t="shared" si="36"/>
        <v>1.1773333333333333E-7</v>
      </c>
      <c r="J94" s="26">
        <f t="shared" si="36"/>
        <v>8.9933333333333345E-8</v>
      </c>
      <c r="K94" s="26">
        <f t="shared" si="36"/>
        <v>8.3015000000000006E-8</v>
      </c>
      <c r="L94" s="26">
        <f t="shared" si="36"/>
        <v>8.4133333333333332E-8</v>
      </c>
      <c r="M94" s="26">
        <f t="shared" si="36"/>
        <v>1.7849166666666669E-7</v>
      </c>
      <c r="N94" s="26">
        <f t="shared" si="36"/>
        <v>1.3271666666666667E-7</v>
      </c>
      <c r="O94" s="26">
        <f t="shared" si="36"/>
        <v>9.6450000000000007E-8</v>
      </c>
      <c r="P94" s="26">
        <f t="shared" si="36"/>
        <v>6.9915000000000001E-8</v>
      </c>
      <c r="Q94" s="26">
        <f t="shared" si="36"/>
        <v>5.0721666666666673E-8</v>
      </c>
      <c r="R94" s="26">
        <f t="shared" si="36"/>
        <v>3.6869166666666669E-8</v>
      </c>
      <c r="S94" s="26">
        <f t="shared" si="36"/>
        <v>1.0543333333333333E-8</v>
      </c>
      <c r="T94" s="26">
        <f t="shared" si="36"/>
        <v>3.1295833333333336E-9</v>
      </c>
      <c r="U94" s="26">
        <f t="shared" si="36"/>
        <v>9.5791666666666664E-10</v>
      </c>
      <c r="V94" s="26">
        <f t="shared" si="36"/>
        <v>7.1515833333333339E-10</v>
      </c>
      <c r="W94" s="26">
        <f t="shared" si="36"/>
        <v>5.345083333333334E-10</v>
      </c>
      <c r="X94" s="26">
        <f t="shared" si="36"/>
        <v>3.9987500000000003E-10</v>
      </c>
      <c r="Y94" s="26">
        <f t="shared" si="36"/>
        <v>2.9940000000000002E-10</v>
      </c>
      <c r="Z94" s="26">
        <f t="shared" si="36"/>
        <v>9.4583333333333343E-11</v>
      </c>
      <c r="AA94" s="26">
        <f t="shared" si="36"/>
        <v>2.9949166666666668E-11</v>
      </c>
      <c r="AB94" s="26">
        <f t="shared" si="36"/>
        <v>0</v>
      </c>
      <c r="AC94" s="26">
        <f t="shared" si="36"/>
        <v>0</v>
      </c>
      <c r="AD94" s="26">
        <f t="shared" si="36"/>
        <v>0</v>
      </c>
      <c r="AE94" s="26">
        <f t="shared" si="36"/>
        <v>0</v>
      </c>
      <c r="AF94" s="26">
        <f t="shared" si="36"/>
        <v>0</v>
      </c>
      <c r="AG94" s="26">
        <f t="shared" si="36"/>
        <v>0</v>
      </c>
      <c r="AH94" s="26">
        <f t="shared" si="36"/>
        <v>0</v>
      </c>
      <c r="AI94" s="26">
        <f t="shared" si="36"/>
        <v>0</v>
      </c>
      <c r="AJ94" s="26">
        <f t="shared" si="36"/>
        <v>0</v>
      </c>
      <c r="AK94" s="26">
        <f t="shared" si="36"/>
        <v>0</v>
      </c>
      <c r="AL94" s="26">
        <f t="shared" si="36"/>
        <v>0</v>
      </c>
    </row>
    <row r="95" spans="1:38" ht="21" hidden="1" customHeight="1" outlineLevel="1" thickBot="1" x14ac:dyDescent="0.4">
      <c r="A95" s="8">
        <f t="shared" si="26"/>
        <v>0</v>
      </c>
      <c r="B95" s="8">
        <f t="shared" si="26"/>
        <v>1</v>
      </c>
      <c r="C95" s="8">
        <f t="shared" si="26"/>
        <v>0</v>
      </c>
      <c r="D95" s="8">
        <f t="shared" si="26"/>
        <v>0</v>
      </c>
      <c r="E95" s="9" t="str">
        <f t="shared" si="22"/>
        <v>(l)Se[a]</v>
      </c>
      <c r="F95" s="26">
        <f t="shared" ref="F95:AL95" si="37">F15*$C$82</f>
        <v>1.5042500000000001E-8</v>
      </c>
      <c r="G95" s="26">
        <f t="shared" si="37"/>
        <v>5.1100833333333337E-8</v>
      </c>
      <c r="H95" s="26">
        <f t="shared" si="37"/>
        <v>6.454583333333333E-8</v>
      </c>
      <c r="I95" s="26">
        <f t="shared" si="37"/>
        <v>5.4700833333333337E-8</v>
      </c>
      <c r="J95" s="26">
        <f t="shared" si="37"/>
        <v>4.7144166666666673E-8</v>
      </c>
      <c r="K95" s="26">
        <f t="shared" si="37"/>
        <v>4.8267500000000005E-8</v>
      </c>
      <c r="L95" s="26">
        <f t="shared" si="37"/>
        <v>5.2840833333333338E-8</v>
      </c>
      <c r="M95" s="26">
        <f t="shared" si="37"/>
        <v>1.1015833333333334E-7</v>
      </c>
      <c r="N95" s="26">
        <f t="shared" si="37"/>
        <v>8.035833333333334E-8</v>
      </c>
      <c r="O95" s="26">
        <f t="shared" si="37"/>
        <v>5.7247500000000004E-8</v>
      </c>
      <c r="P95" s="26">
        <f t="shared" si="37"/>
        <v>4.0658333333333335E-8</v>
      </c>
      <c r="Q95" s="26">
        <f t="shared" si="37"/>
        <v>2.8896666666666668E-8</v>
      </c>
      <c r="R95" s="26">
        <f t="shared" si="37"/>
        <v>2.0578333333333337E-8</v>
      </c>
      <c r="S95" s="26">
        <f t="shared" si="37"/>
        <v>5.4338333333333337E-9</v>
      </c>
      <c r="T95" s="26">
        <f t="shared" si="37"/>
        <v>1.4962500000000001E-9</v>
      </c>
      <c r="U95" s="26">
        <f t="shared" si="37"/>
        <v>4.261333333333334E-10</v>
      </c>
      <c r="V95" s="26">
        <f t="shared" si="37"/>
        <v>3.1257500000000003E-10</v>
      </c>
      <c r="W95" s="26">
        <f t="shared" si="37"/>
        <v>2.2957500000000001E-10</v>
      </c>
      <c r="X95" s="26">
        <f t="shared" si="37"/>
        <v>1.6881666666666667E-10</v>
      </c>
      <c r="Y95" s="26">
        <f t="shared" si="37"/>
        <v>1.2425833333333335E-10</v>
      </c>
      <c r="Z95" s="26">
        <f t="shared" si="37"/>
        <v>3.6741666666666673E-11</v>
      </c>
      <c r="AA95" s="26">
        <f t="shared" si="37"/>
        <v>1.0925E-11</v>
      </c>
      <c r="AB95" s="26">
        <f t="shared" si="37"/>
        <v>0</v>
      </c>
      <c r="AC95" s="26">
        <f t="shared" si="37"/>
        <v>0</v>
      </c>
      <c r="AD95" s="26">
        <f t="shared" si="37"/>
        <v>0</v>
      </c>
      <c r="AE95" s="26">
        <f t="shared" si="37"/>
        <v>0</v>
      </c>
      <c r="AF95" s="26">
        <f t="shared" si="37"/>
        <v>0</v>
      </c>
      <c r="AG95" s="26">
        <f t="shared" si="37"/>
        <v>0</v>
      </c>
      <c r="AH95" s="26">
        <f t="shared" si="37"/>
        <v>0</v>
      </c>
      <c r="AI95" s="26">
        <f t="shared" si="37"/>
        <v>0</v>
      </c>
      <c r="AJ95" s="26">
        <f t="shared" si="37"/>
        <v>0</v>
      </c>
      <c r="AK95" s="26">
        <f t="shared" si="37"/>
        <v>0</v>
      </c>
      <c r="AL95" s="26">
        <f t="shared" si="37"/>
        <v>0</v>
      </c>
    </row>
    <row r="96" spans="1:38" ht="21" hidden="1" customHeight="1" outlineLevel="1" thickBot="1" x14ac:dyDescent="0.4">
      <c r="A96" s="8">
        <f t="shared" si="26"/>
        <v>0</v>
      </c>
      <c r="B96" s="8">
        <f t="shared" si="26"/>
        <v>1</v>
      </c>
      <c r="C96" s="8">
        <f t="shared" si="26"/>
        <v>0</v>
      </c>
      <c r="D96" s="8">
        <f t="shared" si="26"/>
        <v>0</v>
      </c>
      <c r="E96" s="9" t="str">
        <f t="shared" si="22"/>
        <v>(l)Se[m]</v>
      </c>
      <c r="F96" s="26">
        <f t="shared" ref="F96:AL96" si="38">F16*$C$82</f>
        <v>6.2923333333333331E-2</v>
      </c>
      <c r="G96" s="26">
        <f t="shared" si="38"/>
        <v>0.26574166666666671</v>
      </c>
      <c r="H96" s="26">
        <f t="shared" si="38"/>
        <v>0.43882500000000002</v>
      </c>
      <c r="I96" s="26">
        <f t="shared" si="38"/>
        <v>0.50200833333333339</v>
      </c>
      <c r="J96" s="26">
        <f t="shared" si="38"/>
        <v>0.59597500000000003</v>
      </c>
      <c r="K96" s="26">
        <f t="shared" si="38"/>
        <v>0.85100000000000009</v>
      </c>
      <c r="L96" s="26">
        <f t="shared" si="38"/>
        <v>1.3090000000000002</v>
      </c>
      <c r="M96" s="26">
        <f t="shared" si="38"/>
        <v>3.8487500000000003</v>
      </c>
      <c r="N96" s="26">
        <f t="shared" si="38"/>
        <v>3.965416666666667</v>
      </c>
      <c r="O96" s="26">
        <f t="shared" si="38"/>
        <v>3.9895000000000005</v>
      </c>
      <c r="P96" s="26">
        <f t="shared" si="38"/>
        <v>3.9965833333333336</v>
      </c>
      <c r="Q96" s="26">
        <f t="shared" si="38"/>
        <v>3.9988333333333337</v>
      </c>
      <c r="R96" s="26">
        <f t="shared" si="38"/>
        <v>3.9995833333333337</v>
      </c>
      <c r="S96" s="26">
        <f t="shared" si="38"/>
        <v>4</v>
      </c>
      <c r="T96" s="26">
        <f t="shared" si="38"/>
        <v>4</v>
      </c>
      <c r="U96" s="26">
        <f t="shared" si="38"/>
        <v>4</v>
      </c>
      <c r="V96" s="26">
        <f t="shared" si="38"/>
        <v>4</v>
      </c>
      <c r="W96" s="26">
        <f t="shared" si="38"/>
        <v>4</v>
      </c>
      <c r="X96" s="26">
        <f t="shared" si="38"/>
        <v>4</v>
      </c>
      <c r="Y96" s="26">
        <f t="shared" si="38"/>
        <v>4</v>
      </c>
      <c r="Z96" s="26">
        <f t="shared" si="38"/>
        <v>4</v>
      </c>
      <c r="AA96" s="26">
        <f t="shared" si="38"/>
        <v>4</v>
      </c>
      <c r="AB96" s="26">
        <f t="shared" si="38"/>
        <v>0</v>
      </c>
      <c r="AC96" s="26">
        <f t="shared" si="38"/>
        <v>0</v>
      </c>
      <c r="AD96" s="26">
        <f t="shared" si="38"/>
        <v>0</v>
      </c>
      <c r="AE96" s="26">
        <f t="shared" si="38"/>
        <v>0</v>
      </c>
      <c r="AF96" s="26">
        <f t="shared" si="38"/>
        <v>0</v>
      </c>
      <c r="AG96" s="26">
        <f t="shared" si="38"/>
        <v>0</v>
      </c>
      <c r="AH96" s="26">
        <f t="shared" si="38"/>
        <v>0</v>
      </c>
      <c r="AI96" s="26">
        <f t="shared" si="38"/>
        <v>0</v>
      </c>
      <c r="AJ96" s="26">
        <f t="shared" si="38"/>
        <v>0</v>
      </c>
      <c r="AK96" s="26">
        <f t="shared" si="38"/>
        <v>0</v>
      </c>
      <c r="AL96" s="26">
        <f t="shared" si="38"/>
        <v>0</v>
      </c>
    </row>
    <row r="97" spans="1:38" ht="21" hidden="1" customHeight="1" outlineLevel="1" thickBot="1" x14ac:dyDescent="0.4">
      <c r="A97" s="8">
        <f t="shared" si="26"/>
        <v>0</v>
      </c>
      <c r="B97" s="8">
        <f t="shared" si="26"/>
        <v>1</v>
      </c>
      <c r="C97" s="8">
        <f t="shared" si="26"/>
        <v>0</v>
      </c>
      <c r="D97" s="8">
        <f t="shared" si="26"/>
        <v>0</v>
      </c>
      <c r="E97" s="9" t="str">
        <f t="shared" si="22"/>
        <v>(l)Se[r]</v>
      </c>
      <c r="F97" s="26">
        <f t="shared" ref="F97:AL97" si="39">F17*$C$82</f>
        <v>2.5170000000000002E-10</v>
      </c>
      <c r="G97" s="26">
        <f t="shared" si="39"/>
        <v>1.36525E-9</v>
      </c>
      <c r="H97" s="26">
        <f t="shared" si="39"/>
        <v>2.5655000000000003E-9</v>
      </c>
      <c r="I97" s="26">
        <f t="shared" si="39"/>
        <v>3.0640000000000002E-9</v>
      </c>
      <c r="J97" s="26">
        <f t="shared" si="39"/>
        <v>3.5663333333333333E-9</v>
      </c>
      <c r="K97" s="26">
        <f t="shared" si="39"/>
        <v>4.7655000000000006E-9</v>
      </c>
      <c r="L97" s="26">
        <f t="shared" si="39"/>
        <v>6.6217500000000002E-9</v>
      </c>
      <c r="M97" s="26">
        <f t="shared" si="39"/>
        <v>1.7120833333333334E-8</v>
      </c>
      <c r="N97" s="26">
        <f t="shared" si="39"/>
        <v>1.5190833333333336E-8</v>
      </c>
      <c r="O97" s="26">
        <f t="shared" si="39"/>
        <v>1.2948333333333334E-8</v>
      </c>
      <c r="P97" s="26">
        <f t="shared" si="39"/>
        <v>1.08475E-8</v>
      </c>
      <c r="Q97" s="26">
        <f t="shared" si="39"/>
        <v>8.9825000000000012E-9</v>
      </c>
      <c r="R97" s="26">
        <f t="shared" si="39"/>
        <v>7.3739166666666672E-9</v>
      </c>
      <c r="S97" s="26">
        <f t="shared" si="39"/>
        <v>3.1597500000000004E-9</v>
      </c>
      <c r="T97" s="26">
        <f t="shared" si="39"/>
        <v>1.28025E-9</v>
      </c>
      <c r="U97" s="26">
        <f t="shared" si="39"/>
        <v>5.0196666666666668E-10</v>
      </c>
      <c r="V97" s="26">
        <f t="shared" si="39"/>
        <v>3.9563333333333335E-10</v>
      </c>
      <c r="W97" s="26">
        <f t="shared" si="39"/>
        <v>3.1137500000000002E-10</v>
      </c>
      <c r="X97" s="26">
        <f t="shared" si="39"/>
        <v>2.44725E-10</v>
      </c>
      <c r="Y97" s="26">
        <f t="shared" si="39"/>
        <v>1.9206666666666667E-10</v>
      </c>
      <c r="Z97" s="26">
        <f t="shared" si="39"/>
        <v>7.1891666666666669E-11</v>
      </c>
      <c r="AA97" s="26">
        <f t="shared" si="39"/>
        <v>2.6315000000000002E-11</v>
      </c>
      <c r="AB97" s="26">
        <f t="shared" si="39"/>
        <v>0</v>
      </c>
      <c r="AC97" s="26">
        <f t="shared" si="39"/>
        <v>0</v>
      </c>
      <c r="AD97" s="26">
        <f t="shared" si="39"/>
        <v>0</v>
      </c>
      <c r="AE97" s="26">
        <f t="shared" si="39"/>
        <v>0</v>
      </c>
      <c r="AF97" s="26">
        <f t="shared" si="39"/>
        <v>0</v>
      </c>
      <c r="AG97" s="26">
        <f t="shared" si="39"/>
        <v>0</v>
      </c>
      <c r="AH97" s="26">
        <f t="shared" si="39"/>
        <v>0</v>
      </c>
      <c r="AI97" s="26">
        <f t="shared" si="39"/>
        <v>0</v>
      </c>
      <c r="AJ97" s="26">
        <f t="shared" si="39"/>
        <v>0</v>
      </c>
      <c r="AK97" s="26">
        <f t="shared" si="39"/>
        <v>0</v>
      </c>
      <c r="AL97" s="26">
        <f t="shared" si="39"/>
        <v>0</v>
      </c>
    </row>
    <row r="98" spans="1:38" ht="21" hidden="1" customHeight="1" outlineLevel="1" thickBot="1" x14ac:dyDescent="0.4">
      <c r="A98" s="8">
        <f t="shared" si="26"/>
        <v>0</v>
      </c>
      <c r="B98" s="8">
        <f t="shared" si="26"/>
        <v>0</v>
      </c>
      <c r="C98" s="8">
        <f t="shared" si="26"/>
        <v>1</v>
      </c>
      <c r="D98" s="8">
        <f t="shared" si="26"/>
        <v>0</v>
      </c>
      <c r="E98" s="9" t="str">
        <f t="shared" si="22"/>
        <v>(l)Ge[c]</v>
      </c>
      <c r="F98" s="26">
        <f t="shared" ref="F98:M112" si="40">F18*$C$82</f>
        <v>6.5636666666666678E-6</v>
      </c>
      <c r="G98" s="26">
        <f t="shared" si="40"/>
        <v>6.2263333333333331E-5</v>
      </c>
      <c r="H98" s="26">
        <f t="shared" si="40"/>
        <v>7.8948333333333338E-4</v>
      </c>
      <c r="I98" s="26">
        <f t="shared" si="40"/>
        <v>7.768916666666667E-3</v>
      </c>
      <c r="J98" s="26">
        <f t="shared" si="40"/>
        <v>4.9586666666666668E-2</v>
      </c>
      <c r="K98" s="26">
        <f t="shared" si="40"/>
        <v>0.17559166666666667</v>
      </c>
      <c r="L98" s="26">
        <f t="shared" si="40"/>
        <v>0.34485833333333338</v>
      </c>
      <c r="M98" s="26">
        <f t="shared" si="40"/>
        <v>0.44077500000000003</v>
      </c>
      <c r="N98" s="26">
        <f t="shared" ref="N98:X98" si="41">N18*$C$82</f>
        <v>0.48271666666666668</v>
      </c>
      <c r="O98" s="26">
        <f t="shared" si="41"/>
        <v>0.49476666666666669</v>
      </c>
      <c r="P98" s="26">
        <f t="shared" si="41"/>
        <v>0.49829166666666669</v>
      </c>
      <c r="Q98" s="26">
        <f t="shared" si="41"/>
        <v>0.49940000000000007</v>
      </c>
      <c r="R98" s="26">
        <f t="shared" si="41"/>
        <v>0.49977500000000002</v>
      </c>
      <c r="S98" s="26">
        <f t="shared" si="41"/>
        <v>0.49999166666666667</v>
      </c>
      <c r="T98" s="26">
        <f t="shared" si="41"/>
        <v>0.5</v>
      </c>
      <c r="U98" s="26">
        <f t="shared" si="41"/>
        <v>0.5</v>
      </c>
      <c r="V98" s="26">
        <f t="shared" si="41"/>
        <v>0.5</v>
      </c>
      <c r="W98" s="26">
        <f t="shared" si="41"/>
        <v>0.5</v>
      </c>
      <c r="X98" s="26">
        <f t="shared" si="41"/>
        <v>0.5</v>
      </c>
      <c r="Y98" s="26">
        <f t="shared" ref="Y98:AL98" si="42">Y18*$C$82</f>
        <v>0.5</v>
      </c>
      <c r="Z98" s="26">
        <f t="shared" si="42"/>
        <v>0.5</v>
      </c>
      <c r="AA98" s="26">
        <f t="shared" si="42"/>
        <v>0.5</v>
      </c>
      <c r="AB98" s="26">
        <f t="shared" si="42"/>
        <v>0</v>
      </c>
      <c r="AC98" s="26">
        <f t="shared" si="42"/>
        <v>0</v>
      </c>
      <c r="AD98" s="26">
        <f t="shared" si="42"/>
        <v>0</v>
      </c>
      <c r="AE98" s="26">
        <f t="shared" si="42"/>
        <v>0</v>
      </c>
      <c r="AF98" s="26">
        <f t="shared" si="42"/>
        <v>0</v>
      </c>
      <c r="AG98" s="26">
        <f t="shared" si="42"/>
        <v>0</v>
      </c>
      <c r="AH98" s="26">
        <f t="shared" si="42"/>
        <v>0</v>
      </c>
      <c r="AI98" s="26">
        <f t="shared" si="42"/>
        <v>0</v>
      </c>
      <c r="AJ98" s="26">
        <f t="shared" si="42"/>
        <v>0</v>
      </c>
      <c r="AK98" s="26">
        <f t="shared" si="42"/>
        <v>0</v>
      </c>
      <c r="AL98" s="26">
        <f t="shared" si="42"/>
        <v>0</v>
      </c>
    </row>
    <row r="99" spans="1:38" ht="21" hidden="1" customHeight="1" outlineLevel="1" thickBot="1" x14ac:dyDescent="0.4">
      <c r="A99" s="8">
        <f t="shared" si="26"/>
        <v>1</v>
      </c>
      <c r="B99" s="8">
        <f t="shared" si="26"/>
        <v>0</v>
      </c>
      <c r="C99" s="8">
        <f t="shared" si="26"/>
        <v>0</v>
      </c>
      <c r="D99" s="8">
        <f t="shared" si="26"/>
        <v>0</v>
      </c>
      <c r="E99" s="9" t="str">
        <f t="shared" si="22"/>
        <v>H (Ar)</v>
      </c>
      <c r="F99" s="26">
        <f t="shared" si="40"/>
        <v>-157.33333333333334</v>
      </c>
      <c r="G99" s="26">
        <f t="shared" si="40"/>
        <v>-157.25000000000003</v>
      </c>
      <c r="H99" s="26">
        <f t="shared" si="40"/>
        <v>-157.5</v>
      </c>
      <c r="I99" s="26">
        <f t="shared" si="40"/>
        <v>-157.83333333333334</v>
      </c>
      <c r="J99" s="26">
        <f t="shared" si="40"/>
        <v>-158.25</v>
      </c>
      <c r="K99" s="26">
        <f t="shared" si="40"/>
        <v>-158.66666666666666</v>
      </c>
      <c r="L99" s="26">
        <f t="shared" si="40"/>
        <v>-158.91666666666669</v>
      </c>
      <c r="M99" s="26">
        <f t="shared" si="40"/>
        <v>-158.00000000000003</v>
      </c>
      <c r="N99" s="26">
        <f t="shared" ref="N99:X99" si="43">N19*$C$82</f>
        <v>-158.58333333333334</v>
      </c>
      <c r="O99" s="26">
        <f t="shared" si="43"/>
        <v>-159.16666666666669</v>
      </c>
      <c r="P99" s="26">
        <f t="shared" si="43"/>
        <v>-159.75000000000003</v>
      </c>
      <c r="Q99" s="26">
        <f t="shared" si="43"/>
        <v>-160.33333333333334</v>
      </c>
      <c r="R99" s="26">
        <f t="shared" si="43"/>
        <v>-160.91666666666666</v>
      </c>
      <c r="S99" s="26">
        <f t="shared" si="43"/>
        <v>-163.08333333333334</v>
      </c>
      <c r="T99" s="26">
        <f t="shared" si="43"/>
        <v>-165.16666666666669</v>
      </c>
      <c r="U99" s="26">
        <f t="shared" si="43"/>
        <v>-167.08333333333334</v>
      </c>
      <c r="V99" s="26">
        <f t="shared" si="43"/>
        <v>-167.58333333333334</v>
      </c>
      <c r="W99" s="26">
        <f t="shared" si="43"/>
        <v>-168</v>
      </c>
      <c r="X99" s="26">
        <f t="shared" si="43"/>
        <v>-168.41666666666669</v>
      </c>
      <c r="Y99" s="26">
        <f t="shared" ref="Y99:AL99" si="44">Y19*$C$82</f>
        <v>-168.83333333333337</v>
      </c>
      <c r="Z99" s="26">
        <f t="shared" si="44"/>
        <v>-170.50000000000003</v>
      </c>
      <c r="AA99" s="26">
        <f t="shared" si="44"/>
        <v>-172.08333333333334</v>
      </c>
      <c r="AB99" s="26">
        <f t="shared" si="44"/>
        <v>0</v>
      </c>
      <c r="AC99" s="26">
        <f t="shared" si="44"/>
        <v>0</v>
      </c>
      <c r="AD99" s="26">
        <f t="shared" si="44"/>
        <v>0</v>
      </c>
      <c r="AE99" s="26">
        <f t="shared" si="44"/>
        <v>0</v>
      </c>
      <c r="AF99" s="26">
        <f t="shared" si="44"/>
        <v>0</v>
      </c>
      <c r="AG99" s="26">
        <f t="shared" si="44"/>
        <v>0</v>
      </c>
      <c r="AH99" s="26">
        <f t="shared" si="44"/>
        <v>0</v>
      </c>
      <c r="AI99" s="26">
        <f t="shared" si="44"/>
        <v>0</v>
      </c>
      <c r="AJ99" s="26">
        <f t="shared" si="44"/>
        <v>0</v>
      </c>
      <c r="AK99" s="26">
        <f t="shared" si="44"/>
        <v>0</v>
      </c>
      <c r="AL99" s="26">
        <f t="shared" si="44"/>
        <v>0</v>
      </c>
    </row>
    <row r="100" spans="1:38" ht="21" hidden="1" customHeight="1" outlineLevel="1" thickBot="1" x14ac:dyDescent="0.4">
      <c r="A100" s="8">
        <f t="shared" si="26"/>
        <v>0</v>
      </c>
      <c r="B100" s="8">
        <f t="shared" si="26"/>
        <v>0</v>
      </c>
      <c r="C100" s="8">
        <f t="shared" si="26"/>
        <v>0</v>
      </c>
      <c r="D100" s="8">
        <f t="shared" si="26"/>
        <v>1</v>
      </c>
      <c r="E100" s="9" t="str">
        <f t="shared" si="22"/>
        <v>H (Ga)</v>
      </c>
      <c r="F100" s="26">
        <f t="shared" si="40"/>
        <v>-506.58333333333337</v>
      </c>
      <c r="G100" s="26">
        <f t="shared" si="40"/>
        <v>-448.50000000000006</v>
      </c>
      <c r="H100" s="26">
        <f t="shared" si="40"/>
        <v>-391.75</v>
      </c>
      <c r="I100" s="26">
        <f t="shared" si="40"/>
        <v>-340.83333333333337</v>
      </c>
      <c r="J100" s="26">
        <f t="shared" si="40"/>
        <v>-297.58333333333337</v>
      </c>
      <c r="K100" s="26">
        <f t="shared" si="40"/>
        <v>-261.58333333333337</v>
      </c>
      <c r="L100" s="26">
        <f t="shared" si="40"/>
        <v>-230.50000000000003</v>
      </c>
      <c r="M100" s="26">
        <f t="shared" si="40"/>
        <v>-223.25</v>
      </c>
      <c r="N100" s="26">
        <f t="shared" ref="N100:X100" si="45">N20*$C$82</f>
        <v>-234.25</v>
      </c>
      <c r="O100" s="26">
        <f t="shared" si="45"/>
        <v>-245.08333333333334</v>
      </c>
      <c r="P100" s="26">
        <f t="shared" si="45"/>
        <v>-255.75000000000003</v>
      </c>
      <c r="Q100" s="26">
        <f t="shared" si="45"/>
        <v>-266.16666666666669</v>
      </c>
      <c r="R100" s="26">
        <f t="shared" si="45"/>
        <v>-276.33333333333331</v>
      </c>
      <c r="S100" s="26">
        <f t="shared" si="45"/>
        <v>-313.91666666666669</v>
      </c>
      <c r="T100" s="26">
        <f t="shared" si="45"/>
        <v>-345.25</v>
      </c>
      <c r="U100" s="26">
        <f t="shared" si="45"/>
        <v>-369.41666666666669</v>
      </c>
      <c r="V100" s="26">
        <f t="shared" si="45"/>
        <v>-374.16666666666669</v>
      </c>
      <c r="W100" s="26">
        <f t="shared" si="45"/>
        <v>-378.50000000000006</v>
      </c>
      <c r="X100" s="26">
        <f t="shared" si="45"/>
        <v>-382.16666666666669</v>
      </c>
      <c r="Y100" s="26">
        <f t="shared" ref="Y100:AL100" si="46">Y20*$C$82</f>
        <v>-385.41666666666669</v>
      </c>
      <c r="Z100" s="26">
        <f t="shared" si="46"/>
        <v>-392.58333333333337</v>
      </c>
      <c r="AA100" s="26">
        <f t="shared" si="46"/>
        <v>-390.41666666666669</v>
      </c>
      <c r="AB100" s="26">
        <f t="shared" si="46"/>
        <v>0</v>
      </c>
      <c r="AC100" s="26">
        <f t="shared" si="46"/>
        <v>0</v>
      </c>
      <c r="AD100" s="26">
        <f t="shared" si="46"/>
        <v>0</v>
      </c>
      <c r="AE100" s="26">
        <f t="shared" si="46"/>
        <v>0</v>
      </c>
      <c r="AF100" s="26">
        <f t="shared" si="46"/>
        <v>0</v>
      </c>
      <c r="AG100" s="26">
        <f t="shared" si="46"/>
        <v>0</v>
      </c>
      <c r="AH100" s="26">
        <f t="shared" si="46"/>
        <v>0</v>
      </c>
      <c r="AI100" s="26">
        <f t="shared" si="46"/>
        <v>0</v>
      </c>
      <c r="AJ100" s="26">
        <f t="shared" si="46"/>
        <v>0</v>
      </c>
      <c r="AK100" s="26">
        <f t="shared" si="46"/>
        <v>0</v>
      </c>
      <c r="AL100" s="26">
        <f t="shared" si="46"/>
        <v>0</v>
      </c>
    </row>
    <row r="101" spans="1:38" ht="21" hidden="1" customHeight="1" outlineLevel="1" thickBot="1" x14ac:dyDescent="0.4">
      <c r="A101" s="8">
        <f t="shared" ref="A101:D113" si="47">A67</f>
        <v>0</v>
      </c>
      <c r="B101" s="8">
        <f t="shared" si="47"/>
        <v>0</v>
      </c>
      <c r="C101" s="8">
        <f t="shared" si="47"/>
        <v>1</v>
      </c>
      <c r="D101" s="8">
        <f t="shared" si="47"/>
        <v>0</v>
      </c>
      <c r="E101" s="9" t="str">
        <f t="shared" si="22"/>
        <v>H (Ge)</v>
      </c>
      <c r="F101" s="26">
        <f t="shared" si="40"/>
        <v>-133.33333333333334</v>
      </c>
      <c r="G101" s="26">
        <f t="shared" si="40"/>
        <v>-116.00000000000001</v>
      </c>
      <c r="H101" s="26">
        <f t="shared" si="40"/>
        <v>-96.166666666666671</v>
      </c>
      <c r="I101" s="26">
        <f t="shared" si="40"/>
        <v>-77.88333333333334</v>
      </c>
      <c r="J101" s="26">
        <f t="shared" si="40"/>
        <v>-63.433333333333337</v>
      </c>
      <c r="K101" s="26">
        <f t="shared" si="40"/>
        <v>-54.608333333333334</v>
      </c>
      <c r="L101" s="26">
        <f t="shared" si="40"/>
        <v>-51.466666666666669</v>
      </c>
      <c r="M101" s="26">
        <f t="shared" si="40"/>
        <v>-56.94166666666667</v>
      </c>
      <c r="N101" s="26">
        <f t="shared" ref="N101:X101" si="48">N21*$C$82</f>
        <v>-57.025000000000006</v>
      </c>
      <c r="O101" s="26">
        <f t="shared" si="48"/>
        <v>-57.533333333333339</v>
      </c>
      <c r="P101" s="26">
        <f t="shared" si="48"/>
        <v>-58.175000000000004</v>
      </c>
      <c r="Q101" s="26">
        <f t="shared" si="48"/>
        <v>-58.850000000000009</v>
      </c>
      <c r="R101" s="26">
        <f t="shared" si="48"/>
        <v>-59.525000000000006</v>
      </c>
      <c r="S101" s="26">
        <f t="shared" si="48"/>
        <v>-62.19166666666667</v>
      </c>
      <c r="T101" s="26">
        <f t="shared" si="48"/>
        <v>-64.708333333333329</v>
      </c>
      <c r="U101" s="26">
        <f t="shared" si="48"/>
        <v>-67.066666666666677</v>
      </c>
      <c r="V101" s="26">
        <f t="shared" si="48"/>
        <v>-67.63333333333334</v>
      </c>
      <c r="W101" s="26">
        <f t="shared" si="48"/>
        <v>-68.183333333333337</v>
      </c>
      <c r="X101" s="26">
        <f t="shared" si="48"/>
        <v>-68.733333333333334</v>
      </c>
      <c r="Y101" s="26">
        <f t="shared" ref="Y101:AL101" si="49">Y21*$C$82</f>
        <v>-69.275000000000006</v>
      </c>
      <c r="Z101" s="26">
        <f t="shared" si="49"/>
        <v>-71.341666666666669</v>
      </c>
      <c r="AA101" s="26">
        <f t="shared" si="49"/>
        <v>-73.291666666666671</v>
      </c>
      <c r="AB101" s="26">
        <f t="shared" si="49"/>
        <v>0</v>
      </c>
      <c r="AC101" s="26">
        <f t="shared" si="49"/>
        <v>0</v>
      </c>
      <c r="AD101" s="26">
        <f t="shared" si="49"/>
        <v>0</v>
      </c>
      <c r="AE101" s="26">
        <f t="shared" si="49"/>
        <v>0</v>
      </c>
      <c r="AF101" s="26">
        <f t="shared" si="49"/>
        <v>0</v>
      </c>
      <c r="AG101" s="26">
        <f t="shared" si="49"/>
        <v>0</v>
      </c>
      <c r="AH101" s="26">
        <f t="shared" si="49"/>
        <v>0</v>
      </c>
      <c r="AI101" s="26">
        <f t="shared" si="49"/>
        <v>0</v>
      </c>
      <c r="AJ101" s="26">
        <f t="shared" si="49"/>
        <v>0</v>
      </c>
      <c r="AK101" s="26">
        <f t="shared" si="49"/>
        <v>0</v>
      </c>
      <c r="AL101" s="26">
        <f t="shared" si="49"/>
        <v>0</v>
      </c>
    </row>
    <row r="102" spans="1:38" ht="21" hidden="1" customHeight="1" outlineLevel="1" thickBot="1" x14ac:dyDescent="0.4">
      <c r="A102" s="8">
        <f t="shared" si="47"/>
        <v>0</v>
      </c>
      <c r="B102" s="8">
        <f t="shared" si="47"/>
        <v>1</v>
      </c>
      <c r="C102" s="8">
        <f t="shared" si="47"/>
        <v>0</v>
      </c>
      <c r="D102" s="8">
        <f t="shared" si="47"/>
        <v>0</v>
      </c>
      <c r="E102" s="9" t="str">
        <f t="shared" si="22"/>
        <v>H (Se)</v>
      </c>
      <c r="F102" s="26">
        <f t="shared" si="40"/>
        <v>-184.50000000000003</v>
      </c>
      <c r="G102" s="26">
        <f t="shared" si="40"/>
        <v>-177.50000000000003</v>
      </c>
      <c r="H102" s="26">
        <f t="shared" si="40"/>
        <v>-178.25000000000003</v>
      </c>
      <c r="I102" s="26">
        <f t="shared" si="40"/>
        <v>-181.66666666666669</v>
      </c>
      <c r="J102" s="26">
        <f t="shared" si="40"/>
        <v>-184.91666666666669</v>
      </c>
      <c r="K102" s="26">
        <f t="shared" si="40"/>
        <v>-187.33333333333334</v>
      </c>
      <c r="L102" s="26">
        <f t="shared" si="40"/>
        <v>-189.91666666666669</v>
      </c>
      <c r="M102" s="26">
        <f t="shared" si="40"/>
        <v>-192</v>
      </c>
      <c r="N102" s="26">
        <f t="shared" ref="N102:X102" si="50">N22*$C$82</f>
        <v>-196.08333333333334</v>
      </c>
      <c r="O102" s="26">
        <f t="shared" si="50"/>
        <v>-200.25000000000003</v>
      </c>
      <c r="P102" s="26">
        <f t="shared" si="50"/>
        <v>-204.25000000000003</v>
      </c>
      <c r="Q102" s="26">
        <f t="shared" si="50"/>
        <v>-208.25</v>
      </c>
      <c r="R102" s="26">
        <f t="shared" si="50"/>
        <v>-212.25</v>
      </c>
      <c r="S102" s="26">
        <f t="shared" si="50"/>
        <v>-227.33333333333337</v>
      </c>
      <c r="T102" s="26">
        <f t="shared" si="50"/>
        <v>-241.66666666666669</v>
      </c>
      <c r="U102" s="26">
        <f t="shared" si="50"/>
        <v>-255.25</v>
      </c>
      <c r="V102" s="26">
        <f t="shared" si="50"/>
        <v>-258.58333333333337</v>
      </c>
      <c r="W102" s="26">
        <f t="shared" si="50"/>
        <v>-261.83333333333337</v>
      </c>
      <c r="X102" s="26">
        <f t="shared" si="50"/>
        <v>-265.08333333333331</v>
      </c>
      <c r="Y102" s="26">
        <f t="shared" ref="Y102:AL102" si="51">Y22*$C$82</f>
        <v>-268.33333333333337</v>
      </c>
      <c r="Z102" s="26">
        <f t="shared" si="51"/>
        <v>-281.08333333333331</v>
      </c>
      <c r="AA102" s="26">
        <f t="shared" si="51"/>
        <v>-293.5</v>
      </c>
      <c r="AB102" s="26">
        <f t="shared" si="51"/>
        <v>0</v>
      </c>
      <c r="AC102" s="26">
        <f t="shared" si="51"/>
        <v>0</v>
      </c>
      <c r="AD102" s="26">
        <f t="shared" si="51"/>
        <v>0</v>
      </c>
      <c r="AE102" s="26">
        <f t="shared" si="51"/>
        <v>0</v>
      </c>
      <c r="AF102" s="26">
        <f t="shared" si="51"/>
        <v>0</v>
      </c>
      <c r="AG102" s="26">
        <f t="shared" si="51"/>
        <v>0</v>
      </c>
      <c r="AH102" s="26">
        <f t="shared" si="51"/>
        <v>0</v>
      </c>
      <c r="AI102" s="26">
        <f t="shared" si="51"/>
        <v>0</v>
      </c>
      <c r="AJ102" s="26">
        <f t="shared" si="51"/>
        <v>0</v>
      </c>
      <c r="AK102" s="26">
        <f t="shared" si="51"/>
        <v>0</v>
      </c>
      <c r="AL102" s="26">
        <f t="shared" si="51"/>
        <v>0</v>
      </c>
    </row>
    <row r="103" spans="1:38" ht="21" hidden="1" customHeight="1" outlineLevel="1" thickBot="1" x14ac:dyDescent="0.4">
      <c r="A103" s="8">
        <f t="shared" si="47"/>
        <v>0</v>
      </c>
      <c r="B103" s="8">
        <f t="shared" si="47"/>
        <v>0</v>
      </c>
      <c r="C103" s="8">
        <f t="shared" si="47"/>
        <v>0</v>
      </c>
      <c r="D103" s="8">
        <f t="shared" si="47"/>
        <v>0</v>
      </c>
      <c r="E103" s="9">
        <f t="shared" si="22"/>
        <v>0</v>
      </c>
      <c r="F103" s="26">
        <f t="shared" si="40"/>
        <v>0</v>
      </c>
      <c r="G103" s="26">
        <f t="shared" si="40"/>
        <v>0</v>
      </c>
      <c r="H103" s="26">
        <f t="shared" si="40"/>
        <v>0</v>
      </c>
      <c r="I103" s="26">
        <f t="shared" si="40"/>
        <v>0</v>
      </c>
      <c r="J103" s="26">
        <f t="shared" si="40"/>
        <v>0</v>
      </c>
      <c r="K103" s="26">
        <f t="shared" si="40"/>
        <v>0</v>
      </c>
      <c r="L103" s="26">
        <f t="shared" si="40"/>
        <v>0</v>
      </c>
      <c r="M103" s="26">
        <f t="shared" si="40"/>
        <v>0</v>
      </c>
      <c r="N103" s="26">
        <f t="shared" ref="N103:X103" si="52">N23*$C$82</f>
        <v>0</v>
      </c>
      <c r="O103" s="26">
        <f t="shared" si="52"/>
        <v>0</v>
      </c>
      <c r="P103" s="26">
        <f t="shared" si="52"/>
        <v>0</v>
      </c>
      <c r="Q103" s="26">
        <f t="shared" si="52"/>
        <v>0</v>
      </c>
      <c r="R103" s="26">
        <f t="shared" si="52"/>
        <v>0</v>
      </c>
      <c r="S103" s="26">
        <f t="shared" si="52"/>
        <v>0</v>
      </c>
      <c r="T103" s="26">
        <f t="shared" si="52"/>
        <v>0</v>
      </c>
      <c r="U103" s="26">
        <f t="shared" si="52"/>
        <v>0</v>
      </c>
      <c r="V103" s="26">
        <f t="shared" si="52"/>
        <v>0</v>
      </c>
      <c r="W103" s="26">
        <f t="shared" si="52"/>
        <v>0</v>
      </c>
      <c r="X103" s="26">
        <f t="shared" si="52"/>
        <v>0</v>
      </c>
      <c r="Y103" s="26">
        <f t="shared" ref="Y103:AL103" si="53">Y23*$C$82</f>
        <v>0</v>
      </c>
      <c r="Z103" s="26">
        <f t="shared" si="53"/>
        <v>0</v>
      </c>
      <c r="AA103" s="26">
        <f t="shared" si="53"/>
        <v>0</v>
      </c>
      <c r="AB103" s="26">
        <f t="shared" si="53"/>
        <v>0</v>
      </c>
      <c r="AC103" s="26">
        <f t="shared" si="53"/>
        <v>0</v>
      </c>
      <c r="AD103" s="26">
        <f t="shared" si="53"/>
        <v>0</v>
      </c>
      <c r="AE103" s="26">
        <f t="shared" si="53"/>
        <v>0</v>
      </c>
      <c r="AF103" s="26">
        <f t="shared" si="53"/>
        <v>0</v>
      </c>
      <c r="AG103" s="26">
        <f t="shared" si="53"/>
        <v>0</v>
      </c>
      <c r="AH103" s="26">
        <f t="shared" si="53"/>
        <v>0</v>
      </c>
      <c r="AI103" s="26">
        <f t="shared" si="53"/>
        <v>0</v>
      </c>
      <c r="AJ103" s="26">
        <f t="shared" si="53"/>
        <v>0</v>
      </c>
      <c r="AK103" s="26">
        <f t="shared" si="53"/>
        <v>0</v>
      </c>
      <c r="AL103" s="26">
        <f t="shared" si="53"/>
        <v>0</v>
      </c>
    </row>
    <row r="104" spans="1:38" ht="21" hidden="1" customHeight="1" outlineLevel="1" thickBot="1" x14ac:dyDescent="0.4">
      <c r="A104" s="8">
        <f t="shared" si="47"/>
        <v>0</v>
      </c>
      <c r="B104" s="8">
        <f t="shared" si="47"/>
        <v>0</v>
      </c>
      <c r="C104" s="8">
        <f t="shared" si="47"/>
        <v>0</v>
      </c>
      <c r="D104" s="8">
        <f t="shared" si="47"/>
        <v>0</v>
      </c>
      <c r="E104" s="9">
        <f t="shared" si="22"/>
        <v>0</v>
      </c>
      <c r="F104" s="26">
        <f t="shared" si="40"/>
        <v>0</v>
      </c>
      <c r="G104" s="26">
        <f t="shared" si="40"/>
        <v>0</v>
      </c>
      <c r="H104" s="26">
        <f t="shared" si="40"/>
        <v>0</v>
      </c>
      <c r="I104" s="26">
        <f t="shared" si="40"/>
        <v>0</v>
      </c>
      <c r="J104" s="26">
        <f t="shared" si="40"/>
        <v>0</v>
      </c>
      <c r="K104" s="26">
        <f t="shared" si="40"/>
        <v>0</v>
      </c>
      <c r="L104" s="26">
        <f t="shared" si="40"/>
        <v>0</v>
      </c>
      <c r="M104" s="26">
        <f t="shared" si="40"/>
        <v>0</v>
      </c>
      <c r="N104" s="26">
        <f t="shared" ref="N104:X104" si="54">N24*$C$82</f>
        <v>0</v>
      </c>
      <c r="O104" s="26">
        <f t="shared" si="54"/>
        <v>0</v>
      </c>
      <c r="P104" s="26">
        <f t="shared" si="54"/>
        <v>0</v>
      </c>
      <c r="Q104" s="26">
        <f t="shared" si="54"/>
        <v>0</v>
      </c>
      <c r="R104" s="26">
        <f t="shared" si="54"/>
        <v>0</v>
      </c>
      <c r="S104" s="26">
        <f t="shared" si="54"/>
        <v>0</v>
      </c>
      <c r="T104" s="26">
        <f t="shared" si="54"/>
        <v>0</v>
      </c>
      <c r="U104" s="26">
        <f t="shared" si="54"/>
        <v>0</v>
      </c>
      <c r="V104" s="26">
        <f t="shared" si="54"/>
        <v>0</v>
      </c>
      <c r="W104" s="26">
        <f t="shared" si="54"/>
        <v>0</v>
      </c>
      <c r="X104" s="26">
        <f t="shared" si="54"/>
        <v>0</v>
      </c>
      <c r="Y104" s="26">
        <f t="shared" ref="Y104:AL104" si="55">Y24*$C$82</f>
        <v>0</v>
      </c>
      <c r="Z104" s="26">
        <f t="shared" si="55"/>
        <v>0</v>
      </c>
      <c r="AA104" s="26">
        <f t="shared" si="55"/>
        <v>0</v>
      </c>
      <c r="AB104" s="26">
        <f t="shared" si="55"/>
        <v>0</v>
      </c>
      <c r="AC104" s="26">
        <f t="shared" si="55"/>
        <v>0</v>
      </c>
      <c r="AD104" s="26">
        <f t="shared" si="55"/>
        <v>0</v>
      </c>
      <c r="AE104" s="26">
        <f t="shared" si="55"/>
        <v>0</v>
      </c>
      <c r="AF104" s="26">
        <f t="shared" si="55"/>
        <v>0</v>
      </c>
      <c r="AG104" s="26">
        <f t="shared" si="55"/>
        <v>0</v>
      </c>
      <c r="AH104" s="26">
        <f t="shared" si="55"/>
        <v>0</v>
      </c>
      <c r="AI104" s="26">
        <f t="shared" si="55"/>
        <v>0</v>
      </c>
      <c r="AJ104" s="26">
        <f t="shared" si="55"/>
        <v>0</v>
      </c>
      <c r="AK104" s="26">
        <f t="shared" si="55"/>
        <v>0</v>
      </c>
      <c r="AL104" s="26">
        <f t="shared" si="55"/>
        <v>0</v>
      </c>
    </row>
    <row r="105" spans="1:38" ht="21" hidden="1" customHeight="1" outlineLevel="1" thickBot="1" x14ac:dyDescent="0.4">
      <c r="A105" s="8">
        <f t="shared" si="47"/>
        <v>0</v>
      </c>
      <c r="B105" s="8">
        <f t="shared" si="47"/>
        <v>0</v>
      </c>
      <c r="C105" s="8">
        <f t="shared" si="47"/>
        <v>0</v>
      </c>
      <c r="D105" s="8">
        <f t="shared" si="47"/>
        <v>0</v>
      </c>
      <c r="E105" s="9">
        <f t="shared" si="22"/>
        <v>0</v>
      </c>
      <c r="F105" s="26">
        <f t="shared" si="40"/>
        <v>0</v>
      </c>
      <c r="G105" s="26">
        <f t="shared" si="40"/>
        <v>0</v>
      </c>
      <c r="H105" s="26">
        <f t="shared" si="40"/>
        <v>0</v>
      </c>
      <c r="I105" s="26">
        <f t="shared" si="40"/>
        <v>0</v>
      </c>
      <c r="J105" s="26">
        <f t="shared" si="40"/>
        <v>0</v>
      </c>
      <c r="K105" s="26">
        <f t="shared" si="40"/>
        <v>0</v>
      </c>
      <c r="L105" s="26">
        <f t="shared" si="40"/>
        <v>0</v>
      </c>
      <c r="M105" s="26">
        <f t="shared" si="40"/>
        <v>0</v>
      </c>
      <c r="N105" s="26">
        <f t="shared" ref="N105:X105" si="56">N25*$C$82</f>
        <v>0</v>
      </c>
      <c r="O105" s="26">
        <f t="shared" si="56"/>
        <v>0</v>
      </c>
      <c r="P105" s="26">
        <f t="shared" si="56"/>
        <v>0</v>
      </c>
      <c r="Q105" s="26">
        <f t="shared" si="56"/>
        <v>0</v>
      </c>
      <c r="R105" s="26">
        <f t="shared" si="56"/>
        <v>0</v>
      </c>
      <c r="S105" s="26">
        <f t="shared" si="56"/>
        <v>0</v>
      </c>
      <c r="T105" s="26">
        <f t="shared" si="56"/>
        <v>0</v>
      </c>
      <c r="U105" s="26">
        <f t="shared" si="56"/>
        <v>0</v>
      </c>
      <c r="V105" s="26">
        <f t="shared" si="56"/>
        <v>0</v>
      </c>
      <c r="W105" s="26">
        <f t="shared" si="56"/>
        <v>0</v>
      </c>
      <c r="X105" s="26">
        <f t="shared" si="56"/>
        <v>0</v>
      </c>
      <c r="Y105" s="26">
        <f t="shared" ref="Y105:AL105" si="57">Y25*$C$82</f>
        <v>0</v>
      </c>
      <c r="Z105" s="26">
        <f t="shared" si="57"/>
        <v>0</v>
      </c>
      <c r="AA105" s="26">
        <f t="shared" si="57"/>
        <v>0</v>
      </c>
      <c r="AB105" s="26">
        <f t="shared" si="57"/>
        <v>0</v>
      </c>
      <c r="AC105" s="26">
        <f t="shared" si="57"/>
        <v>0</v>
      </c>
      <c r="AD105" s="26">
        <f t="shared" si="57"/>
        <v>0</v>
      </c>
      <c r="AE105" s="26">
        <f t="shared" si="57"/>
        <v>0</v>
      </c>
      <c r="AF105" s="26">
        <f t="shared" si="57"/>
        <v>0</v>
      </c>
      <c r="AG105" s="26">
        <f t="shared" si="57"/>
        <v>0</v>
      </c>
      <c r="AH105" s="26">
        <f t="shared" si="57"/>
        <v>0</v>
      </c>
      <c r="AI105" s="26">
        <f t="shared" si="57"/>
        <v>0</v>
      </c>
      <c r="AJ105" s="26">
        <f t="shared" si="57"/>
        <v>0</v>
      </c>
      <c r="AK105" s="26">
        <f t="shared" si="57"/>
        <v>0</v>
      </c>
      <c r="AL105" s="26">
        <f t="shared" si="57"/>
        <v>0</v>
      </c>
    </row>
    <row r="106" spans="1:38" ht="21" hidden="1" customHeight="1" outlineLevel="1" thickBot="1" x14ac:dyDescent="0.4">
      <c r="A106" s="8">
        <f t="shared" si="47"/>
        <v>0</v>
      </c>
      <c r="B106" s="8">
        <f t="shared" si="47"/>
        <v>0</v>
      </c>
      <c r="C106" s="8">
        <f t="shared" si="47"/>
        <v>0</v>
      </c>
      <c r="D106" s="8">
        <f t="shared" si="47"/>
        <v>0</v>
      </c>
      <c r="E106" s="9">
        <f t="shared" si="22"/>
        <v>0</v>
      </c>
      <c r="F106" s="26">
        <f t="shared" si="40"/>
        <v>0</v>
      </c>
      <c r="G106" s="26">
        <f t="shared" si="40"/>
        <v>0</v>
      </c>
      <c r="H106" s="26">
        <f t="shared" si="40"/>
        <v>0</v>
      </c>
      <c r="I106" s="26">
        <f t="shared" si="40"/>
        <v>0</v>
      </c>
      <c r="J106" s="26">
        <f t="shared" si="40"/>
        <v>0</v>
      </c>
      <c r="K106" s="26">
        <f t="shared" si="40"/>
        <v>0</v>
      </c>
      <c r="L106" s="26">
        <f t="shared" si="40"/>
        <v>0</v>
      </c>
      <c r="M106" s="26">
        <f t="shared" si="40"/>
        <v>0</v>
      </c>
      <c r="N106" s="26">
        <f t="shared" ref="N106:X106" si="58">N26*$C$82</f>
        <v>0</v>
      </c>
      <c r="O106" s="26">
        <f t="shared" si="58"/>
        <v>0</v>
      </c>
      <c r="P106" s="26">
        <f t="shared" si="58"/>
        <v>0</v>
      </c>
      <c r="Q106" s="26">
        <f t="shared" si="58"/>
        <v>0</v>
      </c>
      <c r="R106" s="26">
        <f t="shared" si="58"/>
        <v>0</v>
      </c>
      <c r="S106" s="26">
        <f t="shared" si="58"/>
        <v>0</v>
      </c>
      <c r="T106" s="26">
        <f t="shared" si="58"/>
        <v>0</v>
      </c>
      <c r="U106" s="26">
        <f t="shared" si="58"/>
        <v>0</v>
      </c>
      <c r="V106" s="26">
        <f t="shared" si="58"/>
        <v>0</v>
      </c>
      <c r="W106" s="26">
        <f t="shared" si="58"/>
        <v>0</v>
      </c>
      <c r="X106" s="26">
        <f t="shared" si="58"/>
        <v>0</v>
      </c>
      <c r="Y106" s="26">
        <f t="shared" ref="Y106:AL106" si="59">Y26*$C$82</f>
        <v>0</v>
      </c>
      <c r="Z106" s="26">
        <f t="shared" si="59"/>
        <v>0</v>
      </c>
      <c r="AA106" s="26">
        <f t="shared" si="59"/>
        <v>0</v>
      </c>
      <c r="AB106" s="26">
        <f t="shared" si="59"/>
        <v>0</v>
      </c>
      <c r="AC106" s="26">
        <f t="shared" si="59"/>
        <v>0</v>
      </c>
      <c r="AD106" s="26">
        <f t="shared" si="59"/>
        <v>0</v>
      </c>
      <c r="AE106" s="26">
        <f t="shared" si="59"/>
        <v>0</v>
      </c>
      <c r="AF106" s="26">
        <f t="shared" si="59"/>
        <v>0</v>
      </c>
      <c r="AG106" s="26">
        <f t="shared" si="59"/>
        <v>0</v>
      </c>
      <c r="AH106" s="26">
        <f t="shared" si="59"/>
        <v>0</v>
      </c>
      <c r="AI106" s="26">
        <f t="shared" si="59"/>
        <v>0</v>
      </c>
      <c r="AJ106" s="26">
        <f t="shared" si="59"/>
        <v>0</v>
      </c>
      <c r="AK106" s="26">
        <f t="shared" si="59"/>
        <v>0</v>
      </c>
      <c r="AL106" s="26">
        <f t="shared" si="59"/>
        <v>0</v>
      </c>
    </row>
    <row r="107" spans="1:38" ht="21" hidden="1" customHeight="1" outlineLevel="1" thickBot="1" x14ac:dyDescent="0.4">
      <c r="A107" s="8">
        <f t="shared" si="47"/>
        <v>0</v>
      </c>
      <c r="B107" s="8">
        <f t="shared" si="47"/>
        <v>0</v>
      </c>
      <c r="C107" s="8">
        <f t="shared" si="47"/>
        <v>0</v>
      </c>
      <c r="D107" s="8">
        <f t="shared" si="47"/>
        <v>0</v>
      </c>
      <c r="E107" s="9">
        <f t="shared" si="22"/>
        <v>0</v>
      </c>
      <c r="F107" s="26">
        <f t="shared" si="40"/>
        <v>0</v>
      </c>
      <c r="G107" s="26">
        <f t="shared" si="40"/>
        <v>0</v>
      </c>
      <c r="H107" s="26">
        <f t="shared" si="40"/>
        <v>0</v>
      </c>
      <c r="I107" s="26">
        <f t="shared" si="40"/>
        <v>0</v>
      </c>
      <c r="J107" s="26">
        <f t="shared" si="40"/>
        <v>0</v>
      </c>
      <c r="K107" s="26">
        <f t="shared" si="40"/>
        <v>0</v>
      </c>
      <c r="L107" s="26">
        <f t="shared" si="40"/>
        <v>0</v>
      </c>
      <c r="M107" s="26">
        <f t="shared" si="40"/>
        <v>0</v>
      </c>
      <c r="N107" s="26">
        <f t="shared" ref="N107:X107" si="60">N27*$C$82</f>
        <v>0</v>
      </c>
      <c r="O107" s="26">
        <f t="shared" si="60"/>
        <v>0</v>
      </c>
      <c r="P107" s="26">
        <f t="shared" si="60"/>
        <v>0</v>
      </c>
      <c r="Q107" s="26">
        <f t="shared" si="60"/>
        <v>0</v>
      </c>
      <c r="R107" s="26">
        <f t="shared" si="60"/>
        <v>0</v>
      </c>
      <c r="S107" s="26">
        <f t="shared" si="60"/>
        <v>0</v>
      </c>
      <c r="T107" s="26">
        <f t="shared" si="60"/>
        <v>0</v>
      </c>
      <c r="U107" s="26">
        <f t="shared" si="60"/>
        <v>0</v>
      </c>
      <c r="V107" s="26">
        <f t="shared" si="60"/>
        <v>0</v>
      </c>
      <c r="W107" s="26">
        <f t="shared" si="60"/>
        <v>0</v>
      </c>
      <c r="X107" s="26">
        <f t="shared" si="60"/>
        <v>0</v>
      </c>
      <c r="Y107" s="26">
        <f t="shared" ref="Y107:AL107" si="61">Y27*$C$82</f>
        <v>0</v>
      </c>
      <c r="Z107" s="26">
        <f t="shared" si="61"/>
        <v>0</v>
      </c>
      <c r="AA107" s="26">
        <f t="shared" si="61"/>
        <v>0</v>
      </c>
      <c r="AB107" s="26">
        <f t="shared" si="61"/>
        <v>0</v>
      </c>
      <c r="AC107" s="26">
        <f t="shared" si="61"/>
        <v>0</v>
      </c>
      <c r="AD107" s="26">
        <f t="shared" si="61"/>
        <v>0</v>
      </c>
      <c r="AE107" s="26">
        <f t="shared" si="61"/>
        <v>0</v>
      </c>
      <c r="AF107" s="26">
        <f t="shared" si="61"/>
        <v>0</v>
      </c>
      <c r="AG107" s="26">
        <f t="shared" si="61"/>
        <v>0</v>
      </c>
      <c r="AH107" s="26">
        <f t="shared" si="61"/>
        <v>0</v>
      </c>
      <c r="AI107" s="26">
        <f t="shared" si="61"/>
        <v>0</v>
      </c>
      <c r="AJ107" s="26">
        <f t="shared" si="61"/>
        <v>0</v>
      </c>
      <c r="AK107" s="26">
        <f t="shared" si="61"/>
        <v>0</v>
      </c>
      <c r="AL107" s="26">
        <f t="shared" si="61"/>
        <v>0</v>
      </c>
    </row>
    <row r="108" spans="1:38" ht="21" hidden="1" customHeight="1" outlineLevel="1" thickBot="1" x14ac:dyDescent="0.4">
      <c r="A108" s="8">
        <f t="shared" si="47"/>
        <v>0</v>
      </c>
      <c r="B108" s="8">
        <f t="shared" si="47"/>
        <v>0</v>
      </c>
      <c r="C108" s="8">
        <f t="shared" si="47"/>
        <v>0</v>
      </c>
      <c r="D108" s="8">
        <f t="shared" si="47"/>
        <v>0</v>
      </c>
      <c r="E108" s="9">
        <f t="shared" si="22"/>
        <v>0</v>
      </c>
      <c r="F108" s="26">
        <f t="shared" si="40"/>
        <v>0</v>
      </c>
      <c r="G108" s="26">
        <f t="shared" si="40"/>
        <v>0</v>
      </c>
      <c r="H108" s="26">
        <f t="shared" si="40"/>
        <v>0</v>
      </c>
      <c r="I108" s="26">
        <f t="shared" si="40"/>
        <v>0</v>
      </c>
      <c r="J108" s="26">
        <f t="shared" si="40"/>
        <v>0</v>
      </c>
      <c r="K108" s="26">
        <f t="shared" si="40"/>
        <v>0</v>
      </c>
      <c r="L108" s="26">
        <f t="shared" si="40"/>
        <v>0</v>
      </c>
      <c r="M108" s="26">
        <f t="shared" si="40"/>
        <v>0</v>
      </c>
      <c r="N108" s="26">
        <f t="shared" ref="N108:X108" si="62">N28*$C$82</f>
        <v>0</v>
      </c>
      <c r="O108" s="26">
        <f t="shared" si="62"/>
        <v>0</v>
      </c>
      <c r="P108" s="26">
        <f t="shared" si="62"/>
        <v>0</v>
      </c>
      <c r="Q108" s="26">
        <f t="shared" si="62"/>
        <v>0</v>
      </c>
      <c r="R108" s="26">
        <f t="shared" si="62"/>
        <v>0</v>
      </c>
      <c r="S108" s="26">
        <f t="shared" si="62"/>
        <v>0</v>
      </c>
      <c r="T108" s="26">
        <f t="shared" si="62"/>
        <v>0</v>
      </c>
      <c r="U108" s="26">
        <f t="shared" si="62"/>
        <v>0</v>
      </c>
      <c r="V108" s="26">
        <f t="shared" si="62"/>
        <v>0</v>
      </c>
      <c r="W108" s="26">
        <f t="shared" si="62"/>
        <v>0</v>
      </c>
      <c r="X108" s="26">
        <f t="shared" si="62"/>
        <v>0</v>
      </c>
      <c r="Y108" s="26">
        <f t="shared" ref="Y108:AL108" si="63">Y28*$C$82</f>
        <v>0</v>
      </c>
      <c r="Z108" s="26">
        <f t="shared" si="63"/>
        <v>0</v>
      </c>
      <c r="AA108" s="26">
        <f t="shared" si="63"/>
        <v>0</v>
      </c>
      <c r="AB108" s="26">
        <f t="shared" si="63"/>
        <v>0</v>
      </c>
      <c r="AC108" s="26">
        <f t="shared" si="63"/>
        <v>0</v>
      </c>
      <c r="AD108" s="26">
        <f t="shared" si="63"/>
        <v>0</v>
      </c>
      <c r="AE108" s="26">
        <f t="shared" si="63"/>
        <v>0</v>
      </c>
      <c r="AF108" s="26">
        <f t="shared" si="63"/>
        <v>0</v>
      </c>
      <c r="AG108" s="26">
        <f t="shared" si="63"/>
        <v>0</v>
      </c>
      <c r="AH108" s="26">
        <f t="shared" si="63"/>
        <v>0</v>
      </c>
      <c r="AI108" s="26">
        <f t="shared" si="63"/>
        <v>0</v>
      </c>
      <c r="AJ108" s="26">
        <f t="shared" si="63"/>
        <v>0</v>
      </c>
      <c r="AK108" s="26">
        <f t="shared" si="63"/>
        <v>0</v>
      </c>
      <c r="AL108" s="26">
        <f t="shared" si="63"/>
        <v>0</v>
      </c>
    </row>
    <row r="109" spans="1:38" ht="21" hidden="1" customHeight="1" outlineLevel="1" thickBot="1" x14ac:dyDescent="0.4">
      <c r="A109" s="8">
        <f t="shared" si="47"/>
        <v>0</v>
      </c>
      <c r="B109" s="8">
        <f t="shared" si="47"/>
        <v>0</v>
      </c>
      <c r="C109" s="8">
        <f t="shared" si="47"/>
        <v>0</v>
      </c>
      <c r="D109" s="8">
        <f t="shared" si="47"/>
        <v>0</v>
      </c>
      <c r="E109" s="9">
        <f t="shared" si="22"/>
        <v>0</v>
      </c>
      <c r="F109" s="26">
        <f t="shared" si="40"/>
        <v>0</v>
      </c>
      <c r="G109" s="26">
        <f t="shared" si="40"/>
        <v>0</v>
      </c>
      <c r="H109" s="26">
        <f t="shared" si="40"/>
        <v>0</v>
      </c>
      <c r="I109" s="26">
        <f t="shared" si="40"/>
        <v>0</v>
      </c>
      <c r="J109" s="26">
        <f t="shared" si="40"/>
        <v>0</v>
      </c>
      <c r="K109" s="26">
        <f t="shared" si="40"/>
        <v>0</v>
      </c>
      <c r="L109" s="26">
        <f t="shared" si="40"/>
        <v>0</v>
      </c>
      <c r="M109" s="26">
        <f t="shared" si="40"/>
        <v>0</v>
      </c>
      <c r="N109" s="26">
        <f t="shared" ref="N109:X109" si="64">N29*$C$82</f>
        <v>0</v>
      </c>
      <c r="O109" s="26">
        <f t="shared" si="64"/>
        <v>0</v>
      </c>
      <c r="P109" s="26">
        <f t="shared" si="64"/>
        <v>0</v>
      </c>
      <c r="Q109" s="26">
        <f t="shared" si="64"/>
        <v>0</v>
      </c>
      <c r="R109" s="26">
        <f t="shared" si="64"/>
        <v>0</v>
      </c>
      <c r="S109" s="26">
        <f t="shared" si="64"/>
        <v>0</v>
      </c>
      <c r="T109" s="26">
        <f t="shared" si="64"/>
        <v>0</v>
      </c>
      <c r="U109" s="26">
        <f t="shared" si="64"/>
        <v>0</v>
      </c>
      <c r="V109" s="26">
        <f t="shared" si="64"/>
        <v>0</v>
      </c>
      <c r="W109" s="26">
        <f t="shared" si="64"/>
        <v>0</v>
      </c>
      <c r="X109" s="26">
        <f t="shared" si="64"/>
        <v>0</v>
      </c>
      <c r="Y109" s="26">
        <f t="shared" ref="Y109:AL109" si="65">Y29*$C$82</f>
        <v>0</v>
      </c>
      <c r="Z109" s="26">
        <f t="shared" si="65"/>
        <v>0</v>
      </c>
      <c r="AA109" s="26">
        <f t="shared" si="65"/>
        <v>0</v>
      </c>
      <c r="AB109" s="26">
        <f t="shared" si="65"/>
        <v>0</v>
      </c>
      <c r="AC109" s="26">
        <f t="shared" si="65"/>
        <v>0</v>
      </c>
      <c r="AD109" s="26">
        <f t="shared" si="65"/>
        <v>0</v>
      </c>
      <c r="AE109" s="26">
        <f t="shared" si="65"/>
        <v>0</v>
      </c>
      <c r="AF109" s="26">
        <f t="shared" si="65"/>
        <v>0</v>
      </c>
      <c r="AG109" s="26">
        <f t="shared" si="65"/>
        <v>0</v>
      </c>
      <c r="AH109" s="26">
        <f t="shared" si="65"/>
        <v>0</v>
      </c>
      <c r="AI109" s="26">
        <f t="shared" si="65"/>
        <v>0</v>
      </c>
      <c r="AJ109" s="26">
        <f t="shared" si="65"/>
        <v>0</v>
      </c>
      <c r="AK109" s="26">
        <f t="shared" si="65"/>
        <v>0</v>
      </c>
      <c r="AL109" s="26">
        <f t="shared" si="65"/>
        <v>0</v>
      </c>
    </row>
    <row r="110" spans="1:38" ht="21" hidden="1" customHeight="1" outlineLevel="1" thickBot="1" x14ac:dyDescent="0.4">
      <c r="A110" s="8">
        <f t="shared" si="47"/>
        <v>0</v>
      </c>
      <c r="B110" s="8">
        <f t="shared" si="47"/>
        <v>0</v>
      </c>
      <c r="C110" s="8">
        <f t="shared" si="47"/>
        <v>0</v>
      </c>
      <c r="D110" s="8">
        <f t="shared" si="47"/>
        <v>0</v>
      </c>
      <c r="E110" s="9">
        <f t="shared" si="22"/>
        <v>0</v>
      </c>
      <c r="F110" s="26">
        <f t="shared" si="40"/>
        <v>0</v>
      </c>
      <c r="G110" s="26">
        <f t="shared" si="40"/>
        <v>0</v>
      </c>
      <c r="H110" s="26">
        <f t="shared" si="40"/>
        <v>0</v>
      </c>
      <c r="I110" s="26">
        <f t="shared" si="40"/>
        <v>0</v>
      </c>
      <c r="J110" s="26">
        <f t="shared" si="40"/>
        <v>0</v>
      </c>
      <c r="K110" s="26">
        <f t="shared" si="40"/>
        <v>0</v>
      </c>
      <c r="L110" s="26">
        <f t="shared" si="40"/>
        <v>0</v>
      </c>
      <c r="M110" s="26">
        <f t="shared" si="40"/>
        <v>0</v>
      </c>
      <c r="N110" s="26">
        <f t="shared" ref="N110:X110" si="66">N30*$C$82</f>
        <v>0</v>
      </c>
      <c r="O110" s="26">
        <f t="shared" si="66"/>
        <v>0</v>
      </c>
      <c r="P110" s="26">
        <f t="shared" si="66"/>
        <v>0</v>
      </c>
      <c r="Q110" s="26">
        <f t="shared" si="66"/>
        <v>0</v>
      </c>
      <c r="R110" s="26">
        <f t="shared" si="66"/>
        <v>0</v>
      </c>
      <c r="S110" s="26">
        <f t="shared" si="66"/>
        <v>0</v>
      </c>
      <c r="T110" s="26">
        <f t="shared" si="66"/>
        <v>0</v>
      </c>
      <c r="U110" s="26">
        <f t="shared" si="66"/>
        <v>0</v>
      </c>
      <c r="V110" s="26">
        <f t="shared" si="66"/>
        <v>0</v>
      </c>
      <c r="W110" s="26">
        <f t="shared" si="66"/>
        <v>0</v>
      </c>
      <c r="X110" s="26">
        <f t="shared" si="66"/>
        <v>0</v>
      </c>
      <c r="Y110" s="26">
        <f t="shared" ref="Y110:AL110" si="67">Y30*$C$82</f>
        <v>0</v>
      </c>
      <c r="Z110" s="26">
        <f t="shared" si="67"/>
        <v>0</v>
      </c>
      <c r="AA110" s="26">
        <f t="shared" si="67"/>
        <v>0</v>
      </c>
      <c r="AB110" s="26">
        <f t="shared" si="67"/>
        <v>0</v>
      </c>
      <c r="AC110" s="26">
        <f t="shared" si="67"/>
        <v>0</v>
      </c>
      <c r="AD110" s="26">
        <f t="shared" si="67"/>
        <v>0</v>
      </c>
      <c r="AE110" s="26">
        <f t="shared" si="67"/>
        <v>0</v>
      </c>
      <c r="AF110" s="26">
        <f t="shared" si="67"/>
        <v>0</v>
      </c>
      <c r="AG110" s="26">
        <f t="shared" si="67"/>
        <v>0</v>
      </c>
      <c r="AH110" s="26">
        <f t="shared" si="67"/>
        <v>0</v>
      </c>
      <c r="AI110" s="26">
        <f t="shared" si="67"/>
        <v>0</v>
      </c>
      <c r="AJ110" s="26">
        <f t="shared" si="67"/>
        <v>0</v>
      </c>
      <c r="AK110" s="26">
        <f t="shared" si="67"/>
        <v>0</v>
      </c>
      <c r="AL110" s="26">
        <f t="shared" si="67"/>
        <v>0</v>
      </c>
    </row>
    <row r="111" spans="1:38" ht="21" hidden="1" customHeight="1" outlineLevel="1" thickBot="1" x14ac:dyDescent="0.4">
      <c r="A111" s="8">
        <f t="shared" si="47"/>
        <v>0</v>
      </c>
      <c r="B111" s="8">
        <f t="shared" si="47"/>
        <v>0</v>
      </c>
      <c r="C111" s="8">
        <f t="shared" si="47"/>
        <v>0</v>
      </c>
      <c r="D111" s="8">
        <f t="shared" si="47"/>
        <v>0</v>
      </c>
      <c r="E111" s="9">
        <f t="shared" si="22"/>
        <v>0</v>
      </c>
      <c r="F111" s="26">
        <f t="shared" si="40"/>
        <v>0</v>
      </c>
      <c r="G111" s="26">
        <f t="shared" si="40"/>
        <v>0</v>
      </c>
      <c r="H111" s="26">
        <f t="shared" si="40"/>
        <v>0</v>
      </c>
      <c r="I111" s="26">
        <f t="shared" si="40"/>
        <v>0</v>
      </c>
      <c r="J111" s="26">
        <f t="shared" si="40"/>
        <v>0</v>
      </c>
      <c r="K111" s="26">
        <f t="shared" si="40"/>
        <v>0</v>
      </c>
      <c r="L111" s="26">
        <f t="shared" si="40"/>
        <v>0</v>
      </c>
      <c r="M111" s="26">
        <f t="shared" si="40"/>
        <v>0</v>
      </c>
      <c r="N111" s="26">
        <f t="shared" ref="N111:X111" si="68">N31*$C$82</f>
        <v>0</v>
      </c>
      <c r="O111" s="26">
        <f t="shared" si="68"/>
        <v>0</v>
      </c>
      <c r="P111" s="26">
        <f t="shared" si="68"/>
        <v>0</v>
      </c>
      <c r="Q111" s="26">
        <f t="shared" si="68"/>
        <v>0</v>
      </c>
      <c r="R111" s="26">
        <f t="shared" si="68"/>
        <v>0</v>
      </c>
      <c r="S111" s="26">
        <f t="shared" si="68"/>
        <v>0</v>
      </c>
      <c r="T111" s="26">
        <f t="shared" si="68"/>
        <v>0</v>
      </c>
      <c r="U111" s="26">
        <f t="shared" si="68"/>
        <v>0</v>
      </c>
      <c r="V111" s="26">
        <f t="shared" si="68"/>
        <v>0</v>
      </c>
      <c r="W111" s="26">
        <f t="shared" si="68"/>
        <v>0</v>
      </c>
      <c r="X111" s="26">
        <f t="shared" si="68"/>
        <v>0</v>
      </c>
      <c r="Y111" s="26">
        <f t="shared" ref="Y111:AL111" si="69">Y31*$C$82</f>
        <v>0</v>
      </c>
      <c r="Z111" s="26">
        <f t="shared" si="69"/>
        <v>0</v>
      </c>
      <c r="AA111" s="26">
        <f t="shared" si="69"/>
        <v>0</v>
      </c>
      <c r="AB111" s="26">
        <f t="shared" si="69"/>
        <v>0</v>
      </c>
      <c r="AC111" s="26">
        <f t="shared" si="69"/>
        <v>0</v>
      </c>
      <c r="AD111" s="26">
        <f t="shared" si="69"/>
        <v>0</v>
      </c>
      <c r="AE111" s="26">
        <f t="shared" si="69"/>
        <v>0</v>
      </c>
      <c r="AF111" s="26">
        <f t="shared" si="69"/>
        <v>0</v>
      </c>
      <c r="AG111" s="26">
        <f t="shared" si="69"/>
        <v>0</v>
      </c>
      <c r="AH111" s="26">
        <f t="shared" si="69"/>
        <v>0</v>
      </c>
      <c r="AI111" s="26">
        <f t="shared" si="69"/>
        <v>0</v>
      </c>
      <c r="AJ111" s="26">
        <f t="shared" si="69"/>
        <v>0</v>
      </c>
      <c r="AK111" s="26">
        <f t="shared" si="69"/>
        <v>0</v>
      </c>
      <c r="AL111" s="26">
        <f t="shared" si="69"/>
        <v>0</v>
      </c>
    </row>
    <row r="112" spans="1:38" ht="21" hidden="1" customHeight="1" outlineLevel="1" thickBot="1" x14ac:dyDescent="0.4">
      <c r="A112" s="8">
        <f t="shared" si="47"/>
        <v>0</v>
      </c>
      <c r="B112" s="8">
        <f t="shared" si="47"/>
        <v>0</v>
      </c>
      <c r="C112" s="8">
        <f t="shared" si="47"/>
        <v>0</v>
      </c>
      <c r="D112" s="8">
        <f t="shared" si="47"/>
        <v>0</v>
      </c>
      <c r="E112" s="9">
        <f t="shared" si="22"/>
        <v>0</v>
      </c>
      <c r="F112" s="26">
        <f t="shared" si="40"/>
        <v>0</v>
      </c>
      <c r="G112" s="26">
        <f t="shared" si="40"/>
        <v>0</v>
      </c>
      <c r="H112" s="26">
        <f t="shared" si="40"/>
        <v>0</v>
      </c>
      <c r="I112" s="26">
        <f t="shared" si="40"/>
        <v>0</v>
      </c>
      <c r="J112" s="26">
        <f t="shared" si="40"/>
        <v>0</v>
      </c>
      <c r="K112" s="26">
        <f t="shared" si="40"/>
        <v>0</v>
      </c>
      <c r="L112" s="26">
        <f t="shared" si="40"/>
        <v>0</v>
      </c>
      <c r="M112" s="26">
        <f t="shared" si="40"/>
        <v>0</v>
      </c>
      <c r="N112" s="26">
        <f t="shared" ref="N112:X112" si="70">N32*$C$82</f>
        <v>0</v>
      </c>
      <c r="O112" s="26">
        <f t="shared" si="70"/>
        <v>0</v>
      </c>
      <c r="P112" s="26">
        <f t="shared" si="70"/>
        <v>0</v>
      </c>
      <c r="Q112" s="26">
        <f t="shared" si="70"/>
        <v>0</v>
      </c>
      <c r="R112" s="26">
        <f t="shared" si="70"/>
        <v>0</v>
      </c>
      <c r="S112" s="26">
        <f t="shared" si="70"/>
        <v>0</v>
      </c>
      <c r="T112" s="26">
        <f t="shared" si="70"/>
        <v>0</v>
      </c>
      <c r="U112" s="26">
        <f t="shared" si="70"/>
        <v>0</v>
      </c>
      <c r="V112" s="26">
        <f t="shared" si="70"/>
        <v>0</v>
      </c>
      <c r="W112" s="26">
        <f t="shared" si="70"/>
        <v>0</v>
      </c>
      <c r="X112" s="26">
        <f t="shared" si="70"/>
        <v>0</v>
      </c>
      <c r="Y112" s="26">
        <f t="shared" ref="Y112:AL112" si="71">Y32*$C$82</f>
        <v>0</v>
      </c>
      <c r="Z112" s="26">
        <f t="shared" si="71"/>
        <v>0</v>
      </c>
      <c r="AA112" s="26">
        <f t="shared" si="71"/>
        <v>0</v>
      </c>
      <c r="AB112" s="26">
        <f t="shared" si="71"/>
        <v>0</v>
      </c>
      <c r="AC112" s="26">
        <f t="shared" si="71"/>
        <v>0</v>
      </c>
      <c r="AD112" s="26">
        <f t="shared" si="71"/>
        <v>0</v>
      </c>
      <c r="AE112" s="26">
        <f t="shared" si="71"/>
        <v>0</v>
      </c>
      <c r="AF112" s="26">
        <f t="shared" si="71"/>
        <v>0</v>
      </c>
      <c r="AG112" s="26">
        <f t="shared" si="71"/>
        <v>0</v>
      </c>
      <c r="AH112" s="26">
        <f t="shared" si="71"/>
        <v>0</v>
      </c>
      <c r="AI112" s="26">
        <f t="shared" si="71"/>
        <v>0</v>
      </c>
      <c r="AJ112" s="26">
        <f t="shared" si="71"/>
        <v>0</v>
      </c>
      <c r="AK112" s="26">
        <f t="shared" si="71"/>
        <v>0</v>
      </c>
      <c r="AL112" s="26">
        <f t="shared" si="71"/>
        <v>0</v>
      </c>
    </row>
    <row r="113" spans="1:38" ht="21" hidden="1" customHeight="1" outlineLevel="1" thickBot="1" x14ac:dyDescent="0.4">
      <c r="A113" s="8">
        <f t="shared" si="47"/>
        <v>0</v>
      </c>
      <c r="B113" s="8">
        <f t="shared" si="47"/>
        <v>0</v>
      </c>
      <c r="C113" s="8">
        <f t="shared" si="47"/>
        <v>0</v>
      </c>
      <c r="D113" s="8">
        <f t="shared" si="47"/>
        <v>0</v>
      </c>
      <c r="E113" s="9">
        <f t="shared" si="22"/>
        <v>1</v>
      </c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</row>
    <row r="114" spans="1:38" ht="21" hidden="1" customHeight="1" outlineLevel="1" x14ac:dyDescent="0.35"/>
    <row r="115" spans="1:38" ht="21" customHeight="1" collapsed="1" thickBot="1" x14ac:dyDescent="0.4"/>
    <row r="116" spans="1:38" ht="21" customHeight="1" thickTop="1" thickBot="1" x14ac:dyDescent="0.45">
      <c r="A116" s="1"/>
      <c r="B116" s="1"/>
      <c r="C116" s="1"/>
      <c r="D116" s="1"/>
      <c r="E116" s="2" t="s">
        <v>32</v>
      </c>
      <c r="F116" s="3"/>
      <c r="G116" s="2"/>
      <c r="H116" s="2"/>
      <c r="I116" s="2"/>
      <c r="J116" s="2"/>
      <c r="K116" s="2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</row>
    <row r="117" spans="1:38" ht="21" customHeight="1" outlineLevel="1" thickTop="1" thickBot="1" x14ac:dyDescent="0.4">
      <c r="A117" s="90" t="s">
        <v>11</v>
      </c>
      <c r="B117" s="91"/>
      <c r="C117" s="44" t="s">
        <v>12</v>
      </c>
      <c r="D117" s="27" t="s">
        <v>13</v>
      </c>
      <c r="E117" s="27"/>
      <c r="F117" s="7">
        <f t="shared" ref="F117:AL117" si="72">F3</f>
        <v>298.2</v>
      </c>
      <c r="G117" s="7">
        <f t="shared" si="72"/>
        <v>331.5</v>
      </c>
      <c r="H117" s="7">
        <f t="shared" si="72"/>
        <v>364.9</v>
      </c>
      <c r="I117" s="7">
        <f t="shared" si="72"/>
        <v>398.3</v>
      </c>
      <c r="J117" s="7">
        <f t="shared" si="72"/>
        <v>431.7</v>
      </c>
      <c r="K117" s="7">
        <f t="shared" si="72"/>
        <v>465.1</v>
      </c>
      <c r="L117" s="7">
        <f t="shared" si="72"/>
        <v>498.5</v>
      </c>
      <c r="M117" s="7">
        <f t="shared" si="72"/>
        <v>531.79999999999995</v>
      </c>
      <c r="N117" s="7">
        <f t="shared" si="72"/>
        <v>565.20000000000005</v>
      </c>
      <c r="O117" s="7">
        <f t="shared" si="72"/>
        <v>598.6</v>
      </c>
      <c r="P117" s="7">
        <f t="shared" si="72"/>
        <v>632</v>
      </c>
      <c r="Q117" s="7">
        <f t="shared" si="72"/>
        <v>665.4</v>
      </c>
      <c r="R117" s="7">
        <f t="shared" si="72"/>
        <v>698.8</v>
      </c>
      <c r="S117" s="7">
        <f t="shared" si="72"/>
        <v>832.3</v>
      </c>
      <c r="T117" s="7">
        <f t="shared" si="72"/>
        <v>965.8</v>
      </c>
      <c r="U117" s="7">
        <f t="shared" si="72"/>
        <v>1099</v>
      </c>
      <c r="V117" s="7">
        <f t="shared" si="72"/>
        <v>1133</v>
      </c>
      <c r="W117" s="7">
        <f t="shared" si="72"/>
        <v>1166</v>
      </c>
      <c r="X117" s="7">
        <f t="shared" si="72"/>
        <v>1200</v>
      </c>
      <c r="Y117" s="7">
        <f t="shared" si="72"/>
        <v>1233</v>
      </c>
      <c r="Z117" s="7">
        <f t="shared" si="72"/>
        <v>1366</v>
      </c>
      <c r="AA117" s="7">
        <f t="shared" si="72"/>
        <v>1500</v>
      </c>
      <c r="AB117" s="7">
        <f t="shared" si="72"/>
        <v>0</v>
      </c>
      <c r="AC117" s="7">
        <f t="shared" si="72"/>
        <v>0</v>
      </c>
      <c r="AD117" s="7">
        <f t="shared" si="72"/>
        <v>0</v>
      </c>
      <c r="AE117" s="7">
        <f t="shared" si="72"/>
        <v>0</v>
      </c>
      <c r="AF117" s="7">
        <f t="shared" si="72"/>
        <v>0</v>
      </c>
      <c r="AG117" s="7">
        <f t="shared" si="72"/>
        <v>0</v>
      </c>
      <c r="AH117" s="7">
        <f t="shared" si="72"/>
        <v>0</v>
      </c>
      <c r="AI117" s="7">
        <f t="shared" si="72"/>
        <v>0</v>
      </c>
      <c r="AJ117" s="7">
        <f t="shared" si="72"/>
        <v>0</v>
      </c>
      <c r="AK117" s="7">
        <f t="shared" si="72"/>
        <v>0</v>
      </c>
      <c r="AL117" s="7">
        <f t="shared" si="72"/>
        <v>0</v>
      </c>
    </row>
    <row r="118" spans="1:38" ht="21" customHeight="1" outlineLevel="1" thickTop="1" thickBot="1" x14ac:dyDescent="0.4">
      <c r="A118" s="42">
        <f>$A$2</f>
        <v>731</v>
      </c>
      <c r="B118" s="83">
        <f ca="1">MIN(MIN(F118:AL121),MIN(F41:AL41))</f>
        <v>-2840.5449939642649</v>
      </c>
      <c r="C118" s="45">
        <f>COUNTA(E118:E125)+1</f>
        <v>7</v>
      </c>
      <c r="E118" s="29" t="s">
        <v>73</v>
      </c>
      <c r="F118" s="85">
        <f ca="1">F$117*$B$2*SUMPRODUCT(F$89:F$98,F$55:F$64)/1000</f>
        <v>-273.27222024545767</v>
      </c>
      <c r="G118" s="85">
        <f t="shared" ref="G118:AL118" ca="1" si="73">G$117*$B$2*SUMPRODUCT(G$89:G$98,G$55:G$64)/1000</f>
        <v>-296.49863021709274</v>
      </c>
      <c r="H118" s="85">
        <f t="shared" ca="1" si="73"/>
        <v>-317.66214266472616</v>
      </c>
      <c r="I118" s="85">
        <f t="shared" ca="1" si="73"/>
        <v>-331.802764632736</v>
      </c>
      <c r="J118" s="85">
        <f t="shared" ca="1" si="73"/>
        <v>-348.69440401523849</v>
      </c>
      <c r="K118" s="85">
        <f t="shared" ca="1" si="73"/>
        <v>-376.62331661032351</v>
      </c>
      <c r="L118" s="85">
        <f t="shared" ca="1" si="73"/>
        <v>-427.3135371895176</v>
      </c>
      <c r="M118" s="85">
        <f t="shared" ca="1" si="73"/>
        <v>-633.93543623277378</v>
      </c>
      <c r="N118" s="85">
        <f t="shared" ca="1" si="73"/>
        <v>-694.62562127335298</v>
      </c>
      <c r="O118" s="85">
        <f t="shared" ca="1" si="73"/>
        <v>-756.71248312547812</v>
      </c>
      <c r="P118" s="85">
        <f t="shared" ca="1" si="73"/>
        <v>-820.64242361931872</v>
      </c>
      <c r="Q118" s="85">
        <f t="shared" ca="1" si="73"/>
        <v>-886.61313474869678</v>
      </c>
      <c r="R118" s="85">
        <f t="shared" ca="1" si="73"/>
        <v>-954.55722888938931</v>
      </c>
      <c r="S118" s="85">
        <f t="shared" ca="1" si="73"/>
        <v>-1241.2463961793101</v>
      </c>
      <c r="T118" s="85">
        <f t="shared" ca="1" si="73"/>
        <v>-1548.3325394869191</v>
      </c>
      <c r="U118" s="85">
        <f t="shared" ca="1" si="73"/>
        <v>-1868.2017970383879</v>
      </c>
      <c r="V118" s="85">
        <f t="shared" ca="1" si="73"/>
        <v>-1950.6611640188546</v>
      </c>
      <c r="W118" s="85">
        <f t="shared" ca="1" si="73"/>
        <v>-2031.642201820147</v>
      </c>
      <c r="X118" s="85">
        <f t="shared" ca="1" si="73"/>
        <v>-2114.4239196907956</v>
      </c>
      <c r="Y118" s="85">
        <f t="shared" ca="1" si="73"/>
        <v>-2195.893370256651</v>
      </c>
      <c r="Z118" s="85">
        <f t="shared" ca="1" si="73"/>
        <v>-2521.3622539169141</v>
      </c>
      <c r="AA118" s="85">
        <f t="shared" ca="1" si="73"/>
        <v>-2840.5449939642649</v>
      </c>
      <c r="AB118" s="85">
        <f t="shared" ca="1" si="73"/>
        <v>0</v>
      </c>
      <c r="AC118" s="85">
        <f t="shared" ca="1" si="73"/>
        <v>0</v>
      </c>
      <c r="AD118" s="85">
        <f t="shared" ca="1" si="73"/>
        <v>0</v>
      </c>
      <c r="AE118" s="85">
        <f t="shared" ca="1" si="73"/>
        <v>0</v>
      </c>
      <c r="AF118" s="85">
        <f t="shared" ca="1" si="73"/>
        <v>0</v>
      </c>
      <c r="AG118" s="85">
        <f t="shared" ca="1" si="73"/>
        <v>0</v>
      </c>
      <c r="AH118" s="85">
        <f t="shared" ca="1" si="73"/>
        <v>0</v>
      </c>
      <c r="AI118" s="85">
        <f t="shared" ca="1" si="73"/>
        <v>0</v>
      </c>
      <c r="AJ118" s="85">
        <f t="shared" ca="1" si="73"/>
        <v>0</v>
      </c>
      <c r="AK118" s="85">
        <f t="shared" ca="1" si="73"/>
        <v>0</v>
      </c>
      <c r="AL118" s="85">
        <f t="shared" ca="1" si="73"/>
        <v>0</v>
      </c>
    </row>
    <row r="119" spans="1:38" ht="21" customHeight="1" outlineLevel="1" thickBot="1" x14ac:dyDescent="0.4">
      <c r="A119" s="43">
        <f>$A$118</f>
        <v>731</v>
      </c>
      <c r="B119" s="84">
        <f ca="1">MAX(MAX(F118:AL121),MAX(F41:AL41))</f>
        <v>0</v>
      </c>
      <c r="C119" s="46">
        <f xml:space="preserve"> COUNTIF(F117:AL117,"&lt;&gt;"&amp;0)</f>
        <v>22</v>
      </c>
      <c r="E119" s="29" t="s">
        <v>74</v>
      </c>
      <c r="F119" s="26">
        <f ca="1">F$117*$B$2*SUMPRODUCT(F$84:F$92,F$50:F$58)/1000</f>
        <v>-585.01145213720304</v>
      </c>
      <c r="G119" s="26">
        <f t="shared" ref="G119:AL119" ca="1" si="74">G$117*$B$2*SUMPRODUCT(G$84:G$92,G$50:G$58)/1000</f>
        <v>-591.51703968701963</v>
      </c>
      <c r="H119" s="26">
        <f t="shared" ca="1" si="74"/>
        <v>-599.37228932201424</v>
      </c>
      <c r="I119" s="26">
        <f t="shared" ca="1" si="74"/>
        <v>-613.52775435972694</v>
      </c>
      <c r="J119" s="26">
        <f t="shared" ca="1" si="74"/>
        <v>-624.31854157896771</v>
      </c>
      <c r="K119" s="26">
        <f t="shared" ca="1" si="74"/>
        <v>-619.61593713331558</v>
      </c>
      <c r="L119" s="26">
        <f t="shared" ca="1" si="74"/>
        <v>-584.6453791533412</v>
      </c>
      <c r="M119" s="26">
        <f t="shared" ca="1" si="74"/>
        <v>-174.62288867062585</v>
      </c>
      <c r="N119" s="26">
        <f t="shared" ca="1" si="74"/>
        <v>-169.50653905618503</v>
      </c>
      <c r="O119" s="26">
        <f t="shared" ca="1" si="74"/>
        <v>-177.04983514819327</v>
      </c>
      <c r="P119" s="26">
        <f t="shared" ca="1" si="74"/>
        <v>-186.73486348131306</v>
      </c>
      <c r="Q119" s="26">
        <f t="shared" ca="1" si="74"/>
        <v>-197.13330224955337</v>
      </c>
      <c r="R119" s="26">
        <f t="shared" ca="1" si="74"/>
        <v>-207.81868021390306</v>
      </c>
      <c r="S119" s="26">
        <f t="shared" ca="1" si="74"/>
        <v>-251.53849725974428</v>
      </c>
      <c r="T119" s="26">
        <f t="shared" ca="1" si="74"/>
        <v>-296.43980584163808</v>
      </c>
      <c r="U119" s="26">
        <f t="shared" ca="1" si="74"/>
        <v>-342.11924928708709</v>
      </c>
      <c r="V119" s="26">
        <f t="shared" ca="1" si="74"/>
        <v>-353.96577616524723</v>
      </c>
      <c r="W119" s="26">
        <f t="shared" ca="1" si="74"/>
        <v>-365.40326839973346</v>
      </c>
      <c r="X119" s="26">
        <f t="shared" ca="1" si="74"/>
        <v>-377.2189519509584</v>
      </c>
      <c r="Y119" s="26">
        <f t="shared" ca="1" si="74"/>
        <v>-388.77996846182833</v>
      </c>
      <c r="Z119" s="26">
        <f t="shared" ca="1" si="74"/>
        <v>-435.91070673749039</v>
      </c>
      <c r="AA119" s="26">
        <f t="shared" ca="1" si="74"/>
        <v>-484.08069513732823</v>
      </c>
      <c r="AB119" s="26">
        <f t="shared" ca="1" si="74"/>
        <v>0</v>
      </c>
      <c r="AC119" s="26">
        <f t="shared" ca="1" si="74"/>
        <v>0</v>
      </c>
      <c r="AD119" s="26">
        <f t="shared" ca="1" si="74"/>
        <v>0</v>
      </c>
      <c r="AE119" s="26">
        <f t="shared" ca="1" si="74"/>
        <v>0</v>
      </c>
      <c r="AF119" s="26">
        <f t="shared" ca="1" si="74"/>
        <v>0</v>
      </c>
      <c r="AG119" s="26">
        <f t="shared" ca="1" si="74"/>
        <v>0</v>
      </c>
      <c r="AH119" s="26">
        <f t="shared" ca="1" si="74"/>
        <v>0</v>
      </c>
      <c r="AI119" s="26">
        <f t="shared" ca="1" si="74"/>
        <v>0</v>
      </c>
      <c r="AJ119" s="26">
        <f t="shared" ca="1" si="74"/>
        <v>0</v>
      </c>
      <c r="AK119" s="26">
        <f t="shared" ca="1" si="74"/>
        <v>0</v>
      </c>
      <c r="AL119" s="26">
        <f t="shared" ca="1" si="74"/>
        <v>0</v>
      </c>
    </row>
    <row r="120" spans="1:38" ht="21" customHeight="1" outlineLevel="1" thickBot="1" x14ac:dyDescent="0.4">
      <c r="E120" s="29" t="s">
        <v>15</v>
      </c>
      <c r="F120" s="26">
        <f ca="1">F$117*$B$2*SUMPRODUCT(F$86:F$87,F$52:F$53)/1000</f>
        <v>-237.17563242849008</v>
      </c>
      <c r="G120" s="26">
        <f t="shared" ref="G120:AL120" ca="1" si="75">G$117*$B$2*SUMPRODUCT(G$86:G$87,G$52:G$53)/1000</f>
        <v>-223.93776305516852</v>
      </c>
      <c r="H120" s="26">
        <f t="shared" ca="1" si="75"/>
        <v>-214.64619396559306</v>
      </c>
      <c r="I120" s="26">
        <f t="shared" ca="1" si="75"/>
        <v>-213.66935487060803</v>
      </c>
      <c r="J120" s="26">
        <f t="shared" ca="1" si="75"/>
        <v>-210.84385565810666</v>
      </c>
      <c r="K120" s="26">
        <f t="shared" ca="1" si="75"/>
        <v>-198.75502852807628</v>
      </c>
      <c r="L120" s="26">
        <f t="shared" ca="1" si="75"/>
        <v>-167.19800037095402</v>
      </c>
      <c r="M120" s="26">
        <f t="shared" ca="1" si="75"/>
        <v>-1.2117102623154976</v>
      </c>
      <c r="N120" s="26">
        <f t="shared" ca="1" si="75"/>
        <v>-1.3650164645147869E-4</v>
      </c>
      <c r="O120" s="26">
        <f t="shared" ca="1" si="75"/>
        <v>-2.9459692420060309E-8</v>
      </c>
      <c r="P120" s="26">
        <f t="shared" ca="1" si="75"/>
        <v>-1.1322046540359577E-11</v>
      </c>
      <c r="Q120" s="26">
        <f t="shared" ca="1" si="75"/>
        <v>-7.2298849711329807E-15</v>
      </c>
      <c r="R120" s="26">
        <f t="shared" ca="1" si="75"/>
        <v>-7.2691758966830498E-18</v>
      </c>
      <c r="S120" s="26">
        <f t="shared" ca="1" si="75"/>
        <v>-5.4507143372282674E-16</v>
      </c>
      <c r="T120" s="26">
        <f t="shared" ca="1" si="75"/>
        <v>-1.1592660649777627E-12</v>
      </c>
      <c r="U120" s="26">
        <f t="shared" ca="1" si="75"/>
        <v>-3.9101666271731005E-10</v>
      </c>
      <c r="V120" s="26">
        <f t="shared" ca="1" si="75"/>
        <v>-1.3565096879857052E-9</v>
      </c>
      <c r="W120" s="26">
        <f t="shared" ca="1" si="75"/>
        <v>-4.3817523993117614E-9</v>
      </c>
      <c r="X120" s="26">
        <f t="shared" ca="1" si="75"/>
        <v>-1.3282872045240003E-8</v>
      </c>
      <c r="Y120" s="26">
        <f t="shared" ca="1" si="75"/>
        <v>-3.7912887357083108E-8</v>
      </c>
      <c r="Z120" s="26">
        <f t="shared" ca="1" si="75"/>
        <v>-1.5166645328986553E-6</v>
      </c>
      <c r="AA120" s="26">
        <f t="shared" ca="1" si="75"/>
        <v>-3.1696476619875006E-5</v>
      </c>
      <c r="AB120" s="26">
        <f t="shared" ca="1" si="75"/>
        <v>0</v>
      </c>
      <c r="AC120" s="26">
        <f t="shared" ca="1" si="75"/>
        <v>0</v>
      </c>
      <c r="AD120" s="26">
        <f t="shared" ca="1" si="75"/>
        <v>0</v>
      </c>
      <c r="AE120" s="26">
        <f t="shared" ca="1" si="75"/>
        <v>0</v>
      </c>
      <c r="AF120" s="26">
        <f t="shared" ca="1" si="75"/>
        <v>0</v>
      </c>
      <c r="AG120" s="26">
        <f t="shared" ca="1" si="75"/>
        <v>0</v>
      </c>
      <c r="AH120" s="26">
        <f t="shared" ca="1" si="75"/>
        <v>0</v>
      </c>
      <c r="AI120" s="26">
        <f t="shared" ca="1" si="75"/>
        <v>0</v>
      </c>
      <c r="AJ120" s="26">
        <f t="shared" ca="1" si="75"/>
        <v>0</v>
      </c>
      <c r="AK120" s="26">
        <f t="shared" ca="1" si="75"/>
        <v>0</v>
      </c>
      <c r="AL120" s="26">
        <f t="shared" ca="1" si="75"/>
        <v>0</v>
      </c>
    </row>
    <row r="121" spans="1:38" ht="21" customHeight="1" outlineLevel="1" thickBot="1" x14ac:dyDescent="0.4">
      <c r="E121" s="29" t="s">
        <v>16</v>
      </c>
      <c r="F121" s="26">
        <f ca="1">F$117*$B$2*SUMPRODUCT(F$86:F$88,F$52:F$54)/1000</f>
        <v>-315.19357914849002</v>
      </c>
      <c r="G121" s="26">
        <f t="shared" ref="G121:AL121" ca="1" si="76">G$117*$B$2*SUMPRODUCT(G$86:G$88,G$52:G$54)/1000</f>
        <v>-310.62203784266853</v>
      </c>
      <c r="H121" s="26">
        <f t="shared" ca="1" si="76"/>
        <v>-310.21596704059306</v>
      </c>
      <c r="I121" s="26">
        <f t="shared" ca="1" si="76"/>
        <v>-318.20759108560804</v>
      </c>
      <c r="J121" s="26">
        <f t="shared" ca="1" si="76"/>
        <v>-324.44740508060664</v>
      </c>
      <c r="K121" s="26">
        <f t="shared" ca="1" si="76"/>
        <v>-321.47017520807628</v>
      </c>
      <c r="L121" s="26">
        <f t="shared" ca="1" si="76"/>
        <v>-298.93286908345408</v>
      </c>
      <c r="M121" s="26">
        <f t="shared" ca="1" si="76"/>
        <v>-140.93588502231555</v>
      </c>
      <c r="N121" s="26">
        <f t="shared" ca="1" si="76"/>
        <v>-149.04802527164651</v>
      </c>
      <c r="O121" s="26">
        <f t="shared" ca="1" si="76"/>
        <v>-158.43640047945976</v>
      </c>
      <c r="P121" s="26">
        <f t="shared" ca="1" si="76"/>
        <v>-167.88970980001136</v>
      </c>
      <c r="Q121" s="26">
        <f t="shared" ca="1" si="76"/>
        <v>-177.40781682000005</v>
      </c>
      <c r="R121" s="26">
        <f t="shared" ca="1" si="76"/>
        <v>-186.99072151000004</v>
      </c>
      <c r="S121" s="26">
        <f t="shared" ca="1" si="76"/>
        <v>-225.71249818250007</v>
      </c>
      <c r="T121" s="26">
        <f t="shared" ca="1" si="76"/>
        <v>-265.26242677000118</v>
      </c>
      <c r="U121" s="26">
        <f t="shared" ca="1" si="76"/>
        <v>-305.34931962539105</v>
      </c>
      <c r="V121" s="26">
        <f t="shared" ca="1" si="76"/>
        <v>-315.73801022635661</v>
      </c>
      <c r="W121" s="26">
        <f t="shared" ca="1" si="76"/>
        <v>-325.74215520438185</v>
      </c>
      <c r="X121" s="26">
        <f t="shared" ca="1" si="76"/>
        <v>-336.072090013283</v>
      </c>
      <c r="Y121" s="26">
        <f t="shared" ca="1" si="76"/>
        <v>-346.16838738791296</v>
      </c>
      <c r="Z121" s="26">
        <f t="shared" ca="1" si="76"/>
        <v>-387.29440021666471</v>
      </c>
      <c r="AA121" s="26">
        <f t="shared" ca="1" si="76"/>
        <v>-429.23609419647676</v>
      </c>
      <c r="AB121" s="26">
        <f t="shared" ca="1" si="76"/>
        <v>0</v>
      </c>
      <c r="AC121" s="26">
        <f t="shared" ca="1" si="76"/>
        <v>0</v>
      </c>
      <c r="AD121" s="26">
        <f t="shared" ca="1" si="76"/>
        <v>0</v>
      </c>
      <c r="AE121" s="26">
        <f t="shared" ca="1" si="76"/>
        <v>0</v>
      </c>
      <c r="AF121" s="26">
        <f t="shared" ca="1" si="76"/>
        <v>0</v>
      </c>
      <c r="AG121" s="26">
        <f t="shared" ca="1" si="76"/>
        <v>0</v>
      </c>
      <c r="AH121" s="26">
        <f t="shared" ca="1" si="76"/>
        <v>0</v>
      </c>
      <c r="AI121" s="26">
        <f t="shared" ca="1" si="76"/>
        <v>0</v>
      </c>
      <c r="AJ121" s="26">
        <f t="shared" ca="1" si="76"/>
        <v>0</v>
      </c>
      <c r="AK121" s="26">
        <f t="shared" ca="1" si="76"/>
        <v>0</v>
      </c>
      <c r="AL121" s="26">
        <f t="shared" ca="1" si="76"/>
        <v>0</v>
      </c>
    </row>
    <row r="122" spans="1:38" ht="21" customHeight="1" outlineLevel="1" thickBot="1" x14ac:dyDescent="0.4">
      <c r="E122" s="29" t="s">
        <v>75</v>
      </c>
      <c r="F122" s="26">
        <f ca="1">F120+F118</f>
        <v>-510.44785267394775</v>
      </c>
      <c r="G122" s="26">
        <f t="shared" ref="G122:AL122" ca="1" si="77">G120+G118</f>
        <v>-520.43639327226128</v>
      </c>
      <c r="H122" s="26">
        <f t="shared" ca="1" si="77"/>
        <v>-532.30833663031922</v>
      </c>
      <c r="I122" s="26">
        <f t="shared" ca="1" si="77"/>
        <v>-545.47211950334406</v>
      </c>
      <c r="J122" s="26">
        <f t="shared" ca="1" si="77"/>
        <v>-559.53825967334512</v>
      </c>
      <c r="K122" s="26">
        <f t="shared" ca="1" si="77"/>
        <v>-575.37834513839982</v>
      </c>
      <c r="L122" s="26">
        <f t="shared" ca="1" si="77"/>
        <v>-594.51153756047165</v>
      </c>
      <c r="M122" s="26">
        <f t="shared" ca="1" si="77"/>
        <v>-635.14714649508926</v>
      </c>
      <c r="N122" s="26">
        <f t="shared" ca="1" si="77"/>
        <v>-694.62575777499944</v>
      </c>
      <c r="O122" s="26">
        <f t="shared" ca="1" si="77"/>
        <v>-756.71248315493779</v>
      </c>
      <c r="P122" s="26">
        <f t="shared" ca="1" si="77"/>
        <v>-820.64242361933009</v>
      </c>
      <c r="Q122" s="26">
        <f t="shared" ca="1" si="77"/>
        <v>-886.61313474869678</v>
      </c>
      <c r="R122" s="26">
        <f t="shared" ca="1" si="77"/>
        <v>-954.55722888938931</v>
      </c>
      <c r="S122" s="26">
        <f t="shared" ca="1" si="77"/>
        <v>-1241.2463961793101</v>
      </c>
      <c r="T122" s="26">
        <f t="shared" ca="1" si="77"/>
        <v>-1548.3325394869203</v>
      </c>
      <c r="U122" s="26">
        <f t="shared" ca="1" si="77"/>
        <v>-1868.201797038779</v>
      </c>
      <c r="V122" s="26">
        <f t="shared" ca="1" si="77"/>
        <v>-1950.6611640202111</v>
      </c>
      <c r="W122" s="26">
        <f t="shared" ca="1" si="77"/>
        <v>-2031.6422018245287</v>
      </c>
      <c r="X122" s="26">
        <f t="shared" ca="1" si="77"/>
        <v>-2114.4239197040783</v>
      </c>
      <c r="Y122" s="26">
        <f t="shared" ca="1" si="77"/>
        <v>-2195.8933702945637</v>
      </c>
      <c r="Z122" s="26">
        <f t="shared" ca="1" si="77"/>
        <v>-2521.3622554335789</v>
      </c>
      <c r="AA122" s="26">
        <f t="shared" ca="1" si="77"/>
        <v>-2840.5450256607414</v>
      </c>
      <c r="AB122" s="26">
        <f t="shared" ca="1" si="77"/>
        <v>0</v>
      </c>
      <c r="AC122" s="26">
        <f t="shared" ca="1" si="77"/>
        <v>0</v>
      </c>
      <c r="AD122" s="26">
        <f t="shared" ca="1" si="77"/>
        <v>0</v>
      </c>
      <c r="AE122" s="26">
        <f t="shared" ca="1" si="77"/>
        <v>0</v>
      </c>
      <c r="AF122" s="26">
        <f t="shared" ca="1" si="77"/>
        <v>0</v>
      </c>
      <c r="AG122" s="26">
        <f t="shared" ca="1" si="77"/>
        <v>0</v>
      </c>
      <c r="AH122" s="26">
        <f t="shared" ca="1" si="77"/>
        <v>0</v>
      </c>
      <c r="AI122" s="26">
        <f t="shared" ca="1" si="77"/>
        <v>0</v>
      </c>
      <c r="AJ122" s="26">
        <f t="shared" ca="1" si="77"/>
        <v>0</v>
      </c>
      <c r="AK122" s="26">
        <f t="shared" ca="1" si="77"/>
        <v>0</v>
      </c>
      <c r="AL122" s="26">
        <f t="shared" ca="1" si="77"/>
        <v>0</v>
      </c>
    </row>
    <row r="123" spans="1:38" ht="21" customHeight="1" outlineLevel="1" thickBot="1" x14ac:dyDescent="0.4">
      <c r="E123" s="29" t="s">
        <v>76</v>
      </c>
      <c r="F123" s="26">
        <f ca="1">F121+F118</f>
        <v>-588.46579939394769</v>
      </c>
      <c r="G123" s="26">
        <f t="shared" ref="G123:AL123" ca="1" si="78">G121+G118</f>
        <v>-607.12066805976133</v>
      </c>
      <c r="H123" s="26">
        <f t="shared" ca="1" si="78"/>
        <v>-627.87810970531928</v>
      </c>
      <c r="I123" s="26">
        <f t="shared" ca="1" si="78"/>
        <v>-650.01035571834404</v>
      </c>
      <c r="J123" s="26">
        <f t="shared" ca="1" si="78"/>
        <v>-673.14180909584513</v>
      </c>
      <c r="K123" s="26">
        <f t="shared" ca="1" si="78"/>
        <v>-698.0934918183998</v>
      </c>
      <c r="L123" s="26">
        <f t="shared" ca="1" si="78"/>
        <v>-726.24640627297163</v>
      </c>
      <c r="M123" s="26">
        <f t="shared" ca="1" si="78"/>
        <v>-774.87132125508936</v>
      </c>
      <c r="N123" s="26">
        <f t="shared" ca="1" si="78"/>
        <v>-843.67364654499943</v>
      </c>
      <c r="O123" s="26">
        <f t="shared" ca="1" si="78"/>
        <v>-915.14888360493785</v>
      </c>
      <c r="P123" s="26">
        <f t="shared" ca="1" si="78"/>
        <v>-988.53213341933008</v>
      </c>
      <c r="Q123" s="26">
        <f t="shared" ca="1" si="78"/>
        <v>-1064.0209515686968</v>
      </c>
      <c r="R123" s="26">
        <f t="shared" ca="1" si="78"/>
        <v>-1141.5479503993893</v>
      </c>
      <c r="S123" s="26">
        <f t="shared" ca="1" si="78"/>
        <v>-1466.9588943618101</v>
      </c>
      <c r="T123" s="26">
        <f t="shared" ca="1" si="78"/>
        <v>-1813.5949662569203</v>
      </c>
      <c r="U123" s="26">
        <f t="shared" ca="1" si="78"/>
        <v>-2173.5511166637789</v>
      </c>
      <c r="V123" s="26">
        <f t="shared" ca="1" si="78"/>
        <v>-2266.3991742452113</v>
      </c>
      <c r="W123" s="26">
        <f t="shared" ca="1" si="78"/>
        <v>-2357.384357024529</v>
      </c>
      <c r="X123" s="26">
        <f t="shared" ca="1" si="78"/>
        <v>-2450.4960097040785</v>
      </c>
      <c r="Y123" s="26">
        <f t="shared" ca="1" si="78"/>
        <v>-2542.0617576445638</v>
      </c>
      <c r="Z123" s="26">
        <f t="shared" ca="1" si="78"/>
        <v>-2908.6566541335787</v>
      </c>
      <c r="AA123" s="26">
        <f t="shared" ca="1" si="78"/>
        <v>-3269.7810881607415</v>
      </c>
      <c r="AB123" s="26">
        <f t="shared" ca="1" si="78"/>
        <v>0</v>
      </c>
      <c r="AC123" s="26">
        <f t="shared" ca="1" si="78"/>
        <v>0</v>
      </c>
      <c r="AD123" s="26">
        <f t="shared" ca="1" si="78"/>
        <v>0</v>
      </c>
      <c r="AE123" s="26">
        <f t="shared" ca="1" si="78"/>
        <v>0</v>
      </c>
      <c r="AF123" s="26">
        <f t="shared" ca="1" si="78"/>
        <v>0</v>
      </c>
      <c r="AG123" s="26">
        <f t="shared" ca="1" si="78"/>
        <v>0</v>
      </c>
      <c r="AH123" s="26">
        <f t="shared" ca="1" si="78"/>
        <v>0</v>
      </c>
      <c r="AI123" s="26">
        <f t="shared" ca="1" si="78"/>
        <v>0</v>
      </c>
      <c r="AJ123" s="26">
        <f t="shared" ca="1" si="78"/>
        <v>0</v>
      </c>
      <c r="AK123" s="26">
        <f t="shared" ca="1" si="78"/>
        <v>0</v>
      </c>
      <c r="AL123" s="26">
        <f t="shared" ca="1" si="78"/>
        <v>0</v>
      </c>
    </row>
    <row r="124" spans="1:38" ht="21" customHeight="1" outlineLevel="1" thickBot="1" x14ac:dyDescent="0.4">
      <c r="E124" s="30"/>
      <c r="L124">
        <v>5</v>
      </c>
    </row>
    <row r="125" spans="1:38" ht="21" customHeight="1" outlineLevel="1" thickBot="1" x14ac:dyDescent="0.4">
      <c r="E125" s="30"/>
      <c r="L125">
        <v>3</v>
      </c>
    </row>
    <row r="126" spans="1:38" ht="21" customHeight="1" outlineLevel="1" thickTop="1" thickBot="1" x14ac:dyDescent="0.4">
      <c r="E126" s="7">
        <f t="array" aca="1" ref="E126:AL139" ca="1">OFFSET(E117,0,0,C118,C119+1)</f>
        <v>0</v>
      </c>
      <c r="F126" s="7">
        <f ca="1"/>
        <v>298.2</v>
      </c>
      <c r="G126" s="7">
        <f ca="1"/>
        <v>331.5</v>
      </c>
      <c r="H126" s="7">
        <f ca="1"/>
        <v>364.9</v>
      </c>
      <c r="I126" s="7">
        <f ca="1"/>
        <v>398.3</v>
      </c>
      <c r="J126" s="7">
        <f ca="1"/>
        <v>431.7</v>
      </c>
      <c r="K126" s="7">
        <f ca="1"/>
        <v>465.1</v>
      </c>
      <c r="L126" s="7">
        <f ca="1"/>
        <v>498.5</v>
      </c>
      <c r="M126" s="7">
        <f ca="1"/>
        <v>531.79999999999995</v>
      </c>
      <c r="N126" s="7">
        <f ca="1"/>
        <v>565.20000000000005</v>
      </c>
      <c r="O126" s="7">
        <f ca="1"/>
        <v>598.6</v>
      </c>
      <c r="P126" s="7">
        <f ca="1"/>
        <v>632</v>
      </c>
      <c r="Q126" s="7">
        <f ca="1"/>
        <v>665.4</v>
      </c>
      <c r="R126" s="7">
        <f ca="1"/>
        <v>698.8</v>
      </c>
      <c r="S126" s="7">
        <f ca="1"/>
        <v>832.3</v>
      </c>
      <c r="T126" s="7">
        <f ca="1"/>
        <v>965.8</v>
      </c>
      <c r="U126" s="7">
        <f ca="1"/>
        <v>1099</v>
      </c>
      <c r="V126" s="7">
        <f ca="1"/>
        <v>1133</v>
      </c>
      <c r="W126" s="7">
        <f ca="1"/>
        <v>1166</v>
      </c>
      <c r="X126" s="7">
        <f ca="1"/>
        <v>1200</v>
      </c>
      <c r="Y126" s="7">
        <f ca="1"/>
        <v>1233</v>
      </c>
      <c r="Z126" s="7">
        <f ca="1"/>
        <v>1366</v>
      </c>
      <c r="AA126" s="7">
        <f ca="1"/>
        <v>1500</v>
      </c>
      <c r="AB126" s="7" t="e">
        <f ca="1"/>
        <v>#N/A</v>
      </c>
      <c r="AC126" s="7" t="e">
        <f ca="1"/>
        <v>#N/A</v>
      </c>
      <c r="AD126" s="7" t="e">
        <f ca="1"/>
        <v>#N/A</v>
      </c>
      <c r="AE126" s="7" t="e">
        <f ca="1"/>
        <v>#N/A</v>
      </c>
      <c r="AF126" s="7" t="e">
        <f ca="1"/>
        <v>#N/A</v>
      </c>
      <c r="AG126" s="7" t="e">
        <f ca="1"/>
        <v>#N/A</v>
      </c>
      <c r="AH126" s="7" t="e">
        <f ca="1"/>
        <v>#N/A</v>
      </c>
      <c r="AI126" s="7" t="e">
        <f ca="1"/>
        <v>#N/A</v>
      </c>
      <c r="AJ126" s="7" t="e">
        <f ca="1"/>
        <v>#N/A</v>
      </c>
      <c r="AK126" s="7" t="e">
        <f ca="1"/>
        <v>#N/A</v>
      </c>
      <c r="AL126" s="7" t="e">
        <f ca="1"/>
        <v>#N/A</v>
      </c>
    </row>
    <row r="127" spans="1:38" ht="21" customHeight="1" outlineLevel="1" thickTop="1" thickBot="1" x14ac:dyDescent="0.4">
      <c r="E127" s="29" t="str">
        <f ca="1"/>
        <v xml:space="preserve">Раствор 1(тв): </v>
      </c>
      <c r="F127">
        <f ca="1"/>
        <v>-273.27222024545767</v>
      </c>
      <c r="G127">
        <f ca="1"/>
        <v>-296.49863021709274</v>
      </c>
      <c r="H127">
        <f ca="1"/>
        <v>-317.66214266472616</v>
      </c>
      <c r="I127">
        <f ca="1"/>
        <v>-331.802764632736</v>
      </c>
      <c r="J127">
        <f ca="1"/>
        <v>-348.69440401523849</v>
      </c>
      <c r="K127">
        <f ca="1"/>
        <v>-376.62331661032351</v>
      </c>
      <c r="L127">
        <f ca="1"/>
        <v>-427.3135371895176</v>
      </c>
      <c r="M127">
        <f ca="1"/>
        <v>-633.93543623277378</v>
      </c>
      <c r="N127">
        <f ca="1"/>
        <v>-694.62562127335298</v>
      </c>
      <c r="O127">
        <f ca="1"/>
        <v>-756.71248312547812</v>
      </c>
      <c r="P127">
        <f ca="1"/>
        <v>-820.64242361931872</v>
      </c>
      <c r="Q127">
        <f ca="1"/>
        <v>-886.61313474869678</v>
      </c>
      <c r="R127">
        <f ca="1"/>
        <v>-954.55722888938931</v>
      </c>
      <c r="S127">
        <f ca="1"/>
        <v>-1241.2463961793101</v>
      </c>
      <c r="T127">
        <f ca="1"/>
        <v>-1548.3325394869191</v>
      </c>
      <c r="U127">
        <f ca="1"/>
        <v>-1868.2017970383879</v>
      </c>
      <c r="V127">
        <f ca="1"/>
        <v>-1950.6611640188546</v>
      </c>
      <c r="W127">
        <f ca="1"/>
        <v>-2031.642201820147</v>
      </c>
      <c r="X127">
        <f ca="1"/>
        <v>-2114.4239196907956</v>
      </c>
      <c r="Y127">
        <f ca="1"/>
        <v>-2195.893370256651</v>
      </c>
      <c r="Z127">
        <f ca="1"/>
        <v>-2521.3622539169141</v>
      </c>
      <c r="AA127">
        <f ca="1"/>
        <v>-2840.5449939642649</v>
      </c>
      <c r="AB127" t="e">
        <f ca="1"/>
        <v>#N/A</v>
      </c>
      <c r="AC127" t="e">
        <f ca="1"/>
        <v>#N/A</v>
      </c>
      <c r="AD127" t="e">
        <f ca="1"/>
        <v>#N/A</v>
      </c>
      <c r="AE127" t="e">
        <f ca="1"/>
        <v>#N/A</v>
      </c>
      <c r="AF127" t="e">
        <f ca="1"/>
        <v>#N/A</v>
      </c>
      <c r="AG127" t="e">
        <f ca="1"/>
        <v>#N/A</v>
      </c>
      <c r="AH127" t="e">
        <f ca="1"/>
        <v>#N/A</v>
      </c>
      <c r="AI127" t="e">
        <f ca="1"/>
        <v>#N/A</v>
      </c>
      <c r="AJ127" t="e">
        <f ca="1"/>
        <v>#N/A</v>
      </c>
      <c r="AK127" t="e">
        <f ca="1"/>
        <v>#N/A</v>
      </c>
      <c r="AL127" t="e">
        <f ca="1"/>
        <v>#N/A</v>
      </c>
    </row>
    <row r="128" spans="1:38" ht="21" customHeight="1" outlineLevel="1" thickBot="1" x14ac:dyDescent="0.4">
      <c r="E128" s="29" t="str">
        <f ca="1"/>
        <v xml:space="preserve">Раствор 2 (жид): </v>
      </c>
      <c r="F128">
        <f ca="1"/>
        <v>-585.01145213720304</v>
      </c>
      <c r="G128">
        <f ca="1"/>
        <v>-591.51703968701963</v>
      </c>
      <c r="H128">
        <f ca="1"/>
        <v>-599.37228932201424</v>
      </c>
      <c r="I128">
        <f ca="1"/>
        <v>-613.52775435972694</v>
      </c>
      <c r="J128">
        <f ca="1"/>
        <v>-624.31854157896771</v>
      </c>
      <c r="K128">
        <f ca="1"/>
        <v>-619.61593713331558</v>
      </c>
      <c r="L128">
        <f ca="1"/>
        <v>-584.6453791533412</v>
      </c>
      <c r="M128">
        <f ca="1"/>
        <v>-174.62288867062585</v>
      </c>
      <c r="N128">
        <f ca="1"/>
        <v>-169.50653905618503</v>
      </c>
      <c r="O128">
        <f ca="1"/>
        <v>-177.04983514819327</v>
      </c>
      <c r="P128">
        <f ca="1"/>
        <v>-186.73486348131306</v>
      </c>
      <c r="Q128">
        <f ca="1"/>
        <v>-197.13330224955337</v>
      </c>
      <c r="R128">
        <f ca="1"/>
        <v>-207.81868021390306</v>
      </c>
      <c r="S128">
        <f ca="1"/>
        <v>-251.53849725974428</v>
      </c>
      <c r="T128">
        <f ca="1"/>
        <v>-296.43980584163808</v>
      </c>
      <c r="U128">
        <f ca="1"/>
        <v>-342.11924928708709</v>
      </c>
      <c r="V128">
        <f ca="1"/>
        <v>-353.96577616524723</v>
      </c>
      <c r="W128">
        <f ca="1"/>
        <v>-365.40326839973346</v>
      </c>
      <c r="X128">
        <f ca="1"/>
        <v>-377.2189519509584</v>
      </c>
      <c r="Y128">
        <f ca="1"/>
        <v>-388.77996846182833</v>
      </c>
      <c r="Z128">
        <f ca="1"/>
        <v>-435.91070673749039</v>
      </c>
      <c r="AA128">
        <f ca="1"/>
        <v>-484.08069513732823</v>
      </c>
      <c r="AB128" t="e">
        <f ca="1"/>
        <v>#N/A</v>
      </c>
      <c r="AC128" t="e">
        <f ca="1"/>
        <v>#N/A</v>
      </c>
      <c r="AD128" t="e">
        <f ca="1"/>
        <v>#N/A</v>
      </c>
      <c r="AE128" t="e">
        <f ca="1"/>
        <v>#N/A</v>
      </c>
      <c r="AF128" t="e">
        <f ca="1"/>
        <v>#N/A</v>
      </c>
      <c r="AG128" t="e">
        <f ca="1"/>
        <v>#N/A</v>
      </c>
      <c r="AH128" t="e">
        <f ca="1"/>
        <v>#N/A</v>
      </c>
      <c r="AI128" t="e">
        <f ca="1"/>
        <v>#N/A</v>
      </c>
      <c r="AJ128" t="e">
        <f ca="1"/>
        <v>#N/A</v>
      </c>
      <c r="AK128" t="e">
        <f ca="1"/>
        <v>#N/A</v>
      </c>
      <c r="AL128" t="e">
        <f ca="1"/>
        <v>#N/A</v>
      </c>
    </row>
    <row r="129" spans="1:38" ht="21" customHeight="1" outlineLevel="1" thickBot="1" x14ac:dyDescent="0.4">
      <c r="E129" s="29" t="str">
        <f ca="1"/>
        <v xml:space="preserve">Газовая без Ar: </v>
      </c>
      <c r="F129">
        <f ca="1"/>
        <v>-237.17563242849008</v>
      </c>
      <c r="G129">
        <f ca="1"/>
        <v>-223.93776305516852</v>
      </c>
      <c r="H129">
        <f ca="1"/>
        <v>-214.64619396559306</v>
      </c>
      <c r="I129">
        <f ca="1"/>
        <v>-213.66935487060803</v>
      </c>
      <c r="J129">
        <f ca="1"/>
        <v>-210.84385565810666</v>
      </c>
      <c r="K129">
        <f ca="1"/>
        <v>-198.75502852807628</v>
      </c>
      <c r="L129">
        <f ca="1"/>
        <v>-167.19800037095402</v>
      </c>
      <c r="M129">
        <f ca="1"/>
        <v>-1.2117102623154976</v>
      </c>
      <c r="N129">
        <f ca="1"/>
        <v>-1.3650164645147869E-4</v>
      </c>
      <c r="O129">
        <f ca="1"/>
        <v>-2.9459692420060309E-8</v>
      </c>
      <c r="P129">
        <f ca="1"/>
        <v>-1.1322046540359577E-11</v>
      </c>
      <c r="Q129">
        <f ca="1"/>
        <v>-7.2298849711329807E-15</v>
      </c>
      <c r="R129">
        <f ca="1"/>
        <v>-7.2691758966830498E-18</v>
      </c>
      <c r="S129">
        <f ca="1"/>
        <v>-5.4507143372282674E-16</v>
      </c>
      <c r="T129">
        <f ca="1"/>
        <v>-1.1592660649777627E-12</v>
      </c>
      <c r="U129">
        <f ca="1"/>
        <v>-3.9101666271731005E-10</v>
      </c>
      <c r="V129">
        <f ca="1"/>
        <v>-1.3565096879857052E-9</v>
      </c>
      <c r="W129">
        <f ca="1"/>
        <v>-4.3817523993117614E-9</v>
      </c>
      <c r="X129">
        <f ca="1"/>
        <v>-1.3282872045240003E-8</v>
      </c>
      <c r="Y129">
        <f ca="1"/>
        <v>-3.7912887357083108E-8</v>
      </c>
      <c r="Z129">
        <f ca="1"/>
        <v>-1.5166645328986553E-6</v>
      </c>
      <c r="AA129">
        <f ca="1"/>
        <v>-3.1696476619875006E-5</v>
      </c>
      <c r="AB129" t="e">
        <f ca="1"/>
        <v>#N/A</v>
      </c>
      <c r="AC129" t="e">
        <f ca="1"/>
        <v>#N/A</v>
      </c>
      <c r="AD129" t="e">
        <f ca="1"/>
        <v>#N/A</v>
      </c>
      <c r="AE129" t="e">
        <f ca="1"/>
        <v>#N/A</v>
      </c>
      <c r="AF129" t="e">
        <f ca="1"/>
        <v>#N/A</v>
      </c>
      <c r="AG129" t="e">
        <f ca="1"/>
        <v>#N/A</v>
      </c>
      <c r="AH129" t="e">
        <f ca="1"/>
        <v>#N/A</v>
      </c>
      <c r="AI129" t="e">
        <f ca="1"/>
        <v>#N/A</v>
      </c>
      <c r="AJ129" t="e">
        <f ca="1"/>
        <v>#N/A</v>
      </c>
      <c r="AK129" t="e">
        <f ca="1"/>
        <v>#N/A</v>
      </c>
      <c r="AL129" t="e">
        <f ca="1"/>
        <v>#N/A</v>
      </c>
    </row>
    <row r="130" spans="1:38" ht="21" customHeight="1" outlineLevel="1" thickBot="1" x14ac:dyDescent="0.4">
      <c r="E130" s="29" t="str">
        <f ca="1"/>
        <v xml:space="preserve">Газовая: </v>
      </c>
      <c r="F130">
        <f ca="1"/>
        <v>-315.19357914849002</v>
      </c>
      <c r="G130">
        <f ca="1"/>
        <v>-310.62203784266853</v>
      </c>
      <c r="H130">
        <f ca="1"/>
        <v>-310.21596704059306</v>
      </c>
      <c r="I130">
        <f ca="1"/>
        <v>-318.20759108560804</v>
      </c>
      <c r="J130">
        <f ca="1"/>
        <v>-324.44740508060664</v>
      </c>
      <c r="K130">
        <f ca="1"/>
        <v>-321.47017520807628</v>
      </c>
      <c r="L130">
        <f ca="1"/>
        <v>-298.93286908345408</v>
      </c>
      <c r="M130">
        <f ca="1"/>
        <v>-140.93588502231555</v>
      </c>
      <c r="N130">
        <f ca="1"/>
        <v>-149.04802527164651</v>
      </c>
      <c r="O130">
        <f ca="1"/>
        <v>-158.43640047945976</v>
      </c>
      <c r="P130">
        <f ca="1"/>
        <v>-167.88970980001136</v>
      </c>
      <c r="Q130">
        <f ca="1"/>
        <v>-177.40781682000005</v>
      </c>
      <c r="R130">
        <f ca="1"/>
        <v>-186.99072151000004</v>
      </c>
      <c r="S130">
        <f ca="1"/>
        <v>-225.71249818250007</v>
      </c>
      <c r="T130">
        <f ca="1"/>
        <v>-265.26242677000118</v>
      </c>
      <c r="U130">
        <f ca="1"/>
        <v>-305.34931962539105</v>
      </c>
      <c r="V130">
        <f ca="1"/>
        <v>-315.73801022635661</v>
      </c>
      <c r="W130">
        <f ca="1"/>
        <v>-325.74215520438185</v>
      </c>
      <c r="X130">
        <f ca="1"/>
        <v>-336.072090013283</v>
      </c>
      <c r="Y130">
        <f ca="1"/>
        <v>-346.16838738791296</v>
      </c>
      <c r="Z130">
        <f ca="1"/>
        <v>-387.29440021666471</v>
      </c>
      <c r="AA130">
        <f ca="1"/>
        <v>-429.23609419647676</v>
      </c>
      <c r="AB130" t="e">
        <f ca="1"/>
        <v>#N/A</v>
      </c>
      <c r="AC130" t="e">
        <f ca="1"/>
        <v>#N/A</v>
      </c>
      <c r="AD130" t="e">
        <f ca="1"/>
        <v>#N/A</v>
      </c>
      <c r="AE130" t="e">
        <f ca="1"/>
        <v>#N/A</v>
      </c>
      <c r="AF130" t="e">
        <f ca="1"/>
        <v>#N/A</v>
      </c>
      <c r="AG130" t="e">
        <f ca="1"/>
        <v>#N/A</v>
      </c>
      <c r="AH130" t="e">
        <f ca="1"/>
        <v>#N/A</v>
      </c>
      <c r="AI130" t="e">
        <f ca="1"/>
        <v>#N/A</v>
      </c>
      <c r="AJ130" t="e">
        <f ca="1"/>
        <v>#N/A</v>
      </c>
      <c r="AK130" t="e">
        <f ca="1"/>
        <v>#N/A</v>
      </c>
      <c r="AL130" t="e">
        <f ca="1"/>
        <v>#N/A</v>
      </c>
    </row>
    <row r="131" spans="1:38" ht="21" customHeight="1" outlineLevel="1" thickBot="1" x14ac:dyDescent="0.4">
      <c r="E131" s="29" t="str">
        <f ca="1"/>
        <v xml:space="preserve">Раствор 1 + газовая без Ar: </v>
      </c>
      <c r="F131">
        <f ca="1"/>
        <v>-510.44785267394775</v>
      </c>
      <c r="G131">
        <f ca="1"/>
        <v>-520.43639327226128</v>
      </c>
      <c r="H131">
        <f ca="1"/>
        <v>-532.30833663031922</v>
      </c>
      <c r="I131">
        <f ca="1"/>
        <v>-545.47211950334406</v>
      </c>
      <c r="J131">
        <f ca="1"/>
        <v>-559.53825967334512</v>
      </c>
      <c r="K131">
        <f ca="1"/>
        <v>-575.37834513839982</v>
      </c>
      <c r="L131">
        <f ca="1"/>
        <v>-594.51153756047165</v>
      </c>
      <c r="M131">
        <f ca="1"/>
        <v>-635.14714649508926</v>
      </c>
      <c r="N131">
        <f ca="1"/>
        <v>-694.62575777499944</v>
      </c>
      <c r="O131">
        <f ca="1"/>
        <v>-756.71248315493779</v>
      </c>
      <c r="P131">
        <f ca="1"/>
        <v>-820.64242361933009</v>
      </c>
      <c r="Q131">
        <f ca="1"/>
        <v>-886.61313474869678</v>
      </c>
      <c r="R131">
        <f ca="1"/>
        <v>-954.55722888938931</v>
      </c>
      <c r="S131">
        <f ca="1"/>
        <v>-1241.2463961793101</v>
      </c>
      <c r="T131">
        <f ca="1"/>
        <v>-1548.3325394869203</v>
      </c>
      <c r="U131">
        <f ca="1"/>
        <v>-1868.201797038779</v>
      </c>
      <c r="V131">
        <f ca="1"/>
        <v>-1950.6611640202111</v>
      </c>
      <c r="W131">
        <f ca="1"/>
        <v>-2031.6422018245287</v>
      </c>
      <c r="X131">
        <f ca="1"/>
        <v>-2114.4239197040783</v>
      </c>
      <c r="Y131">
        <f ca="1"/>
        <v>-2195.8933702945637</v>
      </c>
      <c r="Z131">
        <f ca="1"/>
        <v>-2521.3622554335789</v>
      </c>
      <c r="AA131">
        <f ca="1"/>
        <v>-2840.5450256607414</v>
      </c>
      <c r="AB131" t="e">
        <f ca="1"/>
        <v>#N/A</v>
      </c>
      <c r="AC131" t="e">
        <f ca="1"/>
        <v>#N/A</v>
      </c>
      <c r="AD131" t="e">
        <f ca="1"/>
        <v>#N/A</v>
      </c>
      <c r="AE131" t="e">
        <f ca="1"/>
        <v>#N/A</v>
      </c>
      <c r="AF131" t="e">
        <f ca="1"/>
        <v>#N/A</v>
      </c>
      <c r="AG131" t="e">
        <f ca="1"/>
        <v>#N/A</v>
      </c>
      <c r="AH131" t="e">
        <f ca="1"/>
        <v>#N/A</v>
      </c>
      <c r="AI131" t="e">
        <f ca="1"/>
        <v>#N/A</v>
      </c>
      <c r="AJ131" t="e">
        <f ca="1"/>
        <v>#N/A</v>
      </c>
      <c r="AK131" t="e">
        <f ca="1"/>
        <v>#N/A</v>
      </c>
      <c r="AL131" t="e">
        <f ca="1"/>
        <v>#N/A</v>
      </c>
    </row>
    <row r="132" spans="1:38" ht="21" customHeight="1" outlineLevel="1" thickBot="1" x14ac:dyDescent="0.4">
      <c r="E132" s="29" t="str">
        <f ca="1"/>
        <v xml:space="preserve">Раствор 1 + газовая: </v>
      </c>
      <c r="F132">
        <f ca="1"/>
        <v>-588.46579939394769</v>
      </c>
      <c r="G132">
        <f ca="1"/>
        <v>-607.12066805976133</v>
      </c>
      <c r="H132">
        <f ca="1"/>
        <v>-627.87810970531928</v>
      </c>
      <c r="I132">
        <f ca="1"/>
        <v>-650.01035571834404</v>
      </c>
      <c r="J132">
        <f ca="1"/>
        <v>-673.14180909584513</v>
      </c>
      <c r="K132">
        <f ca="1"/>
        <v>-698.0934918183998</v>
      </c>
      <c r="L132">
        <f ca="1"/>
        <v>-726.24640627297163</v>
      </c>
      <c r="M132">
        <f ca="1"/>
        <v>-774.87132125508936</v>
      </c>
      <c r="N132">
        <f ca="1"/>
        <v>-843.67364654499943</v>
      </c>
      <c r="O132">
        <f ca="1"/>
        <v>-915.14888360493785</v>
      </c>
      <c r="P132">
        <f ca="1"/>
        <v>-988.53213341933008</v>
      </c>
      <c r="Q132">
        <f ca="1"/>
        <v>-1064.0209515686968</v>
      </c>
      <c r="R132">
        <f ca="1"/>
        <v>-1141.5479503993893</v>
      </c>
      <c r="S132">
        <f ca="1"/>
        <v>-1466.9588943618101</v>
      </c>
      <c r="T132">
        <f ca="1"/>
        <v>-1813.5949662569203</v>
      </c>
      <c r="U132">
        <f ca="1"/>
        <v>-2173.5511166637789</v>
      </c>
      <c r="V132">
        <f ca="1"/>
        <v>-2266.3991742452113</v>
      </c>
      <c r="W132">
        <f ca="1"/>
        <v>-2357.384357024529</v>
      </c>
      <c r="X132">
        <f ca="1"/>
        <v>-2450.4960097040785</v>
      </c>
      <c r="Y132">
        <f ca="1"/>
        <v>-2542.0617576445638</v>
      </c>
      <c r="Z132">
        <f ca="1"/>
        <v>-2908.6566541335787</v>
      </c>
      <c r="AA132">
        <f ca="1"/>
        <v>-3269.7810881607415</v>
      </c>
      <c r="AB132" t="e">
        <f ca="1"/>
        <v>#N/A</v>
      </c>
      <c r="AC132" t="e">
        <f ca="1"/>
        <v>#N/A</v>
      </c>
      <c r="AD132" t="e">
        <f ca="1"/>
        <v>#N/A</v>
      </c>
      <c r="AE132" t="e">
        <f ca="1"/>
        <v>#N/A</v>
      </c>
      <c r="AF132" t="e">
        <f ca="1"/>
        <v>#N/A</v>
      </c>
      <c r="AG132" t="e">
        <f ca="1"/>
        <v>#N/A</v>
      </c>
      <c r="AH132" t="e">
        <f ca="1"/>
        <v>#N/A</v>
      </c>
      <c r="AI132" t="e">
        <f ca="1"/>
        <v>#N/A</v>
      </c>
      <c r="AJ132" t="e">
        <f ca="1"/>
        <v>#N/A</v>
      </c>
      <c r="AK132" t="e">
        <f ca="1"/>
        <v>#N/A</v>
      </c>
      <c r="AL132" t="e">
        <f ca="1"/>
        <v>#N/A</v>
      </c>
    </row>
    <row r="133" spans="1:38" ht="21" customHeight="1" outlineLevel="1" thickBot="1" x14ac:dyDescent="0.4">
      <c r="E133" s="29" t="e">
        <f ca="1"/>
        <v>#N/A</v>
      </c>
      <c r="F133" t="e">
        <f ca="1"/>
        <v>#N/A</v>
      </c>
      <c r="G133" t="e">
        <f ca="1"/>
        <v>#N/A</v>
      </c>
      <c r="H133" t="e">
        <f ca="1"/>
        <v>#N/A</v>
      </c>
      <c r="I133" t="e">
        <f ca="1"/>
        <v>#N/A</v>
      </c>
      <c r="J133" t="e">
        <f ca="1"/>
        <v>#N/A</v>
      </c>
      <c r="K133" t="e">
        <f ca="1"/>
        <v>#N/A</v>
      </c>
      <c r="L133" t="e">
        <f ca="1"/>
        <v>#N/A</v>
      </c>
      <c r="M133" t="e">
        <f ca="1"/>
        <v>#N/A</v>
      </c>
      <c r="N133" t="e">
        <f ca="1"/>
        <v>#N/A</v>
      </c>
      <c r="O133" t="e">
        <f ca="1"/>
        <v>#N/A</v>
      </c>
      <c r="P133" t="e">
        <f ca="1"/>
        <v>#N/A</v>
      </c>
      <c r="Q133" t="e">
        <f ca="1"/>
        <v>#N/A</v>
      </c>
      <c r="R133" t="e">
        <f ca="1"/>
        <v>#N/A</v>
      </c>
      <c r="S133" t="e">
        <f ca="1"/>
        <v>#N/A</v>
      </c>
      <c r="T133" t="e">
        <f ca="1"/>
        <v>#N/A</v>
      </c>
      <c r="U133" t="e">
        <f ca="1"/>
        <v>#N/A</v>
      </c>
      <c r="V133" t="e">
        <f ca="1"/>
        <v>#N/A</v>
      </c>
      <c r="W133" t="e">
        <f ca="1"/>
        <v>#N/A</v>
      </c>
      <c r="X133" t="e">
        <f ca="1"/>
        <v>#N/A</v>
      </c>
      <c r="Y133" t="e">
        <f ca="1"/>
        <v>#N/A</v>
      </c>
      <c r="Z133" t="e">
        <f ca="1"/>
        <v>#N/A</v>
      </c>
      <c r="AA133" t="e">
        <f ca="1"/>
        <v>#N/A</v>
      </c>
      <c r="AB133" t="e">
        <f ca="1"/>
        <v>#N/A</v>
      </c>
      <c r="AC133" t="e">
        <f ca="1"/>
        <v>#N/A</v>
      </c>
      <c r="AD133" t="e">
        <f ca="1"/>
        <v>#N/A</v>
      </c>
      <c r="AE133" t="e">
        <f ca="1"/>
        <v>#N/A</v>
      </c>
      <c r="AF133" t="e">
        <f ca="1"/>
        <v>#N/A</v>
      </c>
      <c r="AG133" t="e">
        <f ca="1"/>
        <v>#N/A</v>
      </c>
      <c r="AH133" t="e">
        <f ca="1"/>
        <v>#N/A</v>
      </c>
      <c r="AI133" t="e">
        <f ca="1"/>
        <v>#N/A</v>
      </c>
      <c r="AJ133" t="e">
        <f ca="1"/>
        <v>#N/A</v>
      </c>
      <c r="AK133" t="e">
        <f ca="1"/>
        <v>#N/A</v>
      </c>
      <c r="AL133" t="e">
        <f ca="1"/>
        <v>#N/A</v>
      </c>
    </row>
    <row r="134" spans="1:38" ht="21" customHeight="1" outlineLevel="1" thickBot="1" x14ac:dyDescent="0.4">
      <c r="E134" s="29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t="e">
        <f ca="1"/>
        <v>#N/A</v>
      </c>
      <c r="L134" t="e">
        <f ca="1"/>
        <v>#N/A</v>
      </c>
      <c r="M134" t="e">
        <f ca="1"/>
        <v>#N/A</v>
      </c>
      <c r="N134" t="e">
        <f ca="1"/>
        <v>#N/A</v>
      </c>
      <c r="O134" t="e">
        <f ca="1"/>
        <v>#N/A</v>
      </c>
      <c r="P134" t="e">
        <f ca="1"/>
        <v>#N/A</v>
      </c>
      <c r="Q134" t="e">
        <f ca="1"/>
        <v>#N/A</v>
      </c>
      <c r="R134" t="e">
        <f ca="1"/>
        <v>#N/A</v>
      </c>
      <c r="S134" t="e">
        <f ca="1"/>
        <v>#N/A</v>
      </c>
      <c r="T134" t="e">
        <f ca="1"/>
        <v>#N/A</v>
      </c>
      <c r="U134" t="e">
        <f ca="1"/>
        <v>#N/A</v>
      </c>
      <c r="V134" t="e">
        <f ca="1"/>
        <v>#N/A</v>
      </c>
      <c r="W134" t="e">
        <f ca="1"/>
        <v>#N/A</v>
      </c>
      <c r="X134" t="e">
        <f ca="1"/>
        <v>#N/A</v>
      </c>
      <c r="Y134" t="e">
        <f ca="1"/>
        <v>#N/A</v>
      </c>
      <c r="Z134" t="e">
        <f ca="1"/>
        <v>#N/A</v>
      </c>
      <c r="AA134" t="e">
        <f ca="1"/>
        <v>#N/A</v>
      </c>
      <c r="AB134" t="e">
        <f ca="1"/>
        <v>#N/A</v>
      </c>
      <c r="AC134" t="e">
        <f ca="1"/>
        <v>#N/A</v>
      </c>
      <c r="AD134" t="e">
        <f ca="1"/>
        <v>#N/A</v>
      </c>
      <c r="AE134" t="e">
        <f ca="1"/>
        <v>#N/A</v>
      </c>
      <c r="AF134" t="e">
        <f ca="1"/>
        <v>#N/A</v>
      </c>
      <c r="AG134" t="e">
        <f ca="1"/>
        <v>#N/A</v>
      </c>
      <c r="AH134" t="e">
        <f ca="1"/>
        <v>#N/A</v>
      </c>
      <c r="AI134" t="e">
        <f ca="1"/>
        <v>#N/A</v>
      </c>
      <c r="AJ134" t="e">
        <f ca="1"/>
        <v>#N/A</v>
      </c>
      <c r="AK134" t="e">
        <f ca="1"/>
        <v>#N/A</v>
      </c>
      <c r="AL134" t="e">
        <f ca="1"/>
        <v>#N/A</v>
      </c>
    </row>
    <row r="135" spans="1:38" ht="21" customHeight="1" outlineLevel="1" thickBot="1" x14ac:dyDescent="0.4">
      <c r="E135" s="29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t="e">
        <f ca="1"/>
        <v>#N/A</v>
      </c>
      <c r="L135" t="e">
        <f ca="1"/>
        <v>#N/A</v>
      </c>
      <c r="M135" t="e">
        <f ca="1"/>
        <v>#N/A</v>
      </c>
      <c r="N135" t="e">
        <f ca="1"/>
        <v>#N/A</v>
      </c>
      <c r="O135" t="e">
        <f ca="1"/>
        <v>#N/A</v>
      </c>
      <c r="P135" t="e">
        <f ca="1"/>
        <v>#N/A</v>
      </c>
      <c r="Q135" t="e">
        <f ca="1"/>
        <v>#N/A</v>
      </c>
      <c r="R135" t="e">
        <f ca="1"/>
        <v>#N/A</v>
      </c>
      <c r="S135" t="e">
        <f ca="1"/>
        <v>#N/A</v>
      </c>
      <c r="T135" t="e">
        <f ca="1"/>
        <v>#N/A</v>
      </c>
      <c r="U135" t="e">
        <f ca="1"/>
        <v>#N/A</v>
      </c>
      <c r="V135" t="e">
        <f ca="1"/>
        <v>#N/A</v>
      </c>
      <c r="W135" t="e">
        <f ca="1"/>
        <v>#N/A</v>
      </c>
      <c r="X135" t="e">
        <f ca="1"/>
        <v>#N/A</v>
      </c>
      <c r="Y135" t="e">
        <f ca="1"/>
        <v>#N/A</v>
      </c>
      <c r="Z135" t="e">
        <f ca="1"/>
        <v>#N/A</v>
      </c>
      <c r="AA135" t="e">
        <f ca="1"/>
        <v>#N/A</v>
      </c>
      <c r="AB135" t="e">
        <f ca="1"/>
        <v>#N/A</v>
      </c>
      <c r="AC135" t="e">
        <f ca="1"/>
        <v>#N/A</v>
      </c>
      <c r="AD135" t="e">
        <f ca="1"/>
        <v>#N/A</v>
      </c>
      <c r="AE135" t="e">
        <f ca="1"/>
        <v>#N/A</v>
      </c>
      <c r="AF135" t="e">
        <f ca="1"/>
        <v>#N/A</v>
      </c>
      <c r="AG135" t="e">
        <f ca="1"/>
        <v>#N/A</v>
      </c>
      <c r="AH135" t="e">
        <f ca="1"/>
        <v>#N/A</v>
      </c>
      <c r="AI135" t="e">
        <f ca="1"/>
        <v>#N/A</v>
      </c>
      <c r="AJ135" t="e">
        <f ca="1"/>
        <v>#N/A</v>
      </c>
      <c r="AK135" t="e">
        <f ca="1"/>
        <v>#N/A</v>
      </c>
      <c r="AL135" t="e">
        <f ca="1"/>
        <v>#N/A</v>
      </c>
    </row>
    <row r="136" spans="1:38" ht="21" customHeight="1" outlineLevel="1" thickBot="1" x14ac:dyDescent="0.4">
      <c r="E136" s="29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t="e">
        <f ca="1"/>
        <v>#N/A</v>
      </c>
      <c r="L136" t="e">
        <f ca="1"/>
        <v>#N/A</v>
      </c>
      <c r="M136" t="e">
        <f ca="1"/>
        <v>#N/A</v>
      </c>
      <c r="N136" t="e">
        <f ca="1"/>
        <v>#N/A</v>
      </c>
      <c r="O136" t="e">
        <f ca="1"/>
        <v>#N/A</v>
      </c>
      <c r="P136" t="e">
        <f ca="1"/>
        <v>#N/A</v>
      </c>
      <c r="Q136" t="e">
        <f ca="1"/>
        <v>#N/A</v>
      </c>
      <c r="R136" t="e">
        <f ca="1"/>
        <v>#N/A</v>
      </c>
      <c r="S136" t="e">
        <f ca="1"/>
        <v>#N/A</v>
      </c>
      <c r="T136" t="e">
        <f ca="1"/>
        <v>#N/A</v>
      </c>
      <c r="U136" t="e">
        <f ca="1"/>
        <v>#N/A</v>
      </c>
      <c r="V136" t="e">
        <f ca="1"/>
        <v>#N/A</v>
      </c>
      <c r="W136" t="e">
        <f ca="1"/>
        <v>#N/A</v>
      </c>
      <c r="X136" t="e">
        <f ca="1"/>
        <v>#N/A</v>
      </c>
      <c r="Y136" t="e">
        <f ca="1"/>
        <v>#N/A</v>
      </c>
      <c r="Z136" t="e">
        <f ca="1"/>
        <v>#N/A</v>
      </c>
      <c r="AA136" t="e">
        <f ca="1"/>
        <v>#N/A</v>
      </c>
      <c r="AB136" t="e">
        <f ca="1"/>
        <v>#N/A</v>
      </c>
      <c r="AC136" t="e">
        <f ca="1"/>
        <v>#N/A</v>
      </c>
      <c r="AD136" t="e">
        <f ca="1"/>
        <v>#N/A</v>
      </c>
      <c r="AE136" t="e">
        <f ca="1"/>
        <v>#N/A</v>
      </c>
      <c r="AF136" t="e">
        <f ca="1"/>
        <v>#N/A</v>
      </c>
      <c r="AG136" t="e">
        <f ca="1"/>
        <v>#N/A</v>
      </c>
      <c r="AH136" t="e">
        <f ca="1"/>
        <v>#N/A</v>
      </c>
      <c r="AI136" t="e">
        <f ca="1"/>
        <v>#N/A</v>
      </c>
      <c r="AJ136" t="e">
        <f ca="1"/>
        <v>#N/A</v>
      </c>
      <c r="AK136" t="e">
        <f ca="1"/>
        <v>#N/A</v>
      </c>
      <c r="AL136" t="e">
        <f ca="1"/>
        <v>#N/A</v>
      </c>
    </row>
    <row r="137" spans="1:38" ht="21" customHeight="1" outlineLevel="1" thickBot="1" x14ac:dyDescent="0.4">
      <c r="E137" s="29" t="e">
        <f ca="1"/>
        <v>#N/A</v>
      </c>
      <c r="F137" t="e">
        <f ca="1"/>
        <v>#N/A</v>
      </c>
      <c r="G137" t="e">
        <f ca="1"/>
        <v>#N/A</v>
      </c>
      <c r="H137" t="e">
        <f ca="1"/>
        <v>#N/A</v>
      </c>
      <c r="I137" t="e">
        <f ca="1"/>
        <v>#N/A</v>
      </c>
      <c r="J137" t="e">
        <f ca="1"/>
        <v>#N/A</v>
      </c>
      <c r="K137" t="e">
        <f ca="1"/>
        <v>#N/A</v>
      </c>
      <c r="L137" t="e">
        <f ca="1"/>
        <v>#N/A</v>
      </c>
      <c r="M137" t="e">
        <f ca="1"/>
        <v>#N/A</v>
      </c>
      <c r="N137" t="e">
        <f ca="1"/>
        <v>#N/A</v>
      </c>
      <c r="O137" t="e">
        <f ca="1"/>
        <v>#N/A</v>
      </c>
      <c r="P137" t="e">
        <f ca="1"/>
        <v>#N/A</v>
      </c>
      <c r="Q137" t="e">
        <f ca="1"/>
        <v>#N/A</v>
      </c>
      <c r="R137" t="e">
        <f ca="1"/>
        <v>#N/A</v>
      </c>
      <c r="S137" t="e">
        <f ca="1"/>
        <v>#N/A</v>
      </c>
      <c r="T137" t="e">
        <f ca="1"/>
        <v>#N/A</v>
      </c>
      <c r="U137" t="e">
        <f ca="1"/>
        <v>#N/A</v>
      </c>
      <c r="V137" t="e">
        <f ca="1"/>
        <v>#N/A</v>
      </c>
      <c r="W137" t="e">
        <f ca="1"/>
        <v>#N/A</v>
      </c>
      <c r="X137" t="e">
        <f ca="1"/>
        <v>#N/A</v>
      </c>
      <c r="Y137" t="e">
        <f ca="1"/>
        <v>#N/A</v>
      </c>
      <c r="Z137" t="e">
        <f ca="1"/>
        <v>#N/A</v>
      </c>
      <c r="AA137" t="e">
        <f ca="1"/>
        <v>#N/A</v>
      </c>
      <c r="AB137" t="e">
        <f ca="1"/>
        <v>#N/A</v>
      </c>
      <c r="AC137" t="e">
        <f ca="1"/>
        <v>#N/A</v>
      </c>
      <c r="AD137" t="e">
        <f ca="1"/>
        <v>#N/A</v>
      </c>
      <c r="AE137" t="e">
        <f ca="1"/>
        <v>#N/A</v>
      </c>
      <c r="AF137" t="e">
        <f ca="1"/>
        <v>#N/A</v>
      </c>
      <c r="AG137" t="e">
        <f ca="1"/>
        <v>#N/A</v>
      </c>
      <c r="AH137" t="e">
        <f ca="1"/>
        <v>#N/A</v>
      </c>
      <c r="AI137" t="e">
        <f ca="1"/>
        <v>#N/A</v>
      </c>
      <c r="AJ137" t="e">
        <f ca="1"/>
        <v>#N/A</v>
      </c>
      <c r="AK137" t="e">
        <f ca="1"/>
        <v>#N/A</v>
      </c>
      <c r="AL137" t="e">
        <f ca="1"/>
        <v>#N/A</v>
      </c>
    </row>
    <row r="138" spans="1:38" ht="21" customHeight="1" outlineLevel="1" thickBot="1" x14ac:dyDescent="0.4">
      <c r="E138" s="29" t="e">
        <f ca="1"/>
        <v>#N/A</v>
      </c>
      <c r="F138" t="e">
        <f ca="1"/>
        <v>#N/A</v>
      </c>
      <c r="G138" t="e">
        <f ca="1"/>
        <v>#N/A</v>
      </c>
      <c r="H138" t="e">
        <f ca="1"/>
        <v>#N/A</v>
      </c>
      <c r="I138" t="e">
        <f ca="1"/>
        <v>#N/A</v>
      </c>
      <c r="J138" t="e">
        <f ca="1"/>
        <v>#N/A</v>
      </c>
      <c r="K138" t="e">
        <f ca="1"/>
        <v>#N/A</v>
      </c>
      <c r="L138" t="e">
        <f ca="1"/>
        <v>#N/A</v>
      </c>
      <c r="M138" t="e">
        <f ca="1"/>
        <v>#N/A</v>
      </c>
      <c r="N138" t="e">
        <f ca="1"/>
        <v>#N/A</v>
      </c>
      <c r="O138" t="e">
        <f ca="1"/>
        <v>#N/A</v>
      </c>
      <c r="P138" t="e">
        <f ca="1"/>
        <v>#N/A</v>
      </c>
      <c r="Q138" t="e">
        <f ca="1"/>
        <v>#N/A</v>
      </c>
      <c r="R138" t="e">
        <f ca="1"/>
        <v>#N/A</v>
      </c>
      <c r="S138" t="e">
        <f ca="1"/>
        <v>#N/A</v>
      </c>
      <c r="T138" t="e">
        <f ca="1"/>
        <v>#N/A</v>
      </c>
      <c r="U138" t="e">
        <f ca="1"/>
        <v>#N/A</v>
      </c>
      <c r="V138" t="e">
        <f ca="1"/>
        <v>#N/A</v>
      </c>
      <c r="W138" t="e">
        <f ca="1"/>
        <v>#N/A</v>
      </c>
      <c r="X138" t="e">
        <f ca="1"/>
        <v>#N/A</v>
      </c>
      <c r="Y138" t="e">
        <f ca="1"/>
        <v>#N/A</v>
      </c>
      <c r="Z138" t="e">
        <f ca="1"/>
        <v>#N/A</v>
      </c>
      <c r="AA138" t="e">
        <f ca="1"/>
        <v>#N/A</v>
      </c>
      <c r="AB138" t="e">
        <f ca="1"/>
        <v>#N/A</v>
      </c>
      <c r="AC138" t="e">
        <f ca="1"/>
        <v>#N/A</v>
      </c>
      <c r="AD138" t="e">
        <f ca="1"/>
        <v>#N/A</v>
      </c>
      <c r="AE138" t="e">
        <f ca="1"/>
        <v>#N/A</v>
      </c>
      <c r="AF138" t="e">
        <f ca="1"/>
        <v>#N/A</v>
      </c>
      <c r="AG138" t="e">
        <f ca="1"/>
        <v>#N/A</v>
      </c>
      <c r="AH138" t="e">
        <f ca="1"/>
        <v>#N/A</v>
      </c>
      <c r="AI138" t="e">
        <f ca="1"/>
        <v>#N/A</v>
      </c>
      <c r="AJ138" t="e">
        <f ca="1"/>
        <v>#N/A</v>
      </c>
      <c r="AK138" t="e">
        <f ca="1"/>
        <v>#N/A</v>
      </c>
      <c r="AL138" t="e">
        <f ca="1"/>
        <v>#N/A</v>
      </c>
    </row>
    <row r="139" spans="1:38" ht="21" customHeight="1" outlineLevel="1" thickBot="1" x14ac:dyDescent="0.4">
      <c r="E139" s="29" t="e">
        <f ca="1"/>
        <v>#N/A</v>
      </c>
      <c r="F139" t="e">
        <f ca="1"/>
        <v>#N/A</v>
      </c>
      <c r="G139" t="e">
        <f ca="1"/>
        <v>#N/A</v>
      </c>
      <c r="H139" t="e">
        <f ca="1"/>
        <v>#N/A</v>
      </c>
      <c r="I139" t="e">
        <f ca="1"/>
        <v>#N/A</v>
      </c>
      <c r="J139" t="e">
        <f ca="1"/>
        <v>#N/A</v>
      </c>
      <c r="K139" t="e">
        <f ca="1"/>
        <v>#N/A</v>
      </c>
      <c r="L139" t="e">
        <f ca="1"/>
        <v>#N/A</v>
      </c>
      <c r="M139" t="e">
        <f ca="1"/>
        <v>#N/A</v>
      </c>
      <c r="N139" t="e">
        <f ca="1"/>
        <v>#N/A</v>
      </c>
      <c r="O139" t="e">
        <f ca="1"/>
        <v>#N/A</v>
      </c>
      <c r="P139" t="e">
        <f ca="1"/>
        <v>#N/A</v>
      </c>
      <c r="Q139" t="e">
        <f ca="1"/>
        <v>#N/A</v>
      </c>
      <c r="R139" t="e">
        <f ca="1"/>
        <v>#N/A</v>
      </c>
      <c r="S139" t="e">
        <f ca="1"/>
        <v>#N/A</v>
      </c>
      <c r="T139" t="e">
        <f ca="1"/>
        <v>#N/A</v>
      </c>
      <c r="U139" t="e">
        <f ca="1"/>
        <v>#N/A</v>
      </c>
      <c r="V139" t="e">
        <f ca="1"/>
        <v>#N/A</v>
      </c>
      <c r="W139" t="e">
        <f ca="1"/>
        <v>#N/A</v>
      </c>
      <c r="X139" t="e">
        <f ca="1"/>
        <v>#N/A</v>
      </c>
      <c r="Y139" t="e">
        <f ca="1"/>
        <v>#N/A</v>
      </c>
      <c r="Z139" t="e">
        <f ca="1"/>
        <v>#N/A</v>
      </c>
      <c r="AA139" t="e">
        <f ca="1"/>
        <v>#N/A</v>
      </c>
      <c r="AB139" t="e">
        <f ca="1"/>
        <v>#N/A</v>
      </c>
      <c r="AC139" t="e">
        <f ca="1"/>
        <v>#N/A</v>
      </c>
      <c r="AD139" t="e">
        <f ca="1"/>
        <v>#N/A</v>
      </c>
      <c r="AE139" t="e">
        <f ca="1"/>
        <v>#N/A</v>
      </c>
      <c r="AF139" t="e">
        <f ca="1"/>
        <v>#N/A</v>
      </c>
      <c r="AG139" t="e">
        <f ca="1"/>
        <v>#N/A</v>
      </c>
      <c r="AH139" t="e">
        <f ca="1"/>
        <v>#N/A</v>
      </c>
      <c r="AI139" t="e">
        <f ca="1"/>
        <v>#N/A</v>
      </c>
      <c r="AJ139" t="e">
        <f ca="1"/>
        <v>#N/A</v>
      </c>
      <c r="AK139" t="e">
        <f ca="1"/>
        <v>#N/A</v>
      </c>
      <c r="AL139" t="e">
        <f ca="1"/>
        <v>#N/A</v>
      </c>
    </row>
    <row r="140" spans="1:38" ht="21" customHeight="1" outlineLevel="1" thickBot="1" x14ac:dyDescent="0.4">
      <c r="E140" s="30"/>
    </row>
    <row r="141" spans="1:38" ht="21" customHeight="1" thickBot="1" x14ac:dyDescent="0.4"/>
    <row r="142" spans="1:38" ht="21" customHeight="1" thickBot="1" x14ac:dyDescent="0.45">
      <c r="A142" s="1"/>
      <c r="B142" s="1"/>
      <c r="C142" s="1"/>
      <c r="D142" s="1"/>
      <c r="E142" s="2" t="s">
        <v>19</v>
      </c>
      <c r="F142" s="3"/>
      <c r="G142" s="2"/>
      <c r="H142" s="2"/>
      <c r="I142" s="2"/>
      <c r="J142" s="2"/>
      <c r="K142" s="31"/>
      <c r="L142" s="31"/>
      <c r="M142" s="31"/>
      <c r="N142" s="31"/>
      <c r="O142" s="31"/>
      <c r="P142" s="31"/>
      <c r="Q142" s="31"/>
      <c r="R142" s="31"/>
      <c r="S142" s="32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ht="21" hidden="1" customHeight="1" outlineLevel="1" thickBot="1" x14ac:dyDescent="0.4">
      <c r="A143" s="33" t="s">
        <v>20</v>
      </c>
      <c r="B143" s="34" t="s">
        <v>21</v>
      </c>
      <c r="C143">
        <v>298.14999999999998</v>
      </c>
    </row>
    <row r="144" spans="1:38" ht="21" hidden="1" customHeight="1" outlineLevel="1" x14ac:dyDescent="0.35">
      <c r="A144">
        <v>8</v>
      </c>
      <c r="B144" s="35" t="s">
        <v>22</v>
      </c>
      <c r="C144">
        <v>5</v>
      </c>
    </row>
    <row r="145" spans="2:19" ht="21" hidden="1" customHeight="1" outlineLevel="1" x14ac:dyDescent="0.35">
      <c r="B145" s="36" t="s">
        <v>23</v>
      </c>
      <c r="C145" s="37">
        <f>C144-$C$144</f>
        <v>0</v>
      </c>
      <c r="D145" s="37">
        <f>D144-$C$144</f>
        <v>-5</v>
      </c>
      <c r="E145" s="37">
        <f t="shared" ref="E145:F145" si="79">E144-$C$144</f>
        <v>-5</v>
      </c>
      <c r="F145" s="37">
        <f t="shared" si="79"/>
        <v>-5</v>
      </c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</row>
    <row r="146" spans="2:19" ht="21" hidden="1" customHeight="1" outlineLevel="1" thickBot="1" x14ac:dyDescent="0.4">
      <c r="B146" s="34" t="s">
        <v>24</v>
      </c>
      <c r="C146" s="37">
        <f>C145+$A$144</f>
        <v>8</v>
      </c>
      <c r="D146" s="37">
        <f t="shared" ref="D146:F146" si="80">D145+$A$144</f>
        <v>3</v>
      </c>
      <c r="E146" s="37">
        <f t="shared" si="80"/>
        <v>3</v>
      </c>
      <c r="F146" s="37">
        <f t="shared" si="80"/>
        <v>3</v>
      </c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</row>
    <row r="147" spans="2:19" ht="21" hidden="1" customHeight="1" outlineLevel="1" x14ac:dyDescent="0.35"/>
    <row r="148" spans="2:19" ht="21" customHeight="1" collapsed="1" x14ac:dyDescent="0.35"/>
  </sheetData>
  <mergeCells count="2">
    <mergeCell ref="A117:B117"/>
    <mergeCell ref="A1:BB1"/>
  </mergeCells>
  <conditionalFormatting sqref="A4:D33">
    <cfRule type="cellIs" dxfId="9" priority="3" operator="equal">
      <formula>0</formula>
    </cfRule>
  </conditionalFormatting>
  <conditionalFormatting sqref="A50:D80">
    <cfRule type="cellIs" dxfId="8" priority="2" operator="equal">
      <formula>0</formula>
    </cfRule>
  </conditionalFormatting>
  <conditionalFormatting sqref="A84:D113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81F96-7441-4360-A226-D16DEDF5EDC0}">
  <sheetPr codeName="Лист8">
    <tabColor rgb="FF00B050"/>
  </sheetPr>
  <dimension ref="A1:BB147"/>
  <sheetViews>
    <sheetView topLeftCell="A7" zoomScaleNormal="100" zoomScaleSheetLayoutView="25" workbookViewId="0">
      <selection activeCell="AL21" sqref="AL21"/>
    </sheetView>
  </sheetViews>
  <sheetFormatPr defaultRowHeight="21" customHeight="1" outlineLevelRow="1" x14ac:dyDescent="0.35"/>
  <cols>
    <col min="1" max="4" width="5.6328125" style="61" customWidth="1"/>
    <col min="5" max="5" width="11.6328125" style="61" customWidth="1"/>
    <col min="6" max="6" width="8.90625" style="61" customWidth="1"/>
    <col min="7" max="37" width="8.6328125" style="61" hidden="1" customWidth="1"/>
    <col min="38" max="38" width="8.6328125" style="61" customWidth="1"/>
    <col min="39" max="16384" width="8.7265625" style="61"/>
  </cols>
  <sheetData>
    <row r="1" spans="1:54" ht="26.25" customHeight="1" thickBot="1" x14ac:dyDescent="0.4">
      <c r="A1" s="93" t="s">
        <v>0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</row>
    <row r="2" spans="1:54" ht="21" customHeight="1" thickBot="1" x14ac:dyDescent="0.45">
      <c r="A2" s="28">
        <f>Values!B1</f>
        <v>731</v>
      </c>
      <c r="B2" s="41">
        <v>8.3145000000000007</v>
      </c>
      <c r="C2" s="1"/>
      <c r="D2" s="1"/>
      <c r="E2" s="2" t="s">
        <v>28</v>
      </c>
      <c r="F2" s="3"/>
      <c r="G2" s="2"/>
      <c r="H2" s="2"/>
      <c r="I2" s="2"/>
      <c r="J2" s="2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7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9"/>
    </row>
    <row r="3" spans="1:54" ht="21" customHeight="1" outlineLevel="1" thickTop="1" thickBot="1" x14ac:dyDescent="0.4">
      <c r="A3" s="67" t="s">
        <v>1</v>
      </c>
      <c r="B3" s="67" t="s">
        <v>2</v>
      </c>
      <c r="C3" s="67" t="s">
        <v>3</v>
      </c>
      <c r="D3" s="68" t="s">
        <v>4</v>
      </c>
      <c r="E3" s="6"/>
      <c r="F3" s="6">
        <v>298.2</v>
      </c>
      <c r="G3" s="6">
        <v>431.7</v>
      </c>
      <c r="H3" s="6">
        <v>465.1</v>
      </c>
      <c r="I3" s="6">
        <v>498.5</v>
      </c>
      <c r="J3" s="6">
        <v>531.79999999999995</v>
      </c>
      <c r="K3" s="6">
        <v>565.20000000000005</v>
      </c>
      <c r="L3" s="6">
        <v>698.8</v>
      </c>
      <c r="M3" s="6">
        <v>732.2</v>
      </c>
      <c r="N3" s="6">
        <v>765.5</v>
      </c>
      <c r="O3" s="6">
        <v>798.9</v>
      </c>
      <c r="P3" s="6">
        <v>832.3</v>
      </c>
      <c r="Q3" s="6">
        <v>965.8</v>
      </c>
      <c r="R3" s="6">
        <v>999.2</v>
      </c>
      <c r="S3" s="6">
        <v>1033</v>
      </c>
      <c r="T3" s="6">
        <v>1066</v>
      </c>
      <c r="U3" s="6">
        <v>1099</v>
      </c>
      <c r="V3" s="6">
        <v>1233</v>
      </c>
      <c r="W3" s="6">
        <v>1366</v>
      </c>
      <c r="X3" s="6">
        <v>1500</v>
      </c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40"/>
      <c r="AM3" s="50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2"/>
    </row>
    <row r="4" spans="1:54" ht="21" customHeight="1" outlineLevel="1" thickTop="1" thickBot="1" x14ac:dyDescent="0.4">
      <c r="A4" s="69">
        <f>IF( ISNUMBER( FIND(A$3,$E4,1)),   IF( ISNUMBER( VALUE(MID($E4,FIND(A$3,$E4,1)+2,1)) ), VALUE( MID($E4,FIND(A$3,$E4,1)+2,1) ),1),0)</f>
        <v>0</v>
      </c>
      <c r="B4" s="69">
        <f t="shared" ref="B4:D19" si="0">IF( ISNUMBER( FIND(B$3,$E4,1)),   IF( ISNUMBER( VALUE(MID($E4,FIND(B$3,$E4,1)+2,1)) ), VALUE( MID($E4,FIND(B$3,$E4,1)+2,1) ),1),0)</f>
        <v>3</v>
      </c>
      <c r="C4" s="69">
        <f t="shared" si="0"/>
        <v>0</v>
      </c>
      <c r="D4" s="69">
        <f t="shared" si="0"/>
        <v>0</v>
      </c>
      <c r="E4" s="9" t="s">
        <v>53</v>
      </c>
      <c r="F4" s="79">
        <v>1.3056000000000001E-22</v>
      </c>
      <c r="G4" s="79">
        <v>8.4706E-14</v>
      </c>
      <c r="H4" s="79">
        <v>1.9731000000000001E-12</v>
      </c>
      <c r="I4" s="79">
        <v>2.9366000000000002E-11</v>
      </c>
      <c r="J4" s="79">
        <v>3.0681999999999998E-10</v>
      </c>
      <c r="K4" s="79">
        <v>2.4323E-9</v>
      </c>
      <c r="L4" s="79">
        <v>1.6574E-6</v>
      </c>
      <c r="M4" s="79">
        <v>5.8046000000000003E-6</v>
      </c>
      <c r="N4" s="79">
        <v>1.7708999999999999E-5</v>
      </c>
      <c r="O4" s="79">
        <v>4.7824000000000002E-5</v>
      </c>
      <c r="P4" s="79">
        <v>1.1595E-4</v>
      </c>
      <c r="Q4" s="79">
        <v>1.4264E-3</v>
      </c>
      <c r="R4" s="79">
        <v>1.9935999999999999E-3</v>
      </c>
      <c r="S4" s="79">
        <v>2.4840000000000001E-3</v>
      </c>
      <c r="T4" s="79">
        <v>2.7785000000000002E-3</v>
      </c>
      <c r="U4" s="79">
        <v>2.8771000000000001E-3</v>
      </c>
      <c r="V4" s="79">
        <v>2.3430999999999999E-3</v>
      </c>
      <c r="W4" s="79">
        <v>1.7071E-3</v>
      </c>
      <c r="X4" s="79">
        <v>1.2738999999999999E-3</v>
      </c>
      <c r="AM4" s="50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2"/>
    </row>
    <row r="5" spans="1:54" ht="21" customHeight="1" outlineLevel="1" thickBot="1" x14ac:dyDescent="0.4">
      <c r="A5" s="69">
        <f t="shared" ref="A5:D27" si="1">IF( ISNUMBER( FIND(A$3,$E5,1)),   IF( ISNUMBER( VALUE(MID($E5,FIND(A$3,$E5,1)+2,1)) ), VALUE( MID($E5,FIND(A$3,$E5,1)+2,1) ),1),0)</f>
        <v>0</v>
      </c>
      <c r="B5" s="69">
        <f t="shared" si="0"/>
        <v>4</v>
      </c>
      <c r="C5" s="69">
        <f t="shared" si="0"/>
        <v>0</v>
      </c>
      <c r="D5" s="69">
        <f t="shared" si="0"/>
        <v>0</v>
      </c>
      <c r="E5" s="9" t="s">
        <v>54</v>
      </c>
      <c r="F5" s="79">
        <v>7.6378999999999993E-21</v>
      </c>
      <c r="G5" s="79">
        <v>5.8909999999999998E-13</v>
      </c>
      <c r="H5" s="79">
        <v>9.5009000000000004E-12</v>
      </c>
      <c r="I5" s="79">
        <v>1.0218E-10</v>
      </c>
      <c r="J5" s="79">
        <v>8.0013999999999999E-10</v>
      </c>
      <c r="K5" s="79">
        <v>4.9136000000000001E-9</v>
      </c>
      <c r="L5" s="79">
        <v>1.6022000000000001E-6</v>
      </c>
      <c r="M5" s="79">
        <v>4.8679999999999998E-6</v>
      </c>
      <c r="N5" s="79">
        <v>1.2958E-5</v>
      </c>
      <c r="O5" s="79">
        <v>3.0632000000000001E-5</v>
      </c>
      <c r="P5" s="79">
        <v>6.5072000000000003E-5</v>
      </c>
      <c r="Q5" s="79">
        <v>4.3741E-4</v>
      </c>
      <c r="R5" s="79">
        <v>5.0403000000000004E-4</v>
      </c>
      <c r="S5" s="79">
        <v>5.0903999999999999E-4</v>
      </c>
      <c r="T5" s="79">
        <v>4.5489E-4</v>
      </c>
      <c r="U5" s="79">
        <v>3.7399999999999998E-4</v>
      </c>
      <c r="V5" s="79">
        <v>1.2596999999999999E-4</v>
      </c>
      <c r="W5" s="79">
        <v>4.3619999999999999E-5</v>
      </c>
      <c r="X5" s="79">
        <v>1.7612999999999999E-5</v>
      </c>
      <c r="AM5" s="50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2"/>
    </row>
    <row r="6" spans="1:54" ht="21" customHeight="1" outlineLevel="1" thickBot="1" x14ac:dyDescent="0.4">
      <c r="A6" s="69">
        <f t="shared" si="1"/>
        <v>0</v>
      </c>
      <c r="B6" s="69">
        <f t="shared" si="0"/>
        <v>5</v>
      </c>
      <c r="C6" s="69">
        <f t="shared" si="0"/>
        <v>0</v>
      </c>
      <c r="D6" s="69">
        <f t="shared" si="0"/>
        <v>0</v>
      </c>
      <c r="E6" s="9" t="s">
        <v>55</v>
      </c>
      <c r="F6" s="79">
        <v>1.3752E-17</v>
      </c>
      <c r="G6" s="79">
        <v>1.9065000000000001E-10</v>
      </c>
      <c r="H6" s="79">
        <v>2.2833000000000002E-9</v>
      </c>
      <c r="I6" s="79">
        <v>1.8868999999999998E-8</v>
      </c>
      <c r="J6" s="79">
        <v>1.1695E-7</v>
      </c>
      <c r="K6" s="79">
        <v>5.8406999999999996E-7</v>
      </c>
      <c r="L6" s="79">
        <v>1.0599000000000001E-4</v>
      </c>
      <c r="M6" s="79">
        <v>2.8779000000000001E-4</v>
      </c>
      <c r="N6" s="79">
        <v>6.8687999999999996E-4</v>
      </c>
      <c r="O6" s="79">
        <v>1.4574E-3</v>
      </c>
      <c r="P6" s="79">
        <v>2.7763000000000002E-3</v>
      </c>
      <c r="Q6" s="79">
        <v>1.1018999999999999E-2</v>
      </c>
      <c r="R6" s="79">
        <v>1.064E-2</v>
      </c>
      <c r="S6" s="79">
        <v>8.8444000000000005E-3</v>
      </c>
      <c r="T6" s="79">
        <v>6.4056E-3</v>
      </c>
      <c r="U6" s="79">
        <v>4.2385000000000001E-3</v>
      </c>
      <c r="V6" s="79">
        <v>6.1879999999999997E-4</v>
      </c>
      <c r="W6" s="79">
        <v>1.0581000000000001E-4</v>
      </c>
      <c r="X6" s="79">
        <v>2.3858000000000001E-5</v>
      </c>
      <c r="AM6" s="50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2"/>
    </row>
    <row r="7" spans="1:54" ht="21" customHeight="1" outlineLevel="1" thickBot="1" x14ac:dyDescent="0.4">
      <c r="A7" s="69">
        <f t="shared" si="1"/>
        <v>0</v>
      </c>
      <c r="B7" s="69">
        <f t="shared" si="0"/>
        <v>6</v>
      </c>
      <c r="C7" s="69">
        <f t="shared" si="0"/>
        <v>0</v>
      </c>
      <c r="D7" s="69">
        <f t="shared" si="0"/>
        <v>0</v>
      </c>
      <c r="E7" s="9" t="s">
        <v>56</v>
      </c>
      <c r="F7" s="79">
        <v>2.3151999999999998E-15</v>
      </c>
      <c r="G7" s="79">
        <v>1.7347E-9</v>
      </c>
      <c r="H7" s="79">
        <v>1.2705E-8</v>
      </c>
      <c r="I7" s="79">
        <v>6.8158999999999995E-8</v>
      </c>
      <c r="J7" s="79">
        <v>2.8845000000000002E-7</v>
      </c>
      <c r="K7" s="79">
        <v>1.0280999999999999E-6</v>
      </c>
      <c r="L7" s="79">
        <v>6.9690999999999994E-5</v>
      </c>
      <c r="M7" s="79">
        <v>1.5655000000000001E-4</v>
      </c>
      <c r="N7" s="79">
        <v>3.1220999999999999E-4</v>
      </c>
      <c r="O7" s="79">
        <v>5.5734999999999997E-4</v>
      </c>
      <c r="P7" s="79">
        <v>8.9707000000000003E-4</v>
      </c>
      <c r="Q7" s="79">
        <v>1.7256999999999999E-3</v>
      </c>
      <c r="R7" s="79">
        <v>1.3401999999999999E-3</v>
      </c>
      <c r="S7" s="79">
        <v>8.8225E-4</v>
      </c>
      <c r="T7" s="79">
        <v>4.9950000000000005E-4</v>
      </c>
      <c r="U7" s="79">
        <v>2.5712E-4</v>
      </c>
      <c r="V7" s="79">
        <v>1.4467999999999999E-5</v>
      </c>
      <c r="W7" s="79">
        <v>1.1112000000000001E-6</v>
      </c>
      <c r="X7" s="79">
        <v>1.2944E-7</v>
      </c>
      <c r="AM7" s="50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2"/>
    </row>
    <row r="8" spans="1:54" ht="21" customHeight="1" outlineLevel="1" thickBot="1" x14ac:dyDescent="0.4">
      <c r="A8" s="69">
        <f t="shared" si="1"/>
        <v>0</v>
      </c>
      <c r="B8" s="69">
        <f t="shared" si="0"/>
        <v>7</v>
      </c>
      <c r="C8" s="69">
        <f t="shared" si="0"/>
        <v>0</v>
      </c>
      <c r="D8" s="69">
        <f t="shared" si="0"/>
        <v>0</v>
      </c>
      <c r="E8" s="9" t="s">
        <v>57</v>
      </c>
      <c r="F8" s="79">
        <v>2.5534000000000002E-16</v>
      </c>
      <c r="G8" s="79">
        <v>3.8947999999999998E-10</v>
      </c>
      <c r="H8" s="79">
        <v>3.1175E-9</v>
      </c>
      <c r="I8" s="79">
        <v>1.7949999999999999E-8</v>
      </c>
      <c r="J8" s="79">
        <v>8.0486999999999998E-8</v>
      </c>
      <c r="K8" s="79">
        <v>3.0162000000000002E-7</v>
      </c>
      <c r="L8" s="79">
        <v>2.4817999999999999E-5</v>
      </c>
      <c r="M8" s="79">
        <v>5.7896999999999998E-5</v>
      </c>
      <c r="N8" s="79">
        <v>1.1872E-4</v>
      </c>
      <c r="O8" s="79">
        <v>2.1565000000000001E-4</v>
      </c>
      <c r="P8" s="79">
        <v>3.4928999999999998E-4</v>
      </c>
      <c r="Q8" s="79">
        <v>5.8067999999999998E-4</v>
      </c>
      <c r="R8" s="79">
        <v>4.0905999999999999E-4</v>
      </c>
      <c r="S8" s="79">
        <v>2.3866999999999999E-4</v>
      </c>
      <c r="T8" s="79">
        <v>1.1739E-4</v>
      </c>
      <c r="U8" s="79">
        <v>5.1907000000000003E-5</v>
      </c>
      <c r="V8" s="79">
        <v>1.5858999999999999E-6</v>
      </c>
      <c r="W8" s="79">
        <v>7.2071999999999998E-8</v>
      </c>
      <c r="X8" s="79">
        <v>5.4396000000000001E-9</v>
      </c>
      <c r="AM8" s="50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2"/>
    </row>
    <row r="9" spans="1:54" ht="21" customHeight="1" outlineLevel="1" thickBot="1" x14ac:dyDescent="0.4">
      <c r="A9" s="69">
        <f t="shared" si="1"/>
        <v>0</v>
      </c>
      <c r="B9" s="69">
        <f t="shared" si="0"/>
        <v>8</v>
      </c>
      <c r="C9" s="69">
        <f t="shared" si="0"/>
        <v>0</v>
      </c>
      <c r="D9" s="69">
        <f t="shared" si="0"/>
        <v>0</v>
      </c>
      <c r="E9" s="9" t="s">
        <v>58</v>
      </c>
      <c r="F9" s="79">
        <v>5.6206999999999997E-18</v>
      </c>
      <c r="G9" s="79">
        <v>1.4855E-11</v>
      </c>
      <c r="H9" s="79">
        <v>1.2668E-10</v>
      </c>
      <c r="I9" s="79">
        <v>7.6573E-10</v>
      </c>
      <c r="J9" s="79">
        <v>3.5687999999999999E-9</v>
      </c>
      <c r="K9" s="79">
        <v>1.3825999999999999E-8</v>
      </c>
      <c r="L9" s="79">
        <v>1.3120000000000001E-6</v>
      </c>
      <c r="M9" s="79">
        <v>3.1472999999999999E-6</v>
      </c>
      <c r="N9" s="79">
        <v>6.5763E-6</v>
      </c>
      <c r="O9" s="79">
        <v>1.2055999999999999E-5</v>
      </c>
      <c r="P9" s="79">
        <v>1.9502000000000001E-5</v>
      </c>
      <c r="Q9" s="79">
        <v>2.7330000000000001E-5</v>
      </c>
      <c r="R9" s="79">
        <v>1.7374E-5</v>
      </c>
      <c r="S9" s="79">
        <v>8.9414000000000005E-6</v>
      </c>
      <c r="T9" s="79">
        <v>3.8031999999999999E-6</v>
      </c>
      <c r="U9" s="79">
        <v>1.4384000000000001E-6</v>
      </c>
      <c r="V9" s="79">
        <v>2.3513E-8</v>
      </c>
      <c r="W9" s="79">
        <v>6.2489999999999998E-10</v>
      </c>
      <c r="X9" s="79">
        <v>3.0264000000000003E-11</v>
      </c>
      <c r="AM9" s="50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/>
      <c r="BB9" s="52"/>
    </row>
    <row r="10" spans="1:54" ht="21" customHeight="1" outlineLevel="1" thickBot="1" x14ac:dyDescent="0.4">
      <c r="A10" s="69">
        <f t="shared" si="1"/>
        <v>0</v>
      </c>
      <c r="B10" s="69">
        <f t="shared" si="0"/>
        <v>2</v>
      </c>
      <c r="C10" s="69">
        <f t="shared" si="0"/>
        <v>0</v>
      </c>
      <c r="D10" s="69">
        <f t="shared" si="0"/>
        <v>0</v>
      </c>
      <c r="E10" s="9" t="s">
        <v>59</v>
      </c>
      <c r="F10" s="79">
        <v>5.9567000000000001E-18</v>
      </c>
      <c r="G10" s="79">
        <v>1.1197E-10</v>
      </c>
      <c r="H10" s="79">
        <v>1.5425E-9</v>
      </c>
      <c r="I10" s="79">
        <v>1.4734E-8</v>
      </c>
      <c r="J10" s="79">
        <v>1.0530999999999999E-7</v>
      </c>
      <c r="K10" s="79">
        <v>5.9993000000000005E-7</v>
      </c>
      <c r="L10" s="79">
        <v>1.4694E-4</v>
      </c>
      <c r="M10" s="79">
        <v>4.2429000000000002E-4</v>
      </c>
      <c r="N10" s="79">
        <v>1.0943000000000001E-3</v>
      </c>
      <c r="O10" s="79">
        <v>2.5579000000000001E-3</v>
      </c>
      <c r="P10" s="79">
        <v>5.4903E-3</v>
      </c>
      <c r="Q10" s="79">
        <v>5.3856000000000001E-2</v>
      </c>
      <c r="R10" s="79">
        <v>7.6957999999999999E-2</v>
      </c>
      <c r="S10" s="79">
        <v>0.1009</v>
      </c>
      <c r="T10" s="79">
        <v>0.12180000000000001</v>
      </c>
      <c r="U10" s="79">
        <v>0.13827999999999999</v>
      </c>
      <c r="V10" s="79">
        <v>0.16958000000000001</v>
      </c>
      <c r="W10" s="79">
        <v>0.17902000000000001</v>
      </c>
      <c r="X10" s="79">
        <v>0.18295</v>
      </c>
      <c r="AM10" s="50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2"/>
    </row>
    <row r="11" spans="1:54" ht="21" customHeight="1" outlineLevel="1" thickBot="1" x14ac:dyDescent="0.4">
      <c r="A11" s="69">
        <f t="shared" si="1"/>
        <v>0</v>
      </c>
      <c r="B11" s="69">
        <f t="shared" si="0"/>
        <v>1</v>
      </c>
      <c r="C11" s="69">
        <f t="shared" si="0"/>
        <v>0</v>
      </c>
      <c r="D11" s="69">
        <f t="shared" si="0"/>
        <v>0</v>
      </c>
      <c r="E11" s="9" t="s">
        <v>2</v>
      </c>
      <c r="F11" s="79">
        <v>6.4033E-36</v>
      </c>
      <c r="G11" s="79">
        <v>2.5945999999999999E-23</v>
      </c>
      <c r="H11" s="79">
        <v>2.6408000000000001E-21</v>
      </c>
      <c r="I11" s="79">
        <v>1.4384E-19</v>
      </c>
      <c r="J11" s="79">
        <v>4.7421000000000004E-18</v>
      </c>
      <c r="K11" s="79">
        <v>1.0437E-16</v>
      </c>
      <c r="L11" s="79">
        <v>1.5332999999999999E-12</v>
      </c>
      <c r="M11" s="79">
        <v>9.8017999999999997E-12</v>
      </c>
      <c r="N11" s="79">
        <v>5.2666000000000002E-11</v>
      </c>
      <c r="O11" s="79">
        <v>2.4358E-10</v>
      </c>
      <c r="P11" s="79">
        <v>9.9060000000000007E-10</v>
      </c>
      <c r="Q11" s="79">
        <v>9.6452999999999997E-8</v>
      </c>
      <c r="R11" s="79">
        <v>2.3846999999999999E-7</v>
      </c>
      <c r="S11" s="79">
        <v>5.384E-7</v>
      </c>
      <c r="T11" s="79">
        <v>1.1132E-6</v>
      </c>
      <c r="U11" s="79">
        <v>2.1393E-6</v>
      </c>
      <c r="V11" s="79">
        <v>1.7793000000000001E-5</v>
      </c>
      <c r="W11" s="79">
        <v>9.1658999999999998E-5</v>
      </c>
      <c r="X11" s="79">
        <v>3.4886999999999999E-4</v>
      </c>
      <c r="AM11" s="50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2"/>
    </row>
    <row r="12" spans="1:54" ht="21" customHeight="1" outlineLevel="1" thickBot="1" x14ac:dyDescent="0.4">
      <c r="A12" s="69">
        <f t="shared" si="1"/>
        <v>0</v>
      </c>
      <c r="B12" s="69">
        <f t="shared" si="0"/>
        <v>1</v>
      </c>
      <c r="C12" s="69">
        <f t="shared" si="0"/>
        <v>0</v>
      </c>
      <c r="D12" s="69">
        <f t="shared" si="0"/>
        <v>2</v>
      </c>
      <c r="E12" s="9" t="s">
        <v>60</v>
      </c>
      <c r="F12" s="79">
        <v>2.555E-9</v>
      </c>
      <c r="G12" s="79">
        <v>4.7712E-5</v>
      </c>
      <c r="H12" s="79">
        <v>2.1557E-4</v>
      </c>
      <c r="I12" s="79">
        <v>7.7851000000000005E-4</v>
      </c>
      <c r="J12" s="79">
        <v>2.3381000000000001E-3</v>
      </c>
      <c r="K12" s="79">
        <v>5.9845999999999996E-3</v>
      </c>
      <c r="L12" s="79">
        <v>5.2388999999999998E-2</v>
      </c>
      <c r="M12" s="79">
        <v>6.318E-2</v>
      </c>
      <c r="N12" s="79">
        <v>7.1395E-2</v>
      </c>
      <c r="O12" s="79">
        <v>7.7561000000000005E-2</v>
      </c>
      <c r="P12" s="79">
        <v>8.2317000000000001E-2</v>
      </c>
      <c r="Q12" s="79">
        <v>9.3668000000000001E-2</v>
      </c>
      <c r="R12" s="79">
        <v>9.5077999999999996E-2</v>
      </c>
      <c r="S12" s="79">
        <v>9.6074000000000007E-2</v>
      </c>
      <c r="T12" s="79">
        <v>9.6721000000000001E-2</v>
      </c>
      <c r="U12" s="79">
        <v>9.7151000000000001E-2</v>
      </c>
      <c r="V12" s="79">
        <v>9.7881999999999997E-2</v>
      </c>
      <c r="W12" s="79">
        <v>9.8086999999999994E-2</v>
      </c>
      <c r="X12" s="79">
        <v>9.8153000000000004E-2</v>
      </c>
      <c r="AM12" s="50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2"/>
    </row>
    <row r="13" spans="1:54" ht="21" customHeight="1" outlineLevel="1" thickBot="1" x14ac:dyDescent="0.4">
      <c r="A13" s="69">
        <f t="shared" si="1"/>
        <v>1</v>
      </c>
      <c r="B13" s="69">
        <f t="shared" si="0"/>
        <v>0</v>
      </c>
      <c r="C13" s="69">
        <f t="shared" si="0"/>
        <v>0</v>
      </c>
      <c r="D13" s="69">
        <f t="shared" si="0"/>
        <v>0</v>
      </c>
      <c r="E13" s="9" t="s">
        <v>1</v>
      </c>
      <c r="F13" s="79">
        <v>0.2</v>
      </c>
      <c r="G13" s="79">
        <v>0.2</v>
      </c>
      <c r="H13" s="79">
        <v>0.2</v>
      </c>
      <c r="I13" s="79">
        <v>0.2</v>
      </c>
      <c r="J13" s="79">
        <v>0.2</v>
      </c>
      <c r="K13" s="79">
        <v>0.2</v>
      </c>
      <c r="L13" s="79">
        <v>0.2</v>
      </c>
      <c r="M13" s="79">
        <v>0.2</v>
      </c>
      <c r="N13" s="79">
        <v>0.2</v>
      </c>
      <c r="O13" s="79">
        <v>0.2</v>
      </c>
      <c r="P13" s="79">
        <v>0.2</v>
      </c>
      <c r="Q13" s="79">
        <v>0.2</v>
      </c>
      <c r="R13" s="79">
        <v>0.2</v>
      </c>
      <c r="S13" s="79">
        <v>0.2</v>
      </c>
      <c r="T13" s="79">
        <v>0.2</v>
      </c>
      <c r="U13" s="79">
        <v>0.2</v>
      </c>
      <c r="V13" s="79">
        <v>0.2</v>
      </c>
      <c r="W13" s="79">
        <v>0.2</v>
      </c>
      <c r="X13" s="79">
        <v>0.2</v>
      </c>
      <c r="AM13" s="50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2"/>
    </row>
    <row r="14" spans="1:54" ht="21" customHeight="1" outlineLevel="1" thickBot="1" x14ac:dyDescent="0.4">
      <c r="A14" s="69">
        <f t="shared" si="1"/>
        <v>0</v>
      </c>
      <c r="B14" s="69">
        <f t="shared" si="0"/>
        <v>0</v>
      </c>
      <c r="C14" s="69">
        <f t="shared" si="0"/>
        <v>0</v>
      </c>
      <c r="D14" s="69">
        <f t="shared" si="0"/>
        <v>1</v>
      </c>
      <c r="E14" s="9" t="s">
        <v>61</v>
      </c>
      <c r="F14" s="79">
        <v>0.2</v>
      </c>
      <c r="G14" s="79">
        <v>0.19989999999999999</v>
      </c>
      <c r="H14" s="79">
        <v>0.19957</v>
      </c>
      <c r="I14" s="79">
        <v>0.19844000000000001</v>
      </c>
      <c r="J14" s="79">
        <v>0.19531999999999999</v>
      </c>
      <c r="K14" s="79">
        <v>0.18803</v>
      </c>
      <c r="L14" s="79">
        <v>9.5223000000000002E-2</v>
      </c>
      <c r="M14" s="79">
        <v>7.3639999999999997E-2</v>
      </c>
      <c r="N14" s="79">
        <v>5.7209999999999997E-2</v>
      </c>
      <c r="O14" s="79">
        <v>4.4878000000000001E-2</v>
      </c>
      <c r="P14" s="79">
        <v>3.5367000000000003E-2</v>
      </c>
      <c r="Q14" s="79">
        <v>1.2664999999999999E-2</v>
      </c>
      <c r="R14" s="79">
        <v>9.8434999999999998E-3</v>
      </c>
      <c r="S14" s="79">
        <v>7.8524000000000007E-3</v>
      </c>
      <c r="T14" s="79">
        <v>6.5586999999999998E-3</v>
      </c>
      <c r="U14" s="79">
        <v>5.6974E-3</v>
      </c>
      <c r="V14" s="79">
        <v>4.2364000000000004E-3</v>
      </c>
      <c r="W14" s="79">
        <v>3.8252E-3</v>
      </c>
      <c r="X14" s="79">
        <v>3.6916000000000002E-3</v>
      </c>
      <c r="AM14" s="50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2"/>
    </row>
    <row r="15" spans="1:54" ht="21" customHeight="1" outlineLevel="1" thickBot="1" x14ac:dyDescent="0.4">
      <c r="A15" s="69">
        <f t="shared" si="1"/>
        <v>0</v>
      </c>
      <c r="B15" s="69">
        <f t="shared" si="0"/>
        <v>0</v>
      </c>
      <c r="C15" s="69">
        <f t="shared" si="0"/>
        <v>1</v>
      </c>
      <c r="D15" s="69">
        <f t="shared" si="0"/>
        <v>0</v>
      </c>
      <c r="E15" s="9" t="s">
        <v>62</v>
      </c>
      <c r="F15" s="79">
        <v>0.12</v>
      </c>
      <c r="G15" s="79">
        <v>0.12</v>
      </c>
      <c r="H15" s="79">
        <v>0.12</v>
      </c>
      <c r="I15" s="79">
        <v>0.12</v>
      </c>
      <c r="J15" s="79">
        <v>0.12</v>
      </c>
      <c r="K15" s="79">
        <v>0.12</v>
      </c>
      <c r="L15" s="79">
        <v>0.12</v>
      </c>
      <c r="M15" s="79">
        <v>0.12</v>
      </c>
      <c r="N15" s="79">
        <v>0.12</v>
      </c>
      <c r="O15" s="79">
        <v>0.12</v>
      </c>
      <c r="P15" s="79">
        <v>0.12</v>
      </c>
      <c r="Q15" s="79">
        <v>0.12</v>
      </c>
      <c r="R15" s="79">
        <v>0.12</v>
      </c>
      <c r="S15" s="79">
        <v>0.12</v>
      </c>
      <c r="T15" s="79">
        <v>0.12</v>
      </c>
      <c r="U15" s="79">
        <v>0.12</v>
      </c>
      <c r="V15" s="79">
        <v>0.12</v>
      </c>
      <c r="W15" s="79">
        <v>0.12</v>
      </c>
      <c r="X15" s="79">
        <v>0.12</v>
      </c>
      <c r="AM15" s="50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2"/>
    </row>
    <row r="16" spans="1:54" ht="21" customHeight="1" outlineLevel="1" thickBot="1" x14ac:dyDescent="0.4">
      <c r="A16" s="69">
        <f t="shared" si="1"/>
        <v>0</v>
      </c>
      <c r="B16" s="69">
        <f t="shared" si="0"/>
        <v>1</v>
      </c>
      <c r="C16" s="69">
        <f t="shared" si="0"/>
        <v>0</v>
      </c>
      <c r="D16" s="69">
        <f t="shared" si="0"/>
        <v>0</v>
      </c>
      <c r="E16" s="9" t="s">
        <v>63</v>
      </c>
      <c r="F16" s="79">
        <v>0.48</v>
      </c>
      <c r="G16" s="79">
        <v>0.47994999999999999</v>
      </c>
      <c r="H16" s="79">
        <v>0.47977999999999998</v>
      </c>
      <c r="I16" s="79">
        <v>0.47921999999999998</v>
      </c>
      <c r="J16" s="79">
        <v>0.47765999999999997</v>
      </c>
      <c r="K16" s="79">
        <v>0.47399999999999998</v>
      </c>
      <c r="L16" s="79">
        <v>0.42616999999999999</v>
      </c>
      <c r="M16" s="79">
        <v>0.41313</v>
      </c>
      <c r="N16" s="79">
        <v>0.40011999999999998</v>
      </c>
      <c r="O16" s="79">
        <v>0.38482</v>
      </c>
      <c r="P16" s="79">
        <v>0.36423</v>
      </c>
      <c r="Q16" s="79">
        <v>0.20286000000000001</v>
      </c>
      <c r="R16" s="79">
        <v>0.15876999999999999</v>
      </c>
      <c r="S16" s="79">
        <v>0.12138</v>
      </c>
      <c r="T16" s="79">
        <v>9.3656000000000003E-2</v>
      </c>
      <c r="U16" s="79">
        <v>7.3054999999999995E-2</v>
      </c>
      <c r="V16" s="79">
        <v>3.2212999999999999E-2</v>
      </c>
      <c r="W16" s="79">
        <v>1.7951000000000002E-2</v>
      </c>
      <c r="X16" s="79">
        <v>1.1579000000000001E-2</v>
      </c>
      <c r="AM16" s="50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2"/>
    </row>
    <row r="17" spans="1:54" ht="21" customHeight="1" outlineLevel="1" thickBot="1" x14ac:dyDescent="0.4">
      <c r="A17" s="69">
        <f t="shared" si="1"/>
        <v>0</v>
      </c>
      <c r="B17" s="69">
        <f t="shared" si="0"/>
        <v>0</v>
      </c>
      <c r="C17" s="69">
        <f t="shared" si="0"/>
        <v>0</v>
      </c>
      <c r="D17" s="69">
        <f t="shared" si="0"/>
        <v>0</v>
      </c>
      <c r="E17" s="9" t="s">
        <v>70</v>
      </c>
      <c r="F17" s="79">
        <v>-18.61</v>
      </c>
      <c r="G17" s="79">
        <v>-18.760000000000002</v>
      </c>
      <c r="H17" s="79">
        <v>-18.829999999999998</v>
      </c>
      <c r="I17" s="79">
        <v>-18.899999999999999</v>
      </c>
      <c r="J17" s="79">
        <v>-18.97</v>
      </c>
      <c r="K17" s="79">
        <v>-19.059999999999999</v>
      </c>
      <c r="L17" s="79">
        <v>-19.54</v>
      </c>
      <c r="M17" s="79">
        <v>-19.649999999999999</v>
      </c>
      <c r="N17" s="79">
        <v>-19.760000000000002</v>
      </c>
      <c r="O17" s="79">
        <v>-19.850000000000001</v>
      </c>
      <c r="P17" s="79">
        <v>-19.95</v>
      </c>
      <c r="Q17" s="79">
        <v>-20.420000000000002</v>
      </c>
      <c r="R17" s="79">
        <v>-20.54</v>
      </c>
      <c r="S17" s="79">
        <v>-20.66</v>
      </c>
      <c r="T17" s="79">
        <v>-20.76</v>
      </c>
      <c r="U17" s="79">
        <v>-20.85</v>
      </c>
      <c r="V17" s="79">
        <v>-21.12</v>
      </c>
      <c r="W17" s="79">
        <v>-21.34</v>
      </c>
      <c r="X17" s="79">
        <v>-21.53</v>
      </c>
      <c r="AM17" s="50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2"/>
    </row>
    <row r="18" spans="1:54" ht="21" customHeight="1" outlineLevel="1" thickBot="1" x14ac:dyDescent="0.4">
      <c r="A18" s="69">
        <f t="shared" si="1"/>
        <v>0</v>
      </c>
      <c r="B18" s="69">
        <f t="shared" si="0"/>
        <v>0</v>
      </c>
      <c r="C18" s="69">
        <f t="shared" si="0"/>
        <v>0</v>
      </c>
      <c r="D18" s="69">
        <f t="shared" si="0"/>
        <v>1</v>
      </c>
      <c r="E18" s="9" t="s">
        <v>5</v>
      </c>
      <c r="F18" s="79">
        <v>-6.2460000000000004</v>
      </c>
      <c r="G18" s="79">
        <v>-7.1479999999999997</v>
      </c>
      <c r="H18" s="79">
        <v>-7.3440000000000003</v>
      </c>
      <c r="I18" s="79">
        <v>-7.5309999999999997</v>
      </c>
      <c r="J18" s="79">
        <v>-7.7160000000000002</v>
      </c>
      <c r="K18" s="79">
        <v>-7.907</v>
      </c>
      <c r="L18" s="79">
        <v>-8.98</v>
      </c>
      <c r="M18" s="79">
        <v>-9.3170000000000002</v>
      </c>
      <c r="N18" s="79">
        <v>-9.6470000000000002</v>
      </c>
      <c r="O18" s="79">
        <v>-9.9629999999999992</v>
      </c>
      <c r="P18" s="79">
        <v>-10.26</v>
      </c>
      <c r="Q18" s="79">
        <v>-11.28</v>
      </c>
      <c r="R18" s="79">
        <v>-11.49</v>
      </c>
      <c r="S18" s="79">
        <v>-11.66</v>
      </c>
      <c r="T18" s="79">
        <v>-11.81</v>
      </c>
      <c r="U18" s="79">
        <v>-11.94</v>
      </c>
      <c r="V18" s="79">
        <v>-12.34</v>
      </c>
      <c r="W18" s="79">
        <v>-12.65</v>
      </c>
      <c r="X18" s="79">
        <v>-12.92</v>
      </c>
      <c r="AM18" s="50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2"/>
    </row>
    <row r="19" spans="1:54" ht="21" customHeight="1" outlineLevel="1" thickBot="1" x14ac:dyDescent="0.4">
      <c r="A19" s="69">
        <f t="shared" si="1"/>
        <v>0</v>
      </c>
      <c r="B19" s="69">
        <f t="shared" si="0"/>
        <v>0</v>
      </c>
      <c r="C19" s="69">
        <f t="shared" si="0"/>
        <v>1</v>
      </c>
      <c r="D19" s="69">
        <f t="shared" si="0"/>
        <v>0</v>
      </c>
      <c r="E19" s="9" t="s">
        <v>6</v>
      </c>
      <c r="F19" s="79">
        <v>5.367</v>
      </c>
      <c r="G19" s="79">
        <v>0.73660000000000003</v>
      </c>
      <c r="H19" s="79">
        <v>-5.534E-2</v>
      </c>
      <c r="I19" s="79">
        <v>-0.75560000000000005</v>
      </c>
      <c r="J19" s="79">
        <v>-1.3779999999999999</v>
      </c>
      <c r="K19" s="79">
        <v>-1.93</v>
      </c>
      <c r="L19" s="79">
        <v>-3.5449999999999999</v>
      </c>
      <c r="M19" s="79">
        <v>-3.8580000000000001</v>
      </c>
      <c r="N19" s="79">
        <v>-4.1520000000000001</v>
      </c>
      <c r="O19" s="79">
        <v>-4.423</v>
      </c>
      <c r="P19" s="79">
        <v>-4.6680000000000001</v>
      </c>
      <c r="Q19" s="79">
        <v>-5.2690000000000001</v>
      </c>
      <c r="R19" s="79">
        <v>-5.3449999999999998</v>
      </c>
      <c r="S19" s="79">
        <v>-5.4130000000000003</v>
      </c>
      <c r="T19" s="79">
        <v>-5.4939999999999998</v>
      </c>
      <c r="U19" s="79">
        <v>-5.5880000000000001</v>
      </c>
      <c r="V19" s="79">
        <v>-6.0519999999999996</v>
      </c>
      <c r="W19" s="79">
        <v>-6.5549999999999997</v>
      </c>
      <c r="X19" s="79">
        <v>-7.0309999999999997</v>
      </c>
      <c r="AM19" s="50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2"/>
    </row>
    <row r="20" spans="1:54" ht="21" customHeight="1" outlineLevel="1" thickBot="1" x14ac:dyDescent="0.4">
      <c r="A20" s="69">
        <f t="shared" si="1"/>
        <v>0</v>
      </c>
      <c r="B20" s="69">
        <f t="shared" si="1"/>
        <v>1</v>
      </c>
      <c r="C20" s="69">
        <f t="shared" si="1"/>
        <v>0</v>
      </c>
      <c r="D20" s="69">
        <f t="shared" si="1"/>
        <v>0</v>
      </c>
      <c r="E20" s="9" t="s">
        <v>7</v>
      </c>
      <c r="F20" s="79">
        <v>-4.8239999999999998</v>
      </c>
      <c r="G20" s="79">
        <v>-5.5949999999999998</v>
      </c>
      <c r="H20" s="79">
        <v>-5.7880000000000003</v>
      </c>
      <c r="I20" s="79">
        <v>-5.9749999999999996</v>
      </c>
      <c r="J20" s="79">
        <v>-6.1550000000000002</v>
      </c>
      <c r="K20" s="79">
        <v>-6.3259999999999996</v>
      </c>
      <c r="L20" s="79">
        <v>-6.8819999999999997</v>
      </c>
      <c r="M20" s="79">
        <v>-7.0060000000000002</v>
      </c>
      <c r="N20" s="79">
        <v>-7.1319999999999997</v>
      </c>
      <c r="O20" s="79">
        <v>-7.2610000000000001</v>
      </c>
      <c r="P20" s="79">
        <v>-7.3940000000000001</v>
      </c>
      <c r="Q20" s="79">
        <v>-8.0410000000000004</v>
      </c>
      <c r="R20" s="79">
        <v>-8.2520000000000007</v>
      </c>
      <c r="S20" s="79">
        <v>-8.4819999999999993</v>
      </c>
      <c r="T20" s="79">
        <v>-8.7279999999999998</v>
      </c>
      <c r="U20" s="79">
        <v>-8.9819999999999993</v>
      </c>
      <c r="V20" s="79">
        <v>-9.968</v>
      </c>
      <c r="W20" s="79">
        <v>-10.83</v>
      </c>
      <c r="X20" s="79">
        <v>-11.56</v>
      </c>
      <c r="AM20" s="50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2"/>
    </row>
    <row r="21" spans="1:54" ht="21" customHeight="1" outlineLevel="1" thickBot="1" x14ac:dyDescent="0.4">
      <c r="A21" s="69">
        <f t="shared" si="1"/>
        <v>0</v>
      </c>
      <c r="B21" s="69">
        <f t="shared" si="1"/>
        <v>0</v>
      </c>
      <c r="C21" s="69">
        <f t="shared" si="1"/>
        <v>0</v>
      </c>
      <c r="D21" s="69">
        <f t="shared" si="1"/>
        <v>0</v>
      </c>
      <c r="E21" s="66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AM21" s="50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2"/>
    </row>
    <row r="22" spans="1:54" ht="21" customHeight="1" outlineLevel="1" thickBot="1" x14ac:dyDescent="0.4">
      <c r="A22" s="69">
        <f t="shared" si="1"/>
        <v>0</v>
      </c>
      <c r="B22" s="69">
        <f t="shared" si="1"/>
        <v>0</v>
      </c>
      <c r="C22" s="69">
        <f t="shared" si="1"/>
        <v>0</v>
      </c>
      <c r="D22" s="69">
        <f t="shared" si="1"/>
        <v>0</v>
      </c>
      <c r="E22" s="66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AM22" s="50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2"/>
    </row>
    <row r="23" spans="1:54" ht="21" customHeight="1" outlineLevel="1" thickBot="1" x14ac:dyDescent="0.4">
      <c r="A23" s="69">
        <f t="shared" si="1"/>
        <v>0</v>
      </c>
      <c r="B23" s="69">
        <f t="shared" si="1"/>
        <v>0</v>
      </c>
      <c r="C23" s="69">
        <f t="shared" si="1"/>
        <v>0</v>
      </c>
      <c r="D23" s="69">
        <f t="shared" si="1"/>
        <v>0</v>
      </c>
      <c r="E23" s="66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AM23" s="50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2"/>
    </row>
    <row r="24" spans="1:54" ht="21" customHeight="1" outlineLevel="1" thickBot="1" x14ac:dyDescent="0.4">
      <c r="A24" s="69">
        <f t="shared" si="1"/>
        <v>0</v>
      </c>
      <c r="B24" s="69">
        <f t="shared" si="1"/>
        <v>0</v>
      </c>
      <c r="C24" s="69">
        <f t="shared" si="1"/>
        <v>0</v>
      </c>
      <c r="D24" s="69">
        <f t="shared" si="1"/>
        <v>0</v>
      </c>
      <c r="E24" s="66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AM24" s="50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2"/>
    </row>
    <row r="25" spans="1:54" ht="21" customHeight="1" outlineLevel="1" thickBot="1" x14ac:dyDescent="0.4">
      <c r="A25" s="69">
        <f t="shared" si="1"/>
        <v>0</v>
      </c>
      <c r="B25" s="69">
        <f t="shared" si="1"/>
        <v>0</v>
      </c>
      <c r="C25" s="69">
        <f t="shared" si="1"/>
        <v>0</v>
      </c>
      <c r="D25" s="69">
        <f t="shared" si="1"/>
        <v>0</v>
      </c>
      <c r="E25" s="66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AM25" s="50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2"/>
    </row>
    <row r="26" spans="1:54" ht="21" customHeight="1" outlineLevel="1" thickBot="1" x14ac:dyDescent="0.4">
      <c r="A26" s="69">
        <f t="shared" si="1"/>
        <v>0</v>
      </c>
      <c r="B26" s="69">
        <f t="shared" si="1"/>
        <v>0</v>
      </c>
      <c r="C26" s="69">
        <f t="shared" si="1"/>
        <v>0</v>
      </c>
      <c r="D26" s="69">
        <f t="shared" si="1"/>
        <v>0</v>
      </c>
      <c r="E26" s="66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AM26" s="50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2"/>
    </row>
    <row r="27" spans="1:54" ht="21" customHeight="1" outlineLevel="1" thickBot="1" x14ac:dyDescent="0.4">
      <c r="A27" s="69">
        <f t="shared" si="1"/>
        <v>0</v>
      </c>
      <c r="B27" s="69">
        <f t="shared" si="1"/>
        <v>0</v>
      </c>
      <c r="C27" s="69">
        <f t="shared" si="1"/>
        <v>0</v>
      </c>
      <c r="D27" s="69">
        <f t="shared" si="1"/>
        <v>0</v>
      </c>
      <c r="E27" s="66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AM27" s="50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2"/>
    </row>
    <row r="28" spans="1:54" ht="21" customHeight="1" outlineLevel="1" thickBot="1" x14ac:dyDescent="0.4">
      <c r="A28" s="69">
        <f t="shared" ref="A28:D33" si="2">IF( ISNUMBER( FIND(A$3,$E28,1)),   IF( ISNUMBER( VALUE(MID($E28,FIND(A$3,$E28,1)+2,1)) ), VALUE( MID($E28,FIND(A$3,$E28,1)+2,1) ),1),0)</f>
        <v>0</v>
      </c>
      <c r="B28" s="69">
        <f t="shared" si="2"/>
        <v>0</v>
      </c>
      <c r="C28" s="69">
        <f t="shared" si="2"/>
        <v>0</v>
      </c>
      <c r="D28" s="69">
        <f t="shared" si="2"/>
        <v>0</v>
      </c>
      <c r="E28" s="66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AM28" s="50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2"/>
    </row>
    <row r="29" spans="1:54" ht="21" customHeight="1" outlineLevel="1" thickBot="1" x14ac:dyDescent="0.4">
      <c r="A29" s="69">
        <f t="shared" si="2"/>
        <v>0</v>
      </c>
      <c r="B29" s="69">
        <f t="shared" si="2"/>
        <v>0</v>
      </c>
      <c r="C29" s="69">
        <f t="shared" si="2"/>
        <v>0</v>
      </c>
      <c r="D29" s="69">
        <f t="shared" si="2"/>
        <v>0</v>
      </c>
      <c r="E29" s="66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AM29" s="50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2"/>
    </row>
    <row r="30" spans="1:54" ht="21" customHeight="1" outlineLevel="1" thickBot="1" x14ac:dyDescent="0.4">
      <c r="A30" s="69">
        <f t="shared" si="2"/>
        <v>0</v>
      </c>
      <c r="B30" s="69">
        <f t="shared" si="2"/>
        <v>0</v>
      </c>
      <c r="C30" s="69">
        <f t="shared" si="2"/>
        <v>0</v>
      </c>
      <c r="D30" s="69">
        <f t="shared" si="2"/>
        <v>0</v>
      </c>
      <c r="E30" s="66"/>
      <c r="AM30" s="50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2"/>
    </row>
    <row r="31" spans="1:54" ht="21" customHeight="1" outlineLevel="1" thickBot="1" x14ac:dyDescent="0.4">
      <c r="A31" s="69">
        <f t="shared" si="2"/>
        <v>0</v>
      </c>
      <c r="B31" s="69">
        <f t="shared" si="2"/>
        <v>0</v>
      </c>
      <c r="C31" s="69">
        <f t="shared" si="2"/>
        <v>0</v>
      </c>
      <c r="D31" s="69">
        <f t="shared" si="2"/>
        <v>0</v>
      </c>
      <c r="E31" s="66"/>
      <c r="AM31" s="50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2"/>
    </row>
    <row r="32" spans="1:54" ht="21" customHeight="1" outlineLevel="1" thickBot="1" x14ac:dyDescent="0.4">
      <c r="A32" s="69">
        <f t="shared" si="2"/>
        <v>0</v>
      </c>
      <c r="B32" s="69">
        <f t="shared" si="2"/>
        <v>0</v>
      </c>
      <c r="C32" s="69">
        <f t="shared" si="2"/>
        <v>0</v>
      </c>
      <c r="D32" s="69">
        <f t="shared" si="2"/>
        <v>0</v>
      </c>
      <c r="E32" s="66"/>
      <c r="AM32" s="50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2"/>
    </row>
    <row r="33" spans="1:54" ht="21" customHeight="1" outlineLevel="1" thickBot="1" x14ac:dyDescent="0.4">
      <c r="A33" s="69">
        <f t="shared" si="2"/>
        <v>0</v>
      </c>
      <c r="B33" s="69">
        <f t="shared" si="2"/>
        <v>0</v>
      </c>
      <c r="C33" s="69">
        <f t="shared" si="2"/>
        <v>0</v>
      </c>
      <c r="D33" s="69">
        <f t="shared" si="2"/>
        <v>0</v>
      </c>
      <c r="E33" s="66">
        <v>1</v>
      </c>
      <c r="AM33" s="50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2"/>
    </row>
    <row r="34" spans="1:54" ht="21" customHeight="1" outlineLevel="1" x14ac:dyDescent="0.35">
      <c r="A34" s="47">
        <f>$A$2</f>
        <v>731</v>
      </c>
      <c r="B34" s="49">
        <v>0</v>
      </c>
      <c r="C34" s="22" t="s">
        <v>36</v>
      </c>
      <c r="D34" s="75">
        <v>14</v>
      </c>
      <c r="E34" s="22" t="str">
        <f ca="1">OFFSET($E$3:$AL$3,$D34,0)</f>
        <v>H (Аг)</v>
      </c>
      <c r="F34" s="26">
        <f t="shared" ref="F34:AL37" ca="1" si="3">OFFSET($E$3:$AL$3,$D34,0)</f>
        <v>-18.61</v>
      </c>
      <c r="G34" s="26">
        <f t="shared" ca="1" si="3"/>
        <v>-18.760000000000002</v>
      </c>
      <c r="H34" s="26">
        <f t="shared" ca="1" si="3"/>
        <v>-18.829999999999998</v>
      </c>
      <c r="I34" s="26">
        <f t="shared" ca="1" si="3"/>
        <v>-18.899999999999999</v>
      </c>
      <c r="J34" s="26">
        <f t="shared" ca="1" si="3"/>
        <v>-18.97</v>
      </c>
      <c r="K34" s="26">
        <f t="shared" ca="1" si="3"/>
        <v>-19.059999999999999</v>
      </c>
      <c r="L34" s="26">
        <f t="shared" ca="1" si="3"/>
        <v>-19.54</v>
      </c>
      <c r="M34" s="26">
        <f t="shared" ca="1" si="3"/>
        <v>-19.649999999999999</v>
      </c>
      <c r="N34" s="26">
        <f t="shared" ca="1" si="3"/>
        <v>-19.760000000000002</v>
      </c>
      <c r="O34" s="26">
        <f t="shared" ca="1" si="3"/>
        <v>-19.850000000000001</v>
      </c>
      <c r="P34" s="26">
        <f t="shared" ca="1" si="3"/>
        <v>-19.95</v>
      </c>
      <c r="Q34" s="26">
        <f t="shared" ca="1" si="3"/>
        <v>-20.420000000000002</v>
      </c>
      <c r="R34" s="26">
        <f t="shared" ca="1" si="3"/>
        <v>-20.54</v>
      </c>
      <c r="S34" s="26">
        <f t="shared" ca="1" si="3"/>
        <v>-20.66</v>
      </c>
      <c r="T34" s="26">
        <f t="shared" ca="1" si="3"/>
        <v>-20.76</v>
      </c>
      <c r="U34" s="26">
        <f t="shared" ca="1" si="3"/>
        <v>-20.85</v>
      </c>
      <c r="V34" s="26">
        <f t="shared" ca="1" si="3"/>
        <v>-21.12</v>
      </c>
      <c r="W34" s="26">
        <f t="shared" ca="1" si="3"/>
        <v>-21.34</v>
      </c>
      <c r="X34" s="26">
        <f t="shared" ca="1" si="3"/>
        <v>-21.53</v>
      </c>
      <c r="Y34" s="26">
        <f t="shared" ca="1" si="3"/>
        <v>0</v>
      </c>
      <c r="Z34" s="26">
        <f t="shared" ca="1" si="3"/>
        <v>0</v>
      </c>
      <c r="AA34" s="26">
        <f t="shared" ca="1" si="3"/>
        <v>0</v>
      </c>
      <c r="AB34" s="26">
        <f t="shared" ca="1" si="3"/>
        <v>0</v>
      </c>
      <c r="AC34" s="26">
        <f t="shared" ca="1" si="3"/>
        <v>0</v>
      </c>
      <c r="AD34" s="26">
        <f t="shared" ca="1" si="3"/>
        <v>0</v>
      </c>
      <c r="AE34" s="26">
        <f t="shared" ca="1" si="3"/>
        <v>0</v>
      </c>
      <c r="AF34" s="26">
        <f t="shared" ca="1" si="3"/>
        <v>0</v>
      </c>
      <c r="AG34" s="26">
        <f t="shared" ca="1" si="3"/>
        <v>0</v>
      </c>
      <c r="AH34" s="26">
        <f t="shared" ca="1" si="3"/>
        <v>0</v>
      </c>
      <c r="AI34" s="26">
        <f t="shared" ca="1" si="3"/>
        <v>0</v>
      </c>
      <c r="AJ34" s="26">
        <f t="shared" ca="1" si="3"/>
        <v>0</v>
      </c>
      <c r="AK34" s="26">
        <f t="shared" ca="1" si="3"/>
        <v>0</v>
      </c>
      <c r="AL34" s="26">
        <f t="shared" ca="1" si="3"/>
        <v>0</v>
      </c>
      <c r="AM34" s="50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2"/>
    </row>
    <row r="35" spans="1:54" ht="21" customHeight="1" outlineLevel="1" thickBot="1" x14ac:dyDescent="0.4">
      <c r="A35" s="53">
        <f>$A$2</f>
        <v>731</v>
      </c>
      <c r="B35" s="74">
        <v>1</v>
      </c>
      <c r="C35" s="22" t="s">
        <v>5</v>
      </c>
      <c r="D35" s="75">
        <f t="shared" ref="D35:D37" si="4">MATCH(C35,$E$4:$E$33)</f>
        <v>15</v>
      </c>
      <c r="E35" s="22" t="str">
        <f t="shared" ref="E35:E37" ca="1" si="5">OFFSET($E$3:$AL$3,$D35,0)</f>
        <v>H (Ga)</v>
      </c>
      <c r="F35" s="26">
        <f t="shared" ca="1" si="3"/>
        <v>-6.2460000000000004</v>
      </c>
      <c r="G35" s="26">
        <f t="shared" ca="1" si="3"/>
        <v>-7.1479999999999997</v>
      </c>
      <c r="H35" s="26">
        <f t="shared" ca="1" si="3"/>
        <v>-7.3440000000000003</v>
      </c>
      <c r="I35" s="26">
        <f t="shared" ca="1" si="3"/>
        <v>-7.5309999999999997</v>
      </c>
      <c r="J35" s="26">
        <f t="shared" ca="1" si="3"/>
        <v>-7.7160000000000002</v>
      </c>
      <c r="K35" s="26">
        <f t="shared" ca="1" si="3"/>
        <v>-7.907</v>
      </c>
      <c r="L35" s="26">
        <f t="shared" ca="1" si="3"/>
        <v>-8.98</v>
      </c>
      <c r="M35" s="26">
        <f t="shared" ca="1" si="3"/>
        <v>-9.3170000000000002</v>
      </c>
      <c r="N35" s="26">
        <f t="shared" ca="1" si="3"/>
        <v>-9.6470000000000002</v>
      </c>
      <c r="O35" s="26">
        <f t="shared" ca="1" si="3"/>
        <v>-9.9629999999999992</v>
      </c>
      <c r="P35" s="26">
        <f t="shared" ca="1" si="3"/>
        <v>-10.26</v>
      </c>
      <c r="Q35" s="26">
        <f t="shared" ca="1" si="3"/>
        <v>-11.28</v>
      </c>
      <c r="R35" s="26">
        <f t="shared" ca="1" si="3"/>
        <v>-11.49</v>
      </c>
      <c r="S35" s="26">
        <f t="shared" ca="1" si="3"/>
        <v>-11.66</v>
      </c>
      <c r="T35" s="26">
        <f t="shared" ca="1" si="3"/>
        <v>-11.81</v>
      </c>
      <c r="U35" s="26">
        <f t="shared" ca="1" si="3"/>
        <v>-11.94</v>
      </c>
      <c r="V35" s="26">
        <f t="shared" ca="1" si="3"/>
        <v>-12.34</v>
      </c>
      <c r="W35" s="26">
        <f t="shared" ca="1" si="3"/>
        <v>-12.65</v>
      </c>
      <c r="X35" s="26">
        <f t="shared" ca="1" si="3"/>
        <v>-12.92</v>
      </c>
      <c r="Y35" s="26">
        <f t="shared" ca="1" si="3"/>
        <v>0</v>
      </c>
      <c r="Z35" s="26">
        <f t="shared" ca="1" si="3"/>
        <v>0</v>
      </c>
      <c r="AA35" s="26">
        <f t="shared" ca="1" si="3"/>
        <v>0</v>
      </c>
      <c r="AB35" s="26">
        <f t="shared" ca="1" si="3"/>
        <v>0</v>
      </c>
      <c r="AC35" s="26">
        <f t="shared" ca="1" si="3"/>
        <v>0</v>
      </c>
      <c r="AD35" s="26">
        <f t="shared" ca="1" si="3"/>
        <v>0</v>
      </c>
      <c r="AE35" s="26">
        <f t="shared" ca="1" si="3"/>
        <v>0</v>
      </c>
      <c r="AF35" s="26">
        <f t="shared" ca="1" si="3"/>
        <v>0</v>
      </c>
      <c r="AG35" s="26">
        <f t="shared" ca="1" si="3"/>
        <v>0</v>
      </c>
      <c r="AH35" s="26">
        <f t="shared" ca="1" si="3"/>
        <v>0</v>
      </c>
      <c r="AI35" s="26">
        <f t="shared" ca="1" si="3"/>
        <v>0</v>
      </c>
      <c r="AJ35" s="26">
        <f t="shared" ca="1" si="3"/>
        <v>0</v>
      </c>
      <c r="AK35" s="26">
        <f t="shared" ca="1" si="3"/>
        <v>0</v>
      </c>
      <c r="AL35" s="26">
        <f t="shared" ca="1" si="3"/>
        <v>0</v>
      </c>
      <c r="AM35" s="50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2"/>
    </row>
    <row r="36" spans="1:54" ht="21" customHeight="1" outlineLevel="1" x14ac:dyDescent="0.35">
      <c r="C36" s="22" t="s">
        <v>6</v>
      </c>
      <c r="D36" s="75">
        <f t="shared" si="4"/>
        <v>16</v>
      </c>
      <c r="E36" s="22" t="str">
        <f t="shared" ca="1" si="5"/>
        <v>H (Ge)</v>
      </c>
      <c r="F36" s="26">
        <f t="shared" ca="1" si="3"/>
        <v>5.367</v>
      </c>
      <c r="G36" s="26">
        <f t="shared" ca="1" si="3"/>
        <v>0.73660000000000003</v>
      </c>
      <c r="H36" s="26">
        <f t="shared" ca="1" si="3"/>
        <v>-5.534E-2</v>
      </c>
      <c r="I36" s="26">
        <f t="shared" ca="1" si="3"/>
        <v>-0.75560000000000005</v>
      </c>
      <c r="J36" s="26">
        <f t="shared" ca="1" si="3"/>
        <v>-1.3779999999999999</v>
      </c>
      <c r="K36" s="26">
        <f t="shared" ca="1" si="3"/>
        <v>-1.93</v>
      </c>
      <c r="L36" s="26">
        <f t="shared" ca="1" si="3"/>
        <v>-3.5449999999999999</v>
      </c>
      <c r="M36" s="26">
        <f t="shared" ca="1" si="3"/>
        <v>-3.8580000000000001</v>
      </c>
      <c r="N36" s="26">
        <f t="shared" ca="1" si="3"/>
        <v>-4.1520000000000001</v>
      </c>
      <c r="O36" s="26">
        <f t="shared" ca="1" si="3"/>
        <v>-4.423</v>
      </c>
      <c r="P36" s="26">
        <f t="shared" ca="1" si="3"/>
        <v>-4.6680000000000001</v>
      </c>
      <c r="Q36" s="26">
        <f t="shared" ca="1" si="3"/>
        <v>-5.2690000000000001</v>
      </c>
      <c r="R36" s="26">
        <f t="shared" ca="1" si="3"/>
        <v>-5.3449999999999998</v>
      </c>
      <c r="S36" s="26">
        <f t="shared" ca="1" si="3"/>
        <v>-5.4130000000000003</v>
      </c>
      <c r="T36" s="26">
        <f t="shared" ca="1" si="3"/>
        <v>-5.4939999999999998</v>
      </c>
      <c r="U36" s="26">
        <f t="shared" ca="1" si="3"/>
        <v>-5.5880000000000001</v>
      </c>
      <c r="V36" s="26">
        <f t="shared" ca="1" si="3"/>
        <v>-6.0519999999999996</v>
      </c>
      <c r="W36" s="26">
        <f t="shared" ca="1" si="3"/>
        <v>-6.5549999999999997</v>
      </c>
      <c r="X36" s="26">
        <f t="shared" ca="1" si="3"/>
        <v>-7.0309999999999997</v>
      </c>
      <c r="Y36" s="26">
        <f t="shared" ca="1" si="3"/>
        <v>0</v>
      </c>
      <c r="Z36" s="26">
        <f t="shared" ca="1" si="3"/>
        <v>0</v>
      </c>
      <c r="AA36" s="26">
        <f t="shared" ca="1" si="3"/>
        <v>0</v>
      </c>
      <c r="AB36" s="26">
        <f t="shared" ca="1" si="3"/>
        <v>0</v>
      </c>
      <c r="AC36" s="26">
        <f t="shared" ca="1" si="3"/>
        <v>0</v>
      </c>
      <c r="AD36" s="26">
        <f t="shared" ca="1" si="3"/>
        <v>0</v>
      </c>
      <c r="AE36" s="26">
        <f t="shared" ca="1" si="3"/>
        <v>0</v>
      </c>
      <c r="AF36" s="26">
        <f t="shared" ca="1" si="3"/>
        <v>0</v>
      </c>
      <c r="AG36" s="26">
        <f t="shared" ca="1" si="3"/>
        <v>0</v>
      </c>
      <c r="AH36" s="26">
        <f t="shared" ca="1" si="3"/>
        <v>0</v>
      </c>
      <c r="AI36" s="26">
        <f t="shared" ca="1" si="3"/>
        <v>0</v>
      </c>
      <c r="AJ36" s="26">
        <f t="shared" ca="1" si="3"/>
        <v>0</v>
      </c>
      <c r="AK36" s="26">
        <f t="shared" ca="1" si="3"/>
        <v>0</v>
      </c>
      <c r="AL36" s="26">
        <f t="shared" ca="1" si="3"/>
        <v>0</v>
      </c>
      <c r="AM36" s="50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2"/>
    </row>
    <row r="37" spans="1:54" ht="21" customHeight="1" outlineLevel="1" thickBot="1" x14ac:dyDescent="0.4">
      <c r="C37" s="22" t="s">
        <v>7</v>
      </c>
      <c r="D37" s="75">
        <f t="shared" si="4"/>
        <v>17</v>
      </c>
      <c r="E37" s="22" t="str">
        <f t="shared" ca="1" si="5"/>
        <v>H (Se)</v>
      </c>
      <c r="F37" s="26">
        <f t="shared" ca="1" si="3"/>
        <v>-4.8239999999999998</v>
      </c>
      <c r="G37" s="26">
        <f t="shared" ca="1" si="3"/>
        <v>-5.5949999999999998</v>
      </c>
      <c r="H37" s="26">
        <f t="shared" ca="1" si="3"/>
        <v>-5.7880000000000003</v>
      </c>
      <c r="I37" s="26">
        <f t="shared" ca="1" si="3"/>
        <v>-5.9749999999999996</v>
      </c>
      <c r="J37" s="26">
        <f t="shared" ca="1" si="3"/>
        <v>-6.1550000000000002</v>
      </c>
      <c r="K37" s="26">
        <f t="shared" ca="1" si="3"/>
        <v>-6.3259999999999996</v>
      </c>
      <c r="L37" s="26">
        <f t="shared" ca="1" si="3"/>
        <v>-6.8819999999999997</v>
      </c>
      <c r="M37" s="26">
        <f t="shared" ca="1" si="3"/>
        <v>-7.0060000000000002</v>
      </c>
      <c r="N37" s="26">
        <f t="shared" ca="1" si="3"/>
        <v>-7.1319999999999997</v>
      </c>
      <c r="O37" s="26">
        <f t="shared" ca="1" si="3"/>
        <v>-7.2610000000000001</v>
      </c>
      <c r="P37" s="26">
        <f t="shared" ca="1" si="3"/>
        <v>-7.3940000000000001</v>
      </c>
      <c r="Q37" s="26">
        <f t="shared" ca="1" si="3"/>
        <v>-8.0410000000000004</v>
      </c>
      <c r="R37" s="26">
        <f t="shared" ca="1" si="3"/>
        <v>-8.2520000000000007</v>
      </c>
      <c r="S37" s="26">
        <f t="shared" ca="1" si="3"/>
        <v>-8.4819999999999993</v>
      </c>
      <c r="T37" s="26">
        <f t="shared" ca="1" si="3"/>
        <v>-8.7279999999999998</v>
      </c>
      <c r="U37" s="26">
        <f t="shared" ca="1" si="3"/>
        <v>-8.9819999999999993</v>
      </c>
      <c r="V37" s="26">
        <f t="shared" ca="1" si="3"/>
        <v>-9.968</v>
      </c>
      <c r="W37" s="26">
        <f t="shared" ca="1" si="3"/>
        <v>-10.83</v>
      </c>
      <c r="X37" s="26">
        <f t="shared" ca="1" si="3"/>
        <v>-11.56</v>
      </c>
      <c r="Y37" s="26">
        <f t="shared" ca="1" si="3"/>
        <v>0</v>
      </c>
      <c r="Z37" s="26">
        <f t="shared" ca="1" si="3"/>
        <v>0</v>
      </c>
      <c r="AA37" s="26">
        <f t="shared" ca="1" si="3"/>
        <v>0</v>
      </c>
      <c r="AB37" s="26">
        <f t="shared" ca="1" si="3"/>
        <v>0</v>
      </c>
      <c r="AC37" s="26">
        <f t="shared" ca="1" si="3"/>
        <v>0</v>
      </c>
      <c r="AD37" s="26">
        <f t="shared" ca="1" si="3"/>
        <v>0</v>
      </c>
      <c r="AE37" s="26">
        <f t="shared" ca="1" si="3"/>
        <v>0</v>
      </c>
      <c r="AF37" s="26">
        <f t="shared" ca="1" si="3"/>
        <v>0</v>
      </c>
      <c r="AG37" s="26">
        <f t="shared" ca="1" si="3"/>
        <v>0</v>
      </c>
      <c r="AH37" s="26">
        <f t="shared" ca="1" si="3"/>
        <v>0</v>
      </c>
      <c r="AI37" s="26">
        <f t="shared" ca="1" si="3"/>
        <v>0</v>
      </c>
      <c r="AJ37" s="26">
        <f t="shared" ca="1" si="3"/>
        <v>0</v>
      </c>
      <c r="AK37" s="26">
        <f t="shared" ca="1" si="3"/>
        <v>0</v>
      </c>
      <c r="AL37" s="26">
        <f t="shared" ca="1" si="3"/>
        <v>0</v>
      </c>
      <c r="AM37" s="53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5"/>
    </row>
    <row r="38" spans="1:54" ht="21" customHeight="1" thickBot="1" x14ac:dyDescent="0.4"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</row>
    <row r="39" spans="1:54" ht="21" customHeight="1" thickTop="1" thickBot="1" x14ac:dyDescent="0.45">
      <c r="A39" s="11" t="s">
        <v>8</v>
      </c>
      <c r="B39" s="12"/>
      <c r="C39" s="12"/>
      <c r="D39" s="13"/>
      <c r="E39" s="2" t="s">
        <v>29</v>
      </c>
      <c r="F39" s="3"/>
      <c r="G39" s="2"/>
      <c r="H39" s="2"/>
      <c r="I39" s="2"/>
      <c r="J39" s="2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5"/>
      <c r="AN39" s="15"/>
      <c r="AO39" s="15"/>
      <c r="AP39" s="15"/>
      <c r="AQ39" s="15"/>
      <c r="AR39" s="15"/>
    </row>
    <row r="40" spans="1:54" ht="21" customHeight="1" outlineLevel="1" thickTop="1" thickBot="1" x14ac:dyDescent="0.4">
      <c r="A40" s="16" t="s">
        <v>1</v>
      </c>
      <c r="B40" s="16" t="s">
        <v>3</v>
      </c>
      <c r="C40" s="16" t="s">
        <v>4</v>
      </c>
      <c r="D40" s="16" t="s">
        <v>2</v>
      </c>
      <c r="E40" s="16" t="s">
        <v>9</v>
      </c>
      <c r="F40" s="17">
        <f>F3</f>
        <v>298.2</v>
      </c>
      <c r="G40" s="17">
        <f t="shared" ref="G40:AL40" si="6">G3</f>
        <v>431.7</v>
      </c>
      <c r="H40" s="17">
        <f t="shared" si="6"/>
        <v>465.1</v>
      </c>
      <c r="I40" s="17">
        <f t="shared" si="6"/>
        <v>498.5</v>
      </c>
      <c r="J40" s="17">
        <f t="shared" si="6"/>
        <v>531.79999999999995</v>
      </c>
      <c r="K40" s="17">
        <f t="shared" si="6"/>
        <v>565.20000000000005</v>
      </c>
      <c r="L40" s="17">
        <f t="shared" si="6"/>
        <v>698.8</v>
      </c>
      <c r="M40" s="17">
        <f t="shared" si="6"/>
        <v>732.2</v>
      </c>
      <c r="N40" s="17">
        <f t="shared" si="6"/>
        <v>765.5</v>
      </c>
      <c r="O40" s="17">
        <f t="shared" si="6"/>
        <v>798.9</v>
      </c>
      <c r="P40" s="17">
        <f t="shared" si="6"/>
        <v>832.3</v>
      </c>
      <c r="Q40" s="17">
        <f t="shared" si="6"/>
        <v>965.8</v>
      </c>
      <c r="R40" s="17">
        <f t="shared" si="6"/>
        <v>999.2</v>
      </c>
      <c r="S40" s="17">
        <f t="shared" si="6"/>
        <v>1033</v>
      </c>
      <c r="T40" s="17">
        <f t="shared" si="6"/>
        <v>1066</v>
      </c>
      <c r="U40" s="17">
        <f t="shared" si="6"/>
        <v>1099</v>
      </c>
      <c r="V40" s="17">
        <f t="shared" si="6"/>
        <v>1233</v>
      </c>
      <c r="W40" s="17">
        <f t="shared" si="6"/>
        <v>1366</v>
      </c>
      <c r="X40" s="17">
        <f t="shared" si="6"/>
        <v>1500</v>
      </c>
      <c r="Y40" s="17">
        <f t="shared" si="6"/>
        <v>0</v>
      </c>
      <c r="Z40" s="17">
        <f t="shared" si="6"/>
        <v>0</v>
      </c>
      <c r="AA40" s="17">
        <f t="shared" si="6"/>
        <v>0</v>
      </c>
      <c r="AB40" s="17">
        <f t="shared" si="6"/>
        <v>0</v>
      </c>
      <c r="AC40" s="17">
        <f t="shared" si="6"/>
        <v>0</v>
      </c>
      <c r="AD40" s="17">
        <f t="shared" si="6"/>
        <v>0</v>
      </c>
      <c r="AE40" s="17">
        <f t="shared" si="6"/>
        <v>0</v>
      </c>
      <c r="AF40" s="17">
        <f t="shared" si="6"/>
        <v>0</v>
      </c>
      <c r="AG40" s="17">
        <f t="shared" si="6"/>
        <v>0</v>
      </c>
      <c r="AH40" s="17">
        <f t="shared" si="6"/>
        <v>0</v>
      </c>
      <c r="AI40" s="17">
        <f t="shared" si="6"/>
        <v>0</v>
      </c>
      <c r="AJ40" s="17">
        <f t="shared" si="6"/>
        <v>0</v>
      </c>
      <c r="AK40" s="17">
        <f t="shared" si="6"/>
        <v>0</v>
      </c>
      <c r="AL40" s="17">
        <f t="shared" si="6"/>
        <v>0</v>
      </c>
    </row>
    <row r="41" spans="1:54" ht="21" customHeight="1" outlineLevel="1" thickTop="1" x14ac:dyDescent="0.35">
      <c r="A41" s="18">
        <f>A45/$B45</f>
        <v>1.6666666666666667</v>
      </c>
      <c r="B41" s="18">
        <f>B45/$B45</f>
        <v>1</v>
      </c>
      <c r="C41" s="18">
        <f>C45/$B45</f>
        <v>1.6666666666666667</v>
      </c>
      <c r="D41" s="18">
        <f>D45/$B45</f>
        <v>4</v>
      </c>
      <c r="E41" s="18">
        <f>SUM(A41:D41)</f>
        <v>8.3333333333333339</v>
      </c>
      <c r="F41" s="19">
        <f t="shared" ref="F41:AL41" ca="1" si="7">($B$41*H.Ge+$C$41*H.Ga+$D$41*H.Se)*F$40*$B$2/1000</f>
        <v>-60.345724742100003</v>
      </c>
      <c r="G41" s="19">
        <f t="shared" ca="1" si="7"/>
        <v>-120.44752017981</v>
      </c>
      <c r="H41" s="19">
        <f t="shared" ca="1" si="7"/>
        <v>-137.07748511079299</v>
      </c>
      <c r="I41" s="19">
        <f t="shared" ca="1" si="7"/>
        <v>-154.21586962194999</v>
      </c>
      <c r="J41" s="19">
        <f t="shared" ca="1" si="7"/>
        <v>-171.81651844380005</v>
      </c>
      <c r="K41" s="19">
        <f t="shared" ca="1" si="7"/>
        <v>-189.91191687660006</v>
      </c>
      <c r="L41" s="19">
        <f t="shared" ca="1" si="7"/>
        <v>-267.49840977980006</v>
      </c>
      <c r="M41" s="19">
        <f t="shared" ca="1" si="7"/>
        <v>-288.62827312130008</v>
      </c>
      <c r="N41" s="19">
        <f t="shared" ca="1" si="7"/>
        <v>-310.33458989375004</v>
      </c>
      <c r="O41" s="19">
        <f t="shared" ca="1" si="7"/>
        <v>-332.60095919160005</v>
      </c>
      <c r="P41" s="19">
        <f t="shared" ca="1" si="7"/>
        <v>-355.3086103224</v>
      </c>
      <c r="Q41" s="19">
        <f t="shared" ca="1" si="7"/>
        <v>-451.55909317530006</v>
      </c>
      <c r="R41" s="19">
        <f t="shared" ca="1" si="7"/>
        <v>-477.72620654520006</v>
      </c>
      <c r="S41" s="19">
        <f t="shared" ca="1" si="7"/>
        <v>-504.80560791850002</v>
      </c>
      <c r="T41" s="19">
        <f t="shared" ca="1" si="7"/>
        <v>-532.58720429200002</v>
      </c>
      <c r="U41" s="19">
        <f t="shared" ca="1" si="7"/>
        <v>-561.19702186800009</v>
      </c>
      <c r="V41" s="19">
        <f t="shared" ca="1" si="7"/>
        <v>-681.6475869840001</v>
      </c>
      <c r="W41" s="19">
        <f t="shared" ca="1" si="7"/>
        <v>-805.91686337500016</v>
      </c>
      <c r="X41" s="19">
        <f t="shared" ca="1" si="7"/>
        <v>-932.94094425000003</v>
      </c>
      <c r="Y41" s="19">
        <f t="shared" ca="1" si="7"/>
        <v>0</v>
      </c>
      <c r="Z41" s="19">
        <f t="shared" ca="1" si="7"/>
        <v>0</v>
      </c>
      <c r="AA41" s="19">
        <f t="shared" ca="1" si="7"/>
        <v>0</v>
      </c>
      <c r="AB41" s="19">
        <f t="shared" ca="1" si="7"/>
        <v>0</v>
      </c>
      <c r="AC41" s="19">
        <f t="shared" ca="1" si="7"/>
        <v>0</v>
      </c>
      <c r="AD41" s="19">
        <f t="shared" ca="1" si="7"/>
        <v>0</v>
      </c>
      <c r="AE41" s="19">
        <f t="shared" ca="1" si="7"/>
        <v>0</v>
      </c>
      <c r="AF41" s="19">
        <f t="shared" ca="1" si="7"/>
        <v>0</v>
      </c>
      <c r="AG41" s="19">
        <f t="shared" ca="1" si="7"/>
        <v>0</v>
      </c>
      <c r="AH41" s="19">
        <f t="shared" ca="1" si="7"/>
        <v>0</v>
      </c>
      <c r="AI41" s="19">
        <f t="shared" ca="1" si="7"/>
        <v>0</v>
      </c>
      <c r="AJ41" s="19">
        <f t="shared" ca="1" si="7"/>
        <v>0</v>
      </c>
      <c r="AK41" s="19">
        <f t="shared" ca="1" si="7"/>
        <v>0</v>
      </c>
      <c r="AL41" s="19">
        <f t="shared" ca="1" si="7"/>
        <v>0</v>
      </c>
    </row>
    <row r="42" spans="1:54" ht="21" customHeight="1" outlineLevel="1" x14ac:dyDescent="0.35"/>
    <row r="43" spans="1:54" ht="21" customHeight="1" outlineLevel="1" thickBot="1" x14ac:dyDescent="0.4">
      <c r="A43" s="13" t="s">
        <v>10</v>
      </c>
      <c r="B43" s="13"/>
      <c r="C43" s="13"/>
      <c r="D43" s="72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</row>
    <row r="44" spans="1:54" ht="21" customHeight="1" outlineLevel="1" thickTop="1" thickBot="1" x14ac:dyDescent="0.4">
      <c r="A44" s="20" t="s">
        <v>1</v>
      </c>
      <c r="B44" s="20" t="s">
        <v>3</v>
      </c>
      <c r="C44" s="20" t="s">
        <v>4</v>
      </c>
      <c r="D44" s="20" t="s">
        <v>2</v>
      </c>
    </row>
    <row r="45" spans="1:54" ht="21" customHeight="1" outlineLevel="1" thickTop="1" x14ac:dyDescent="0.35">
      <c r="A45" s="22">
        <f t="array" ref="A45:D45">Values!D3:G3</f>
        <v>25</v>
      </c>
      <c r="B45" s="22">
        <v>15</v>
      </c>
      <c r="C45" s="22">
        <v>25</v>
      </c>
      <c r="D45" s="22">
        <v>60</v>
      </c>
      <c r="W45" s="21"/>
    </row>
    <row r="46" spans="1:54" ht="21" customHeight="1" outlineLevel="1" x14ac:dyDescent="0.35"/>
    <row r="47" spans="1:54" ht="21" customHeight="1" thickBot="1" x14ac:dyDescent="0.4"/>
    <row r="48" spans="1:54" ht="21" customHeight="1" thickBot="1" x14ac:dyDescent="0.45">
      <c r="A48" s="1"/>
      <c r="B48" s="1"/>
      <c r="C48" s="1"/>
      <c r="D48" s="1"/>
      <c r="E48" s="2" t="s">
        <v>30</v>
      </c>
      <c r="F48" s="3"/>
      <c r="G48" s="2"/>
      <c r="H48" s="2"/>
      <c r="I48" s="2"/>
      <c r="J48" s="2"/>
      <c r="K48" s="2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</row>
    <row r="49" spans="1:38" ht="21" hidden="1" customHeight="1" outlineLevel="1" thickTop="1" thickBot="1" x14ac:dyDescent="0.4">
      <c r="A49" s="24" t="s">
        <v>1</v>
      </c>
      <c r="B49" s="24" t="s">
        <v>2</v>
      </c>
      <c r="C49" s="24" t="s">
        <v>3</v>
      </c>
      <c r="D49" s="25" t="s">
        <v>4</v>
      </c>
      <c r="E49" s="6">
        <f t="shared" ref="E49:AL49" si="8">E3</f>
        <v>0</v>
      </c>
      <c r="F49" s="6">
        <f t="shared" si="8"/>
        <v>298.2</v>
      </c>
      <c r="G49" s="6">
        <f t="shared" si="8"/>
        <v>431.7</v>
      </c>
      <c r="H49" s="6">
        <f t="shared" si="8"/>
        <v>465.1</v>
      </c>
      <c r="I49" s="6">
        <f t="shared" si="8"/>
        <v>498.5</v>
      </c>
      <c r="J49" s="6">
        <f t="shared" si="8"/>
        <v>531.79999999999995</v>
      </c>
      <c r="K49" s="6">
        <f t="shared" si="8"/>
        <v>565.20000000000005</v>
      </c>
      <c r="L49" s="6">
        <f t="shared" si="8"/>
        <v>698.8</v>
      </c>
      <c r="M49" s="6">
        <f t="shared" si="8"/>
        <v>732.2</v>
      </c>
      <c r="N49" s="6">
        <f t="shared" si="8"/>
        <v>765.5</v>
      </c>
      <c r="O49" s="6">
        <f t="shared" si="8"/>
        <v>798.9</v>
      </c>
      <c r="P49" s="6">
        <f t="shared" si="8"/>
        <v>832.3</v>
      </c>
      <c r="Q49" s="6">
        <f t="shared" si="8"/>
        <v>965.8</v>
      </c>
      <c r="R49" s="6">
        <f t="shared" si="8"/>
        <v>999.2</v>
      </c>
      <c r="S49" s="6">
        <f t="shared" si="8"/>
        <v>1033</v>
      </c>
      <c r="T49" s="6">
        <f t="shared" si="8"/>
        <v>1066</v>
      </c>
      <c r="U49" s="6">
        <f t="shared" si="8"/>
        <v>1099</v>
      </c>
      <c r="V49" s="6">
        <f t="shared" si="8"/>
        <v>1233</v>
      </c>
      <c r="W49" s="6">
        <f t="shared" si="8"/>
        <v>1366</v>
      </c>
      <c r="X49" s="6">
        <f t="shared" si="8"/>
        <v>1500</v>
      </c>
      <c r="Y49" s="6">
        <f t="shared" si="8"/>
        <v>0</v>
      </c>
      <c r="Z49" s="6">
        <f t="shared" si="8"/>
        <v>0</v>
      </c>
      <c r="AA49" s="6">
        <f t="shared" si="8"/>
        <v>0</v>
      </c>
      <c r="AB49" s="6">
        <f t="shared" si="8"/>
        <v>0</v>
      </c>
      <c r="AC49" s="6">
        <f t="shared" si="8"/>
        <v>0</v>
      </c>
      <c r="AD49" s="6">
        <f t="shared" si="8"/>
        <v>0</v>
      </c>
      <c r="AE49" s="6">
        <f t="shared" si="8"/>
        <v>0</v>
      </c>
      <c r="AF49" s="6">
        <f t="shared" si="8"/>
        <v>0</v>
      </c>
      <c r="AG49" s="6">
        <f t="shared" si="8"/>
        <v>0</v>
      </c>
      <c r="AH49" s="6">
        <f t="shared" si="8"/>
        <v>0</v>
      </c>
      <c r="AI49" s="6">
        <f t="shared" si="8"/>
        <v>0</v>
      </c>
      <c r="AJ49" s="6">
        <f t="shared" si="8"/>
        <v>0</v>
      </c>
      <c r="AK49" s="6">
        <f t="shared" si="8"/>
        <v>0</v>
      </c>
      <c r="AL49" s="6">
        <f t="shared" si="8"/>
        <v>0</v>
      </c>
    </row>
    <row r="50" spans="1:38" ht="21" hidden="1" customHeight="1" outlineLevel="1" thickTop="1" thickBot="1" x14ac:dyDescent="0.4">
      <c r="A50" s="8">
        <f t="shared" ref="A50:E65" si="9">A4</f>
        <v>0</v>
      </c>
      <c r="B50" s="8">
        <f t="shared" si="9"/>
        <v>3</v>
      </c>
      <c r="C50" s="8">
        <f t="shared" si="9"/>
        <v>0</v>
      </c>
      <c r="D50" s="8">
        <f t="shared" si="9"/>
        <v>0</v>
      </c>
      <c r="E50" s="9" t="str">
        <f t="shared" si="9"/>
        <v>Se3</v>
      </c>
      <c r="F50" s="26">
        <f t="shared" ref="F50:O59" ca="1" si="10">$A50*H.Ar + $B50*H.Se + $C50*H.Ge + $D50*H.Ga</f>
        <v>-14.472</v>
      </c>
      <c r="G50" s="26">
        <f t="shared" ca="1" si="10"/>
        <v>-16.785</v>
      </c>
      <c r="H50" s="26">
        <f t="shared" ca="1" si="10"/>
        <v>-17.364000000000001</v>
      </c>
      <c r="I50" s="26">
        <f t="shared" ca="1" si="10"/>
        <v>-17.924999999999997</v>
      </c>
      <c r="J50" s="26">
        <f t="shared" ca="1" si="10"/>
        <v>-18.465</v>
      </c>
      <c r="K50" s="26">
        <f t="shared" ca="1" si="10"/>
        <v>-18.977999999999998</v>
      </c>
      <c r="L50" s="26">
        <f t="shared" ca="1" si="10"/>
        <v>-20.646000000000001</v>
      </c>
      <c r="M50" s="26">
        <f t="shared" ca="1" si="10"/>
        <v>-21.018000000000001</v>
      </c>
      <c r="N50" s="26">
        <f t="shared" ca="1" si="10"/>
        <v>-21.396000000000001</v>
      </c>
      <c r="O50" s="26">
        <f t="shared" ca="1" si="10"/>
        <v>-21.783000000000001</v>
      </c>
      <c r="P50" s="26">
        <f t="shared" ref="P50:AE59" ca="1" si="11">$A50*H.Ar + $B50*H.Se + $C50*H.Ge + $D50*H.Ga</f>
        <v>-22.182000000000002</v>
      </c>
      <c r="Q50" s="26">
        <f t="shared" ca="1" si="11"/>
        <v>-24.123000000000001</v>
      </c>
      <c r="R50" s="26">
        <f t="shared" ca="1" si="11"/>
        <v>-24.756</v>
      </c>
      <c r="S50" s="26">
        <f t="shared" ca="1" si="11"/>
        <v>-25.445999999999998</v>
      </c>
      <c r="T50" s="26">
        <f t="shared" ca="1" si="11"/>
        <v>-26.183999999999997</v>
      </c>
      <c r="U50" s="26">
        <f t="shared" ca="1" si="11"/>
        <v>-26.945999999999998</v>
      </c>
      <c r="V50" s="26">
        <f t="shared" ca="1" si="11"/>
        <v>-29.904</v>
      </c>
      <c r="W50" s="26">
        <f t="shared" ca="1" si="11"/>
        <v>-32.49</v>
      </c>
      <c r="X50" s="26">
        <f t="shared" ca="1" si="11"/>
        <v>-34.68</v>
      </c>
      <c r="Y50" s="26">
        <f t="shared" ca="1" si="11"/>
        <v>0</v>
      </c>
      <c r="Z50" s="26">
        <f t="shared" ca="1" si="11"/>
        <v>0</v>
      </c>
      <c r="AA50" s="26">
        <f t="shared" ca="1" si="11"/>
        <v>0</v>
      </c>
      <c r="AB50" s="26">
        <f t="shared" ca="1" si="11"/>
        <v>0</v>
      </c>
      <c r="AC50" s="26">
        <f t="shared" ca="1" si="11"/>
        <v>0</v>
      </c>
      <c r="AD50" s="26">
        <f t="shared" ca="1" si="11"/>
        <v>0</v>
      </c>
      <c r="AE50" s="26">
        <f t="shared" ca="1" si="11"/>
        <v>0</v>
      </c>
      <c r="AF50" s="26">
        <f t="shared" ref="AF50:AL50" ca="1" si="12">$A50*H.Ar + $B50*H.Se + $C50*H.Ge + $D50*H.Ga</f>
        <v>0</v>
      </c>
      <c r="AG50" s="26">
        <f t="shared" ca="1" si="12"/>
        <v>0</v>
      </c>
      <c r="AH50" s="26">
        <f t="shared" ca="1" si="12"/>
        <v>0</v>
      </c>
      <c r="AI50" s="26">
        <f t="shared" ca="1" si="12"/>
        <v>0</v>
      </c>
      <c r="AJ50" s="26">
        <f t="shared" ca="1" si="12"/>
        <v>0</v>
      </c>
      <c r="AK50" s="26">
        <f t="shared" ca="1" si="12"/>
        <v>0</v>
      </c>
      <c r="AL50" s="26">
        <f t="shared" ca="1" si="12"/>
        <v>0</v>
      </c>
    </row>
    <row r="51" spans="1:38" ht="21" hidden="1" customHeight="1" outlineLevel="1" thickBot="1" x14ac:dyDescent="0.4">
      <c r="A51" s="8">
        <f t="shared" si="9"/>
        <v>0</v>
      </c>
      <c r="B51" s="8">
        <f t="shared" si="9"/>
        <v>4</v>
      </c>
      <c r="C51" s="8">
        <f t="shared" si="9"/>
        <v>0</v>
      </c>
      <c r="D51" s="8">
        <f t="shared" si="9"/>
        <v>0</v>
      </c>
      <c r="E51" s="9" t="str">
        <f t="shared" si="9"/>
        <v>Se4</v>
      </c>
      <c r="F51" s="26">
        <f t="shared" ca="1" si="10"/>
        <v>-19.295999999999999</v>
      </c>
      <c r="G51" s="26">
        <f t="shared" ca="1" si="10"/>
        <v>-22.38</v>
      </c>
      <c r="H51" s="26">
        <f t="shared" ca="1" si="10"/>
        <v>-23.152000000000001</v>
      </c>
      <c r="I51" s="26">
        <f t="shared" ca="1" si="10"/>
        <v>-23.9</v>
      </c>
      <c r="J51" s="26">
        <f t="shared" ca="1" si="10"/>
        <v>-24.62</v>
      </c>
      <c r="K51" s="26">
        <f t="shared" ca="1" si="10"/>
        <v>-25.303999999999998</v>
      </c>
      <c r="L51" s="26">
        <f t="shared" ca="1" si="10"/>
        <v>-27.527999999999999</v>
      </c>
      <c r="M51" s="26">
        <f t="shared" ca="1" si="10"/>
        <v>-28.024000000000001</v>
      </c>
      <c r="N51" s="26">
        <f t="shared" ca="1" si="10"/>
        <v>-28.527999999999999</v>
      </c>
      <c r="O51" s="26">
        <f t="shared" ca="1" si="10"/>
        <v>-29.044</v>
      </c>
      <c r="P51" s="26">
        <f t="shared" ca="1" si="11"/>
        <v>-29.576000000000001</v>
      </c>
      <c r="Q51" s="26">
        <f t="shared" ca="1" si="11"/>
        <v>-32.164000000000001</v>
      </c>
      <c r="R51" s="26">
        <f t="shared" ca="1" si="11"/>
        <v>-33.008000000000003</v>
      </c>
      <c r="S51" s="26">
        <f t="shared" ca="1" si="11"/>
        <v>-33.927999999999997</v>
      </c>
      <c r="T51" s="26">
        <f t="shared" ca="1" si="11"/>
        <v>-34.911999999999999</v>
      </c>
      <c r="U51" s="26">
        <f t="shared" ca="1" si="11"/>
        <v>-35.927999999999997</v>
      </c>
      <c r="V51" s="26">
        <f t="shared" ca="1" si="11"/>
        <v>-39.872</v>
      </c>
      <c r="W51" s="26">
        <f t="shared" ca="1" si="11"/>
        <v>-43.32</v>
      </c>
      <c r="X51" s="26">
        <f t="shared" ca="1" si="11"/>
        <v>-46.24</v>
      </c>
      <c r="Y51" s="26">
        <f t="shared" ref="Y51:AL65" ca="1" si="13">$A51*H.Ar + $B51*H.Se + $C51*H.Ge + $D51*H.Ga</f>
        <v>0</v>
      </c>
      <c r="Z51" s="26">
        <f t="shared" ca="1" si="13"/>
        <v>0</v>
      </c>
      <c r="AA51" s="26">
        <f t="shared" ca="1" si="13"/>
        <v>0</v>
      </c>
      <c r="AB51" s="26">
        <f t="shared" ca="1" si="13"/>
        <v>0</v>
      </c>
      <c r="AC51" s="26">
        <f t="shared" ca="1" si="13"/>
        <v>0</v>
      </c>
      <c r="AD51" s="26">
        <f t="shared" ca="1" si="13"/>
        <v>0</v>
      </c>
      <c r="AE51" s="26">
        <f t="shared" ca="1" si="13"/>
        <v>0</v>
      </c>
      <c r="AF51" s="26">
        <f t="shared" ca="1" si="13"/>
        <v>0</v>
      </c>
      <c r="AG51" s="26">
        <f t="shared" ca="1" si="13"/>
        <v>0</v>
      </c>
      <c r="AH51" s="26">
        <f t="shared" ca="1" si="13"/>
        <v>0</v>
      </c>
      <c r="AI51" s="26">
        <f t="shared" ca="1" si="13"/>
        <v>0</v>
      </c>
      <c r="AJ51" s="26">
        <f t="shared" ca="1" si="13"/>
        <v>0</v>
      </c>
      <c r="AK51" s="26">
        <f t="shared" ca="1" si="13"/>
        <v>0</v>
      </c>
      <c r="AL51" s="26">
        <f t="shared" ca="1" si="13"/>
        <v>0</v>
      </c>
    </row>
    <row r="52" spans="1:38" ht="21" hidden="1" customHeight="1" outlineLevel="1" thickBot="1" x14ac:dyDescent="0.4">
      <c r="A52" s="8">
        <f t="shared" si="9"/>
        <v>0</v>
      </c>
      <c r="B52" s="8">
        <f t="shared" si="9"/>
        <v>5</v>
      </c>
      <c r="C52" s="8">
        <f t="shared" si="9"/>
        <v>0</v>
      </c>
      <c r="D52" s="8">
        <f t="shared" si="9"/>
        <v>0</v>
      </c>
      <c r="E52" s="9" t="str">
        <f t="shared" si="9"/>
        <v>Se5</v>
      </c>
      <c r="F52" s="26">
        <f t="shared" ca="1" si="10"/>
        <v>-24.119999999999997</v>
      </c>
      <c r="G52" s="26">
        <f t="shared" ca="1" si="10"/>
        <v>-27.974999999999998</v>
      </c>
      <c r="H52" s="26">
        <f t="shared" ca="1" si="10"/>
        <v>-28.94</v>
      </c>
      <c r="I52" s="26">
        <f t="shared" ca="1" si="10"/>
        <v>-29.875</v>
      </c>
      <c r="J52" s="26">
        <f t="shared" ca="1" si="10"/>
        <v>-30.775000000000002</v>
      </c>
      <c r="K52" s="26">
        <f t="shared" ca="1" si="10"/>
        <v>-31.63</v>
      </c>
      <c r="L52" s="26">
        <f t="shared" ca="1" si="10"/>
        <v>-34.409999999999997</v>
      </c>
      <c r="M52" s="26">
        <f t="shared" ca="1" si="10"/>
        <v>-35.03</v>
      </c>
      <c r="N52" s="26">
        <f t="shared" ca="1" si="10"/>
        <v>-35.659999999999997</v>
      </c>
      <c r="O52" s="26">
        <f t="shared" ca="1" si="10"/>
        <v>-36.305</v>
      </c>
      <c r="P52" s="26">
        <f t="shared" ca="1" si="11"/>
        <v>-36.97</v>
      </c>
      <c r="Q52" s="26">
        <f t="shared" ca="1" si="11"/>
        <v>-40.204999999999998</v>
      </c>
      <c r="R52" s="26">
        <f t="shared" ca="1" si="11"/>
        <v>-41.260000000000005</v>
      </c>
      <c r="S52" s="26">
        <f t="shared" ca="1" si="11"/>
        <v>-42.41</v>
      </c>
      <c r="T52" s="26">
        <f t="shared" ca="1" si="11"/>
        <v>-43.64</v>
      </c>
      <c r="U52" s="26">
        <f t="shared" ca="1" si="11"/>
        <v>-44.91</v>
      </c>
      <c r="V52" s="26">
        <f t="shared" ca="1" si="11"/>
        <v>-49.84</v>
      </c>
      <c r="W52" s="26">
        <f t="shared" ca="1" si="11"/>
        <v>-54.15</v>
      </c>
      <c r="X52" s="26">
        <f t="shared" ca="1" si="11"/>
        <v>-57.800000000000004</v>
      </c>
      <c r="Y52" s="26">
        <f t="shared" ca="1" si="13"/>
        <v>0</v>
      </c>
      <c r="Z52" s="26">
        <f t="shared" ca="1" si="13"/>
        <v>0</v>
      </c>
      <c r="AA52" s="26">
        <f t="shared" ca="1" si="13"/>
        <v>0</v>
      </c>
      <c r="AB52" s="26">
        <f t="shared" ca="1" si="13"/>
        <v>0</v>
      </c>
      <c r="AC52" s="26">
        <f t="shared" ca="1" si="13"/>
        <v>0</v>
      </c>
      <c r="AD52" s="26">
        <f t="shared" ca="1" si="13"/>
        <v>0</v>
      </c>
      <c r="AE52" s="26">
        <f t="shared" ca="1" si="13"/>
        <v>0</v>
      </c>
      <c r="AF52" s="26">
        <f t="shared" ca="1" si="13"/>
        <v>0</v>
      </c>
      <c r="AG52" s="26">
        <f t="shared" ca="1" si="13"/>
        <v>0</v>
      </c>
      <c r="AH52" s="26">
        <f t="shared" ca="1" si="13"/>
        <v>0</v>
      </c>
      <c r="AI52" s="26">
        <f t="shared" ca="1" si="13"/>
        <v>0</v>
      </c>
      <c r="AJ52" s="26">
        <f t="shared" ca="1" si="13"/>
        <v>0</v>
      </c>
      <c r="AK52" s="26">
        <f t="shared" ca="1" si="13"/>
        <v>0</v>
      </c>
      <c r="AL52" s="26">
        <f t="shared" ca="1" si="13"/>
        <v>0</v>
      </c>
    </row>
    <row r="53" spans="1:38" ht="21" hidden="1" customHeight="1" outlineLevel="1" thickBot="1" x14ac:dyDescent="0.4">
      <c r="A53" s="8">
        <f t="shared" si="9"/>
        <v>0</v>
      </c>
      <c r="B53" s="8">
        <f t="shared" si="9"/>
        <v>6</v>
      </c>
      <c r="C53" s="8">
        <f t="shared" si="9"/>
        <v>0</v>
      </c>
      <c r="D53" s="8">
        <f t="shared" si="9"/>
        <v>0</v>
      </c>
      <c r="E53" s="9" t="str">
        <f t="shared" si="9"/>
        <v>Se6</v>
      </c>
      <c r="F53" s="26">
        <f t="shared" ca="1" si="10"/>
        <v>-28.943999999999999</v>
      </c>
      <c r="G53" s="26">
        <f t="shared" ca="1" si="10"/>
        <v>-33.57</v>
      </c>
      <c r="H53" s="26">
        <f t="shared" ca="1" si="10"/>
        <v>-34.728000000000002</v>
      </c>
      <c r="I53" s="26">
        <f t="shared" ca="1" si="10"/>
        <v>-35.849999999999994</v>
      </c>
      <c r="J53" s="26">
        <f t="shared" ca="1" si="10"/>
        <v>-36.93</v>
      </c>
      <c r="K53" s="26">
        <f t="shared" ca="1" si="10"/>
        <v>-37.955999999999996</v>
      </c>
      <c r="L53" s="26">
        <f t="shared" ca="1" si="10"/>
        <v>-41.292000000000002</v>
      </c>
      <c r="M53" s="26">
        <f t="shared" ca="1" si="10"/>
        <v>-42.036000000000001</v>
      </c>
      <c r="N53" s="26">
        <f t="shared" ca="1" si="10"/>
        <v>-42.792000000000002</v>
      </c>
      <c r="O53" s="26">
        <f t="shared" ca="1" si="10"/>
        <v>-43.566000000000003</v>
      </c>
      <c r="P53" s="26">
        <f t="shared" ca="1" si="11"/>
        <v>-44.364000000000004</v>
      </c>
      <c r="Q53" s="26">
        <f t="shared" ca="1" si="11"/>
        <v>-48.246000000000002</v>
      </c>
      <c r="R53" s="26">
        <f t="shared" ca="1" si="11"/>
        <v>-49.512</v>
      </c>
      <c r="S53" s="26">
        <f t="shared" ca="1" si="11"/>
        <v>-50.891999999999996</v>
      </c>
      <c r="T53" s="26">
        <f t="shared" ca="1" si="11"/>
        <v>-52.367999999999995</v>
      </c>
      <c r="U53" s="26">
        <f t="shared" ca="1" si="11"/>
        <v>-53.891999999999996</v>
      </c>
      <c r="V53" s="26">
        <f t="shared" ca="1" si="11"/>
        <v>-59.808</v>
      </c>
      <c r="W53" s="26">
        <f t="shared" ca="1" si="11"/>
        <v>-64.98</v>
      </c>
      <c r="X53" s="26">
        <f t="shared" ca="1" si="11"/>
        <v>-69.36</v>
      </c>
      <c r="Y53" s="26">
        <f t="shared" ca="1" si="13"/>
        <v>0</v>
      </c>
      <c r="Z53" s="26">
        <f t="shared" ca="1" si="13"/>
        <v>0</v>
      </c>
      <c r="AA53" s="26">
        <f t="shared" ca="1" si="13"/>
        <v>0</v>
      </c>
      <c r="AB53" s="26">
        <f t="shared" ca="1" si="13"/>
        <v>0</v>
      </c>
      <c r="AC53" s="26">
        <f t="shared" ca="1" si="13"/>
        <v>0</v>
      </c>
      <c r="AD53" s="26">
        <f t="shared" ca="1" si="13"/>
        <v>0</v>
      </c>
      <c r="AE53" s="26">
        <f t="shared" ca="1" si="13"/>
        <v>0</v>
      </c>
      <c r="AF53" s="26">
        <f t="shared" ca="1" si="13"/>
        <v>0</v>
      </c>
      <c r="AG53" s="26">
        <f t="shared" ca="1" si="13"/>
        <v>0</v>
      </c>
      <c r="AH53" s="26">
        <f t="shared" ca="1" si="13"/>
        <v>0</v>
      </c>
      <c r="AI53" s="26">
        <f t="shared" ca="1" si="13"/>
        <v>0</v>
      </c>
      <c r="AJ53" s="26">
        <f t="shared" ca="1" si="13"/>
        <v>0</v>
      </c>
      <c r="AK53" s="26">
        <f t="shared" ca="1" si="13"/>
        <v>0</v>
      </c>
      <c r="AL53" s="26">
        <f t="shared" ca="1" si="13"/>
        <v>0</v>
      </c>
    </row>
    <row r="54" spans="1:38" ht="21" hidden="1" customHeight="1" outlineLevel="1" thickBot="1" x14ac:dyDescent="0.4">
      <c r="A54" s="8">
        <f t="shared" si="9"/>
        <v>0</v>
      </c>
      <c r="B54" s="8">
        <f t="shared" si="9"/>
        <v>7</v>
      </c>
      <c r="C54" s="8">
        <f t="shared" si="9"/>
        <v>0</v>
      </c>
      <c r="D54" s="8">
        <f t="shared" si="9"/>
        <v>0</v>
      </c>
      <c r="E54" s="9" t="str">
        <f t="shared" si="9"/>
        <v>Se7</v>
      </c>
      <c r="F54" s="26">
        <f t="shared" ca="1" si="10"/>
        <v>-33.768000000000001</v>
      </c>
      <c r="G54" s="26">
        <f t="shared" ca="1" si="10"/>
        <v>-39.164999999999999</v>
      </c>
      <c r="H54" s="26">
        <f t="shared" ca="1" si="10"/>
        <v>-40.516000000000005</v>
      </c>
      <c r="I54" s="26">
        <f t="shared" ca="1" si="10"/>
        <v>-41.824999999999996</v>
      </c>
      <c r="J54" s="26">
        <f t="shared" ca="1" si="10"/>
        <v>-43.085000000000001</v>
      </c>
      <c r="K54" s="26">
        <f t="shared" ca="1" si="10"/>
        <v>-44.281999999999996</v>
      </c>
      <c r="L54" s="26">
        <f t="shared" ca="1" si="10"/>
        <v>-48.173999999999999</v>
      </c>
      <c r="M54" s="26">
        <f t="shared" ca="1" si="10"/>
        <v>-49.042000000000002</v>
      </c>
      <c r="N54" s="26">
        <f t="shared" ca="1" si="10"/>
        <v>-49.923999999999999</v>
      </c>
      <c r="O54" s="26">
        <f t="shared" ca="1" si="10"/>
        <v>-50.826999999999998</v>
      </c>
      <c r="P54" s="26">
        <f t="shared" ca="1" si="11"/>
        <v>-51.758000000000003</v>
      </c>
      <c r="Q54" s="26">
        <f t="shared" ca="1" si="11"/>
        <v>-56.287000000000006</v>
      </c>
      <c r="R54" s="26">
        <f t="shared" ca="1" si="11"/>
        <v>-57.764000000000003</v>
      </c>
      <c r="S54" s="26">
        <f t="shared" ca="1" si="11"/>
        <v>-59.373999999999995</v>
      </c>
      <c r="T54" s="26">
        <f t="shared" ca="1" si="11"/>
        <v>-61.095999999999997</v>
      </c>
      <c r="U54" s="26">
        <f t="shared" ca="1" si="11"/>
        <v>-62.873999999999995</v>
      </c>
      <c r="V54" s="26">
        <f t="shared" ca="1" si="11"/>
        <v>-69.775999999999996</v>
      </c>
      <c r="W54" s="26">
        <f t="shared" ca="1" si="11"/>
        <v>-75.81</v>
      </c>
      <c r="X54" s="26">
        <f t="shared" ca="1" si="11"/>
        <v>-80.92</v>
      </c>
      <c r="Y54" s="26">
        <f t="shared" ca="1" si="13"/>
        <v>0</v>
      </c>
      <c r="Z54" s="26">
        <f t="shared" ca="1" si="13"/>
        <v>0</v>
      </c>
      <c r="AA54" s="26">
        <f t="shared" ca="1" si="13"/>
        <v>0</v>
      </c>
      <c r="AB54" s="26">
        <f t="shared" ca="1" si="13"/>
        <v>0</v>
      </c>
      <c r="AC54" s="26">
        <f t="shared" ca="1" si="13"/>
        <v>0</v>
      </c>
      <c r="AD54" s="26">
        <f t="shared" ca="1" si="13"/>
        <v>0</v>
      </c>
      <c r="AE54" s="26">
        <f t="shared" ca="1" si="13"/>
        <v>0</v>
      </c>
      <c r="AF54" s="26">
        <f t="shared" ca="1" si="13"/>
        <v>0</v>
      </c>
      <c r="AG54" s="26">
        <f t="shared" ca="1" si="13"/>
        <v>0</v>
      </c>
      <c r="AH54" s="26">
        <f t="shared" ca="1" si="13"/>
        <v>0</v>
      </c>
      <c r="AI54" s="26">
        <f t="shared" ca="1" si="13"/>
        <v>0</v>
      </c>
      <c r="AJ54" s="26">
        <f t="shared" ca="1" si="13"/>
        <v>0</v>
      </c>
      <c r="AK54" s="26">
        <f t="shared" ca="1" si="13"/>
        <v>0</v>
      </c>
      <c r="AL54" s="26">
        <f t="shared" ca="1" si="13"/>
        <v>0</v>
      </c>
    </row>
    <row r="55" spans="1:38" ht="21" hidden="1" customHeight="1" outlineLevel="1" thickBot="1" x14ac:dyDescent="0.4">
      <c r="A55" s="8">
        <f t="shared" si="9"/>
        <v>0</v>
      </c>
      <c r="B55" s="8">
        <f t="shared" si="9"/>
        <v>8</v>
      </c>
      <c r="C55" s="8">
        <f t="shared" si="9"/>
        <v>0</v>
      </c>
      <c r="D55" s="8">
        <f t="shared" si="9"/>
        <v>0</v>
      </c>
      <c r="E55" s="9" t="str">
        <f t="shared" si="9"/>
        <v>Se8</v>
      </c>
      <c r="F55" s="26">
        <f t="shared" ca="1" si="10"/>
        <v>-38.591999999999999</v>
      </c>
      <c r="G55" s="26">
        <f t="shared" ca="1" si="10"/>
        <v>-44.76</v>
      </c>
      <c r="H55" s="26">
        <f t="shared" ca="1" si="10"/>
        <v>-46.304000000000002</v>
      </c>
      <c r="I55" s="26">
        <f t="shared" ca="1" si="10"/>
        <v>-47.8</v>
      </c>
      <c r="J55" s="26">
        <f t="shared" ca="1" si="10"/>
        <v>-49.24</v>
      </c>
      <c r="K55" s="26">
        <f t="shared" ca="1" si="10"/>
        <v>-50.607999999999997</v>
      </c>
      <c r="L55" s="26">
        <f t="shared" ca="1" si="10"/>
        <v>-55.055999999999997</v>
      </c>
      <c r="M55" s="26">
        <f t="shared" ca="1" si="10"/>
        <v>-56.048000000000002</v>
      </c>
      <c r="N55" s="26">
        <f t="shared" ca="1" si="10"/>
        <v>-57.055999999999997</v>
      </c>
      <c r="O55" s="26">
        <f t="shared" ca="1" si="10"/>
        <v>-58.088000000000001</v>
      </c>
      <c r="P55" s="26">
        <f t="shared" ca="1" si="11"/>
        <v>-59.152000000000001</v>
      </c>
      <c r="Q55" s="26">
        <f t="shared" ca="1" si="11"/>
        <v>-64.328000000000003</v>
      </c>
      <c r="R55" s="26">
        <f t="shared" ca="1" si="11"/>
        <v>-66.016000000000005</v>
      </c>
      <c r="S55" s="26">
        <f t="shared" ca="1" si="11"/>
        <v>-67.855999999999995</v>
      </c>
      <c r="T55" s="26">
        <f t="shared" ca="1" si="11"/>
        <v>-69.823999999999998</v>
      </c>
      <c r="U55" s="26">
        <f t="shared" ca="1" si="11"/>
        <v>-71.855999999999995</v>
      </c>
      <c r="V55" s="26">
        <f t="shared" ca="1" si="11"/>
        <v>-79.744</v>
      </c>
      <c r="W55" s="26">
        <f t="shared" ca="1" si="11"/>
        <v>-86.64</v>
      </c>
      <c r="X55" s="26">
        <f t="shared" ca="1" si="11"/>
        <v>-92.48</v>
      </c>
      <c r="Y55" s="26">
        <f t="shared" ca="1" si="13"/>
        <v>0</v>
      </c>
      <c r="Z55" s="26">
        <f t="shared" ca="1" si="13"/>
        <v>0</v>
      </c>
      <c r="AA55" s="26">
        <f t="shared" ca="1" si="13"/>
        <v>0</v>
      </c>
      <c r="AB55" s="26">
        <f t="shared" ca="1" si="13"/>
        <v>0</v>
      </c>
      <c r="AC55" s="26">
        <f t="shared" ca="1" si="13"/>
        <v>0</v>
      </c>
      <c r="AD55" s="26">
        <f t="shared" ca="1" si="13"/>
        <v>0</v>
      </c>
      <c r="AE55" s="26">
        <f t="shared" ca="1" si="13"/>
        <v>0</v>
      </c>
      <c r="AF55" s="26">
        <f t="shared" ca="1" si="13"/>
        <v>0</v>
      </c>
      <c r="AG55" s="26">
        <f t="shared" ca="1" si="13"/>
        <v>0</v>
      </c>
      <c r="AH55" s="26">
        <f t="shared" ca="1" si="13"/>
        <v>0</v>
      </c>
      <c r="AI55" s="26">
        <f t="shared" ca="1" si="13"/>
        <v>0</v>
      </c>
      <c r="AJ55" s="26">
        <f t="shared" ca="1" si="13"/>
        <v>0</v>
      </c>
      <c r="AK55" s="26">
        <f t="shared" ca="1" si="13"/>
        <v>0</v>
      </c>
      <c r="AL55" s="26">
        <f t="shared" ca="1" si="13"/>
        <v>0</v>
      </c>
    </row>
    <row r="56" spans="1:38" ht="21" hidden="1" customHeight="1" outlineLevel="1" thickBot="1" x14ac:dyDescent="0.4">
      <c r="A56" s="8">
        <f t="shared" si="9"/>
        <v>0</v>
      </c>
      <c r="B56" s="8">
        <f t="shared" si="9"/>
        <v>2</v>
      </c>
      <c r="C56" s="8">
        <f t="shared" si="9"/>
        <v>0</v>
      </c>
      <c r="D56" s="8">
        <f t="shared" si="9"/>
        <v>0</v>
      </c>
      <c r="E56" s="9" t="str">
        <f t="shared" si="9"/>
        <v>Se2</v>
      </c>
      <c r="F56" s="26">
        <f t="shared" ca="1" si="10"/>
        <v>-9.6479999999999997</v>
      </c>
      <c r="G56" s="26">
        <f t="shared" ca="1" si="10"/>
        <v>-11.19</v>
      </c>
      <c r="H56" s="26">
        <f t="shared" ca="1" si="10"/>
        <v>-11.576000000000001</v>
      </c>
      <c r="I56" s="26">
        <f t="shared" ca="1" si="10"/>
        <v>-11.95</v>
      </c>
      <c r="J56" s="26">
        <f t="shared" ca="1" si="10"/>
        <v>-12.31</v>
      </c>
      <c r="K56" s="26">
        <f t="shared" ca="1" si="10"/>
        <v>-12.651999999999999</v>
      </c>
      <c r="L56" s="26">
        <f t="shared" ca="1" si="10"/>
        <v>-13.763999999999999</v>
      </c>
      <c r="M56" s="26">
        <f t="shared" ca="1" si="10"/>
        <v>-14.012</v>
      </c>
      <c r="N56" s="26">
        <f t="shared" ca="1" si="10"/>
        <v>-14.263999999999999</v>
      </c>
      <c r="O56" s="26">
        <f t="shared" ca="1" si="10"/>
        <v>-14.522</v>
      </c>
      <c r="P56" s="26">
        <f t="shared" ca="1" si="11"/>
        <v>-14.788</v>
      </c>
      <c r="Q56" s="26">
        <f t="shared" ca="1" si="11"/>
        <v>-16.082000000000001</v>
      </c>
      <c r="R56" s="26">
        <f t="shared" ca="1" si="11"/>
        <v>-16.504000000000001</v>
      </c>
      <c r="S56" s="26">
        <f t="shared" ca="1" si="11"/>
        <v>-16.963999999999999</v>
      </c>
      <c r="T56" s="26">
        <f t="shared" ca="1" si="11"/>
        <v>-17.456</v>
      </c>
      <c r="U56" s="26">
        <f t="shared" ca="1" si="11"/>
        <v>-17.963999999999999</v>
      </c>
      <c r="V56" s="26">
        <f t="shared" ca="1" si="11"/>
        <v>-19.936</v>
      </c>
      <c r="W56" s="26">
        <f t="shared" ca="1" si="11"/>
        <v>-21.66</v>
      </c>
      <c r="X56" s="26">
        <f t="shared" ca="1" si="11"/>
        <v>-23.12</v>
      </c>
      <c r="Y56" s="26">
        <f t="shared" ca="1" si="13"/>
        <v>0</v>
      </c>
      <c r="Z56" s="26">
        <f t="shared" ca="1" si="13"/>
        <v>0</v>
      </c>
      <c r="AA56" s="26">
        <f t="shared" ca="1" si="13"/>
        <v>0</v>
      </c>
      <c r="AB56" s="26">
        <f t="shared" ca="1" si="13"/>
        <v>0</v>
      </c>
      <c r="AC56" s="26">
        <f t="shared" ca="1" si="13"/>
        <v>0</v>
      </c>
      <c r="AD56" s="26">
        <f t="shared" ca="1" si="13"/>
        <v>0</v>
      </c>
      <c r="AE56" s="26">
        <f t="shared" ca="1" si="13"/>
        <v>0</v>
      </c>
      <c r="AF56" s="26">
        <f t="shared" ca="1" si="13"/>
        <v>0</v>
      </c>
      <c r="AG56" s="26">
        <f t="shared" ca="1" si="13"/>
        <v>0</v>
      </c>
      <c r="AH56" s="26">
        <f t="shared" ca="1" si="13"/>
        <v>0</v>
      </c>
      <c r="AI56" s="26">
        <f t="shared" ca="1" si="13"/>
        <v>0</v>
      </c>
      <c r="AJ56" s="26">
        <f t="shared" ca="1" si="13"/>
        <v>0</v>
      </c>
      <c r="AK56" s="26">
        <f t="shared" ca="1" si="13"/>
        <v>0</v>
      </c>
      <c r="AL56" s="26">
        <f t="shared" ca="1" si="13"/>
        <v>0</v>
      </c>
    </row>
    <row r="57" spans="1:38" ht="21" hidden="1" customHeight="1" outlineLevel="1" thickBot="1" x14ac:dyDescent="0.4">
      <c r="A57" s="8">
        <f t="shared" si="9"/>
        <v>0</v>
      </c>
      <c r="B57" s="8">
        <f t="shared" si="9"/>
        <v>1</v>
      </c>
      <c r="C57" s="8">
        <f t="shared" si="9"/>
        <v>0</v>
      </c>
      <c r="D57" s="8">
        <f t="shared" si="9"/>
        <v>0</v>
      </c>
      <c r="E57" s="9" t="str">
        <f t="shared" si="9"/>
        <v>Se</v>
      </c>
      <c r="F57" s="26">
        <f t="shared" ca="1" si="10"/>
        <v>-4.8239999999999998</v>
      </c>
      <c r="G57" s="26">
        <f t="shared" ca="1" si="10"/>
        <v>-5.5949999999999998</v>
      </c>
      <c r="H57" s="26">
        <f t="shared" ca="1" si="10"/>
        <v>-5.7880000000000003</v>
      </c>
      <c r="I57" s="26">
        <f t="shared" ca="1" si="10"/>
        <v>-5.9749999999999996</v>
      </c>
      <c r="J57" s="26">
        <f t="shared" ca="1" si="10"/>
        <v>-6.1550000000000002</v>
      </c>
      <c r="K57" s="26">
        <f t="shared" ca="1" si="10"/>
        <v>-6.3259999999999996</v>
      </c>
      <c r="L57" s="26">
        <f t="shared" ca="1" si="10"/>
        <v>-6.8819999999999997</v>
      </c>
      <c r="M57" s="26">
        <f t="shared" ca="1" si="10"/>
        <v>-7.0060000000000002</v>
      </c>
      <c r="N57" s="26">
        <f t="shared" ca="1" si="10"/>
        <v>-7.1319999999999997</v>
      </c>
      <c r="O57" s="26">
        <f t="shared" ca="1" si="10"/>
        <v>-7.2610000000000001</v>
      </c>
      <c r="P57" s="26">
        <f t="shared" ca="1" si="11"/>
        <v>-7.3940000000000001</v>
      </c>
      <c r="Q57" s="26">
        <f t="shared" ca="1" si="11"/>
        <v>-8.0410000000000004</v>
      </c>
      <c r="R57" s="26">
        <f t="shared" ca="1" si="11"/>
        <v>-8.2520000000000007</v>
      </c>
      <c r="S57" s="26">
        <f t="shared" ca="1" si="11"/>
        <v>-8.4819999999999993</v>
      </c>
      <c r="T57" s="26">
        <f t="shared" ca="1" si="11"/>
        <v>-8.7279999999999998</v>
      </c>
      <c r="U57" s="26">
        <f t="shared" ca="1" si="11"/>
        <v>-8.9819999999999993</v>
      </c>
      <c r="V57" s="26">
        <f t="shared" ca="1" si="11"/>
        <v>-9.968</v>
      </c>
      <c r="W57" s="26">
        <f t="shared" ca="1" si="11"/>
        <v>-10.83</v>
      </c>
      <c r="X57" s="26">
        <f t="shared" ca="1" si="11"/>
        <v>-11.56</v>
      </c>
      <c r="Y57" s="26">
        <f t="shared" ca="1" si="13"/>
        <v>0</v>
      </c>
      <c r="Z57" s="26">
        <f t="shared" ca="1" si="13"/>
        <v>0</v>
      </c>
      <c r="AA57" s="26">
        <f t="shared" ca="1" si="13"/>
        <v>0</v>
      </c>
      <c r="AB57" s="26">
        <f t="shared" ca="1" si="13"/>
        <v>0</v>
      </c>
      <c r="AC57" s="26">
        <f t="shared" ca="1" si="13"/>
        <v>0</v>
      </c>
      <c r="AD57" s="26">
        <f t="shared" ca="1" si="13"/>
        <v>0</v>
      </c>
      <c r="AE57" s="26">
        <f t="shared" ca="1" si="13"/>
        <v>0</v>
      </c>
      <c r="AF57" s="26">
        <f t="shared" ca="1" si="13"/>
        <v>0</v>
      </c>
      <c r="AG57" s="26">
        <f t="shared" ca="1" si="13"/>
        <v>0</v>
      </c>
      <c r="AH57" s="26">
        <f t="shared" ca="1" si="13"/>
        <v>0</v>
      </c>
      <c r="AI57" s="26">
        <f t="shared" ca="1" si="13"/>
        <v>0</v>
      </c>
      <c r="AJ57" s="26">
        <f t="shared" ca="1" si="13"/>
        <v>0</v>
      </c>
      <c r="AK57" s="26">
        <f t="shared" ca="1" si="13"/>
        <v>0</v>
      </c>
      <c r="AL57" s="26">
        <f t="shared" ca="1" si="13"/>
        <v>0</v>
      </c>
    </row>
    <row r="58" spans="1:38" ht="21" hidden="1" customHeight="1" outlineLevel="1" thickBot="1" x14ac:dyDescent="0.4">
      <c r="A58" s="8">
        <f t="shared" si="9"/>
        <v>0</v>
      </c>
      <c r="B58" s="8">
        <f t="shared" si="9"/>
        <v>1</v>
      </c>
      <c r="C58" s="8">
        <f t="shared" si="9"/>
        <v>0</v>
      </c>
      <c r="D58" s="8">
        <f t="shared" si="9"/>
        <v>2</v>
      </c>
      <c r="E58" s="9" t="str">
        <f t="shared" si="9"/>
        <v>Ga2Se</v>
      </c>
      <c r="F58" s="26">
        <f t="shared" ca="1" si="10"/>
        <v>-17.316000000000003</v>
      </c>
      <c r="G58" s="26">
        <f t="shared" ca="1" si="10"/>
        <v>-19.890999999999998</v>
      </c>
      <c r="H58" s="26">
        <f t="shared" ca="1" si="10"/>
        <v>-20.475999999999999</v>
      </c>
      <c r="I58" s="26">
        <f t="shared" ca="1" si="10"/>
        <v>-21.036999999999999</v>
      </c>
      <c r="J58" s="26">
        <f t="shared" ca="1" si="10"/>
        <v>-21.587</v>
      </c>
      <c r="K58" s="26">
        <f t="shared" ca="1" si="10"/>
        <v>-22.14</v>
      </c>
      <c r="L58" s="26">
        <f t="shared" ca="1" si="10"/>
        <v>-24.841999999999999</v>
      </c>
      <c r="M58" s="26">
        <f t="shared" ca="1" si="10"/>
        <v>-25.64</v>
      </c>
      <c r="N58" s="26">
        <f t="shared" ca="1" si="10"/>
        <v>-26.426000000000002</v>
      </c>
      <c r="O58" s="26">
        <f t="shared" ca="1" si="10"/>
        <v>-27.186999999999998</v>
      </c>
      <c r="P58" s="26">
        <f t="shared" ca="1" si="11"/>
        <v>-27.914000000000001</v>
      </c>
      <c r="Q58" s="26">
        <f t="shared" ca="1" si="11"/>
        <v>-30.600999999999999</v>
      </c>
      <c r="R58" s="26">
        <f t="shared" ca="1" si="11"/>
        <v>-31.231999999999999</v>
      </c>
      <c r="S58" s="26">
        <f t="shared" ca="1" si="11"/>
        <v>-31.802</v>
      </c>
      <c r="T58" s="26">
        <f t="shared" ca="1" si="11"/>
        <v>-32.347999999999999</v>
      </c>
      <c r="U58" s="26">
        <f t="shared" ca="1" si="11"/>
        <v>-32.861999999999995</v>
      </c>
      <c r="V58" s="26">
        <f t="shared" ca="1" si="11"/>
        <v>-34.647999999999996</v>
      </c>
      <c r="W58" s="26">
        <f t="shared" ca="1" si="11"/>
        <v>-36.130000000000003</v>
      </c>
      <c r="X58" s="26">
        <f t="shared" ca="1" si="11"/>
        <v>-37.4</v>
      </c>
      <c r="Y58" s="26">
        <f t="shared" ca="1" si="13"/>
        <v>0</v>
      </c>
      <c r="Z58" s="26">
        <f t="shared" ca="1" si="13"/>
        <v>0</v>
      </c>
      <c r="AA58" s="26">
        <f t="shared" ca="1" si="13"/>
        <v>0</v>
      </c>
      <c r="AB58" s="26">
        <f t="shared" ca="1" si="13"/>
        <v>0</v>
      </c>
      <c r="AC58" s="26">
        <f t="shared" ca="1" si="13"/>
        <v>0</v>
      </c>
      <c r="AD58" s="26">
        <f t="shared" ca="1" si="13"/>
        <v>0</v>
      </c>
      <c r="AE58" s="26">
        <f t="shared" ca="1" si="13"/>
        <v>0</v>
      </c>
      <c r="AF58" s="26">
        <f t="shared" ca="1" si="13"/>
        <v>0</v>
      </c>
      <c r="AG58" s="26">
        <f t="shared" ca="1" si="13"/>
        <v>0</v>
      </c>
      <c r="AH58" s="26">
        <f t="shared" ca="1" si="13"/>
        <v>0</v>
      </c>
      <c r="AI58" s="26">
        <f t="shared" ca="1" si="13"/>
        <v>0</v>
      </c>
      <c r="AJ58" s="26">
        <f t="shared" ca="1" si="13"/>
        <v>0</v>
      </c>
      <c r="AK58" s="26">
        <f t="shared" ca="1" si="13"/>
        <v>0</v>
      </c>
      <c r="AL58" s="26">
        <f t="shared" ca="1" si="13"/>
        <v>0</v>
      </c>
    </row>
    <row r="59" spans="1:38" ht="21" hidden="1" customHeight="1" outlineLevel="1" thickBot="1" x14ac:dyDescent="0.4">
      <c r="A59" s="8">
        <f t="shared" si="9"/>
        <v>1</v>
      </c>
      <c r="B59" s="8">
        <f t="shared" si="9"/>
        <v>0</v>
      </c>
      <c r="C59" s="8">
        <f t="shared" si="9"/>
        <v>0</v>
      </c>
      <c r="D59" s="8">
        <f t="shared" si="9"/>
        <v>0</v>
      </c>
      <c r="E59" s="9" t="str">
        <f t="shared" si="9"/>
        <v>Ar</v>
      </c>
      <c r="F59" s="26">
        <f t="shared" ca="1" si="10"/>
        <v>-18.61</v>
      </c>
      <c r="G59" s="26">
        <f t="shared" ca="1" si="10"/>
        <v>-18.760000000000002</v>
      </c>
      <c r="H59" s="26">
        <f t="shared" ca="1" si="10"/>
        <v>-18.829999999999998</v>
      </c>
      <c r="I59" s="26">
        <f t="shared" ca="1" si="10"/>
        <v>-18.899999999999999</v>
      </c>
      <c r="J59" s="26">
        <f t="shared" ca="1" si="10"/>
        <v>-18.97</v>
      </c>
      <c r="K59" s="26">
        <f t="shared" ca="1" si="10"/>
        <v>-19.059999999999999</v>
      </c>
      <c r="L59" s="26">
        <f t="shared" ca="1" si="10"/>
        <v>-19.54</v>
      </c>
      <c r="M59" s="26">
        <f t="shared" ca="1" si="10"/>
        <v>-19.649999999999999</v>
      </c>
      <c r="N59" s="26">
        <f t="shared" ca="1" si="10"/>
        <v>-19.760000000000002</v>
      </c>
      <c r="O59" s="26">
        <f t="shared" ca="1" si="10"/>
        <v>-19.850000000000001</v>
      </c>
      <c r="P59" s="26">
        <f t="shared" ca="1" si="11"/>
        <v>-19.95</v>
      </c>
      <c r="Q59" s="26">
        <f t="shared" ca="1" si="11"/>
        <v>-20.420000000000002</v>
      </c>
      <c r="R59" s="26">
        <f t="shared" ca="1" si="11"/>
        <v>-20.54</v>
      </c>
      <c r="S59" s="26">
        <f t="shared" ca="1" si="11"/>
        <v>-20.66</v>
      </c>
      <c r="T59" s="26">
        <f t="shared" ca="1" si="11"/>
        <v>-20.76</v>
      </c>
      <c r="U59" s="26">
        <f t="shared" ca="1" si="11"/>
        <v>-20.85</v>
      </c>
      <c r="V59" s="26">
        <f t="shared" ca="1" si="11"/>
        <v>-21.12</v>
      </c>
      <c r="W59" s="26">
        <f t="shared" ca="1" si="11"/>
        <v>-21.34</v>
      </c>
      <c r="X59" s="26">
        <f t="shared" ca="1" si="11"/>
        <v>-21.53</v>
      </c>
      <c r="Y59" s="26">
        <f t="shared" ca="1" si="13"/>
        <v>0</v>
      </c>
      <c r="Z59" s="26">
        <f t="shared" ca="1" si="13"/>
        <v>0</v>
      </c>
      <c r="AA59" s="26">
        <f t="shared" ca="1" si="13"/>
        <v>0</v>
      </c>
      <c r="AB59" s="26">
        <f t="shared" ca="1" si="13"/>
        <v>0</v>
      </c>
      <c r="AC59" s="26">
        <f t="shared" ca="1" si="13"/>
        <v>0</v>
      </c>
      <c r="AD59" s="26">
        <f t="shared" ca="1" si="13"/>
        <v>0</v>
      </c>
      <c r="AE59" s="26">
        <f t="shared" ca="1" si="13"/>
        <v>0</v>
      </c>
      <c r="AF59" s="26">
        <f t="shared" ca="1" si="13"/>
        <v>0</v>
      </c>
      <c r="AG59" s="26">
        <f t="shared" ca="1" si="13"/>
        <v>0</v>
      </c>
      <c r="AH59" s="26">
        <f t="shared" ca="1" si="13"/>
        <v>0</v>
      </c>
      <c r="AI59" s="26">
        <f t="shared" ca="1" si="13"/>
        <v>0</v>
      </c>
      <c r="AJ59" s="26">
        <f t="shared" ca="1" si="13"/>
        <v>0</v>
      </c>
      <c r="AK59" s="26">
        <f t="shared" ca="1" si="13"/>
        <v>0</v>
      </c>
      <c r="AL59" s="26">
        <f t="shared" ca="1" si="13"/>
        <v>0</v>
      </c>
    </row>
    <row r="60" spans="1:38" ht="21" hidden="1" customHeight="1" outlineLevel="1" thickBot="1" x14ac:dyDescent="0.4">
      <c r="A60" s="8">
        <f t="shared" si="9"/>
        <v>0</v>
      </c>
      <c r="B60" s="8">
        <f t="shared" si="9"/>
        <v>0</v>
      </c>
      <c r="C60" s="8">
        <f t="shared" si="9"/>
        <v>0</v>
      </c>
      <c r="D60" s="8">
        <f t="shared" si="9"/>
        <v>1</v>
      </c>
      <c r="E60" s="9" t="str">
        <f t="shared" si="9"/>
        <v>(l)Ga[l]</v>
      </c>
      <c r="F60" s="26">
        <f t="shared" ref="F60:O69" ca="1" si="14">$A60*H.Ar + $B60*H.Se + $C60*H.Ge + $D60*H.Ga</f>
        <v>-6.2460000000000004</v>
      </c>
      <c r="G60" s="26">
        <f t="shared" ca="1" si="14"/>
        <v>-7.1479999999999997</v>
      </c>
      <c r="H60" s="26">
        <f t="shared" ca="1" si="14"/>
        <v>-7.3440000000000003</v>
      </c>
      <c r="I60" s="26">
        <f t="shared" ca="1" si="14"/>
        <v>-7.5309999999999997</v>
      </c>
      <c r="J60" s="26">
        <f t="shared" ca="1" si="14"/>
        <v>-7.7160000000000002</v>
      </c>
      <c r="K60" s="26">
        <f t="shared" ca="1" si="14"/>
        <v>-7.907</v>
      </c>
      <c r="L60" s="26">
        <f t="shared" ca="1" si="14"/>
        <v>-8.98</v>
      </c>
      <c r="M60" s="26">
        <f t="shared" ca="1" si="14"/>
        <v>-9.3170000000000002</v>
      </c>
      <c r="N60" s="26">
        <f t="shared" ca="1" si="14"/>
        <v>-9.6470000000000002</v>
      </c>
      <c r="O60" s="26">
        <f t="shared" ca="1" si="14"/>
        <v>-9.9629999999999992</v>
      </c>
      <c r="P60" s="26">
        <f t="shared" ref="P60:AE69" ca="1" si="15">$A60*H.Ar + $B60*H.Se + $C60*H.Ge + $D60*H.Ga</f>
        <v>-10.26</v>
      </c>
      <c r="Q60" s="26">
        <f t="shared" ca="1" si="15"/>
        <v>-11.28</v>
      </c>
      <c r="R60" s="26">
        <f t="shared" ca="1" si="15"/>
        <v>-11.49</v>
      </c>
      <c r="S60" s="26">
        <f t="shared" ca="1" si="15"/>
        <v>-11.66</v>
      </c>
      <c r="T60" s="26">
        <f t="shared" ca="1" si="15"/>
        <v>-11.81</v>
      </c>
      <c r="U60" s="26">
        <f t="shared" ca="1" si="15"/>
        <v>-11.94</v>
      </c>
      <c r="V60" s="26">
        <f t="shared" ca="1" si="15"/>
        <v>-12.34</v>
      </c>
      <c r="W60" s="26">
        <f t="shared" ca="1" si="15"/>
        <v>-12.65</v>
      </c>
      <c r="X60" s="26">
        <f t="shared" ca="1" si="15"/>
        <v>-12.92</v>
      </c>
      <c r="Y60" s="26">
        <f t="shared" ca="1" si="15"/>
        <v>0</v>
      </c>
      <c r="Z60" s="26">
        <f t="shared" ca="1" si="15"/>
        <v>0</v>
      </c>
      <c r="AA60" s="26">
        <f t="shared" ca="1" si="15"/>
        <v>0</v>
      </c>
      <c r="AB60" s="26">
        <f t="shared" ca="1" si="15"/>
        <v>0</v>
      </c>
      <c r="AC60" s="26">
        <f t="shared" ca="1" si="15"/>
        <v>0</v>
      </c>
      <c r="AD60" s="26">
        <f t="shared" ca="1" si="15"/>
        <v>0</v>
      </c>
      <c r="AE60" s="26">
        <f t="shared" ca="1" si="15"/>
        <v>0</v>
      </c>
      <c r="AF60" s="26">
        <f t="shared" ca="1" si="13"/>
        <v>0</v>
      </c>
      <c r="AG60" s="26">
        <f t="shared" ca="1" si="13"/>
        <v>0</v>
      </c>
      <c r="AH60" s="26">
        <f t="shared" ca="1" si="13"/>
        <v>0</v>
      </c>
      <c r="AI60" s="26">
        <f t="shared" ca="1" si="13"/>
        <v>0</v>
      </c>
      <c r="AJ60" s="26">
        <f t="shared" ca="1" si="13"/>
        <v>0</v>
      </c>
      <c r="AK60" s="26">
        <f t="shared" ca="1" si="13"/>
        <v>0</v>
      </c>
      <c r="AL60" s="26">
        <f t="shared" ca="1" si="13"/>
        <v>0</v>
      </c>
    </row>
    <row r="61" spans="1:38" ht="21" hidden="1" customHeight="1" outlineLevel="1" thickBot="1" x14ac:dyDescent="0.4">
      <c r="A61" s="8">
        <f t="shared" si="9"/>
        <v>0</v>
      </c>
      <c r="B61" s="8">
        <f t="shared" si="9"/>
        <v>0</v>
      </c>
      <c r="C61" s="8">
        <f t="shared" si="9"/>
        <v>1</v>
      </c>
      <c r="D61" s="8">
        <f t="shared" si="9"/>
        <v>0</v>
      </c>
      <c r="E61" s="9" t="str">
        <f t="shared" si="9"/>
        <v>(l)Ge[l]</v>
      </c>
      <c r="F61" s="26">
        <f t="shared" ca="1" si="14"/>
        <v>5.367</v>
      </c>
      <c r="G61" s="26">
        <f t="shared" ca="1" si="14"/>
        <v>0.73660000000000003</v>
      </c>
      <c r="H61" s="26">
        <f t="shared" ca="1" si="14"/>
        <v>-5.534E-2</v>
      </c>
      <c r="I61" s="26">
        <f t="shared" ca="1" si="14"/>
        <v>-0.75560000000000005</v>
      </c>
      <c r="J61" s="26">
        <f t="shared" ca="1" si="14"/>
        <v>-1.3779999999999999</v>
      </c>
      <c r="K61" s="26">
        <f t="shared" ca="1" si="14"/>
        <v>-1.93</v>
      </c>
      <c r="L61" s="26">
        <f t="shared" ca="1" si="14"/>
        <v>-3.5449999999999999</v>
      </c>
      <c r="M61" s="26">
        <f t="shared" ca="1" si="14"/>
        <v>-3.8580000000000001</v>
      </c>
      <c r="N61" s="26">
        <f t="shared" ca="1" si="14"/>
        <v>-4.1520000000000001</v>
      </c>
      <c r="O61" s="26">
        <f t="shared" ca="1" si="14"/>
        <v>-4.423</v>
      </c>
      <c r="P61" s="26">
        <f t="shared" ca="1" si="15"/>
        <v>-4.6680000000000001</v>
      </c>
      <c r="Q61" s="26">
        <f t="shared" ca="1" si="15"/>
        <v>-5.2690000000000001</v>
      </c>
      <c r="R61" s="26">
        <f t="shared" ca="1" si="15"/>
        <v>-5.3449999999999998</v>
      </c>
      <c r="S61" s="26">
        <f t="shared" ca="1" si="15"/>
        <v>-5.4130000000000003</v>
      </c>
      <c r="T61" s="26">
        <f t="shared" ca="1" si="15"/>
        <v>-5.4939999999999998</v>
      </c>
      <c r="U61" s="26">
        <f t="shared" ca="1" si="15"/>
        <v>-5.5880000000000001</v>
      </c>
      <c r="V61" s="26">
        <f t="shared" ca="1" si="15"/>
        <v>-6.0519999999999996</v>
      </c>
      <c r="W61" s="26">
        <f t="shared" ca="1" si="15"/>
        <v>-6.5549999999999997</v>
      </c>
      <c r="X61" s="26">
        <f t="shared" ca="1" si="15"/>
        <v>-7.0309999999999997</v>
      </c>
      <c r="Y61" s="26">
        <f t="shared" ca="1" si="13"/>
        <v>0</v>
      </c>
      <c r="Z61" s="26">
        <f t="shared" ca="1" si="13"/>
        <v>0</v>
      </c>
      <c r="AA61" s="26">
        <f t="shared" ca="1" si="13"/>
        <v>0</v>
      </c>
      <c r="AB61" s="26">
        <f t="shared" ca="1" si="13"/>
        <v>0</v>
      </c>
      <c r="AC61" s="26">
        <f t="shared" ca="1" si="13"/>
        <v>0</v>
      </c>
      <c r="AD61" s="26">
        <f t="shared" ca="1" si="13"/>
        <v>0</v>
      </c>
      <c r="AE61" s="26">
        <f t="shared" ca="1" si="13"/>
        <v>0</v>
      </c>
      <c r="AF61" s="26">
        <f t="shared" ca="1" si="13"/>
        <v>0</v>
      </c>
      <c r="AG61" s="26">
        <f t="shared" ca="1" si="13"/>
        <v>0</v>
      </c>
      <c r="AH61" s="26">
        <f t="shared" ca="1" si="13"/>
        <v>0</v>
      </c>
      <c r="AI61" s="26">
        <f t="shared" ca="1" si="13"/>
        <v>0</v>
      </c>
      <c r="AJ61" s="26">
        <f t="shared" ca="1" si="13"/>
        <v>0</v>
      </c>
      <c r="AK61" s="26">
        <f t="shared" ca="1" si="13"/>
        <v>0</v>
      </c>
      <c r="AL61" s="26">
        <f t="shared" ca="1" si="13"/>
        <v>0</v>
      </c>
    </row>
    <row r="62" spans="1:38" ht="21" hidden="1" customHeight="1" outlineLevel="1" thickBot="1" x14ac:dyDescent="0.4">
      <c r="A62" s="8">
        <f t="shared" si="9"/>
        <v>0</v>
      </c>
      <c r="B62" s="8">
        <f t="shared" si="9"/>
        <v>1</v>
      </c>
      <c r="C62" s="8">
        <f t="shared" si="9"/>
        <v>0</v>
      </c>
      <c r="D62" s="8">
        <f t="shared" si="9"/>
        <v>0</v>
      </c>
      <c r="E62" s="9" t="str">
        <f t="shared" si="9"/>
        <v>(l)Se[l]</v>
      </c>
      <c r="F62" s="26">
        <f t="shared" ca="1" si="14"/>
        <v>-4.8239999999999998</v>
      </c>
      <c r="G62" s="26">
        <f t="shared" ca="1" si="14"/>
        <v>-5.5949999999999998</v>
      </c>
      <c r="H62" s="26">
        <f t="shared" ca="1" si="14"/>
        <v>-5.7880000000000003</v>
      </c>
      <c r="I62" s="26">
        <f t="shared" ca="1" si="14"/>
        <v>-5.9749999999999996</v>
      </c>
      <c r="J62" s="26">
        <f t="shared" ca="1" si="14"/>
        <v>-6.1550000000000002</v>
      </c>
      <c r="K62" s="26">
        <f t="shared" ca="1" si="14"/>
        <v>-6.3259999999999996</v>
      </c>
      <c r="L62" s="26">
        <f t="shared" ca="1" si="14"/>
        <v>-6.8819999999999997</v>
      </c>
      <c r="M62" s="26">
        <f t="shared" ca="1" si="14"/>
        <v>-7.0060000000000002</v>
      </c>
      <c r="N62" s="26">
        <f t="shared" ca="1" si="14"/>
        <v>-7.1319999999999997</v>
      </c>
      <c r="O62" s="26">
        <f t="shared" ca="1" si="14"/>
        <v>-7.2610000000000001</v>
      </c>
      <c r="P62" s="26">
        <f t="shared" ca="1" si="15"/>
        <v>-7.3940000000000001</v>
      </c>
      <c r="Q62" s="26">
        <f t="shared" ca="1" si="15"/>
        <v>-8.0410000000000004</v>
      </c>
      <c r="R62" s="26">
        <f t="shared" ca="1" si="15"/>
        <v>-8.2520000000000007</v>
      </c>
      <c r="S62" s="26">
        <f t="shared" ca="1" si="15"/>
        <v>-8.4819999999999993</v>
      </c>
      <c r="T62" s="26">
        <f t="shared" ca="1" si="15"/>
        <v>-8.7279999999999998</v>
      </c>
      <c r="U62" s="26">
        <f t="shared" ca="1" si="15"/>
        <v>-8.9819999999999993</v>
      </c>
      <c r="V62" s="26">
        <f t="shared" ca="1" si="15"/>
        <v>-9.968</v>
      </c>
      <c r="W62" s="26">
        <f t="shared" ca="1" si="15"/>
        <v>-10.83</v>
      </c>
      <c r="X62" s="26">
        <f t="shared" ca="1" si="15"/>
        <v>-11.56</v>
      </c>
      <c r="Y62" s="26">
        <f t="shared" ca="1" si="13"/>
        <v>0</v>
      </c>
      <c r="Z62" s="26">
        <f t="shared" ca="1" si="13"/>
        <v>0</v>
      </c>
      <c r="AA62" s="26">
        <f t="shared" ca="1" si="13"/>
        <v>0</v>
      </c>
      <c r="AB62" s="26">
        <f t="shared" ca="1" si="13"/>
        <v>0</v>
      </c>
      <c r="AC62" s="26">
        <f t="shared" ca="1" si="13"/>
        <v>0</v>
      </c>
      <c r="AD62" s="26">
        <f t="shared" ca="1" si="13"/>
        <v>0</v>
      </c>
      <c r="AE62" s="26">
        <f t="shared" ca="1" si="13"/>
        <v>0</v>
      </c>
      <c r="AF62" s="26">
        <f t="shared" ca="1" si="13"/>
        <v>0</v>
      </c>
      <c r="AG62" s="26">
        <f t="shared" ca="1" si="13"/>
        <v>0</v>
      </c>
      <c r="AH62" s="26">
        <f t="shared" ca="1" si="13"/>
        <v>0</v>
      </c>
      <c r="AI62" s="26">
        <f t="shared" ca="1" si="13"/>
        <v>0</v>
      </c>
      <c r="AJ62" s="26">
        <f t="shared" ca="1" si="13"/>
        <v>0</v>
      </c>
      <c r="AK62" s="26">
        <f t="shared" ca="1" si="13"/>
        <v>0</v>
      </c>
      <c r="AL62" s="26">
        <f t="shared" ca="1" si="13"/>
        <v>0</v>
      </c>
    </row>
    <row r="63" spans="1:38" ht="21" hidden="1" customHeight="1" outlineLevel="1" thickBot="1" x14ac:dyDescent="0.4">
      <c r="A63" s="8">
        <f t="shared" si="9"/>
        <v>0</v>
      </c>
      <c r="B63" s="8">
        <f t="shared" si="9"/>
        <v>0</v>
      </c>
      <c r="C63" s="8">
        <f t="shared" si="9"/>
        <v>0</v>
      </c>
      <c r="D63" s="8">
        <f t="shared" si="9"/>
        <v>0</v>
      </c>
      <c r="E63" s="9" t="str">
        <f t="shared" si="9"/>
        <v>H (Аг)</v>
      </c>
      <c r="F63" s="26">
        <f t="shared" ca="1" si="14"/>
        <v>0</v>
      </c>
      <c r="G63" s="26">
        <f t="shared" ca="1" si="14"/>
        <v>0</v>
      </c>
      <c r="H63" s="26">
        <f t="shared" ca="1" si="14"/>
        <v>0</v>
      </c>
      <c r="I63" s="26">
        <f t="shared" ca="1" si="14"/>
        <v>0</v>
      </c>
      <c r="J63" s="26">
        <f t="shared" ca="1" si="14"/>
        <v>0</v>
      </c>
      <c r="K63" s="26">
        <f t="shared" ca="1" si="14"/>
        <v>0</v>
      </c>
      <c r="L63" s="26">
        <f t="shared" ca="1" si="14"/>
        <v>0</v>
      </c>
      <c r="M63" s="26">
        <f t="shared" ca="1" si="14"/>
        <v>0</v>
      </c>
      <c r="N63" s="26">
        <f t="shared" ca="1" si="14"/>
        <v>0</v>
      </c>
      <c r="O63" s="26">
        <f t="shared" ca="1" si="14"/>
        <v>0</v>
      </c>
      <c r="P63" s="26">
        <f t="shared" ca="1" si="15"/>
        <v>0</v>
      </c>
      <c r="Q63" s="26">
        <f t="shared" ca="1" si="15"/>
        <v>0</v>
      </c>
      <c r="R63" s="26">
        <f t="shared" ca="1" si="15"/>
        <v>0</v>
      </c>
      <c r="S63" s="26">
        <f t="shared" ca="1" si="15"/>
        <v>0</v>
      </c>
      <c r="T63" s="26">
        <f t="shared" ca="1" si="15"/>
        <v>0</v>
      </c>
      <c r="U63" s="26">
        <f t="shared" ca="1" si="15"/>
        <v>0</v>
      </c>
      <c r="V63" s="26">
        <f t="shared" ca="1" si="15"/>
        <v>0</v>
      </c>
      <c r="W63" s="26">
        <f t="shared" ca="1" si="15"/>
        <v>0</v>
      </c>
      <c r="X63" s="26">
        <f t="shared" ca="1" si="15"/>
        <v>0</v>
      </c>
      <c r="Y63" s="26">
        <f t="shared" ca="1" si="13"/>
        <v>0</v>
      </c>
      <c r="Z63" s="26">
        <f t="shared" ca="1" si="13"/>
        <v>0</v>
      </c>
      <c r="AA63" s="26">
        <f t="shared" ca="1" si="13"/>
        <v>0</v>
      </c>
      <c r="AB63" s="26">
        <f t="shared" ca="1" si="13"/>
        <v>0</v>
      </c>
      <c r="AC63" s="26">
        <f t="shared" ca="1" si="13"/>
        <v>0</v>
      </c>
      <c r="AD63" s="26">
        <f t="shared" ca="1" si="13"/>
        <v>0</v>
      </c>
      <c r="AE63" s="26">
        <f t="shared" ca="1" si="13"/>
        <v>0</v>
      </c>
      <c r="AF63" s="26">
        <f t="shared" ca="1" si="13"/>
        <v>0</v>
      </c>
      <c r="AG63" s="26">
        <f t="shared" ca="1" si="13"/>
        <v>0</v>
      </c>
      <c r="AH63" s="26">
        <f t="shared" ca="1" si="13"/>
        <v>0</v>
      </c>
      <c r="AI63" s="26">
        <f t="shared" ca="1" si="13"/>
        <v>0</v>
      </c>
      <c r="AJ63" s="26">
        <f t="shared" ca="1" si="13"/>
        <v>0</v>
      </c>
      <c r="AK63" s="26">
        <f t="shared" ca="1" si="13"/>
        <v>0</v>
      </c>
      <c r="AL63" s="26">
        <f t="shared" ca="1" si="13"/>
        <v>0</v>
      </c>
    </row>
    <row r="64" spans="1:38" ht="21" hidden="1" customHeight="1" outlineLevel="1" thickBot="1" x14ac:dyDescent="0.4">
      <c r="A64" s="8">
        <f t="shared" si="9"/>
        <v>0</v>
      </c>
      <c r="B64" s="8">
        <f t="shared" si="9"/>
        <v>0</v>
      </c>
      <c r="C64" s="8">
        <f t="shared" si="9"/>
        <v>0</v>
      </c>
      <c r="D64" s="8">
        <f t="shared" si="9"/>
        <v>1</v>
      </c>
      <c r="E64" s="9" t="str">
        <f t="shared" si="9"/>
        <v>H (Ga)</v>
      </c>
      <c r="F64" s="26">
        <f t="shared" ca="1" si="14"/>
        <v>-6.2460000000000004</v>
      </c>
      <c r="G64" s="26">
        <f t="shared" ca="1" si="14"/>
        <v>-7.1479999999999997</v>
      </c>
      <c r="H64" s="26">
        <f t="shared" ca="1" si="14"/>
        <v>-7.3440000000000003</v>
      </c>
      <c r="I64" s="26">
        <f t="shared" ca="1" si="14"/>
        <v>-7.5309999999999997</v>
      </c>
      <c r="J64" s="26">
        <f t="shared" ca="1" si="14"/>
        <v>-7.7160000000000002</v>
      </c>
      <c r="K64" s="26">
        <f t="shared" ca="1" si="14"/>
        <v>-7.907</v>
      </c>
      <c r="L64" s="26">
        <f t="shared" ca="1" si="14"/>
        <v>-8.98</v>
      </c>
      <c r="M64" s="26">
        <f t="shared" ca="1" si="14"/>
        <v>-9.3170000000000002</v>
      </c>
      <c r="N64" s="26">
        <f t="shared" ca="1" si="14"/>
        <v>-9.6470000000000002</v>
      </c>
      <c r="O64" s="26">
        <f t="shared" ca="1" si="14"/>
        <v>-9.9629999999999992</v>
      </c>
      <c r="P64" s="26">
        <f t="shared" ca="1" si="15"/>
        <v>-10.26</v>
      </c>
      <c r="Q64" s="26">
        <f t="shared" ca="1" si="15"/>
        <v>-11.28</v>
      </c>
      <c r="R64" s="26">
        <f t="shared" ca="1" si="15"/>
        <v>-11.49</v>
      </c>
      <c r="S64" s="26">
        <f t="shared" ca="1" si="15"/>
        <v>-11.66</v>
      </c>
      <c r="T64" s="26">
        <f t="shared" ca="1" si="15"/>
        <v>-11.81</v>
      </c>
      <c r="U64" s="26">
        <f t="shared" ca="1" si="15"/>
        <v>-11.94</v>
      </c>
      <c r="V64" s="26">
        <f t="shared" ca="1" si="15"/>
        <v>-12.34</v>
      </c>
      <c r="W64" s="26">
        <f t="shared" ca="1" si="15"/>
        <v>-12.65</v>
      </c>
      <c r="X64" s="26">
        <f t="shared" ca="1" si="15"/>
        <v>-12.92</v>
      </c>
      <c r="Y64" s="26">
        <f t="shared" ca="1" si="13"/>
        <v>0</v>
      </c>
      <c r="Z64" s="26">
        <f t="shared" ca="1" si="13"/>
        <v>0</v>
      </c>
      <c r="AA64" s="26">
        <f t="shared" ca="1" si="13"/>
        <v>0</v>
      </c>
      <c r="AB64" s="26">
        <f t="shared" ca="1" si="13"/>
        <v>0</v>
      </c>
      <c r="AC64" s="26">
        <f t="shared" ca="1" si="13"/>
        <v>0</v>
      </c>
      <c r="AD64" s="26">
        <f t="shared" ca="1" si="13"/>
        <v>0</v>
      </c>
      <c r="AE64" s="26">
        <f t="shared" ca="1" si="13"/>
        <v>0</v>
      </c>
      <c r="AF64" s="26">
        <f t="shared" ca="1" si="13"/>
        <v>0</v>
      </c>
      <c r="AG64" s="26">
        <f t="shared" ca="1" si="13"/>
        <v>0</v>
      </c>
      <c r="AH64" s="26">
        <f t="shared" ca="1" si="13"/>
        <v>0</v>
      </c>
      <c r="AI64" s="26">
        <f t="shared" ca="1" si="13"/>
        <v>0</v>
      </c>
      <c r="AJ64" s="26">
        <f t="shared" ca="1" si="13"/>
        <v>0</v>
      </c>
      <c r="AK64" s="26">
        <f t="shared" ca="1" si="13"/>
        <v>0</v>
      </c>
      <c r="AL64" s="26">
        <f t="shared" ca="1" si="13"/>
        <v>0</v>
      </c>
    </row>
    <row r="65" spans="1:38" ht="21" hidden="1" customHeight="1" outlineLevel="1" thickBot="1" x14ac:dyDescent="0.4">
      <c r="A65" s="8">
        <f t="shared" si="9"/>
        <v>0</v>
      </c>
      <c r="B65" s="8">
        <f t="shared" si="9"/>
        <v>0</v>
      </c>
      <c r="C65" s="8">
        <f t="shared" si="9"/>
        <v>1</v>
      </c>
      <c r="D65" s="8">
        <f t="shared" si="9"/>
        <v>0</v>
      </c>
      <c r="E65" s="9" t="str">
        <f t="shared" si="9"/>
        <v>H (Ge)</v>
      </c>
      <c r="F65" s="26">
        <f t="shared" ca="1" si="14"/>
        <v>5.367</v>
      </c>
      <c r="G65" s="26">
        <f t="shared" ca="1" si="14"/>
        <v>0.73660000000000003</v>
      </c>
      <c r="H65" s="26">
        <f t="shared" ca="1" si="14"/>
        <v>-5.534E-2</v>
      </c>
      <c r="I65" s="26">
        <f t="shared" ca="1" si="14"/>
        <v>-0.75560000000000005</v>
      </c>
      <c r="J65" s="26">
        <f t="shared" ca="1" si="14"/>
        <v>-1.3779999999999999</v>
      </c>
      <c r="K65" s="26">
        <f t="shared" ca="1" si="14"/>
        <v>-1.93</v>
      </c>
      <c r="L65" s="26">
        <f t="shared" ca="1" si="14"/>
        <v>-3.5449999999999999</v>
      </c>
      <c r="M65" s="26">
        <f t="shared" ca="1" si="14"/>
        <v>-3.8580000000000001</v>
      </c>
      <c r="N65" s="26">
        <f t="shared" ca="1" si="14"/>
        <v>-4.1520000000000001</v>
      </c>
      <c r="O65" s="26">
        <f t="shared" ca="1" si="14"/>
        <v>-4.423</v>
      </c>
      <c r="P65" s="26">
        <f t="shared" ca="1" si="15"/>
        <v>-4.6680000000000001</v>
      </c>
      <c r="Q65" s="26">
        <f t="shared" ca="1" si="15"/>
        <v>-5.2690000000000001</v>
      </c>
      <c r="R65" s="26">
        <f t="shared" ca="1" si="15"/>
        <v>-5.3449999999999998</v>
      </c>
      <c r="S65" s="26">
        <f t="shared" ca="1" si="15"/>
        <v>-5.4130000000000003</v>
      </c>
      <c r="T65" s="26">
        <f t="shared" ca="1" si="15"/>
        <v>-5.4939999999999998</v>
      </c>
      <c r="U65" s="26">
        <f t="shared" ca="1" si="15"/>
        <v>-5.5880000000000001</v>
      </c>
      <c r="V65" s="26">
        <f t="shared" ca="1" si="15"/>
        <v>-6.0519999999999996</v>
      </c>
      <c r="W65" s="26">
        <f t="shared" ca="1" si="15"/>
        <v>-6.5549999999999997</v>
      </c>
      <c r="X65" s="26">
        <f t="shared" ca="1" si="15"/>
        <v>-7.0309999999999997</v>
      </c>
      <c r="Y65" s="26">
        <f t="shared" ca="1" si="13"/>
        <v>0</v>
      </c>
      <c r="Z65" s="26">
        <f t="shared" ca="1" si="13"/>
        <v>0</v>
      </c>
      <c r="AA65" s="26">
        <f t="shared" ca="1" si="13"/>
        <v>0</v>
      </c>
      <c r="AB65" s="26">
        <f t="shared" ca="1" si="13"/>
        <v>0</v>
      </c>
      <c r="AC65" s="26">
        <f t="shared" ca="1" si="13"/>
        <v>0</v>
      </c>
      <c r="AD65" s="26">
        <f t="shared" ca="1" si="13"/>
        <v>0</v>
      </c>
      <c r="AE65" s="26">
        <f t="shared" ca="1" si="13"/>
        <v>0</v>
      </c>
      <c r="AF65" s="26">
        <f t="shared" ca="1" si="13"/>
        <v>0</v>
      </c>
      <c r="AG65" s="26">
        <f t="shared" ca="1" si="13"/>
        <v>0</v>
      </c>
      <c r="AH65" s="26">
        <f t="shared" ca="1" si="13"/>
        <v>0</v>
      </c>
      <c r="AI65" s="26">
        <f t="shared" ca="1" si="13"/>
        <v>0</v>
      </c>
      <c r="AJ65" s="26">
        <f t="shared" ca="1" si="13"/>
        <v>0</v>
      </c>
      <c r="AK65" s="26">
        <f t="shared" ca="1" si="13"/>
        <v>0</v>
      </c>
      <c r="AL65" s="26">
        <f t="shared" ca="1" si="13"/>
        <v>0</v>
      </c>
    </row>
    <row r="66" spans="1:38" ht="21" hidden="1" customHeight="1" outlineLevel="1" thickBot="1" x14ac:dyDescent="0.4">
      <c r="A66" s="8">
        <f t="shared" ref="A66:E79" si="16">A20</f>
        <v>0</v>
      </c>
      <c r="B66" s="8">
        <f t="shared" si="16"/>
        <v>1</v>
      </c>
      <c r="C66" s="8">
        <f t="shared" si="16"/>
        <v>0</v>
      </c>
      <c r="D66" s="8">
        <f t="shared" si="16"/>
        <v>0</v>
      </c>
      <c r="E66" s="9" t="str">
        <f t="shared" si="16"/>
        <v>H (Se)</v>
      </c>
      <c r="F66" s="26">
        <f t="shared" ca="1" si="14"/>
        <v>-4.8239999999999998</v>
      </c>
      <c r="G66" s="26">
        <f t="shared" ca="1" si="14"/>
        <v>-5.5949999999999998</v>
      </c>
      <c r="H66" s="26">
        <f t="shared" ca="1" si="14"/>
        <v>-5.7880000000000003</v>
      </c>
      <c r="I66" s="26">
        <f t="shared" ca="1" si="14"/>
        <v>-5.9749999999999996</v>
      </c>
      <c r="J66" s="26">
        <f t="shared" ca="1" si="14"/>
        <v>-6.1550000000000002</v>
      </c>
      <c r="K66" s="26">
        <f t="shared" ca="1" si="14"/>
        <v>-6.3259999999999996</v>
      </c>
      <c r="L66" s="26">
        <f t="shared" ca="1" si="14"/>
        <v>-6.8819999999999997</v>
      </c>
      <c r="M66" s="26">
        <f t="shared" ca="1" si="14"/>
        <v>-7.0060000000000002</v>
      </c>
      <c r="N66" s="26">
        <f t="shared" ca="1" si="14"/>
        <v>-7.1319999999999997</v>
      </c>
      <c r="O66" s="26">
        <f t="shared" ca="1" si="14"/>
        <v>-7.2610000000000001</v>
      </c>
      <c r="P66" s="26">
        <f t="shared" ca="1" si="15"/>
        <v>-7.3940000000000001</v>
      </c>
      <c r="Q66" s="26">
        <f t="shared" ca="1" si="15"/>
        <v>-8.0410000000000004</v>
      </c>
      <c r="R66" s="26">
        <f t="shared" ca="1" si="15"/>
        <v>-8.2520000000000007</v>
      </c>
      <c r="S66" s="26">
        <f t="shared" ca="1" si="15"/>
        <v>-8.4819999999999993</v>
      </c>
      <c r="T66" s="26">
        <f t="shared" ca="1" si="15"/>
        <v>-8.7279999999999998</v>
      </c>
      <c r="U66" s="26">
        <f t="shared" ca="1" si="15"/>
        <v>-8.9819999999999993</v>
      </c>
      <c r="V66" s="26">
        <f t="shared" ca="1" si="15"/>
        <v>-9.968</v>
      </c>
      <c r="W66" s="26">
        <f t="shared" ca="1" si="15"/>
        <v>-10.83</v>
      </c>
      <c r="X66" s="26">
        <f t="shared" ca="1" si="15"/>
        <v>-11.56</v>
      </c>
      <c r="Y66" s="26">
        <f t="shared" ref="Y66:AL78" ca="1" si="17">$A66*H.Ar + $B66*H.Se + $C66*H.Ge + $D66*H.Ga</f>
        <v>0</v>
      </c>
      <c r="Z66" s="26">
        <f t="shared" ca="1" si="17"/>
        <v>0</v>
      </c>
      <c r="AA66" s="26">
        <f t="shared" ca="1" si="17"/>
        <v>0</v>
      </c>
      <c r="AB66" s="26">
        <f t="shared" ca="1" si="17"/>
        <v>0</v>
      </c>
      <c r="AC66" s="26">
        <f t="shared" ca="1" si="17"/>
        <v>0</v>
      </c>
      <c r="AD66" s="26">
        <f t="shared" ca="1" si="17"/>
        <v>0</v>
      </c>
      <c r="AE66" s="26">
        <f t="shared" ca="1" si="17"/>
        <v>0</v>
      </c>
      <c r="AF66" s="26">
        <f t="shared" ca="1" si="17"/>
        <v>0</v>
      </c>
      <c r="AG66" s="26">
        <f t="shared" ca="1" si="17"/>
        <v>0</v>
      </c>
      <c r="AH66" s="26">
        <f t="shared" ca="1" si="17"/>
        <v>0</v>
      </c>
      <c r="AI66" s="26">
        <f t="shared" ca="1" si="17"/>
        <v>0</v>
      </c>
      <c r="AJ66" s="26">
        <f t="shared" ca="1" si="17"/>
        <v>0</v>
      </c>
      <c r="AK66" s="26">
        <f t="shared" ca="1" si="17"/>
        <v>0</v>
      </c>
      <c r="AL66" s="26">
        <f t="shared" ca="1" si="17"/>
        <v>0</v>
      </c>
    </row>
    <row r="67" spans="1:38" ht="21" hidden="1" customHeight="1" outlineLevel="1" thickBot="1" x14ac:dyDescent="0.4">
      <c r="A67" s="8">
        <f t="shared" si="16"/>
        <v>0</v>
      </c>
      <c r="B67" s="8">
        <f t="shared" si="16"/>
        <v>0</v>
      </c>
      <c r="C67" s="8">
        <f t="shared" si="16"/>
        <v>0</v>
      </c>
      <c r="D67" s="8">
        <f t="shared" si="16"/>
        <v>0</v>
      </c>
      <c r="E67" s="9">
        <f t="shared" si="16"/>
        <v>0</v>
      </c>
      <c r="F67" s="26">
        <f t="shared" ca="1" si="14"/>
        <v>0</v>
      </c>
      <c r="G67" s="26">
        <f t="shared" ca="1" si="14"/>
        <v>0</v>
      </c>
      <c r="H67" s="26">
        <f t="shared" ca="1" si="14"/>
        <v>0</v>
      </c>
      <c r="I67" s="26">
        <f t="shared" ca="1" si="14"/>
        <v>0</v>
      </c>
      <c r="J67" s="26">
        <f t="shared" ca="1" si="14"/>
        <v>0</v>
      </c>
      <c r="K67" s="26">
        <f t="shared" ca="1" si="14"/>
        <v>0</v>
      </c>
      <c r="L67" s="26">
        <f t="shared" ca="1" si="14"/>
        <v>0</v>
      </c>
      <c r="M67" s="26">
        <f t="shared" ca="1" si="14"/>
        <v>0</v>
      </c>
      <c r="N67" s="26">
        <f t="shared" ca="1" si="14"/>
        <v>0</v>
      </c>
      <c r="O67" s="26">
        <f t="shared" ca="1" si="14"/>
        <v>0</v>
      </c>
      <c r="P67" s="26">
        <f t="shared" ca="1" si="15"/>
        <v>0</v>
      </c>
      <c r="Q67" s="26">
        <f t="shared" ca="1" si="15"/>
        <v>0</v>
      </c>
      <c r="R67" s="26">
        <f t="shared" ca="1" si="15"/>
        <v>0</v>
      </c>
      <c r="S67" s="26">
        <f t="shared" ca="1" si="15"/>
        <v>0</v>
      </c>
      <c r="T67" s="26">
        <f t="shared" ca="1" si="15"/>
        <v>0</v>
      </c>
      <c r="U67" s="26">
        <f t="shared" ca="1" si="15"/>
        <v>0</v>
      </c>
      <c r="V67" s="26">
        <f t="shared" ca="1" si="15"/>
        <v>0</v>
      </c>
      <c r="W67" s="26">
        <f t="shared" ca="1" si="15"/>
        <v>0</v>
      </c>
      <c r="X67" s="26">
        <f t="shared" ca="1" si="15"/>
        <v>0</v>
      </c>
      <c r="Y67" s="26">
        <f t="shared" ca="1" si="17"/>
        <v>0</v>
      </c>
      <c r="Z67" s="26">
        <f t="shared" ca="1" si="17"/>
        <v>0</v>
      </c>
      <c r="AA67" s="26">
        <f t="shared" ca="1" si="17"/>
        <v>0</v>
      </c>
      <c r="AB67" s="26">
        <f t="shared" ca="1" si="17"/>
        <v>0</v>
      </c>
      <c r="AC67" s="26">
        <f t="shared" ca="1" si="17"/>
        <v>0</v>
      </c>
      <c r="AD67" s="26">
        <f t="shared" ca="1" si="17"/>
        <v>0</v>
      </c>
      <c r="AE67" s="26">
        <f t="shared" ca="1" si="17"/>
        <v>0</v>
      </c>
      <c r="AF67" s="26">
        <f t="shared" ca="1" si="17"/>
        <v>0</v>
      </c>
      <c r="AG67" s="26">
        <f t="shared" ca="1" si="17"/>
        <v>0</v>
      </c>
      <c r="AH67" s="26">
        <f t="shared" ca="1" si="17"/>
        <v>0</v>
      </c>
      <c r="AI67" s="26">
        <f t="shared" ca="1" si="17"/>
        <v>0</v>
      </c>
      <c r="AJ67" s="26">
        <f t="shared" ca="1" si="17"/>
        <v>0</v>
      </c>
      <c r="AK67" s="26">
        <f t="shared" ca="1" si="17"/>
        <v>0</v>
      </c>
      <c r="AL67" s="26">
        <f t="shared" ca="1" si="17"/>
        <v>0</v>
      </c>
    </row>
    <row r="68" spans="1:38" ht="21" hidden="1" customHeight="1" outlineLevel="1" thickBot="1" x14ac:dyDescent="0.4">
      <c r="A68" s="8">
        <f t="shared" si="16"/>
        <v>0</v>
      </c>
      <c r="B68" s="8">
        <f t="shared" si="16"/>
        <v>0</v>
      </c>
      <c r="C68" s="8">
        <f t="shared" si="16"/>
        <v>0</v>
      </c>
      <c r="D68" s="8">
        <f t="shared" si="16"/>
        <v>0</v>
      </c>
      <c r="E68" s="9">
        <f t="shared" si="16"/>
        <v>0</v>
      </c>
      <c r="F68" s="26">
        <f t="shared" ca="1" si="14"/>
        <v>0</v>
      </c>
      <c r="G68" s="26">
        <f t="shared" ca="1" si="14"/>
        <v>0</v>
      </c>
      <c r="H68" s="26">
        <f t="shared" ca="1" si="14"/>
        <v>0</v>
      </c>
      <c r="I68" s="26">
        <f t="shared" ca="1" si="14"/>
        <v>0</v>
      </c>
      <c r="J68" s="26">
        <f t="shared" ca="1" si="14"/>
        <v>0</v>
      </c>
      <c r="K68" s="26">
        <f t="shared" ca="1" si="14"/>
        <v>0</v>
      </c>
      <c r="L68" s="26">
        <f t="shared" ca="1" si="14"/>
        <v>0</v>
      </c>
      <c r="M68" s="26">
        <f t="shared" ca="1" si="14"/>
        <v>0</v>
      </c>
      <c r="N68" s="26">
        <f t="shared" ca="1" si="14"/>
        <v>0</v>
      </c>
      <c r="O68" s="26">
        <f t="shared" ca="1" si="14"/>
        <v>0</v>
      </c>
      <c r="P68" s="26">
        <f t="shared" ca="1" si="15"/>
        <v>0</v>
      </c>
      <c r="Q68" s="26">
        <f t="shared" ca="1" si="15"/>
        <v>0</v>
      </c>
      <c r="R68" s="26">
        <f t="shared" ca="1" si="15"/>
        <v>0</v>
      </c>
      <c r="S68" s="26">
        <f t="shared" ca="1" si="15"/>
        <v>0</v>
      </c>
      <c r="T68" s="26">
        <f t="shared" ca="1" si="15"/>
        <v>0</v>
      </c>
      <c r="U68" s="26">
        <f t="shared" ca="1" si="15"/>
        <v>0</v>
      </c>
      <c r="V68" s="26">
        <f t="shared" ca="1" si="15"/>
        <v>0</v>
      </c>
      <c r="W68" s="26">
        <f t="shared" ca="1" si="15"/>
        <v>0</v>
      </c>
      <c r="X68" s="26">
        <f t="shared" ca="1" si="15"/>
        <v>0</v>
      </c>
      <c r="Y68" s="26">
        <f t="shared" ca="1" si="17"/>
        <v>0</v>
      </c>
      <c r="Z68" s="26">
        <f t="shared" ca="1" si="17"/>
        <v>0</v>
      </c>
      <c r="AA68" s="26">
        <f t="shared" ca="1" si="17"/>
        <v>0</v>
      </c>
      <c r="AB68" s="26">
        <f t="shared" ca="1" si="17"/>
        <v>0</v>
      </c>
      <c r="AC68" s="26">
        <f t="shared" ca="1" si="17"/>
        <v>0</v>
      </c>
      <c r="AD68" s="26">
        <f t="shared" ca="1" si="17"/>
        <v>0</v>
      </c>
      <c r="AE68" s="26">
        <f t="shared" ca="1" si="17"/>
        <v>0</v>
      </c>
      <c r="AF68" s="26">
        <f t="shared" ca="1" si="17"/>
        <v>0</v>
      </c>
      <c r="AG68" s="26">
        <f t="shared" ca="1" si="17"/>
        <v>0</v>
      </c>
      <c r="AH68" s="26">
        <f t="shared" ca="1" si="17"/>
        <v>0</v>
      </c>
      <c r="AI68" s="26">
        <f t="shared" ca="1" si="17"/>
        <v>0</v>
      </c>
      <c r="AJ68" s="26">
        <f t="shared" ca="1" si="17"/>
        <v>0</v>
      </c>
      <c r="AK68" s="26">
        <f t="shared" ca="1" si="17"/>
        <v>0</v>
      </c>
      <c r="AL68" s="26">
        <f t="shared" ca="1" si="17"/>
        <v>0</v>
      </c>
    </row>
    <row r="69" spans="1:38" ht="21" hidden="1" customHeight="1" outlineLevel="1" thickBot="1" x14ac:dyDescent="0.4">
      <c r="A69" s="8">
        <f t="shared" si="16"/>
        <v>0</v>
      </c>
      <c r="B69" s="8">
        <f t="shared" si="16"/>
        <v>0</v>
      </c>
      <c r="C69" s="8">
        <f t="shared" si="16"/>
        <v>0</v>
      </c>
      <c r="D69" s="8">
        <f t="shared" si="16"/>
        <v>0</v>
      </c>
      <c r="E69" s="9">
        <f t="shared" si="16"/>
        <v>0</v>
      </c>
      <c r="F69" s="26">
        <f t="shared" ca="1" si="14"/>
        <v>0</v>
      </c>
      <c r="G69" s="26">
        <f t="shared" ca="1" si="14"/>
        <v>0</v>
      </c>
      <c r="H69" s="26">
        <f t="shared" ca="1" si="14"/>
        <v>0</v>
      </c>
      <c r="I69" s="26">
        <f t="shared" ca="1" si="14"/>
        <v>0</v>
      </c>
      <c r="J69" s="26">
        <f t="shared" ca="1" si="14"/>
        <v>0</v>
      </c>
      <c r="K69" s="26">
        <f t="shared" ca="1" si="14"/>
        <v>0</v>
      </c>
      <c r="L69" s="26">
        <f t="shared" ca="1" si="14"/>
        <v>0</v>
      </c>
      <c r="M69" s="26">
        <f t="shared" ca="1" si="14"/>
        <v>0</v>
      </c>
      <c r="N69" s="26">
        <f t="shared" ca="1" si="14"/>
        <v>0</v>
      </c>
      <c r="O69" s="26">
        <f t="shared" ca="1" si="14"/>
        <v>0</v>
      </c>
      <c r="P69" s="26">
        <f t="shared" ca="1" si="15"/>
        <v>0</v>
      </c>
      <c r="Q69" s="26">
        <f t="shared" ca="1" si="15"/>
        <v>0</v>
      </c>
      <c r="R69" s="26">
        <f t="shared" ca="1" si="15"/>
        <v>0</v>
      </c>
      <c r="S69" s="26">
        <f t="shared" ca="1" si="15"/>
        <v>0</v>
      </c>
      <c r="T69" s="26">
        <f t="shared" ca="1" si="15"/>
        <v>0</v>
      </c>
      <c r="U69" s="26">
        <f t="shared" ca="1" si="15"/>
        <v>0</v>
      </c>
      <c r="V69" s="26">
        <f t="shared" ca="1" si="15"/>
        <v>0</v>
      </c>
      <c r="W69" s="26">
        <f t="shared" ca="1" si="15"/>
        <v>0</v>
      </c>
      <c r="X69" s="26">
        <f t="shared" ca="1" si="15"/>
        <v>0</v>
      </c>
      <c r="Y69" s="26">
        <f t="shared" ca="1" si="17"/>
        <v>0</v>
      </c>
      <c r="Z69" s="26">
        <f t="shared" ca="1" si="17"/>
        <v>0</v>
      </c>
      <c r="AA69" s="26">
        <f t="shared" ca="1" si="17"/>
        <v>0</v>
      </c>
      <c r="AB69" s="26">
        <f t="shared" ca="1" si="17"/>
        <v>0</v>
      </c>
      <c r="AC69" s="26">
        <f t="shared" ca="1" si="17"/>
        <v>0</v>
      </c>
      <c r="AD69" s="26">
        <f t="shared" ca="1" si="17"/>
        <v>0</v>
      </c>
      <c r="AE69" s="26">
        <f t="shared" ca="1" si="17"/>
        <v>0</v>
      </c>
      <c r="AF69" s="26">
        <f t="shared" ca="1" si="17"/>
        <v>0</v>
      </c>
      <c r="AG69" s="26">
        <f t="shared" ca="1" si="17"/>
        <v>0</v>
      </c>
      <c r="AH69" s="26">
        <f t="shared" ca="1" si="17"/>
        <v>0</v>
      </c>
      <c r="AI69" s="26">
        <f t="shared" ca="1" si="17"/>
        <v>0</v>
      </c>
      <c r="AJ69" s="26">
        <f t="shared" ca="1" si="17"/>
        <v>0</v>
      </c>
      <c r="AK69" s="26">
        <f t="shared" ca="1" si="17"/>
        <v>0</v>
      </c>
      <c r="AL69" s="26">
        <f t="shared" ca="1" si="17"/>
        <v>0</v>
      </c>
    </row>
    <row r="70" spans="1:38" ht="21" hidden="1" customHeight="1" outlineLevel="1" thickBot="1" x14ac:dyDescent="0.4">
      <c r="A70" s="8">
        <f t="shared" si="16"/>
        <v>0</v>
      </c>
      <c r="B70" s="8">
        <f t="shared" si="16"/>
        <v>0</v>
      </c>
      <c r="C70" s="8">
        <f t="shared" si="16"/>
        <v>0</v>
      </c>
      <c r="D70" s="8">
        <f t="shared" si="16"/>
        <v>0</v>
      </c>
      <c r="E70" s="9">
        <f t="shared" si="16"/>
        <v>0</v>
      </c>
      <c r="F70" s="26">
        <f t="shared" ref="F70:O78" ca="1" si="18">$A70*H.Ar + $B70*H.Se + $C70*H.Ge + $D70*H.Ga</f>
        <v>0</v>
      </c>
      <c r="G70" s="26">
        <f t="shared" ca="1" si="18"/>
        <v>0</v>
      </c>
      <c r="H70" s="26">
        <f t="shared" ca="1" si="18"/>
        <v>0</v>
      </c>
      <c r="I70" s="26">
        <f t="shared" ca="1" si="18"/>
        <v>0</v>
      </c>
      <c r="J70" s="26">
        <f t="shared" ca="1" si="18"/>
        <v>0</v>
      </c>
      <c r="K70" s="26">
        <f t="shared" ca="1" si="18"/>
        <v>0</v>
      </c>
      <c r="L70" s="26">
        <f t="shared" ca="1" si="18"/>
        <v>0</v>
      </c>
      <c r="M70" s="26">
        <f t="shared" ca="1" si="18"/>
        <v>0</v>
      </c>
      <c r="N70" s="26">
        <f t="shared" ca="1" si="18"/>
        <v>0</v>
      </c>
      <c r="O70" s="26">
        <f t="shared" ca="1" si="18"/>
        <v>0</v>
      </c>
      <c r="P70" s="26">
        <f t="shared" ref="P70:AE78" ca="1" si="19">$A70*H.Ar + $B70*H.Se + $C70*H.Ge + $D70*H.Ga</f>
        <v>0</v>
      </c>
      <c r="Q70" s="26">
        <f t="shared" ca="1" si="19"/>
        <v>0</v>
      </c>
      <c r="R70" s="26">
        <f t="shared" ca="1" si="19"/>
        <v>0</v>
      </c>
      <c r="S70" s="26">
        <f t="shared" ca="1" si="19"/>
        <v>0</v>
      </c>
      <c r="T70" s="26">
        <f t="shared" ca="1" si="19"/>
        <v>0</v>
      </c>
      <c r="U70" s="26">
        <f t="shared" ca="1" si="19"/>
        <v>0</v>
      </c>
      <c r="V70" s="26">
        <f t="shared" ca="1" si="19"/>
        <v>0</v>
      </c>
      <c r="W70" s="26">
        <f t="shared" ca="1" si="19"/>
        <v>0</v>
      </c>
      <c r="X70" s="26">
        <f t="shared" ca="1" si="19"/>
        <v>0</v>
      </c>
      <c r="Y70" s="26">
        <f t="shared" ca="1" si="19"/>
        <v>0</v>
      </c>
      <c r="Z70" s="26">
        <f t="shared" ca="1" si="19"/>
        <v>0</v>
      </c>
      <c r="AA70" s="26">
        <f t="shared" ca="1" si="19"/>
        <v>0</v>
      </c>
      <c r="AB70" s="26">
        <f t="shared" ca="1" si="19"/>
        <v>0</v>
      </c>
      <c r="AC70" s="26">
        <f t="shared" ca="1" si="19"/>
        <v>0</v>
      </c>
      <c r="AD70" s="26">
        <f t="shared" ca="1" si="19"/>
        <v>0</v>
      </c>
      <c r="AE70" s="26">
        <f t="shared" ca="1" si="19"/>
        <v>0</v>
      </c>
      <c r="AF70" s="26">
        <f t="shared" ca="1" si="17"/>
        <v>0</v>
      </c>
      <c r="AG70" s="26">
        <f t="shared" ca="1" si="17"/>
        <v>0</v>
      </c>
      <c r="AH70" s="26">
        <f t="shared" ca="1" si="17"/>
        <v>0</v>
      </c>
      <c r="AI70" s="26">
        <f t="shared" ca="1" si="17"/>
        <v>0</v>
      </c>
      <c r="AJ70" s="26">
        <f t="shared" ca="1" si="17"/>
        <v>0</v>
      </c>
      <c r="AK70" s="26">
        <f t="shared" ca="1" si="17"/>
        <v>0</v>
      </c>
      <c r="AL70" s="26">
        <f t="shared" ca="1" si="17"/>
        <v>0</v>
      </c>
    </row>
    <row r="71" spans="1:38" ht="21" hidden="1" customHeight="1" outlineLevel="1" thickBot="1" x14ac:dyDescent="0.4">
      <c r="A71" s="8">
        <f t="shared" si="16"/>
        <v>0</v>
      </c>
      <c r="B71" s="8">
        <f t="shared" si="16"/>
        <v>0</v>
      </c>
      <c r="C71" s="8">
        <f t="shared" si="16"/>
        <v>0</v>
      </c>
      <c r="D71" s="8">
        <f t="shared" si="16"/>
        <v>0</v>
      </c>
      <c r="E71" s="9">
        <f t="shared" si="16"/>
        <v>0</v>
      </c>
      <c r="F71" s="26">
        <f t="shared" ca="1" si="18"/>
        <v>0</v>
      </c>
      <c r="G71" s="26">
        <f t="shared" ca="1" si="18"/>
        <v>0</v>
      </c>
      <c r="H71" s="26">
        <f t="shared" ca="1" si="18"/>
        <v>0</v>
      </c>
      <c r="I71" s="26">
        <f t="shared" ca="1" si="18"/>
        <v>0</v>
      </c>
      <c r="J71" s="26">
        <f t="shared" ca="1" si="18"/>
        <v>0</v>
      </c>
      <c r="K71" s="26">
        <f t="shared" ca="1" si="18"/>
        <v>0</v>
      </c>
      <c r="L71" s="26">
        <f t="shared" ca="1" si="18"/>
        <v>0</v>
      </c>
      <c r="M71" s="26">
        <f t="shared" ca="1" si="18"/>
        <v>0</v>
      </c>
      <c r="N71" s="26">
        <f t="shared" ca="1" si="18"/>
        <v>0</v>
      </c>
      <c r="O71" s="26">
        <f t="shared" ca="1" si="18"/>
        <v>0</v>
      </c>
      <c r="P71" s="26">
        <f t="shared" ca="1" si="19"/>
        <v>0</v>
      </c>
      <c r="Q71" s="26">
        <f t="shared" ca="1" si="19"/>
        <v>0</v>
      </c>
      <c r="R71" s="26">
        <f t="shared" ca="1" si="19"/>
        <v>0</v>
      </c>
      <c r="S71" s="26">
        <f t="shared" ca="1" si="19"/>
        <v>0</v>
      </c>
      <c r="T71" s="26">
        <f t="shared" ca="1" si="19"/>
        <v>0</v>
      </c>
      <c r="U71" s="26">
        <f t="shared" ca="1" si="19"/>
        <v>0</v>
      </c>
      <c r="V71" s="26">
        <f t="shared" ca="1" si="19"/>
        <v>0</v>
      </c>
      <c r="W71" s="26">
        <f t="shared" ca="1" si="19"/>
        <v>0</v>
      </c>
      <c r="X71" s="26">
        <f t="shared" ca="1" si="19"/>
        <v>0</v>
      </c>
      <c r="Y71" s="26">
        <f t="shared" ca="1" si="17"/>
        <v>0</v>
      </c>
      <c r="Z71" s="26">
        <f t="shared" ca="1" si="17"/>
        <v>0</v>
      </c>
      <c r="AA71" s="26">
        <f t="shared" ca="1" si="17"/>
        <v>0</v>
      </c>
      <c r="AB71" s="26">
        <f t="shared" ca="1" si="17"/>
        <v>0</v>
      </c>
      <c r="AC71" s="26">
        <f t="shared" ca="1" si="17"/>
        <v>0</v>
      </c>
      <c r="AD71" s="26">
        <f t="shared" ca="1" si="17"/>
        <v>0</v>
      </c>
      <c r="AE71" s="26">
        <f t="shared" ca="1" si="17"/>
        <v>0</v>
      </c>
      <c r="AF71" s="26">
        <f t="shared" ca="1" si="17"/>
        <v>0</v>
      </c>
      <c r="AG71" s="26">
        <f t="shared" ca="1" si="17"/>
        <v>0</v>
      </c>
      <c r="AH71" s="26">
        <f t="shared" ca="1" si="17"/>
        <v>0</v>
      </c>
      <c r="AI71" s="26">
        <f t="shared" ca="1" si="17"/>
        <v>0</v>
      </c>
      <c r="AJ71" s="26">
        <f t="shared" ca="1" si="17"/>
        <v>0</v>
      </c>
      <c r="AK71" s="26">
        <f t="shared" ca="1" si="17"/>
        <v>0</v>
      </c>
      <c r="AL71" s="26">
        <f t="shared" ca="1" si="17"/>
        <v>0</v>
      </c>
    </row>
    <row r="72" spans="1:38" ht="21" hidden="1" customHeight="1" outlineLevel="1" thickBot="1" x14ac:dyDescent="0.4">
      <c r="A72" s="8">
        <f t="shared" si="16"/>
        <v>0</v>
      </c>
      <c r="B72" s="8">
        <f t="shared" si="16"/>
        <v>0</v>
      </c>
      <c r="C72" s="8">
        <f t="shared" si="16"/>
        <v>0</v>
      </c>
      <c r="D72" s="8">
        <f t="shared" si="16"/>
        <v>0</v>
      </c>
      <c r="E72" s="9">
        <f t="shared" si="16"/>
        <v>0</v>
      </c>
      <c r="F72" s="26">
        <f t="shared" ca="1" si="18"/>
        <v>0</v>
      </c>
      <c r="G72" s="26">
        <f t="shared" ca="1" si="18"/>
        <v>0</v>
      </c>
      <c r="H72" s="26">
        <f t="shared" ca="1" si="18"/>
        <v>0</v>
      </c>
      <c r="I72" s="26">
        <f t="shared" ca="1" si="18"/>
        <v>0</v>
      </c>
      <c r="J72" s="26">
        <f t="shared" ca="1" si="18"/>
        <v>0</v>
      </c>
      <c r="K72" s="26">
        <f t="shared" ca="1" si="18"/>
        <v>0</v>
      </c>
      <c r="L72" s="26">
        <f t="shared" ca="1" si="18"/>
        <v>0</v>
      </c>
      <c r="M72" s="26">
        <f t="shared" ca="1" si="18"/>
        <v>0</v>
      </c>
      <c r="N72" s="26">
        <f t="shared" ca="1" si="18"/>
        <v>0</v>
      </c>
      <c r="O72" s="26">
        <f t="shared" ca="1" si="18"/>
        <v>0</v>
      </c>
      <c r="P72" s="26">
        <f t="shared" ca="1" si="19"/>
        <v>0</v>
      </c>
      <c r="Q72" s="26">
        <f t="shared" ca="1" si="19"/>
        <v>0</v>
      </c>
      <c r="R72" s="26">
        <f t="shared" ca="1" si="19"/>
        <v>0</v>
      </c>
      <c r="S72" s="26">
        <f t="shared" ca="1" si="19"/>
        <v>0</v>
      </c>
      <c r="T72" s="26">
        <f t="shared" ca="1" si="19"/>
        <v>0</v>
      </c>
      <c r="U72" s="26">
        <f t="shared" ca="1" si="19"/>
        <v>0</v>
      </c>
      <c r="V72" s="26">
        <f t="shared" ca="1" si="19"/>
        <v>0</v>
      </c>
      <c r="W72" s="26">
        <f t="shared" ca="1" si="19"/>
        <v>0</v>
      </c>
      <c r="X72" s="26">
        <f t="shared" ca="1" si="19"/>
        <v>0</v>
      </c>
      <c r="Y72" s="26">
        <f t="shared" ca="1" si="17"/>
        <v>0</v>
      </c>
      <c r="Z72" s="26">
        <f t="shared" ca="1" si="17"/>
        <v>0</v>
      </c>
      <c r="AA72" s="26">
        <f t="shared" ca="1" si="17"/>
        <v>0</v>
      </c>
      <c r="AB72" s="26">
        <f t="shared" ca="1" si="17"/>
        <v>0</v>
      </c>
      <c r="AC72" s="26">
        <f t="shared" ca="1" si="17"/>
        <v>0</v>
      </c>
      <c r="AD72" s="26">
        <f t="shared" ca="1" si="17"/>
        <v>0</v>
      </c>
      <c r="AE72" s="26">
        <f t="shared" ca="1" si="17"/>
        <v>0</v>
      </c>
      <c r="AF72" s="26">
        <f t="shared" ca="1" si="17"/>
        <v>0</v>
      </c>
      <c r="AG72" s="26">
        <f t="shared" ca="1" si="17"/>
        <v>0</v>
      </c>
      <c r="AH72" s="26">
        <f t="shared" ca="1" si="17"/>
        <v>0</v>
      </c>
      <c r="AI72" s="26">
        <f t="shared" ca="1" si="17"/>
        <v>0</v>
      </c>
      <c r="AJ72" s="26">
        <f t="shared" ca="1" si="17"/>
        <v>0</v>
      </c>
      <c r="AK72" s="26">
        <f t="shared" ca="1" si="17"/>
        <v>0</v>
      </c>
      <c r="AL72" s="26">
        <f t="shared" ca="1" si="17"/>
        <v>0</v>
      </c>
    </row>
    <row r="73" spans="1:38" ht="21" hidden="1" customHeight="1" outlineLevel="1" thickBot="1" x14ac:dyDescent="0.4">
      <c r="A73" s="8">
        <f t="shared" si="16"/>
        <v>0</v>
      </c>
      <c r="B73" s="8">
        <f t="shared" si="16"/>
        <v>0</v>
      </c>
      <c r="C73" s="8">
        <f t="shared" si="16"/>
        <v>0</v>
      </c>
      <c r="D73" s="8">
        <f t="shared" si="16"/>
        <v>0</v>
      </c>
      <c r="E73" s="9">
        <f t="shared" si="16"/>
        <v>0</v>
      </c>
      <c r="F73" s="26">
        <f t="shared" ca="1" si="18"/>
        <v>0</v>
      </c>
      <c r="G73" s="26">
        <f t="shared" ca="1" si="18"/>
        <v>0</v>
      </c>
      <c r="H73" s="26">
        <f t="shared" ca="1" si="18"/>
        <v>0</v>
      </c>
      <c r="I73" s="26">
        <f t="shared" ca="1" si="18"/>
        <v>0</v>
      </c>
      <c r="J73" s="26">
        <f t="shared" ca="1" si="18"/>
        <v>0</v>
      </c>
      <c r="K73" s="26">
        <f t="shared" ca="1" si="18"/>
        <v>0</v>
      </c>
      <c r="L73" s="26">
        <f t="shared" ca="1" si="18"/>
        <v>0</v>
      </c>
      <c r="M73" s="26">
        <f t="shared" ca="1" si="18"/>
        <v>0</v>
      </c>
      <c r="N73" s="26">
        <f t="shared" ca="1" si="18"/>
        <v>0</v>
      </c>
      <c r="O73" s="26">
        <f t="shared" ca="1" si="18"/>
        <v>0</v>
      </c>
      <c r="P73" s="26">
        <f t="shared" ca="1" si="19"/>
        <v>0</v>
      </c>
      <c r="Q73" s="26">
        <f t="shared" ca="1" si="19"/>
        <v>0</v>
      </c>
      <c r="R73" s="26">
        <f t="shared" ca="1" si="19"/>
        <v>0</v>
      </c>
      <c r="S73" s="26">
        <f t="shared" ca="1" si="19"/>
        <v>0</v>
      </c>
      <c r="T73" s="26">
        <f t="shared" ca="1" si="19"/>
        <v>0</v>
      </c>
      <c r="U73" s="26">
        <f t="shared" ca="1" si="19"/>
        <v>0</v>
      </c>
      <c r="V73" s="26">
        <f t="shared" ca="1" si="19"/>
        <v>0</v>
      </c>
      <c r="W73" s="26">
        <f t="shared" ca="1" si="19"/>
        <v>0</v>
      </c>
      <c r="X73" s="26">
        <f t="shared" ca="1" si="19"/>
        <v>0</v>
      </c>
      <c r="Y73" s="26">
        <f t="shared" ca="1" si="17"/>
        <v>0</v>
      </c>
      <c r="Z73" s="26">
        <f t="shared" ca="1" si="17"/>
        <v>0</v>
      </c>
      <c r="AA73" s="26">
        <f t="shared" ca="1" si="17"/>
        <v>0</v>
      </c>
      <c r="AB73" s="26">
        <f t="shared" ca="1" si="17"/>
        <v>0</v>
      </c>
      <c r="AC73" s="26">
        <f t="shared" ca="1" si="17"/>
        <v>0</v>
      </c>
      <c r="AD73" s="26">
        <f t="shared" ca="1" si="17"/>
        <v>0</v>
      </c>
      <c r="AE73" s="26">
        <f t="shared" ca="1" si="17"/>
        <v>0</v>
      </c>
      <c r="AF73" s="26">
        <f t="shared" ca="1" si="17"/>
        <v>0</v>
      </c>
      <c r="AG73" s="26">
        <f t="shared" ca="1" si="17"/>
        <v>0</v>
      </c>
      <c r="AH73" s="26">
        <f t="shared" ca="1" si="17"/>
        <v>0</v>
      </c>
      <c r="AI73" s="26">
        <f t="shared" ca="1" si="17"/>
        <v>0</v>
      </c>
      <c r="AJ73" s="26">
        <f t="shared" ca="1" si="17"/>
        <v>0</v>
      </c>
      <c r="AK73" s="26">
        <f t="shared" ca="1" si="17"/>
        <v>0</v>
      </c>
      <c r="AL73" s="26">
        <f t="shared" ca="1" si="17"/>
        <v>0</v>
      </c>
    </row>
    <row r="74" spans="1:38" ht="21" hidden="1" customHeight="1" outlineLevel="1" thickBot="1" x14ac:dyDescent="0.4">
      <c r="A74" s="8">
        <f t="shared" si="16"/>
        <v>0</v>
      </c>
      <c r="B74" s="8">
        <f t="shared" si="16"/>
        <v>0</v>
      </c>
      <c r="C74" s="8">
        <f t="shared" si="16"/>
        <v>0</v>
      </c>
      <c r="D74" s="8">
        <f t="shared" si="16"/>
        <v>0</v>
      </c>
      <c r="E74" s="9">
        <f t="shared" si="16"/>
        <v>0</v>
      </c>
      <c r="F74" s="26">
        <f t="shared" ca="1" si="18"/>
        <v>0</v>
      </c>
      <c r="G74" s="26">
        <f t="shared" ca="1" si="18"/>
        <v>0</v>
      </c>
      <c r="H74" s="26">
        <f t="shared" ca="1" si="18"/>
        <v>0</v>
      </c>
      <c r="I74" s="26">
        <f t="shared" ca="1" si="18"/>
        <v>0</v>
      </c>
      <c r="J74" s="26">
        <f t="shared" ca="1" si="18"/>
        <v>0</v>
      </c>
      <c r="K74" s="26">
        <f t="shared" ca="1" si="18"/>
        <v>0</v>
      </c>
      <c r="L74" s="26">
        <f t="shared" ca="1" si="18"/>
        <v>0</v>
      </c>
      <c r="M74" s="26">
        <f t="shared" ca="1" si="18"/>
        <v>0</v>
      </c>
      <c r="N74" s="26">
        <f t="shared" ca="1" si="18"/>
        <v>0</v>
      </c>
      <c r="O74" s="26">
        <f t="shared" ca="1" si="18"/>
        <v>0</v>
      </c>
      <c r="P74" s="26">
        <f t="shared" ca="1" si="19"/>
        <v>0</v>
      </c>
      <c r="Q74" s="26">
        <f t="shared" ca="1" si="19"/>
        <v>0</v>
      </c>
      <c r="R74" s="26">
        <f t="shared" ca="1" si="19"/>
        <v>0</v>
      </c>
      <c r="S74" s="26">
        <f t="shared" ca="1" si="19"/>
        <v>0</v>
      </c>
      <c r="T74" s="26">
        <f t="shared" ca="1" si="19"/>
        <v>0</v>
      </c>
      <c r="U74" s="26">
        <f t="shared" ca="1" si="19"/>
        <v>0</v>
      </c>
      <c r="V74" s="26">
        <f t="shared" ca="1" si="19"/>
        <v>0</v>
      </c>
      <c r="W74" s="26">
        <f t="shared" ca="1" si="19"/>
        <v>0</v>
      </c>
      <c r="X74" s="26">
        <f t="shared" ca="1" si="19"/>
        <v>0</v>
      </c>
      <c r="Y74" s="26">
        <f t="shared" ca="1" si="17"/>
        <v>0</v>
      </c>
      <c r="Z74" s="26">
        <f t="shared" ca="1" si="17"/>
        <v>0</v>
      </c>
      <c r="AA74" s="26">
        <f t="shared" ca="1" si="17"/>
        <v>0</v>
      </c>
      <c r="AB74" s="26">
        <f t="shared" ca="1" si="17"/>
        <v>0</v>
      </c>
      <c r="AC74" s="26">
        <f t="shared" ca="1" si="17"/>
        <v>0</v>
      </c>
      <c r="AD74" s="26">
        <f t="shared" ca="1" si="17"/>
        <v>0</v>
      </c>
      <c r="AE74" s="26">
        <f t="shared" ca="1" si="17"/>
        <v>0</v>
      </c>
      <c r="AF74" s="26">
        <f t="shared" ca="1" si="17"/>
        <v>0</v>
      </c>
      <c r="AG74" s="26">
        <f t="shared" ca="1" si="17"/>
        <v>0</v>
      </c>
      <c r="AH74" s="26">
        <f t="shared" ca="1" si="17"/>
        <v>0</v>
      </c>
      <c r="AI74" s="26">
        <f t="shared" ca="1" si="17"/>
        <v>0</v>
      </c>
      <c r="AJ74" s="26">
        <f t="shared" ca="1" si="17"/>
        <v>0</v>
      </c>
      <c r="AK74" s="26">
        <f t="shared" ca="1" si="17"/>
        <v>0</v>
      </c>
      <c r="AL74" s="26">
        <f t="shared" ca="1" si="17"/>
        <v>0</v>
      </c>
    </row>
    <row r="75" spans="1:38" ht="21" hidden="1" customHeight="1" outlineLevel="1" thickBot="1" x14ac:dyDescent="0.4">
      <c r="A75" s="8">
        <f t="shared" si="16"/>
        <v>0</v>
      </c>
      <c r="B75" s="8">
        <f t="shared" si="16"/>
        <v>0</v>
      </c>
      <c r="C75" s="8">
        <f t="shared" si="16"/>
        <v>0</v>
      </c>
      <c r="D75" s="8">
        <f t="shared" si="16"/>
        <v>0</v>
      </c>
      <c r="E75" s="9">
        <f t="shared" si="16"/>
        <v>0</v>
      </c>
      <c r="F75" s="26">
        <f t="shared" ca="1" si="18"/>
        <v>0</v>
      </c>
      <c r="G75" s="26">
        <f t="shared" ca="1" si="18"/>
        <v>0</v>
      </c>
      <c r="H75" s="26">
        <f t="shared" ca="1" si="18"/>
        <v>0</v>
      </c>
      <c r="I75" s="26">
        <f t="shared" ca="1" si="18"/>
        <v>0</v>
      </c>
      <c r="J75" s="26">
        <f t="shared" ca="1" si="18"/>
        <v>0</v>
      </c>
      <c r="K75" s="26">
        <f t="shared" ca="1" si="18"/>
        <v>0</v>
      </c>
      <c r="L75" s="26">
        <f t="shared" ca="1" si="18"/>
        <v>0</v>
      </c>
      <c r="M75" s="26">
        <f t="shared" ca="1" si="18"/>
        <v>0</v>
      </c>
      <c r="N75" s="26">
        <f t="shared" ca="1" si="18"/>
        <v>0</v>
      </c>
      <c r="O75" s="26">
        <f t="shared" ca="1" si="18"/>
        <v>0</v>
      </c>
      <c r="P75" s="26">
        <f t="shared" ca="1" si="19"/>
        <v>0</v>
      </c>
      <c r="Q75" s="26">
        <f t="shared" ca="1" si="19"/>
        <v>0</v>
      </c>
      <c r="R75" s="26">
        <f t="shared" ca="1" si="19"/>
        <v>0</v>
      </c>
      <c r="S75" s="26">
        <f t="shared" ca="1" si="19"/>
        <v>0</v>
      </c>
      <c r="T75" s="26">
        <f t="shared" ca="1" si="19"/>
        <v>0</v>
      </c>
      <c r="U75" s="26">
        <f t="shared" ca="1" si="19"/>
        <v>0</v>
      </c>
      <c r="V75" s="26">
        <f t="shared" ca="1" si="19"/>
        <v>0</v>
      </c>
      <c r="W75" s="26">
        <f t="shared" ca="1" si="19"/>
        <v>0</v>
      </c>
      <c r="X75" s="26">
        <f t="shared" ca="1" si="19"/>
        <v>0</v>
      </c>
      <c r="Y75" s="26">
        <f t="shared" ca="1" si="17"/>
        <v>0</v>
      </c>
      <c r="Z75" s="26">
        <f t="shared" ca="1" si="17"/>
        <v>0</v>
      </c>
      <c r="AA75" s="26">
        <f t="shared" ca="1" si="17"/>
        <v>0</v>
      </c>
      <c r="AB75" s="26">
        <f t="shared" ca="1" si="17"/>
        <v>0</v>
      </c>
      <c r="AC75" s="26">
        <f t="shared" ca="1" si="17"/>
        <v>0</v>
      </c>
      <c r="AD75" s="26">
        <f t="shared" ca="1" si="17"/>
        <v>0</v>
      </c>
      <c r="AE75" s="26">
        <f t="shared" ca="1" si="17"/>
        <v>0</v>
      </c>
      <c r="AF75" s="26">
        <f t="shared" ca="1" si="17"/>
        <v>0</v>
      </c>
      <c r="AG75" s="26">
        <f t="shared" ca="1" si="17"/>
        <v>0</v>
      </c>
      <c r="AH75" s="26">
        <f t="shared" ca="1" si="17"/>
        <v>0</v>
      </c>
      <c r="AI75" s="26">
        <f t="shared" ca="1" si="17"/>
        <v>0</v>
      </c>
      <c r="AJ75" s="26">
        <f t="shared" ca="1" si="17"/>
        <v>0</v>
      </c>
      <c r="AK75" s="26">
        <f t="shared" ca="1" si="17"/>
        <v>0</v>
      </c>
      <c r="AL75" s="26">
        <f t="shared" ca="1" si="17"/>
        <v>0</v>
      </c>
    </row>
    <row r="76" spans="1:38" ht="21" hidden="1" customHeight="1" outlineLevel="1" thickBot="1" x14ac:dyDescent="0.4">
      <c r="A76" s="8">
        <f t="shared" si="16"/>
        <v>0</v>
      </c>
      <c r="B76" s="8">
        <f t="shared" si="16"/>
        <v>0</v>
      </c>
      <c r="C76" s="8">
        <f t="shared" si="16"/>
        <v>0</v>
      </c>
      <c r="D76" s="8">
        <f t="shared" si="16"/>
        <v>0</v>
      </c>
      <c r="E76" s="9">
        <f t="shared" si="16"/>
        <v>0</v>
      </c>
      <c r="F76" s="26">
        <f t="shared" ca="1" si="18"/>
        <v>0</v>
      </c>
      <c r="G76" s="26">
        <f t="shared" ca="1" si="18"/>
        <v>0</v>
      </c>
      <c r="H76" s="26">
        <f t="shared" ca="1" si="18"/>
        <v>0</v>
      </c>
      <c r="I76" s="26">
        <f t="shared" ca="1" si="18"/>
        <v>0</v>
      </c>
      <c r="J76" s="26">
        <f t="shared" ca="1" si="18"/>
        <v>0</v>
      </c>
      <c r="K76" s="26">
        <f t="shared" ca="1" si="18"/>
        <v>0</v>
      </c>
      <c r="L76" s="26">
        <f t="shared" ca="1" si="18"/>
        <v>0</v>
      </c>
      <c r="M76" s="26">
        <f t="shared" ca="1" si="18"/>
        <v>0</v>
      </c>
      <c r="N76" s="26">
        <f t="shared" ca="1" si="18"/>
        <v>0</v>
      </c>
      <c r="O76" s="26">
        <f t="shared" ca="1" si="18"/>
        <v>0</v>
      </c>
      <c r="P76" s="26">
        <f t="shared" ca="1" si="19"/>
        <v>0</v>
      </c>
      <c r="Q76" s="26">
        <f t="shared" ca="1" si="19"/>
        <v>0</v>
      </c>
      <c r="R76" s="26">
        <f t="shared" ca="1" si="19"/>
        <v>0</v>
      </c>
      <c r="S76" s="26">
        <f t="shared" ca="1" si="19"/>
        <v>0</v>
      </c>
      <c r="T76" s="26">
        <f t="shared" ca="1" si="19"/>
        <v>0</v>
      </c>
      <c r="U76" s="26">
        <f t="shared" ca="1" si="19"/>
        <v>0</v>
      </c>
      <c r="V76" s="26">
        <f t="shared" ca="1" si="19"/>
        <v>0</v>
      </c>
      <c r="W76" s="26">
        <f t="shared" ca="1" si="19"/>
        <v>0</v>
      </c>
      <c r="X76" s="26">
        <f t="shared" ca="1" si="19"/>
        <v>0</v>
      </c>
      <c r="Y76" s="26">
        <f t="shared" ca="1" si="17"/>
        <v>0</v>
      </c>
      <c r="Z76" s="26">
        <f t="shared" ca="1" si="17"/>
        <v>0</v>
      </c>
      <c r="AA76" s="26">
        <f t="shared" ca="1" si="17"/>
        <v>0</v>
      </c>
      <c r="AB76" s="26">
        <f t="shared" ca="1" si="17"/>
        <v>0</v>
      </c>
      <c r="AC76" s="26">
        <f t="shared" ca="1" si="17"/>
        <v>0</v>
      </c>
      <c r="AD76" s="26">
        <f t="shared" ca="1" si="17"/>
        <v>0</v>
      </c>
      <c r="AE76" s="26">
        <f t="shared" ca="1" si="17"/>
        <v>0</v>
      </c>
      <c r="AF76" s="26">
        <f t="shared" ca="1" si="17"/>
        <v>0</v>
      </c>
      <c r="AG76" s="26">
        <f t="shared" ca="1" si="17"/>
        <v>0</v>
      </c>
      <c r="AH76" s="26">
        <f t="shared" ca="1" si="17"/>
        <v>0</v>
      </c>
      <c r="AI76" s="26">
        <f t="shared" ca="1" si="17"/>
        <v>0</v>
      </c>
      <c r="AJ76" s="26">
        <f t="shared" ca="1" si="17"/>
        <v>0</v>
      </c>
      <c r="AK76" s="26">
        <f t="shared" ca="1" si="17"/>
        <v>0</v>
      </c>
      <c r="AL76" s="26">
        <f t="shared" ca="1" si="17"/>
        <v>0</v>
      </c>
    </row>
    <row r="77" spans="1:38" ht="21" hidden="1" customHeight="1" outlineLevel="1" thickBot="1" x14ac:dyDescent="0.4">
      <c r="A77" s="8">
        <f t="shared" si="16"/>
        <v>0</v>
      </c>
      <c r="B77" s="8">
        <f t="shared" si="16"/>
        <v>0</v>
      </c>
      <c r="C77" s="8">
        <f t="shared" si="16"/>
        <v>0</v>
      </c>
      <c r="D77" s="8">
        <f t="shared" si="16"/>
        <v>0</v>
      </c>
      <c r="E77" s="9">
        <f t="shared" si="16"/>
        <v>0</v>
      </c>
      <c r="F77" s="26">
        <f t="shared" ca="1" si="18"/>
        <v>0</v>
      </c>
      <c r="G77" s="26">
        <f t="shared" ca="1" si="18"/>
        <v>0</v>
      </c>
      <c r="H77" s="26">
        <f t="shared" ca="1" si="18"/>
        <v>0</v>
      </c>
      <c r="I77" s="26">
        <f t="shared" ca="1" si="18"/>
        <v>0</v>
      </c>
      <c r="J77" s="26">
        <f t="shared" ca="1" si="18"/>
        <v>0</v>
      </c>
      <c r="K77" s="26">
        <f t="shared" ca="1" si="18"/>
        <v>0</v>
      </c>
      <c r="L77" s="26">
        <f t="shared" ca="1" si="18"/>
        <v>0</v>
      </c>
      <c r="M77" s="26">
        <f t="shared" ca="1" si="18"/>
        <v>0</v>
      </c>
      <c r="N77" s="26">
        <f t="shared" ca="1" si="18"/>
        <v>0</v>
      </c>
      <c r="O77" s="26">
        <f t="shared" ca="1" si="18"/>
        <v>0</v>
      </c>
      <c r="P77" s="26">
        <f t="shared" ca="1" si="19"/>
        <v>0</v>
      </c>
      <c r="Q77" s="26">
        <f t="shared" ca="1" si="19"/>
        <v>0</v>
      </c>
      <c r="R77" s="26">
        <f t="shared" ca="1" si="19"/>
        <v>0</v>
      </c>
      <c r="S77" s="26">
        <f t="shared" ca="1" si="19"/>
        <v>0</v>
      </c>
      <c r="T77" s="26">
        <f t="shared" ca="1" si="19"/>
        <v>0</v>
      </c>
      <c r="U77" s="26">
        <f t="shared" ca="1" si="19"/>
        <v>0</v>
      </c>
      <c r="V77" s="26">
        <f t="shared" ca="1" si="19"/>
        <v>0</v>
      </c>
      <c r="W77" s="26">
        <f t="shared" ca="1" si="19"/>
        <v>0</v>
      </c>
      <c r="X77" s="26">
        <f t="shared" ca="1" si="19"/>
        <v>0</v>
      </c>
      <c r="Y77" s="26">
        <f t="shared" ca="1" si="17"/>
        <v>0</v>
      </c>
      <c r="Z77" s="26">
        <f t="shared" ca="1" si="17"/>
        <v>0</v>
      </c>
      <c r="AA77" s="26">
        <f t="shared" ca="1" si="17"/>
        <v>0</v>
      </c>
      <c r="AB77" s="26">
        <f t="shared" ca="1" si="17"/>
        <v>0</v>
      </c>
      <c r="AC77" s="26">
        <f t="shared" ca="1" si="17"/>
        <v>0</v>
      </c>
      <c r="AD77" s="26">
        <f t="shared" ca="1" si="17"/>
        <v>0</v>
      </c>
      <c r="AE77" s="26">
        <f t="shared" ca="1" si="17"/>
        <v>0</v>
      </c>
      <c r="AF77" s="26">
        <f t="shared" ca="1" si="17"/>
        <v>0</v>
      </c>
      <c r="AG77" s="26">
        <f t="shared" ca="1" si="17"/>
        <v>0</v>
      </c>
      <c r="AH77" s="26">
        <f t="shared" ca="1" si="17"/>
        <v>0</v>
      </c>
      <c r="AI77" s="26">
        <f t="shared" ca="1" si="17"/>
        <v>0</v>
      </c>
      <c r="AJ77" s="26">
        <f t="shared" ca="1" si="17"/>
        <v>0</v>
      </c>
      <c r="AK77" s="26">
        <f t="shared" ca="1" si="17"/>
        <v>0</v>
      </c>
      <c r="AL77" s="26">
        <f t="shared" ca="1" si="17"/>
        <v>0</v>
      </c>
    </row>
    <row r="78" spans="1:38" ht="21" hidden="1" customHeight="1" outlineLevel="1" thickBot="1" x14ac:dyDescent="0.4">
      <c r="A78" s="8">
        <f t="shared" si="16"/>
        <v>0</v>
      </c>
      <c r="B78" s="8">
        <f t="shared" si="16"/>
        <v>0</v>
      </c>
      <c r="C78" s="8">
        <f t="shared" si="16"/>
        <v>0</v>
      </c>
      <c r="D78" s="8">
        <f t="shared" si="16"/>
        <v>0</v>
      </c>
      <c r="E78" s="9">
        <f t="shared" si="16"/>
        <v>0</v>
      </c>
      <c r="F78" s="26">
        <f t="shared" ca="1" si="18"/>
        <v>0</v>
      </c>
      <c r="G78" s="26">
        <f t="shared" ca="1" si="18"/>
        <v>0</v>
      </c>
      <c r="H78" s="26">
        <f t="shared" ca="1" si="18"/>
        <v>0</v>
      </c>
      <c r="I78" s="26">
        <f t="shared" ca="1" si="18"/>
        <v>0</v>
      </c>
      <c r="J78" s="26">
        <f t="shared" ca="1" si="18"/>
        <v>0</v>
      </c>
      <c r="K78" s="26">
        <f t="shared" ca="1" si="18"/>
        <v>0</v>
      </c>
      <c r="L78" s="26">
        <f t="shared" ca="1" si="18"/>
        <v>0</v>
      </c>
      <c r="M78" s="26">
        <f t="shared" ca="1" si="18"/>
        <v>0</v>
      </c>
      <c r="N78" s="26">
        <f t="shared" ca="1" si="18"/>
        <v>0</v>
      </c>
      <c r="O78" s="26">
        <f t="shared" ca="1" si="18"/>
        <v>0</v>
      </c>
      <c r="P78" s="26">
        <f t="shared" ca="1" si="19"/>
        <v>0</v>
      </c>
      <c r="Q78" s="26">
        <f t="shared" ca="1" si="19"/>
        <v>0</v>
      </c>
      <c r="R78" s="26">
        <f t="shared" ca="1" si="19"/>
        <v>0</v>
      </c>
      <c r="S78" s="26">
        <f t="shared" ca="1" si="19"/>
        <v>0</v>
      </c>
      <c r="T78" s="26">
        <f t="shared" ca="1" si="19"/>
        <v>0</v>
      </c>
      <c r="U78" s="26">
        <f t="shared" ca="1" si="19"/>
        <v>0</v>
      </c>
      <c r="V78" s="26">
        <f t="shared" ca="1" si="19"/>
        <v>0</v>
      </c>
      <c r="W78" s="26">
        <f t="shared" ca="1" si="19"/>
        <v>0</v>
      </c>
      <c r="X78" s="26">
        <f t="shared" ca="1" si="19"/>
        <v>0</v>
      </c>
      <c r="Y78" s="26">
        <f t="shared" ca="1" si="17"/>
        <v>0</v>
      </c>
      <c r="Z78" s="26">
        <f t="shared" ca="1" si="17"/>
        <v>0</v>
      </c>
      <c r="AA78" s="26">
        <f t="shared" ca="1" si="17"/>
        <v>0</v>
      </c>
      <c r="AB78" s="26">
        <f t="shared" ca="1" si="17"/>
        <v>0</v>
      </c>
      <c r="AC78" s="26">
        <f t="shared" ca="1" si="17"/>
        <v>0</v>
      </c>
      <c r="AD78" s="26">
        <f t="shared" ca="1" si="17"/>
        <v>0</v>
      </c>
      <c r="AE78" s="26">
        <f t="shared" ca="1" si="17"/>
        <v>0</v>
      </c>
      <c r="AF78" s="26">
        <f t="shared" ca="1" si="17"/>
        <v>0</v>
      </c>
      <c r="AG78" s="26">
        <f t="shared" ca="1" si="17"/>
        <v>0</v>
      </c>
      <c r="AH78" s="26">
        <f t="shared" ca="1" si="17"/>
        <v>0</v>
      </c>
      <c r="AI78" s="26">
        <f t="shared" ca="1" si="17"/>
        <v>0</v>
      </c>
      <c r="AJ78" s="26">
        <f t="shared" ca="1" si="17"/>
        <v>0</v>
      </c>
      <c r="AK78" s="26">
        <f t="shared" ca="1" si="17"/>
        <v>0</v>
      </c>
      <c r="AL78" s="26">
        <f t="shared" ca="1" si="17"/>
        <v>0</v>
      </c>
    </row>
    <row r="79" spans="1:38" ht="21" hidden="1" customHeight="1" outlineLevel="1" thickBot="1" x14ac:dyDescent="0.4">
      <c r="A79" s="8">
        <f t="shared" si="16"/>
        <v>0</v>
      </c>
      <c r="B79" s="8">
        <f t="shared" si="16"/>
        <v>0</v>
      </c>
      <c r="C79" s="8">
        <f t="shared" si="16"/>
        <v>0</v>
      </c>
      <c r="D79" s="8">
        <f t="shared" si="16"/>
        <v>0</v>
      </c>
      <c r="E79" s="9">
        <f t="shared" si="16"/>
        <v>1</v>
      </c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</row>
    <row r="80" spans="1:38" ht="21" hidden="1" customHeight="1" outlineLevel="1" x14ac:dyDescent="0.35"/>
    <row r="81" spans="1:38" ht="21" customHeight="1" collapsed="1" thickBot="1" x14ac:dyDescent="0.4">
      <c r="W81" s="21"/>
    </row>
    <row r="82" spans="1:38" ht="21" customHeight="1" thickBot="1" x14ac:dyDescent="0.45">
      <c r="A82" s="26"/>
      <c r="B82" s="26"/>
      <c r="C82" s="38">
        <f>E41</f>
        <v>8.3333333333333339</v>
      </c>
      <c r="D82" s="1"/>
      <c r="E82" s="2" t="s">
        <v>31</v>
      </c>
      <c r="F82" s="3"/>
      <c r="G82" s="2"/>
      <c r="H82" s="2"/>
      <c r="I82" s="2"/>
      <c r="J82" s="2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</row>
    <row r="83" spans="1:38" ht="21" hidden="1" customHeight="1" outlineLevel="1" thickTop="1" thickBot="1" x14ac:dyDescent="0.4">
      <c r="A83" s="24" t="s">
        <v>1</v>
      </c>
      <c r="B83" s="5" t="s">
        <v>2</v>
      </c>
      <c r="C83" s="5" t="s">
        <v>3</v>
      </c>
      <c r="D83" s="25" t="s">
        <v>4</v>
      </c>
      <c r="E83" s="6">
        <f t="shared" ref="E83:E113" si="20">E49</f>
        <v>0</v>
      </c>
      <c r="F83" s="6">
        <f t="shared" ref="F83:AL83" si="21">F3</f>
        <v>298.2</v>
      </c>
      <c r="G83" s="6">
        <f t="shared" si="21"/>
        <v>431.7</v>
      </c>
      <c r="H83" s="6">
        <f t="shared" si="21"/>
        <v>465.1</v>
      </c>
      <c r="I83" s="6">
        <f t="shared" si="21"/>
        <v>498.5</v>
      </c>
      <c r="J83" s="6">
        <f t="shared" si="21"/>
        <v>531.79999999999995</v>
      </c>
      <c r="K83" s="6">
        <f t="shared" si="21"/>
        <v>565.20000000000005</v>
      </c>
      <c r="L83" s="6">
        <f t="shared" si="21"/>
        <v>698.8</v>
      </c>
      <c r="M83" s="6">
        <f t="shared" si="21"/>
        <v>732.2</v>
      </c>
      <c r="N83" s="6">
        <f t="shared" si="21"/>
        <v>765.5</v>
      </c>
      <c r="O83" s="6">
        <f t="shared" si="21"/>
        <v>798.9</v>
      </c>
      <c r="P83" s="6">
        <f t="shared" si="21"/>
        <v>832.3</v>
      </c>
      <c r="Q83" s="6">
        <f t="shared" si="21"/>
        <v>965.8</v>
      </c>
      <c r="R83" s="6">
        <f t="shared" si="21"/>
        <v>999.2</v>
      </c>
      <c r="S83" s="6">
        <f t="shared" si="21"/>
        <v>1033</v>
      </c>
      <c r="T83" s="6">
        <f t="shared" si="21"/>
        <v>1066</v>
      </c>
      <c r="U83" s="6">
        <f t="shared" si="21"/>
        <v>1099</v>
      </c>
      <c r="V83" s="6">
        <f t="shared" si="21"/>
        <v>1233</v>
      </c>
      <c r="W83" s="6">
        <f t="shared" si="21"/>
        <v>1366</v>
      </c>
      <c r="X83" s="6">
        <f t="shared" si="21"/>
        <v>1500</v>
      </c>
      <c r="Y83" s="6">
        <f t="shared" si="21"/>
        <v>0</v>
      </c>
      <c r="Z83" s="6">
        <f t="shared" si="21"/>
        <v>0</v>
      </c>
      <c r="AA83" s="6">
        <f t="shared" si="21"/>
        <v>0</v>
      </c>
      <c r="AB83" s="6">
        <f t="shared" si="21"/>
        <v>0</v>
      </c>
      <c r="AC83" s="6">
        <f t="shared" si="21"/>
        <v>0</v>
      </c>
      <c r="AD83" s="6">
        <f t="shared" si="21"/>
        <v>0</v>
      </c>
      <c r="AE83" s="6">
        <f t="shared" si="21"/>
        <v>0</v>
      </c>
      <c r="AF83" s="6">
        <f t="shared" si="21"/>
        <v>0</v>
      </c>
      <c r="AG83" s="6">
        <f t="shared" si="21"/>
        <v>0</v>
      </c>
      <c r="AH83" s="6">
        <f t="shared" si="21"/>
        <v>0</v>
      </c>
      <c r="AI83" s="6">
        <f t="shared" si="21"/>
        <v>0</v>
      </c>
      <c r="AJ83" s="6">
        <f t="shared" si="21"/>
        <v>0</v>
      </c>
      <c r="AK83" s="6">
        <f t="shared" si="21"/>
        <v>0</v>
      </c>
      <c r="AL83" s="6">
        <f t="shared" si="21"/>
        <v>0</v>
      </c>
    </row>
    <row r="84" spans="1:38" ht="21" hidden="1" customHeight="1" outlineLevel="1" thickTop="1" thickBot="1" x14ac:dyDescent="0.4">
      <c r="A84" s="8">
        <f>A50</f>
        <v>0</v>
      </c>
      <c r="B84" s="8">
        <f t="shared" ref="B84:D84" si="22">B50</f>
        <v>3</v>
      </c>
      <c r="C84" s="8">
        <f t="shared" si="22"/>
        <v>0</v>
      </c>
      <c r="D84" s="8">
        <f t="shared" si="22"/>
        <v>0</v>
      </c>
      <c r="E84" s="9" t="str">
        <f t="shared" si="20"/>
        <v>Se3</v>
      </c>
      <c r="F84" s="26">
        <f t="shared" ref="F84:AL91" si="23">F4*$C$82</f>
        <v>1.0880000000000002E-21</v>
      </c>
      <c r="G84" s="26">
        <f t="shared" si="23"/>
        <v>7.0588333333333336E-13</v>
      </c>
      <c r="H84" s="26">
        <f t="shared" si="23"/>
        <v>1.6442500000000002E-11</v>
      </c>
      <c r="I84" s="26">
        <f t="shared" si="23"/>
        <v>2.4471666666666672E-10</v>
      </c>
      <c r="J84" s="26">
        <f t="shared" si="23"/>
        <v>2.5568333333333334E-9</v>
      </c>
      <c r="K84" s="26">
        <f t="shared" si="23"/>
        <v>2.0269166666666669E-8</v>
      </c>
      <c r="L84" s="26">
        <f t="shared" si="23"/>
        <v>1.3811666666666667E-5</v>
      </c>
      <c r="M84" s="26">
        <f t="shared" si="23"/>
        <v>4.837166666666667E-5</v>
      </c>
      <c r="N84" s="26">
        <f t="shared" si="23"/>
        <v>1.47575E-4</v>
      </c>
      <c r="O84" s="26">
        <f t="shared" si="23"/>
        <v>3.9853333333333339E-4</v>
      </c>
      <c r="P84" s="26">
        <f t="shared" si="23"/>
        <v>9.6625000000000009E-4</v>
      </c>
      <c r="Q84" s="26">
        <f t="shared" si="23"/>
        <v>1.1886666666666667E-2</v>
      </c>
      <c r="R84" s="26">
        <f t="shared" si="23"/>
        <v>1.6613333333333334E-2</v>
      </c>
      <c r="S84" s="26">
        <f t="shared" si="23"/>
        <v>2.0700000000000003E-2</v>
      </c>
      <c r="T84" s="26">
        <f t="shared" si="23"/>
        <v>2.315416666666667E-2</v>
      </c>
      <c r="U84" s="26">
        <f t="shared" si="23"/>
        <v>2.3975833333333335E-2</v>
      </c>
      <c r="V84" s="26">
        <f t="shared" si="23"/>
        <v>1.9525833333333333E-2</v>
      </c>
      <c r="W84" s="26">
        <f t="shared" si="23"/>
        <v>1.4225833333333335E-2</v>
      </c>
      <c r="X84" s="26">
        <f t="shared" si="23"/>
        <v>1.0615833333333333E-2</v>
      </c>
      <c r="Y84" s="26">
        <f t="shared" si="23"/>
        <v>0</v>
      </c>
      <c r="Z84" s="26">
        <f t="shared" si="23"/>
        <v>0</v>
      </c>
      <c r="AA84" s="26">
        <f t="shared" si="23"/>
        <v>0</v>
      </c>
      <c r="AB84" s="26">
        <f t="shared" si="23"/>
        <v>0</v>
      </c>
      <c r="AC84" s="26">
        <f t="shared" si="23"/>
        <v>0</v>
      </c>
      <c r="AD84" s="26">
        <f t="shared" si="23"/>
        <v>0</v>
      </c>
      <c r="AE84" s="26">
        <f t="shared" si="23"/>
        <v>0</v>
      </c>
      <c r="AF84" s="26">
        <f t="shared" si="23"/>
        <v>0</v>
      </c>
      <c r="AG84" s="26">
        <f t="shared" si="23"/>
        <v>0</v>
      </c>
      <c r="AH84" s="26">
        <f t="shared" si="23"/>
        <v>0</v>
      </c>
      <c r="AI84" s="26">
        <f t="shared" si="23"/>
        <v>0</v>
      </c>
      <c r="AJ84" s="26">
        <f t="shared" si="23"/>
        <v>0</v>
      </c>
      <c r="AK84" s="26">
        <f t="shared" si="23"/>
        <v>0</v>
      </c>
      <c r="AL84" s="26">
        <f t="shared" si="23"/>
        <v>0</v>
      </c>
    </row>
    <row r="85" spans="1:38" ht="21" hidden="1" customHeight="1" outlineLevel="1" thickBot="1" x14ac:dyDescent="0.4">
      <c r="A85" s="8">
        <f t="shared" ref="A85:D100" si="24">A51</f>
        <v>0</v>
      </c>
      <c r="B85" s="8">
        <f t="shared" si="24"/>
        <v>4</v>
      </c>
      <c r="C85" s="8">
        <f t="shared" si="24"/>
        <v>0</v>
      </c>
      <c r="D85" s="8">
        <f t="shared" si="24"/>
        <v>0</v>
      </c>
      <c r="E85" s="9" t="str">
        <f t="shared" si="20"/>
        <v>Se4</v>
      </c>
      <c r="F85" s="26">
        <f t="shared" si="23"/>
        <v>6.3649166666666667E-20</v>
      </c>
      <c r="G85" s="26">
        <f t="shared" si="23"/>
        <v>4.9091666666666669E-12</v>
      </c>
      <c r="H85" s="26">
        <f t="shared" si="23"/>
        <v>7.9174166666666677E-11</v>
      </c>
      <c r="I85" s="26">
        <f t="shared" si="23"/>
        <v>8.5150000000000011E-10</v>
      </c>
      <c r="J85" s="26">
        <f t="shared" si="23"/>
        <v>6.6678333333333334E-9</v>
      </c>
      <c r="K85" s="26">
        <f t="shared" si="23"/>
        <v>4.0946666666666673E-8</v>
      </c>
      <c r="L85" s="26">
        <f t="shared" si="23"/>
        <v>1.3351666666666668E-5</v>
      </c>
      <c r="M85" s="26">
        <f t="shared" si="23"/>
        <v>4.0566666666666666E-5</v>
      </c>
      <c r="N85" s="26">
        <f t="shared" si="23"/>
        <v>1.0798333333333335E-4</v>
      </c>
      <c r="O85" s="26">
        <f t="shared" si="23"/>
        <v>2.5526666666666667E-4</v>
      </c>
      <c r="P85" s="26">
        <f t="shared" si="23"/>
        <v>5.4226666666666676E-4</v>
      </c>
      <c r="Q85" s="26">
        <f t="shared" si="23"/>
        <v>3.6450833333333335E-3</v>
      </c>
      <c r="R85" s="26">
        <f t="shared" si="23"/>
        <v>4.2002500000000009E-3</v>
      </c>
      <c r="S85" s="26">
        <f t="shared" si="23"/>
        <v>4.2420000000000001E-3</v>
      </c>
      <c r="T85" s="26">
        <f t="shared" si="23"/>
        <v>3.7907500000000003E-3</v>
      </c>
      <c r="U85" s="26">
        <f t="shared" si="23"/>
        <v>3.1166666666666669E-3</v>
      </c>
      <c r="V85" s="26">
        <f t="shared" si="23"/>
        <v>1.0497499999999999E-3</v>
      </c>
      <c r="W85" s="26">
        <f t="shared" si="23"/>
        <v>3.635E-4</v>
      </c>
      <c r="X85" s="26">
        <f t="shared" si="23"/>
        <v>1.46775E-4</v>
      </c>
      <c r="Y85" s="26">
        <f t="shared" si="23"/>
        <v>0</v>
      </c>
      <c r="Z85" s="26">
        <f t="shared" si="23"/>
        <v>0</v>
      </c>
      <c r="AA85" s="26">
        <f t="shared" si="23"/>
        <v>0</v>
      </c>
      <c r="AB85" s="26">
        <f t="shared" si="23"/>
        <v>0</v>
      </c>
      <c r="AC85" s="26">
        <f t="shared" si="23"/>
        <v>0</v>
      </c>
      <c r="AD85" s="26">
        <f t="shared" si="23"/>
        <v>0</v>
      </c>
      <c r="AE85" s="26">
        <f t="shared" si="23"/>
        <v>0</v>
      </c>
      <c r="AF85" s="26">
        <f t="shared" si="23"/>
        <v>0</v>
      </c>
      <c r="AG85" s="26">
        <f t="shared" si="23"/>
        <v>0</v>
      </c>
      <c r="AH85" s="26">
        <f t="shared" si="23"/>
        <v>0</v>
      </c>
      <c r="AI85" s="26">
        <f t="shared" si="23"/>
        <v>0</v>
      </c>
      <c r="AJ85" s="26">
        <f t="shared" si="23"/>
        <v>0</v>
      </c>
      <c r="AK85" s="26">
        <f t="shared" si="23"/>
        <v>0</v>
      </c>
      <c r="AL85" s="26">
        <f t="shared" si="23"/>
        <v>0</v>
      </c>
    </row>
    <row r="86" spans="1:38" ht="21" hidden="1" customHeight="1" outlineLevel="1" thickBot="1" x14ac:dyDescent="0.4">
      <c r="A86" s="8">
        <f t="shared" si="24"/>
        <v>0</v>
      </c>
      <c r="B86" s="8">
        <f t="shared" si="24"/>
        <v>5</v>
      </c>
      <c r="C86" s="8">
        <f t="shared" si="24"/>
        <v>0</v>
      </c>
      <c r="D86" s="8">
        <f t="shared" si="24"/>
        <v>0</v>
      </c>
      <c r="E86" s="9" t="str">
        <f t="shared" si="20"/>
        <v>Se5</v>
      </c>
      <c r="F86" s="26">
        <f t="shared" si="23"/>
        <v>1.146E-16</v>
      </c>
      <c r="G86" s="26">
        <f t="shared" si="23"/>
        <v>1.5887500000000001E-9</v>
      </c>
      <c r="H86" s="26">
        <f t="shared" si="23"/>
        <v>1.9027500000000003E-8</v>
      </c>
      <c r="I86" s="26">
        <f t="shared" si="23"/>
        <v>1.5724166666666666E-7</v>
      </c>
      <c r="J86" s="26">
        <f t="shared" si="23"/>
        <v>9.7458333333333346E-7</v>
      </c>
      <c r="K86" s="26">
        <f t="shared" si="23"/>
        <v>4.8672499999999999E-6</v>
      </c>
      <c r="L86" s="26">
        <f t="shared" si="23"/>
        <v>8.8325000000000014E-4</v>
      </c>
      <c r="M86" s="26">
        <f t="shared" si="23"/>
        <v>2.3982500000000002E-3</v>
      </c>
      <c r="N86" s="26">
        <f t="shared" si="23"/>
        <v>5.7239999999999999E-3</v>
      </c>
      <c r="O86" s="26">
        <f t="shared" si="23"/>
        <v>1.2145000000000001E-2</v>
      </c>
      <c r="P86" s="26">
        <f t="shared" si="23"/>
        <v>2.3135833333333338E-2</v>
      </c>
      <c r="Q86" s="26">
        <f t="shared" si="23"/>
        <v>9.1825000000000004E-2</v>
      </c>
      <c r="R86" s="26">
        <f t="shared" si="23"/>
        <v>8.8666666666666671E-2</v>
      </c>
      <c r="S86" s="26">
        <f t="shared" si="23"/>
        <v>7.3703333333333343E-2</v>
      </c>
      <c r="T86" s="26">
        <f t="shared" si="23"/>
        <v>5.3380000000000004E-2</v>
      </c>
      <c r="U86" s="26">
        <f t="shared" si="23"/>
        <v>3.5320833333333336E-2</v>
      </c>
      <c r="V86" s="26">
        <f t="shared" si="23"/>
        <v>5.156666666666667E-3</v>
      </c>
      <c r="W86" s="26">
        <f t="shared" si="23"/>
        <v>8.8175000000000016E-4</v>
      </c>
      <c r="X86" s="26">
        <f t="shared" si="23"/>
        <v>1.9881666666666668E-4</v>
      </c>
      <c r="Y86" s="26">
        <f t="shared" si="23"/>
        <v>0</v>
      </c>
      <c r="Z86" s="26">
        <f t="shared" si="23"/>
        <v>0</v>
      </c>
      <c r="AA86" s="26">
        <f t="shared" si="23"/>
        <v>0</v>
      </c>
      <c r="AB86" s="26">
        <f t="shared" si="23"/>
        <v>0</v>
      </c>
      <c r="AC86" s="26">
        <f t="shared" si="23"/>
        <v>0</v>
      </c>
      <c r="AD86" s="26">
        <f t="shared" si="23"/>
        <v>0</v>
      </c>
      <c r="AE86" s="26">
        <f t="shared" si="23"/>
        <v>0</v>
      </c>
      <c r="AF86" s="26">
        <f t="shared" si="23"/>
        <v>0</v>
      </c>
      <c r="AG86" s="26">
        <f t="shared" si="23"/>
        <v>0</v>
      </c>
      <c r="AH86" s="26">
        <f t="shared" si="23"/>
        <v>0</v>
      </c>
      <c r="AI86" s="26">
        <f t="shared" si="23"/>
        <v>0</v>
      </c>
      <c r="AJ86" s="26">
        <f t="shared" si="23"/>
        <v>0</v>
      </c>
      <c r="AK86" s="26">
        <f t="shared" si="23"/>
        <v>0</v>
      </c>
      <c r="AL86" s="26">
        <f t="shared" si="23"/>
        <v>0</v>
      </c>
    </row>
    <row r="87" spans="1:38" ht="21" hidden="1" customHeight="1" outlineLevel="1" thickBot="1" x14ac:dyDescent="0.4">
      <c r="A87" s="8">
        <f t="shared" si="24"/>
        <v>0</v>
      </c>
      <c r="B87" s="8">
        <f t="shared" si="24"/>
        <v>6</v>
      </c>
      <c r="C87" s="8">
        <f t="shared" si="24"/>
        <v>0</v>
      </c>
      <c r="D87" s="8">
        <f t="shared" si="24"/>
        <v>0</v>
      </c>
      <c r="E87" s="9" t="str">
        <f t="shared" si="20"/>
        <v>Se6</v>
      </c>
      <c r="F87" s="26">
        <f t="shared" si="23"/>
        <v>1.9293333333333332E-14</v>
      </c>
      <c r="G87" s="26">
        <f t="shared" si="23"/>
        <v>1.4455833333333334E-8</v>
      </c>
      <c r="H87" s="26">
        <f t="shared" si="23"/>
        <v>1.0587500000000001E-7</v>
      </c>
      <c r="I87" s="26">
        <f t="shared" si="23"/>
        <v>5.6799166666666665E-7</v>
      </c>
      <c r="J87" s="26">
        <f t="shared" si="23"/>
        <v>2.4037500000000005E-6</v>
      </c>
      <c r="K87" s="26">
        <f t="shared" si="23"/>
        <v>8.5675000000000006E-6</v>
      </c>
      <c r="L87" s="26">
        <f t="shared" si="23"/>
        <v>5.8075833333333328E-4</v>
      </c>
      <c r="M87" s="26">
        <f t="shared" si="23"/>
        <v>1.3045833333333336E-3</v>
      </c>
      <c r="N87" s="26">
        <f t="shared" si="23"/>
        <v>2.6017500000000003E-3</v>
      </c>
      <c r="O87" s="26">
        <f t="shared" si="23"/>
        <v>4.644583333333333E-3</v>
      </c>
      <c r="P87" s="26">
        <f t="shared" si="23"/>
        <v>7.4755833333333341E-3</v>
      </c>
      <c r="Q87" s="26">
        <f t="shared" si="23"/>
        <v>1.4380833333333334E-2</v>
      </c>
      <c r="R87" s="26">
        <f t="shared" si="23"/>
        <v>1.1168333333333334E-2</v>
      </c>
      <c r="S87" s="26">
        <f t="shared" si="23"/>
        <v>7.3520833333333337E-3</v>
      </c>
      <c r="T87" s="26">
        <f t="shared" si="23"/>
        <v>4.1625000000000004E-3</v>
      </c>
      <c r="U87" s="26">
        <f t="shared" si="23"/>
        <v>2.1426666666666669E-3</v>
      </c>
      <c r="V87" s="26">
        <f t="shared" si="23"/>
        <v>1.2056666666666667E-4</v>
      </c>
      <c r="W87" s="26">
        <f t="shared" si="23"/>
        <v>9.2600000000000011E-6</v>
      </c>
      <c r="X87" s="26">
        <f t="shared" si="23"/>
        <v>1.0786666666666667E-6</v>
      </c>
      <c r="Y87" s="26">
        <f t="shared" si="23"/>
        <v>0</v>
      </c>
      <c r="Z87" s="26">
        <f t="shared" si="23"/>
        <v>0</v>
      </c>
      <c r="AA87" s="26">
        <f t="shared" si="23"/>
        <v>0</v>
      </c>
      <c r="AB87" s="26">
        <f t="shared" si="23"/>
        <v>0</v>
      </c>
      <c r="AC87" s="26">
        <f t="shared" si="23"/>
        <v>0</v>
      </c>
      <c r="AD87" s="26">
        <f t="shared" si="23"/>
        <v>0</v>
      </c>
      <c r="AE87" s="26">
        <f t="shared" si="23"/>
        <v>0</v>
      </c>
      <c r="AF87" s="26">
        <f t="shared" si="23"/>
        <v>0</v>
      </c>
      <c r="AG87" s="26">
        <f t="shared" si="23"/>
        <v>0</v>
      </c>
      <c r="AH87" s="26">
        <f t="shared" si="23"/>
        <v>0</v>
      </c>
      <c r="AI87" s="26">
        <f t="shared" si="23"/>
        <v>0</v>
      </c>
      <c r="AJ87" s="26">
        <f t="shared" si="23"/>
        <v>0</v>
      </c>
      <c r="AK87" s="26">
        <f t="shared" si="23"/>
        <v>0</v>
      </c>
      <c r="AL87" s="26">
        <f t="shared" si="23"/>
        <v>0</v>
      </c>
    </row>
    <row r="88" spans="1:38" ht="21" hidden="1" customHeight="1" outlineLevel="1" thickBot="1" x14ac:dyDescent="0.4">
      <c r="A88" s="8">
        <f t="shared" si="24"/>
        <v>0</v>
      </c>
      <c r="B88" s="8">
        <f t="shared" si="24"/>
        <v>7</v>
      </c>
      <c r="C88" s="8">
        <f t="shared" si="24"/>
        <v>0</v>
      </c>
      <c r="D88" s="8">
        <f t="shared" si="24"/>
        <v>0</v>
      </c>
      <c r="E88" s="9" t="str">
        <f t="shared" si="20"/>
        <v>Se7</v>
      </c>
      <c r="F88" s="26">
        <f t="shared" si="23"/>
        <v>2.1278333333333336E-15</v>
      </c>
      <c r="G88" s="26">
        <f t="shared" si="23"/>
        <v>3.2456666666666667E-9</v>
      </c>
      <c r="H88" s="26">
        <f t="shared" si="23"/>
        <v>2.5979166666666669E-8</v>
      </c>
      <c r="I88" s="26">
        <f t="shared" si="23"/>
        <v>1.4958333333333334E-7</v>
      </c>
      <c r="J88" s="26">
        <f t="shared" si="23"/>
        <v>6.7072500000000005E-7</v>
      </c>
      <c r="K88" s="26">
        <f t="shared" si="23"/>
        <v>2.5135000000000006E-6</v>
      </c>
      <c r="L88" s="26">
        <f t="shared" si="23"/>
        <v>2.0681666666666666E-4</v>
      </c>
      <c r="M88" s="26">
        <f t="shared" si="23"/>
        <v>4.82475E-4</v>
      </c>
      <c r="N88" s="26">
        <f t="shared" si="23"/>
        <v>9.8933333333333338E-4</v>
      </c>
      <c r="O88" s="26">
        <f t="shared" si="23"/>
        <v>1.7970833333333335E-3</v>
      </c>
      <c r="P88" s="26">
        <f t="shared" si="23"/>
        <v>2.9107500000000001E-3</v>
      </c>
      <c r="Q88" s="26">
        <f t="shared" si="23"/>
        <v>4.8390000000000004E-3</v>
      </c>
      <c r="R88" s="26">
        <f t="shared" si="23"/>
        <v>3.4088333333333336E-3</v>
      </c>
      <c r="S88" s="26">
        <f t="shared" si="23"/>
        <v>1.9889166666666666E-3</v>
      </c>
      <c r="T88" s="26">
        <f t="shared" si="23"/>
        <v>9.7825000000000017E-4</v>
      </c>
      <c r="U88" s="26">
        <f t="shared" si="23"/>
        <v>4.3255833333333336E-4</v>
      </c>
      <c r="V88" s="26">
        <f t="shared" si="23"/>
        <v>1.3215833333333333E-5</v>
      </c>
      <c r="W88" s="26">
        <f t="shared" si="23"/>
        <v>6.0060000000000002E-7</v>
      </c>
      <c r="X88" s="26">
        <f t="shared" si="23"/>
        <v>4.5330000000000003E-8</v>
      </c>
      <c r="Y88" s="26">
        <f t="shared" si="23"/>
        <v>0</v>
      </c>
      <c r="Z88" s="26">
        <f t="shared" si="23"/>
        <v>0</v>
      </c>
      <c r="AA88" s="26">
        <f t="shared" si="23"/>
        <v>0</v>
      </c>
      <c r="AB88" s="26">
        <f t="shared" si="23"/>
        <v>0</v>
      </c>
      <c r="AC88" s="26">
        <f t="shared" si="23"/>
        <v>0</v>
      </c>
      <c r="AD88" s="26">
        <f t="shared" si="23"/>
        <v>0</v>
      </c>
      <c r="AE88" s="26">
        <f t="shared" si="23"/>
        <v>0</v>
      </c>
      <c r="AF88" s="26">
        <f t="shared" si="23"/>
        <v>0</v>
      </c>
      <c r="AG88" s="26">
        <f t="shared" si="23"/>
        <v>0</v>
      </c>
      <c r="AH88" s="26">
        <f t="shared" si="23"/>
        <v>0</v>
      </c>
      <c r="AI88" s="26">
        <f t="shared" si="23"/>
        <v>0</v>
      </c>
      <c r="AJ88" s="26">
        <f t="shared" si="23"/>
        <v>0</v>
      </c>
      <c r="AK88" s="26">
        <f t="shared" si="23"/>
        <v>0</v>
      </c>
      <c r="AL88" s="26">
        <f t="shared" si="23"/>
        <v>0</v>
      </c>
    </row>
    <row r="89" spans="1:38" ht="21" hidden="1" customHeight="1" outlineLevel="1" thickBot="1" x14ac:dyDescent="0.4">
      <c r="A89" s="8">
        <f t="shared" si="24"/>
        <v>0</v>
      </c>
      <c r="B89" s="8">
        <f t="shared" si="24"/>
        <v>8</v>
      </c>
      <c r="C89" s="8">
        <f t="shared" si="24"/>
        <v>0</v>
      </c>
      <c r="D89" s="8">
        <f t="shared" si="24"/>
        <v>0</v>
      </c>
      <c r="E89" s="9" t="str">
        <f t="shared" si="20"/>
        <v>Se8</v>
      </c>
      <c r="F89" s="26">
        <f t="shared" si="23"/>
        <v>4.6839166666666669E-17</v>
      </c>
      <c r="G89" s="26">
        <f t="shared" si="23"/>
        <v>1.2379166666666667E-10</v>
      </c>
      <c r="H89" s="26">
        <f t="shared" si="23"/>
        <v>1.0556666666666666E-9</v>
      </c>
      <c r="I89" s="26">
        <f t="shared" si="23"/>
        <v>6.3810833333333342E-9</v>
      </c>
      <c r="J89" s="26">
        <f t="shared" si="23"/>
        <v>2.974E-8</v>
      </c>
      <c r="K89" s="26">
        <f t="shared" si="23"/>
        <v>1.1521666666666666E-7</v>
      </c>
      <c r="L89" s="26">
        <f t="shared" si="23"/>
        <v>1.0933333333333334E-5</v>
      </c>
      <c r="M89" s="26">
        <f t="shared" si="23"/>
        <v>2.6227500000000003E-5</v>
      </c>
      <c r="N89" s="26">
        <f t="shared" si="23"/>
        <v>5.4802500000000003E-5</v>
      </c>
      <c r="O89" s="26">
        <f t="shared" si="23"/>
        <v>1.0046666666666666E-4</v>
      </c>
      <c r="P89" s="26">
        <f t="shared" si="23"/>
        <v>1.625166666666667E-4</v>
      </c>
      <c r="Q89" s="26">
        <f t="shared" si="23"/>
        <v>2.2775000000000003E-4</v>
      </c>
      <c r="R89" s="26">
        <f t="shared" si="23"/>
        <v>1.4478333333333335E-4</v>
      </c>
      <c r="S89" s="26">
        <f t="shared" si="23"/>
        <v>7.4511666666666674E-5</v>
      </c>
      <c r="T89" s="26">
        <f t="shared" si="23"/>
        <v>3.1693333333333337E-5</v>
      </c>
      <c r="U89" s="26">
        <f t="shared" si="23"/>
        <v>1.1986666666666668E-5</v>
      </c>
      <c r="V89" s="26">
        <f t="shared" si="23"/>
        <v>1.9594166666666668E-7</v>
      </c>
      <c r="W89" s="26">
        <f t="shared" si="23"/>
        <v>5.2075000000000005E-9</v>
      </c>
      <c r="X89" s="26">
        <f t="shared" si="23"/>
        <v>2.5220000000000002E-10</v>
      </c>
      <c r="Y89" s="26">
        <f t="shared" si="23"/>
        <v>0</v>
      </c>
      <c r="Z89" s="26">
        <f t="shared" si="23"/>
        <v>0</v>
      </c>
      <c r="AA89" s="26">
        <f t="shared" si="23"/>
        <v>0</v>
      </c>
      <c r="AB89" s="26">
        <f t="shared" si="23"/>
        <v>0</v>
      </c>
      <c r="AC89" s="26">
        <f t="shared" si="23"/>
        <v>0</v>
      </c>
      <c r="AD89" s="26">
        <f t="shared" si="23"/>
        <v>0</v>
      </c>
      <c r="AE89" s="26">
        <f t="shared" si="23"/>
        <v>0</v>
      </c>
      <c r="AF89" s="26">
        <f t="shared" si="23"/>
        <v>0</v>
      </c>
      <c r="AG89" s="26">
        <f t="shared" si="23"/>
        <v>0</v>
      </c>
      <c r="AH89" s="26">
        <f t="shared" si="23"/>
        <v>0</v>
      </c>
      <c r="AI89" s="26">
        <f t="shared" si="23"/>
        <v>0</v>
      </c>
      <c r="AJ89" s="26">
        <f t="shared" si="23"/>
        <v>0</v>
      </c>
      <c r="AK89" s="26">
        <f t="shared" si="23"/>
        <v>0</v>
      </c>
      <c r="AL89" s="26">
        <f t="shared" si="23"/>
        <v>0</v>
      </c>
    </row>
    <row r="90" spans="1:38" ht="21" hidden="1" customHeight="1" outlineLevel="1" thickBot="1" x14ac:dyDescent="0.4">
      <c r="A90" s="8">
        <f t="shared" si="24"/>
        <v>0</v>
      </c>
      <c r="B90" s="8">
        <f t="shared" si="24"/>
        <v>2</v>
      </c>
      <c r="C90" s="8">
        <f t="shared" si="24"/>
        <v>0</v>
      </c>
      <c r="D90" s="8">
        <f t="shared" si="24"/>
        <v>0</v>
      </c>
      <c r="E90" s="9" t="str">
        <f t="shared" si="20"/>
        <v>Se2</v>
      </c>
      <c r="F90" s="26">
        <f t="shared" si="23"/>
        <v>4.9639166666666673E-17</v>
      </c>
      <c r="G90" s="26">
        <f t="shared" si="23"/>
        <v>9.3308333333333334E-10</v>
      </c>
      <c r="H90" s="26">
        <f t="shared" si="23"/>
        <v>1.2854166666666667E-8</v>
      </c>
      <c r="I90" s="26">
        <f t="shared" si="23"/>
        <v>1.2278333333333334E-7</v>
      </c>
      <c r="J90" s="26">
        <f t="shared" si="23"/>
        <v>8.7758333333333337E-7</v>
      </c>
      <c r="K90" s="26">
        <f t="shared" si="23"/>
        <v>4.9994166666666675E-6</v>
      </c>
      <c r="L90" s="26">
        <f t="shared" si="23"/>
        <v>1.2245000000000001E-3</v>
      </c>
      <c r="M90" s="26">
        <f t="shared" si="23"/>
        <v>3.5357500000000003E-3</v>
      </c>
      <c r="N90" s="26">
        <f t="shared" si="23"/>
        <v>9.1191666666666678E-3</v>
      </c>
      <c r="O90" s="26">
        <f t="shared" si="23"/>
        <v>2.1315833333333336E-2</v>
      </c>
      <c r="P90" s="26">
        <f t="shared" si="23"/>
        <v>4.5752500000000002E-2</v>
      </c>
      <c r="Q90" s="26">
        <f t="shared" si="23"/>
        <v>0.44880000000000003</v>
      </c>
      <c r="R90" s="26">
        <f t="shared" si="23"/>
        <v>0.64131666666666665</v>
      </c>
      <c r="S90" s="26">
        <f t="shared" si="23"/>
        <v>0.84083333333333343</v>
      </c>
      <c r="T90" s="26">
        <f t="shared" si="23"/>
        <v>1.0150000000000001</v>
      </c>
      <c r="U90" s="26">
        <f t="shared" si="23"/>
        <v>1.1523333333333332</v>
      </c>
      <c r="V90" s="26">
        <f t="shared" si="23"/>
        <v>1.4131666666666669</v>
      </c>
      <c r="W90" s="26">
        <f t="shared" si="23"/>
        <v>1.4918333333333336</v>
      </c>
      <c r="X90" s="26">
        <f t="shared" si="23"/>
        <v>1.5245833333333334</v>
      </c>
      <c r="Y90" s="26">
        <f t="shared" si="23"/>
        <v>0</v>
      </c>
      <c r="Z90" s="26">
        <f t="shared" si="23"/>
        <v>0</v>
      </c>
      <c r="AA90" s="26">
        <f t="shared" si="23"/>
        <v>0</v>
      </c>
      <c r="AB90" s="26">
        <f t="shared" si="23"/>
        <v>0</v>
      </c>
      <c r="AC90" s="26">
        <f t="shared" si="23"/>
        <v>0</v>
      </c>
      <c r="AD90" s="26">
        <f t="shared" si="23"/>
        <v>0</v>
      </c>
      <c r="AE90" s="26">
        <f t="shared" si="23"/>
        <v>0</v>
      </c>
      <c r="AF90" s="26">
        <f t="shared" si="23"/>
        <v>0</v>
      </c>
      <c r="AG90" s="26">
        <f t="shared" si="23"/>
        <v>0</v>
      </c>
      <c r="AH90" s="26">
        <f t="shared" si="23"/>
        <v>0</v>
      </c>
      <c r="AI90" s="26">
        <f t="shared" si="23"/>
        <v>0</v>
      </c>
      <c r="AJ90" s="26">
        <f t="shared" si="23"/>
        <v>0</v>
      </c>
      <c r="AK90" s="26">
        <f t="shared" si="23"/>
        <v>0</v>
      </c>
      <c r="AL90" s="26">
        <f t="shared" si="23"/>
        <v>0</v>
      </c>
    </row>
    <row r="91" spans="1:38" ht="21" hidden="1" customHeight="1" outlineLevel="1" thickBot="1" x14ac:dyDescent="0.4">
      <c r="A91" s="8">
        <f t="shared" si="24"/>
        <v>0</v>
      </c>
      <c r="B91" s="8">
        <f t="shared" si="24"/>
        <v>1</v>
      </c>
      <c r="C91" s="8">
        <f t="shared" si="24"/>
        <v>0</v>
      </c>
      <c r="D91" s="8">
        <f t="shared" si="24"/>
        <v>0</v>
      </c>
      <c r="E91" s="9" t="str">
        <f t="shared" si="20"/>
        <v>Se</v>
      </c>
      <c r="F91" s="26">
        <f t="shared" si="23"/>
        <v>5.3360833333333337E-35</v>
      </c>
      <c r="G91" s="26">
        <f t="shared" si="23"/>
        <v>2.1621666666666667E-22</v>
      </c>
      <c r="H91" s="26">
        <f t="shared" si="23"/>
        <v>2.2006666666666669E-20</v>
      </c>
      <c r="I91" s="26">
        <f t="shared" si="23"/>
        <v>1.1986666666666667E-18</v>
      </c>
      <c r="J91" s="26">
        <f t="shared" si="23"/>
        <v>3.9517500000000006E-17</v>
      </c>
      <c r="K91" s="26">
        <f t="shared" si="23"/>
        <v>8.6974999999999998E-16</v>
      </c>
      <c r="L91" s="26">
        <f t="shared" si="23"/>
        <v>1.27775E-11</v>
      </c>
      <c r="M91" s="26">
        <f t="shared" si="23"/>
        <v>8.1681666666666668E-11</v>
      </c>
      <c r="N91" s="26">
        <f t="shared" si="23"/>
        <v>4.3888333333333338E-10</v>
      </c>
      <c r="O91" s="26">
        <f t="shared" si="23"/>
        <v>2.0298333333333335E-9</v>
      </c>
      <c r="P91" s="26">
        <f t="shared" si="23"/>
        <v>8.2550000000000018E-9</v>
      </c>
      <c r="Q91" s="26">
        <f t="shared" si="23"/>
        <v>8.0377499999999998E-7</v>
      </c>
      <c r="R91" s="26">
        <f t="shared" si="23"/>
        <v>1.9872499999999999E-6</v>
      </c>
      <c r="S91" s="26">
        <f t="shared" si="23"/>
        <v>4.4866666666666672E-6</v>
      </c>
      <c r="T91" s="26">
        <f t="shared" si="23"/>
        <v>9.2766666666666671E-6</v>
      </c>
      <c r="U91" s="26">
        <f t="shared" si="23"/>
        <v>1.7827500000000002E-5</v>
      </c>
      <c r="V91" s="26">
        <f t="shared" si="23"/>
        <v>1.4827500000000001E-4</v>
      </c>
      <c r="W91" s="26">
        <f t="shared" si="23"/>
        <v>7.6382499999999999E-4</v>
      </c>
      <c r="X91" s="26">
        <f t="shared" si="23"/>
        <v>2.9072500000000001E-3</v>
      </c>
      <c r="Y91" s="26">
        <f t="shared" si="23"/>
        <v>0</v>
      </c>
      <c r="Z91" s="26">
        <f t="shared" si="23"/>
        <v>0</v>
      </c>
      <c r="AA91" s="26">
        <f t="shared" si="23"/>
        <v>0</v>
      </c>
      <c r="AB91" s="26">
        <f t="shared" si="23"/>
        <v>0</v>
      </c>
      <c r="AC91" s="26">
        <f t="shared" si="23"/>
        <v>0</v>
      </c>
      <c r="AD91" s="26">
        <f t="shared" ref="AD91:AL91" si="25">AD11*$C$82</f>
        <v>0</v>
      </c>
      <c r="AE91" s="26">
        <f t="shared" si="25"/>
        <v>0</v>
      </c>
      <c r="AF91" s="26">
        <f t="shared" si="25"/>
        <v>0</v>
      </c>
      <c r="AG91" s="26">
        <f t="shared" si="25"/>
        <v>0</v>
      </c>
      <c r="AH91" s="26">
        <f t="shared" si="25"/>
        <v>0</v>
      </c>
      <c r="AI91" s="26">
        <f t="shared" si="25"/>
        <v>0</v>
      </c>
      <c r="AJ91" s="26">
        <f t="shared" si="25"/>
        <v>0</v>
      </c>
      <c r="AK91" s="26">
        <f t="shared" si="25"/>
        <v>0</v>
      </c>
      <c r="AL91" s="26">
        <f t="shared" si="25"/>
        <v>0</v>
      </c>
    </row>
    <row r="92" spans="1:38" ht="21" hidden="1" customHeight="1" outlineLevel="1" thickBot="1" x14ac:dyDescent="0.4">
      <c r="A92" s="8">
        <f t="shared" si="24"/>
        <v>0</v>
      </c>
      <c r="B92" s="8">
        <f t="shared" si="24"/>
        <v>1</v>
      </c>
      <c r="C92" s="8">
        <f t="shared" si="24"/>
        <v>0</v>
      </c>
      <c r="D92" s="8">
        <f t="shared" si="24"/>
        <v>2</v>
      </c>
      <c r="E92" s="9" t="str">
        <f t="shared" si="20"/>
        <v>Ga2Se</v>
      </c>
      <c r="F92" s="26">
        <f t="shared" ref="F92:AL99" si="26">F12*$C$82</f>
        <v>2.1291666666666667E-8</v>
      </c>
      <c r="G92" s="26">
        <f t="shared" si="26"/>
        <v>3.9760000000000002E-4</v>
      </c>
      <c r="H92" s="26">
        <f t="shared" si="26"/>
        <v>1.7964166666666669E-3</v>
      </c>
      <c r="I92" s="26">
        <f t="shared" si="26"/>
        <v>6.4875833333333339E-3</v>
      </c>
      <c r="J92" s="26">
        <f t="shared" si="26"/>
        <v>1.9484166666666667E-2</v>
      </c>
      <c r="K92" s="26">
        <f t="shared" si="26"/>
        <v>4.9871666666666668E-2</v>
      </c>
      <c r="L92" s="26">
        <f t="shared" si="26"/>
        <v>0.43657499999999999</v>
      </c>
      <c r="M92" s="26">
        <f t="shared" si="26"/>
        <v>0.52650000000000008</v>
      </c>
      <c r="N92" s="26">
        <f t="shared" si="26"/>
        <v>0.59495833333333337</v>
      </c>
      <c r="O92" s="26">
        <f t="shared" si="26"/>
        <v>0.6463416666666667</v>
      </c>
      <c r="P92" s="26">
        <f t="shared" si="26"/>
        <v>0.68597500000000011</v>
      </c>
      <c r="Q92" s="26">
        <f t="shared" si="26"/>
        <v>0.78056666666666674</v>
      </c>
      <c r="R92" s="26">
        <f t="shared" si="26"/>
        <v>0.79231666666666667</v>
      </c>
      <c r="S92" s="26">
        <f t="shared" si="26"/>
        <v>0.80061666666666675</v>
      </c>
      <c r="T92" s="26">
        <f t="shared" si="26"/>
        <v>0.80600833333333344</v>
      </c>
      <c r="U92" s="26">
        <f t="shared" si="26"/>
        <v>0.80959166666666671</v>
      </c>
      <c r="V92" s="26">
        <f t="shared" si="26"/>
        <v>0.81568333333333332</v>
      </c>
      <c r="W92" s="26">
        <f t="shared" si="26"/>
        <v>0.81739166666666663</v>
      </c>
      <c r="X92" s="26">
        <f t="shared" si="26"/>
        <v>0.81794166666666679</v>
      </c>
      <c r="Y92" s="26">
        <f t="shared" si="26"/>
        <v>0</v>
      </c>
      <c r="Z92" s="26">
        <f t="shared" si="26"/>
        <v>0</v>
      </c>
      <c r="AA92" s="26">
        <f t="shared" si="26"/>
        <v>0</v>
      </c>
      <c r="AB92" s="26">
        <f t="shared" si="26"/>
        <v>0</v>
      </c>
      <c r="AC92" s="26">
        <f t="shared" si="26"/>
        <v>0</v>
      </c>
      <c r="AD92" s="26">
        <f t="shared" si="26"/>
        <v>0</v>
      </c>
      <c r="AE92" s="26">
        <f t="shared" si="26"/>
        <v>0</v>
      </c>
      <c r="AF92" s="26">
        <f t="shared" si="26"/>
        <v>0</v>
      </c>
      <c r="AG92" s="26">
        <f t="shared" si="26"/>
        <v>0</v>
      </c>
      <c r="AH92" s="26">
        <f t="shared" si="26"/>
        <v>0</v>
      </c>
      <c r="AI92" s="26">
        <f t="shared" si="26"/>
        <v>0</v>
      </c>
      <c r="AJ92" s="26">
        <f t="shared" si="26"/>
        <v>0</v>
      </c>
      <c r="AK92" s="26">
        <f t="shared" si="26"/>
        <v>0</v>
      </c>
      <c r="AL92" s="26">
        <f t="shared" si="26"/>
        <v>0</v>
      </c>
    </row>
    <row r="93" spans="1:38" ht="21" hidden="1" customHeight="1" outlineLevel="1" thickBot="1" x14ac:dyDescent="0.4">
      <c r="A93" s="8">
        <f t="shared" si="24"/>
        <v>1</v>
      </c>
      <c r="B93" s="8">
        <f t="shared" si="24"/>
        <v>0</v>
      </c>
      <c r="C93" s="8">
        <f t="shared" si="24"/>
        <v>0</v>
      </c>
      <c r="D93" s="8">
        <f t="shared" si="24"/>
        <v>0</v>
      </c>
      <c r="E93" s="9" t="str">
        <f t="shared" si="20"/>
        <v>Ar</v>
      </c>
      <c r="F93" s="26">
        <f t="shared" si="26"/>
        <v>1.666666666666667</v>
      </c>
      <c r="G93" s="26">
        <f t="shared" si="26"/>
        <v>1.666666666666667</v>
      </c>
      <c r="H93" s="26">
        <f t="shared" si="26"/>
        <v>1.666666666666667</v>
      </c>
      <c r="I93" s="26">
        <f t="shared" si="26"/>
        <v>1.666666666666667</v>
      </c>
      <c r="J93" s="26">
        <f t="shared" si="26"/>
        <v>1.666666666666667</v>
      </c>
      <c r="K93" s="26">
        <f t="shared" si="26"/>
        <v>1.666666666666667</v>
      </c>
      <c r="L93" s="26">
        <f t="shared" si="26"/>
        <v>1.666666666666667</v>
      </c>
      <c r="M93" s="26">
        <f t="shared" si="26"/>
        <v>1.666666666666667</v>
      </c>
      <c r="N93" s="26">
        <f t="shared" si="26"/>
        <v>1.666666666666667</v>
      </c>
      <c r="O93" s="26">
        <f t="shared" si="26"/>
        <v>1.666666666666667</v>
      </c>
      <c r="P93" s="26">
        <f t="shared" si="26"/>
        <v>1.666666666666667</v>
      </c>
      <c r="Q93" s="26">
        <f t="shared" si="26"/>
        <v>1.666666666666667</v>
      </c>
      <c r="R93" s="26">
        <f t="shared" si="26"/>
        <v>1.666666666666667</v>
      </c>
      <c r="S93" s="26">
        <f t="shared" si="26"/>
        <v>1.666666666666667</v>
      </c>
      <c r="T93" s="26">
        <f t="shared" si="26"/>
        <v>1.666666666666667</v>
      </c>
      <c r="U93" s="26">
        <f t="shared" si="26"/>
        <v>1.666666666666667</v>
      </c>
      <c r="V93" s="26">
        <f t="shared" si="26"/>
        <v>1.666666666666667</v>
      </c>
      <c r="W93" s="26">
        <f t="shared" si="26"/>
        <v>1.666666666666667</v>
      </c>
      <c r="X93" s="26">
        <f t="shared" si="26"/>
        <v>1.666666666666667</v>
      </c>
      <c r="Y93" s="26">
        <f t="shared" si="26"/>
        <v>0</v>
      </c>
      <c r="Z93" s="26">
        <f t="shared" si="26"/>
        <v>0</v>
      </c>
      <c r="AA93" s="26">
        <f t="shared" si="26"/>
        <v>0</v>
      </c>
      <c r="AB93" s="26">
        <f t="shared" si="26"/>
        <v>0</v>
      </c>
      <c r="AC93" s="26">
        <f t="shared" si="26"/>
        <v>0</v>
      </c>
      <c r="AD93" s="26">
        <f t="shared" si="26"/>
        <v>0</v>
      </c>
      <c r="AE93" s="26">
        <f t="shared" si="26"/>
        <v>0</v>
      </c>
      <c r="AF93" s="26">
        <f t="shared" si="26"/>
        <v>0</v>
      </c>
      <c r="AG93" s="26">
        <f t="shared" si="26"/>
        <v>0</v>
      </c>
      <c r="AH93" s="26">
        <f t="shared" si="26"/>
        <v>0</v>
      </c>
      <c r="AI93" s="26">
        <f t="shared" si="26"/>
        <v>0</v>
      </c>
      <c r="AJ93" s="26">
        <f t="shared" si="26"/>
        <v>0</v>
      </c>
      <c r="AK93" s="26">
        <f t="shared" si="26"/>
        <v>0</v>
      </c>
      <c r="AL93" s="26">
        <f t="shared" si="26"/>
        <v>0</v>
      </c>
    </row>
    <row r="94" spans="1:38" ht="21" hidden="1" customHeight="1" outlineLevel="1" thickBot="1" x14ac:dyDescent="0.4">
      <c r="A94" s="8">
        <f t="shared" si="24"/>
        <v>0</v>
      </c>
      <c r="B94" s="8">
        <f t="shared" si="24"/>
        <v>0</v>
      </c>
      <c r="C94" s="8">
        <f t="shared" si="24"/>
        <v>0</v>
      </c>
      <c r="D94" s="8">
        <f t="shared" si="24"/>
        <v>1</v>
      </c>
      <c r="E94" s="9" t="str">
        <f t="shared" si="20"/>
        <v>(l)Ga[l]</v>
      </c>
      <c r="F94" s="26">
        <f t="shared" si="26"/>
        <v>1.666666666666667</v>
      </c>
      <c r="G94" s="26">
        <f t="shared" si="26"/>
        <v>1.6658333333333335</v>
      </c>
      <c r="H94" s="26">
        <f t="shared" si="26"/>
        <v>1.6630833333333335</v>
      </c>
      <c r="I94" s="26">
        <f t="shared" si="26"/>
        <v>1.6536666666666668</v>
      </c>
      <c r="J94" s="26">
        <f t="shared" si="26"/>
        <v>1.6276666666666668</v>
      </c>
      <c r="K94" s="26">
        <f t="shared" si="26"/>
        <v>1.5669166666666667</v>
      </c>
      <c r="L94" s="26">
        <f t="shared" si="26"/>
        <v>0.79352500000000004</v>
      </c>
      <c r="M94" s="26">
        <f t="shared" si="26"/>
        <v>0.61366666666666669</v>
      </c>
      <c r="N94" s="26">
        <f t="shared" si="26"/>
        <v>0.47675000000000001</v>
      </c>
      <c r="O94" s="26">
        <f t="shared" si="26"/>
        <v>0.37398333333333339</v>
      </c>
      <c r="P94" s="26">
        <f t="shared" si="26"/>
        <v>0.29472500000000007</v>
      </c>
      <c r="Q94" s="26">
        <f t="shared" si="26"/>
        <v>0.10554166666666667</v>
      </c>
      <c r="R94" s="26">
        <f t="shared" si="26"/>
        <v>8.2029166666666667E-2</v>
      </c>
      <c r="S94" s="26">
        <f t="shared" si="26"/>
        <v>6.5436666666666671E-2</v>
      </c>
      <c r="T94" s="26">
        <f t="shared" si="26"/>
        <v>5.4655833333333334E-2</v>
      </c>
      <c r="U94" s="26">
        <f t="shared" si="26"/>
        <v>4.7478333333333338E-2</v>
      </c>
      <c r="V94" s="26">
        <f t="shared" si="26"/>
        <v>3.5303333333333339E-2</v>
      </c>
      <c r="W94" s="26">
        <f t="shared" si="26"/>
        <v>3.1876666666666671E-2</v>
      </c>
      <c r="X94" s="26">
        <f t="shared" si="26"/>
        <v>3.0763333333333337E-2</v>
      </c>
      <c r="Y94" s="26">
        <f t="shared" si="26"/>
        <v>0</v>
      </c>
      <c r="Z94" s="26">
        <f t="shared" si="26"/>
        <v>0</v>
      </c>
      <c r="AA94" s="26">
        <f t="shared" si="26"/>
        <v>0</v>
      </c>
      <c r="AB94" s="26">
        <f t="shared" si="26"/>
        <v>0</v>
      </c>
      <c r="AC94" s="26">
        <f t="shared" si="26"/>
        <v>0</v>
      </c>
      <c r="AD94" s="26">
        <f t="shared" si="26"/>
        <v>0</v>
      </c>
      <c r="AE94" s="26">
        <f t="shared" si="26"/>
        <v>0</v>
      </c>
      <c r="AF94" s="26">
        <f t="shared" si="26"/>
        <v>0</v>
      </c>
      <c r="AG94" s="26">
        <f t="shared" si="26"/>
        <v>0</v>
      </c>
      <c r="AH94" s="26">
        <f t="shared" si="26"/>
        <v>0</v>
      </c>
      <c r="AI94" s="26">
        <f t="shared" si="26"/>
        <v>0</v>
      </c>
      <c r="AJ94" s="26">
        <f t="shared" si="26"/>
        <v>0</v>
      </c>
      <c r="AK94" s="26">
        <f t="shared" si="26"/>
        <v>0</v>
      </c>
      <c r="AL94" s="26">
        <f t="shared" si="26"/>
        <v>0</v>
      </c>
    </row>
    <row r="95" spans="1:38" ht="21" hidden="1" customHeight="1" outlineLevel="1" thickBot="1" x14ac:dyDescent="0.4">
      <c r="A95" s="8">
        <f t="shared" si="24"/>
        <v>0</v>
      </c>
      <c r="B95" s="8">
        <f t="shared" si="24"/>
        <v>0</v>
      </c>
      <c r="C95" s="8">
        <f t="shared" si="24"/>
        <v>1</v>
      </c>
      <c r="D95" s="8">
        <f t="shared" si="24"/>
        <v>0</v>
      </c>
      <c r="E95" s="9" t="str">
        <f t="shared" si="20"/>
        <v>(l)Ge[l]</v>
      </c>
      <c r="F95" s="26">
        <f t="shared" si="26"/>
        <v>1</v>
      </c>
      <c r="G95" s="26">
        <f t="shared" si="26"/>
        <v>1</v>
      </c>
      <c r="H95" s="26">
        <f t="shared" si="26"/>
        <v>1</v>
      </c>
      <c r="I95" s="26">
        <f t="shared" si="26"/>
        <v>1</v>
      </c>
      <c r="J95" s="26">
        <f t="shared" si="26"/>
        <v>1</v>
      </c>
      <c r="K95" s="26">
        <f t="shared" si="26"/>
        <v>1</v>
      </c>
      <c r="L95" s="26">
        <f t="shared" si="26"/>
        <v>1</v>
      </c>
      <c r="M95" s="26">
        <f t="shared" si="26"/>
        <v>1</v>
      </c>
      <c r="N95" s="26">
        <f t="shared" si="26"/>
        <v>1</v>
      </c>
      <c r="O95" s="26">
        <f t="shared" si="26"/>
        <v>1</v>
      </c>
      <c r="P95" s="26">
        <f t="shared" si="26"/>
        <v>1</v>
      </c>
      <c r="Q95" s="26">
        <f t="shared" si="26"/>
        <v>1</v>
      </c>
      <c r="R95" s="26">
        <f t="shared" si="26"/>
        <v>1</v>
      </c>
      <c r="S95" s="26">
        <f t="shared" si="26"/>
        <v>1</v>
      </c>
      <c r="T95" s="26">
        <f t="shared" si="26"/>
        <v>1</v>
      </c>
      <c r="U95" s="26">
        <f t="shared" si="26"/>
        <v>1</v>
      </c>
      <c r="V95" s="26">
        <f t="shared" si="26"/>
        <v>1</v>
      </c>
      <c r="W95" s="26">
        <f t="shared" si="26"/>
        <v>1</v>
      </c>
      <c r="X95" s="26">
        <f t="shared" si="26"/>
        <v>1</v>
      </c>
      <c r="Y95" s="26">
        <f t="shared" si="26"/>
        <v>0</v>
      </c>
      <c r="Z95" s="26">
        <f t="shared" si="26"/>
        <v>0</v>
      </c>
      <c r="AA95" s="26">
        <f t="shared" si="26"/>
        <v>0</v>
      </c>
      <c r="AB95" s="26">
        <f t="shared" si="26"/>
        <v>0</v>
      </c>
      <c r="AC95" s="26">
        <f t="shared" si="26"/>
        <v>0</v>
      </c>
      <c r="AD95" s="26">
        <f t="shared" si="26"/>
        <v>0</v>
      </c>
      <c r="AE95" s="26">
        <f t="shared" si="26"/>
        <v>0</v>
      </c>
      <c r="AF95" s="26">
        <f t="shared" si="26"/>
        <v>0</v>
      </c>
      <c r="AG95" s="26">
        <f t="shared" si="26"/>
        <v>0</v>
      </c>
      <c r="AH95" s="26">
        <f t="shared" si="26"/>
        <v>0</v>
      </c>
      <c r="AI95" s="26">
        <f t="shared" si="26"/>
        <v>0</v>
      </c>
      <c r="AJ95" s="26">
        <f t="shared" si="26"/>
        <v>0</v>
      </c>
      <c r="AK95" s="26">
        <f t="shared" si="26"/>
        <v>0</v>
      </c>
      <c r="AL95" s="26">
        <f t="shared" si="26"/>
        <v>0</v>
      </c>
    </row>
    <row r="96" spans="1:38" ht="21" hidden="1" customHeight="1" outlineLevel="1" thickBot="1" x14ac:dyDescent="0.4">
      <c r="A96" s="8">
        <f t="shared" si="24"/>
        <v>0</v>
      </c>
      <c r="B96" s="8">
        <f t="shared" si="24"/>
        <v>1</v>
      </c>
      <c r="C96" s="8">
        <f t="shared" si="24"/>
        <v>0</v>
      </c>
      <c r="D96" s="8">
        <f t="shared" si="24"/>
        <v>0</v>
      </c>
      <c r="E96" s="9" t="str">
        <f t="shared" si="20"/>
        <v>(l)Se[l]</v>
      </c>
      <c r="F96" s="26">
        <f t="shared" si="26"/>
        <v>4</v>
      </c>
      <c r="G96" s="26">
        <f t="shared" si="26"/>
        <v>3.9995833333333337</v>
      </c>
      <c r="H96" s="26">
        <f t="shared" si="26"/>
        <v>3.9981666666666666</v>
      </c>
      <c r="I96" s="26">
        <f t="shared" si="26"/>
        <v>3.9935</v>
      </c>
      <c r="J96" s="26">
        <f t="shared" si="26"/>
        <v>3.9805000000000001</v>
      </c>
      <c r="K96" s="26">
        <f t="shared" si="26"/>
        <v>3.95</v>
      </c>
      <c r="L96" s="26">
        <f t="shared" si="26"/>
        <v>3.5514166666666669</v>
      </c>
      <c r="M96" s="26">
        <f t="shared" si="26"/>
        <v>3.4427500000000002</v>
      </c>
      <c r="N96" s="26">
        <f t="shared" si="26"/>
        <v>3.3343333333333334</v>
      </c>
      <c r="O96" s="26">
        <f t="shared" si="26"/>
        <v>3.2068333333333334</v>
      </c>
      <c r="P96" s="26">
        <f t="shared" si="26"/>
        <v>3.03525</v>
      </c>
      <c r="Q96" s="26">
        <f t="shared" si="26"/>
        <v>1.6905000000000001</v>
      </c>
      <c r="R96" s="26">
        <f t="shared" si="26"/>
        <v>1.3230833333333334</v>
      </c>
      <c r="S96" s="26">
        <f t="shared" si="26"/>
        <v>1.0115000000000001</v>
      </c>
      <c r="T96" s="26">
        <f t="shared" si="26"/>
        <v>0.78046666666666675</v>
      </c>
      <c r="U96" s="26">
        <f t="shared" si="26"/>
        <v>0.60879166666666662</v>
      </c>
      <c r="V96" s="26">
        <f t="shared" si="26"/>
        <v>0.26844166666666669</v>
      </c>
      <c r="W96" s="26">
        <f t="shared" si="26"/>
        <v>0.14959166666666668</v>
      </c>
      <c r="X96" s="26">
        <f t="shared" si="26"/>
        <v>9.6491666666666684E-2</v>
      </c>
      <c r="Y96" s="26">
        <f t="shared" si="26"/>
        <v>0</v>
      </c>
      <c r="Z96" s="26">
        <f t="shared" si="26"/>
        <v>0</v>
      </c>
      <c r="AA96" s="26">
        <f t="shared" si="26"/>
        <v>0</v>
      </c>
      <c r="AB96" s="26">
        <f t="shared" si="26"/>
        <v>0</v>
      </c>
      <c r="AC96" s="26">
        <f t="shared" si="26"/>
        <v>0</v>
      </c>
      <c r="AD96" s="26">
        <f t="shared" si="26"/>
        <v>0</v>
      </c>
      <c r="AE96" s="26">
        <f t="shared" si="26"/>
        <v>0</v>
      </c>
      <c r="AF96" s="26">
        <f t="shared" si="26"/>
        <v>0</v>
      </c>
      <c r="AG96" s="26">
        <f t="shared" si="26"/>
        <v>0</v>
      </c>
      <c r="AH96" s="26">
        <f t="shared" si="26"/>
        <v>0</v>
      </c>
      <c r="AI96" s="26">
        <f t="shared" si="26"/>
        <v>0</v>
      </c>
      <c r="AJ96" s="26">
        <f t="shared" si="26"/>
        <v>0</v>
      </c>
      <c r="AK96" s="26">
        <f t="shared" si="26"/>
        <v>0</v>
      </c>
      <c r="AL96" s="26">
        <f t="shared" si="26"/>
        <v>0</v>
      </c>
    </row>
    <row r="97" spans="1:38" ht="21" hidden="1" customHeight="1" outlineLevel="1" thickBot="1" x14ac:dyDescent="0.4">
      <c r="A97" s="8">
        <f t="shared" si="24"/>
        <v>0</v>
      </c>
      <c r="B97" s="8">
        <f t="shared" si="24"/>
        <v>0</v>
      </c>
      <c r="C97" s="8">
        <f t="shared" si="24"/>
        <v>0</v>
      </c>
      <c r="D97" s="8">
        <f t="shared" si="24"/>
        <v>0</v>
      </c>
      <c r="E97" s="9" t="str">
        <f t="shared" si="20"/>
        <v>H (Аг)</v>
      </c>
      <c r="F97" s="26">
        <f t="shared" si="26"/>
        <v>-155.08333333333334</v>
      </c>
      <c r="G97" s="26">
        <f t="shared" si="26"/>
        <v>-156.33333333333337</v>
      </c>
      <c r="H97" s="26">
        <f t="shared" si="26"/>
        <v>-156.91666666666666</v>
      </c>
      <c r="I97" s="26">
        <f t="shared" si="26"/>
        <v>-157.5</v>
      </c>
      <c r="J97" s="26">
        <f t="shared" si="26"/>
        <v>-158.08333333333334</v>
      </c>
      <c r="K97" s="26">
        <f t="shared" si="26"/>
        <v>-158.83333333333334</v>
      </c>
      <c r="L97" s="26">
        <f t="shared" si="26"/>
        <v>-162.83333333333334</v>
      </c>
      <c r="M97" s="26">
        <f t="shared" si="26"/>
        <v>-163.75</v>
      </c>
      <c r="N97" s="26">
        <f t="shared" si="26"/>
        <v>-164.66666666666669</v>
      </c>
      <c r="O97" s="26">
        <f t="shared" si="26"/>
        <v>-165.41666666666669</v>
      </c>
      <c r="P97" s="26">
        <f t="shared" si="26"/>
        <v>-166.25</v>
      </c>
      <c r="Q97" s="26">
        <f t="shared" si="26"/>
        <v>-170.16666666666669</v>
      </c>
      <c r="R97" s="26">
        <f t="shared" si="26"/>
        <v>-171.16666666666669</v>
      </c>
      <c r="S97" s="26">
        <f t="shared" si="26"/>
        <v>-172.16666666666669</v>
      </c>
      <c r="T97" s="26">
        <f t="shared" si="26"/>
        <v>-173.00000000000003</v>
      </c>
      <c r="U97" s="26">
        <f t="shared" si="26"/>
        <v>-173.75000000000003</v>
      </c>
      <c r="V97" s="26">
        <f t="shared" si="26"/>
        <v>-176.00000000000003</v>
      </c>
      <c r="W97" s="26">
        <f t="shared" si="26"/>
        <v>-177.83333333333334</v>
      </c>
      <c r="X97" s="26">
        <f t="shared" si="26"/>
        <v>-179.41666666666669</v>
      </c>
      <c r="Y97" s="26">
        <f t="shared" si="26"/>
        <v>0</v>
      </c>
      <c r="Z97" s="26">
        <f t="shared" si="26"/>
        <v>0</v>
      </c>
      <c r="AA97" s="26">
        <f t="shared" si="26"/>
        <v>0</v>
      </c>
      <c r="AB97" s="26">
        <f t="shared" si="26"/>
        <v>0</v>
      </c>
      <c r="AC97" s="26">
        <f t="shared" si="26"/>
        <v>0</v>
      </c>
      <c r="AD97" s="26">
        <f t="shared" si="26"/>
        <v>0</v>
      </c>
      <c r="AE97" s="26">
        <f t="shared" si="26"/>
        <v>0</v>
      </c>
      <c r="AF97" s="26">
        <f t="shared" si="26"/>
        <v>0</v>
      </c>
      <c r="AG97" s="26">
        <f t="shared" si="26"/>
        <v>0</v>
      </c>
      <c r="AH97" s="26">
        <f t="shared" si="26"/>
        <v>0</v>
      </c>
      <c r="AI97" s="26">
        <f t="shared" si="26"/>
        <v>0</v>
      </c>
      <c r="AJ97" s="26">
        <f t="shared" si="26"/>
        <v>0</v>
      </c>
      <c r="AK97" s="26">
        <f t="shared" si="26"/>
        <v>0</v>
      </c>
      <c r="AL97" s="26">
        <f t="shared" si="26"/>
        <v>0</v>
      </c>
    </row>
    <row r="98" spans="1:38" ht="21" hidden="1" customHeight="1" outlineLevel="1" thickBot="1" x14ac:dyDescent="0.4">
      <c r="A98" s="8">
        <f t="shared" si="24"/>
        <v>0</v>
      </c>
      <c r="B98" s="8">
        <f t="shared" si="24"/>
        <v>0</v>
      </c>
      <c r="C98" s="8">
        <f t="shared" si="24"/>
        <v>0</v>
      </c>
      <c r="D98" s="8">
        <f t="shared" si="24"/>
        <v>1</v>
      </c>
      <c r="E98" s="9" t="str">
        <f t="shared" si="20"/>
        <v>H (Ga)</v>
      </c>
      <c r="F98" s="26">
        <f t="shared" si="26"/>
        <v>-52.050000000000004</v>
      </c>
      <c r="G98" s="26">
        <f t="shared" si="26"/>
        <v>-59.56666666666667</v>
      </c>
      <c r="H98" s="26">
        <f t="shared" si="26"/>
        <v>-61.20000000000001</v>
      </c>
      <c r="I98" s="26">
        <f t="shared" si="26"/>
        <v>-62.758333333333333</v>
      </c>
      <c r="J98" s="26">
        <f t="shared" si="26"/>
        <v>-64.300000000000011</v>
      </c>
      <c r="K98" s="26">
        <f t="shared" si="26"/>
        <v>-65.891666666666666</v>
      </c>
      <c r="L98" s="26">
        <f t="shared" si="26"/>
        <v>-74.833333333333343</v>
      </c>
      <c r="M98" s="26">
        <f t="shared" si="26"/>
        <v>-77.64166666666668</v>
      </c>
      <c r="N98" s="26">
        <f t="shared" si="26"/>
        <v>-80.39166666666668</v>
      </c>
      <c r="O98" s="26">
        <f t="shared" si="26"/>
        <v>-83.025000000000006</v>
      </c>
      <c r="P98" s="26">
        <f t="shared" si="26"/>
        <v>-85.5</v>
      </c>
      <c r="Q98" s="26">
        <f t="shared" si="26"/>
        <v>-94</v>
      </c>
      <c r="R98" s="26">
        <f t="shared" si="26"/>
        <v>-95.750000000000014</v>
      </c>
      <c r="S98" s="26">
        <f t="shared" si="26"/>
        <v>-97.166666666666671</v>
      </c>
      <c r="T98" s="26">
        <f t="shared" si="26"/>
        <v>-98.416666666666671</v>
      </c>
      <c r="U98" s="26">
        <f t="shared" si="26"/>
        <v>-99.5</v>
      </c>
      <c r="V98" s="26">
        <f t="shared" si="26"/>
        <v>-102.83333333333334</v>
      </c>
      <c r="W98" s="26">
        <f t="shared" si="26"/>
        <v>-105.41666666666667</v>
      </c>
      <c r="X98" s="26">
        <f t="shared" si="26"/>
        <v>-107.66666666666667</v>
      </c>
      <c r="Y98" s="26">
        <f t="shared" si="26"/>
        <v>0</v>
      </c>
      <c r="Z98" s="26">
        <f t="shared" si="26"/>
        <v>0</v>
      </c>
      <c r="AA98" s="26">
        <f t="shared" si="26"/>
        <v>0</v>
      </c>
      <c r="AB98" s="26">
        <f t="shared" si="26"/>
        <v>0</v>
      </c>
      <c r="AC98" s="26">
        <f t="shared" si="26"/>
        <v>0</v>
      </c>
      <c r="AD98" s="26">
        <f t="shared" si="26"/>
        <v>0</v>
      </c>
      <c r="AE98" s="26">
        <f t="shared" si="26"/>
        <v>0</v>
      </c>
      <c r="AF98" s="26">
        <f t="shared" si="26"/>
        <v>0</v>
      </c>
      <c r="AG98" s="26">
        <f t="shared" si="26"/>
        <v>0</v>
      </c>
      <c r="AH98" s="26">
        <f t="shared" si="26"/>
        <v>0</v>
      </c>
      <c r="AI98" s="26">
        <f t="shared" si="26"/>
        <v>0</v>
      </c>
      <c r="AJ98" s="26">
        <f t="shared" si="26"/>
        <v>0</v>
      </c>
      <c r="AK98" s="26">
        <f t="shared" si="26"/>
        <v>0</v>
      </c>
      <c r="AL98" s="26">
        <f t="shared" si="26"/>
        <v>0</v>
      </c>
    </row>
    <row r="99" spans="1:38" ht="21" hidden="1" customHeight="1" outlineLevel="1" thickBot="1" x14ac:dyDescent="0.4">
      <c r="A99" s="8">
        <f t="shared" si="24"/>
        <v>0</v>
      </c>
      <c r="B99" s="8">
        <f t="shared" si="24"/>
        <v>0</v>
      </c>
      <c r="C99" s="8">
        <f t="shared" si="24"/>
        <v>1</v>
      </c>
      <c r="D99" s="8">
        <f t="shared" si="24"/>
        <v>0</v>
      </c>
      <c r="E99" s="9" t="str">
        <f t="shared" si="20"/>
        <v>H (Ge)</v>
      </c>
      <c r="F99" s="26">
        <f t="shared" si="26"/>
        <v>44.725000000000001</v>
      </c>
      <c r="G99" s="26">
        <f t="shared" si="26"/>
        <v>6.1383333333333336</v>
      </c>
      <c r="H99" s="26">
        <f t="shared" si="26"/>
        <v>-0.46116666666666672</v>
      </c>
      <c r="I99" s="26">
        <f t="shared" si="26"/>
        <v>-6.2966666666666677</v>
      </c>
      <c r="J99" s="26">
        <f t="shared" si="26"/>
        <v>-11.483333333333333</v>
      </c>
      <c r="K99" s="26">
        <f t="shared" si="26"/>
        <v>-16.083333333333336</v>
      </c>
      <c r="L99" s="26">
        <f t="shared" si="26"/>
        <v>-29.541666666666668</v>
      </c>
      <c r="M99" s="26">
        <f t="shared" si="26"/>
        <v>-32.150000000000006</v>
      </c>
      <c r="N99" s="26">
        <f t="shared" si="26"/>
        <v>-34.6</v>
      </c>
      <c r="O99" s="26">
        <f t="shared" si="26"/>
        <v>-36.858333333333334</v>
      </c>
      <c r="P99" s="26">
        <f t="shared" si="26"/>
        <v>-38.900000000000006</v>
      </c>
      <c r="Q99" s="26">
        <f t="shared" si="26"/>
        <v>-43.908333333333339</v>
      </c>
      <c r="R99" s="26">
        <f t="shared" si="26"/>
        <v>-44.541666666666664</v>
      </c>
      <c r="S99" s="26">
        <f t="shared" si="26"/>
        <v>-45.108333333333341</v>
      </c>
      <c r="T99" s="26">
        <f t="shared" si="26"/>
        <v>-45.783333333333331</v>
      </c>
      <c r="U99" s="26">
        <f t="shared" si="26"/>
        <v>-46.56666666666667</v>
      </c>
      <c r="V99" s="26">
        <f t="shared" si="26"/>
        <v>-50.433333333333337</v>
      </c>
      <c r="W99" s="26">
        <f t="shared" si="26"/>
        <v>-54.625</v>
      </c>
      <c r="X99" s="26">
        <f t="shared" si="26"/>
        <v>-58.591666666666669</v>
      </c>
      <c r="Y99" s="26">
        <f t="shared" si="26"/>
        <v>0</v>
      </c>
      <c r="Z99" s="26">
        <f t="shared" si="26"/>
        <v>0</v>
      </c>
      <c r="AA99" s="26">
        <f t="shared" si="26"/>
        <v>0</v>
      </c>
      <c r="AB99" s="26">
        <f t="shared" si="26"/>
        <v>0</v>
      </c>
      <c r="AC99" s="26">
        <f t="shared" si="26"/>
        <v>0</v>
      </c>
      <c r="AD99" s="26">
        <f t="shared" ref="AD99:AL99" si="27">AD19*$C$82</f>
        <v>0</v>
      </c>
      <c r="AE99" s="26">
        <f t="shared" si="27"/>
        <v>0</v>
      </c>
      <c r="AF99" s="26">
        <f t="shared" si="27"/>
        <v>0</v>
      </c>
      <c r="AG99" s="26">
        <f t="shared" si="27"/>
        <v>0</v>
      </c>
      <c r="AH99" s="26">
        <f t="shared" si="27"/>
        <v>0</v>
      </c>
      <c r="AI99" s="26">
        <f t="shared" si="27"/>
        <v>0</v>
      </c>
      <c r="AJ99" s="26">
        <f t="shared" si="27"/>
        <v>0</v>
      </c>
      <c r="AK99" s="26">
        <f t="shared" si="27"/>
        <v>0</v>
      </c>
      <c r="AL99" s="26">
        <f t="shared" si="27"/>
        <v>0</v>
      </c>
    </row>
    <row r="100" spans="1:38" ht="21" hidden="1" customHeight="1" outlineLevel="1" thickBot="1" x14ac:dyDescent="0.4">
      <c r="A100" s="8">
        <f t="shared" si="24"/>
        <v>0</v>
      </c>
      <c r="B100" s="8">
        <f t="shared" si="24"/>
        <v>1</v>
      </c>
      <c r="C100" s="8">
        <f t="shared" si="24"/>
        <v>0</v>
      </c>
      <c r="D100" s="8">
        <f t="shared" si="24"/>
        <v>0</v>
      </c>
      <c r="E100" s="9" t="str">
        <f t="shared" si="20"/>
        <v>H (Se)</v>
      </c>
      <c r="F100" s="26">
        <f t="shared" ref="F100:AL107" si="28">F20*$C$82</f>
        <v>-40.200000000000003</v>
      </c>
      <c r="G100" s="26">
        <f t="shared" si="28"/>
        <v>-46.625</v>
      </c>
      <c r="H100" s="26">
        <f t="shared" si="28"/>
        <v>-48.233333333333341</v>
      </c>
      <c r="I100" s="26">
        <f t="shared" si="28"/>
        <v>-49.791666666666664</v>
      </c>
      <c r="J100" s="26">
        <f t="shared" si="28"/>
        <v>-51.291666666666671</v>
      </c>
      <c r="K100" s="26">
        <f t="shared" si="28"/>
        <v>-52.716666666666669</v>
      </c>
      <c r="L100" s="26">
        <f t="shared" si="28"/>
        <v>-57.35</v>
      </c>
      <c r="M100" s="26">
        <f t="shared" si="28"/>
        <v>-58.38333333333334</v>
      </c>
      <c r="N100" s="26">
        <f t="shared" si="28"/>
        <v>-59.433333333333337</v>
      </c>
      <c r="O100" s="26">
        <f t="shared" si="28"/>
        <v>-60.50833333333334</v>
      </c>
      <c r="P100" s="26">
        <f t="shared" si="28"/>
        <v>-61.616666666666674</v>
      </c>
      <c r="Q100" s="26">
        <f t="shared" si="28"/>
        <v>-67.00833333333334</v>
      </c>
      <c r="R100" s="26">
        <f t="shared" si="28"/>
        <v>-68.76666666666668</v>
      </c>
      <c r="S100" s="26">
        <f t="shared" si="28"/>
        <v>-70.683333333333337</v>
      </c>
      <c r="T100" s="26">
        <f t="shared" si="28"/>
        <v>-72.733333333333334</v>
      </c>
      <c r="U100" s="26">
        <f t="shared" si="28"/>
        <v>-74.849999999999994</v>
      </c>
      <c r="V100" s="26">
        <f t="shared" si="28"/>
        <v>-83.066666666666677</v>
      </c>
      <c r="W100" s="26">
        <f t="shared" si="28"/>
        <v>-90.25</v>
      </c>
      <c r="X100" s="26">
        <f t="shared" si="28"/>
        <v>-96.333333333333343</v>
      </c>
      <c r="Y100" s="26">
        <f t="shared" si="28"/>
        <v>0</v>
      </c>
      <c r="Z100" s="26">
        <f t="shared" si="28"/>
        <v>0</v>
      </c>
      <c r="AA100" s="26">
        <f t="shared" si="28"/>
        <v>0</v>
      </c>
      <c r="AB100" s="26">
        <f t="shared" si="28"/>
        <v>0</v>
      </c>
      <c r="AC100" s="26">
        <f t="shared" si="28"/>
        <v>0</v>
      </c>
      <c r="AD100" s="26">
        <f t="shared" si="28"/>
        <v>0</v>
      </c>
      <c r="AE100" s="26">
        <f t="shared" si="28"/>
        <v>0</v>
      </c>
      <c r="AF100" s="26">
        <f t="shared" si="28"/>
        <v>0</v>
      </c>
      <c r="AG100" s="26">
        <f t="shared" si="28"/>
        <v>0</v>
      </c>
      <c r="AH100" s="26">
        <f t="shared" si="28"/>
        <v>0</v>
      </c>
      <c r="AI100" s="26">
        <f t="shared" si="28"/>
        <v>0</v>
      </c>
      <c r="AJ100" s="26">
        <f t="shared" si="28"/>
        <v>0</v>
      </c>
      <c r="AK100" s="26">
        <f t="shared" si="28"/>
        <v>0</v>
      </c>
      <c r="AL100" s="26">
        <f t="shared" si="28"/>
        <v>0</v>
      </c>
    </row>
    <row r="101" spans="1:38" ht="21" hidden="1" customHeight="1" outlineLevel="1" thickBot="1" x14ac:dyDescent="0.4">
      <c r="A101" s="8">
        <f t="shared" ref="A101:D113" si="29">A67</f>
        <v>0</v>
      </c>
      <c r="B101" s="8">
        <f t="shared" si="29"/>
        <v>0</v>
      </c>
      <c r="C101" s="8">
        <f t="shared" si="29"/>
        <v>0</v>
      </c>
      <c r="D101" s="8">
        <f t="shared" si="29"/>
        <v>0</v>
      </c>
      <c r="E101" s="9">
        <f t="shared" si="20"/>
        <v>0</v>
      </c>
      <c r="F101" s="26">
        <f t="shared" si="28"/>
        <v>0</v>
      </c>
      <c r="G101" s="26">
        <f t="shared" si="28"/>
        <v>0</v>
      </c>
      <c r="H101" s="26">
        <f t="shared" si="28"/>
        <v>0</v>
      </c>
      <c r="I101" s="26">
        <f t="shared" si="28"/>
        <v>0</v>
      </c>
      <c r="J101" s="26">
        <f t="shared" si="28"/>
        <v>0</v>
      </c>
      <c r="K101" s="26">
        <f t="shared" si="28"/>
        <v>0</v>
      </c>
      <c r="L101" s="26">
        <f t="shared" si="28"/>
        <v>0</v>
      </c>
      <c r="M101" s="26">
        <f t="shared" si="28"/>
        <v>0</v>
      </c>
      <c r="N101" s="26">
        <f t="shared" si="28"/>
        <v>0</v>
      </c>
      <c r="O101" s="26">
        <f t="shared" si="28"/>
        <v>0</v>
      </c>
      <c r="P101" s="26">
        <f t="shared" si="28"/>
        <v>0</v>
      </c>
      <c r="Q101" s="26">
        <f t="shared" si="28"/>
        <v>0</v>
      </c>
      <c r="R101" s="26">
        <f t="shared" si="28"/>
        <v>0</v>
      </c>
      <c r="S101" s="26">
        <f t="shared" si="28"/>
        <v>0</v>
      </c>
      <c r="T101" s="26">
        <f t="shared" si="28"/>
        <v>0</v>
      </c>
      <c r="U101" s="26">
        <f t="shared" si="28"/>
        <v>0</v>
      </c>
      <c r="V101" s="26">
        <f t="shared" si="28"/>
        <v>0</v>
      </c>
      <c r="W101" s="26">
        <f t="shared" si="28"/>
        <v>0</v>
      </c>
      <c r="X101" s="26">
        <f t="shared" si="28"/>
        <v>0</v>
      </c>
      <c r="Y101" s="26">
        <f t="shared" si="28"/>
        <v>0</v>
      </c>
      <c r="Z101" s="26">
        <f t="shared" si="28"/>
        <v>0</v>
      </c>
      <c r="AA101" s="26">
        <f t="shared" si="28"/>
        <v>0</v>
      </c>
      <c r="AB101" s="26">
        <f t="shared" si="28"/>
        <v>0</v>
      </c>
      <c r="AC101" s="26">
        <f t="shared" si="28"/>
        <v>0</v>
      </c>
      <c r="AD101" s="26">
        <f t="shared" si="28"/>
        <v>0</v>
      </c>
      <c r="AE101" s="26">
        <f t="shared" si="28"/>
        <v>0</v>
      </c>
      <c r="AF101" s="26">
        <f t="shared" si="28"/>
        <v>0</v>
      </c>
      <c r="AG101" s="26">
        <f t="shared" si="28"/>
        <v>0</v>
      </c>
      <c r="AH101" s="26">
        <f t="shared" si="28"/>
        <v>0</v>
      </c>
      <c r="AI101" s="26">
        <f t="shared" si="28"/>
        <v>0</v>
      </c>
      <c r="AJ101" s="26">
        <f t="shared" si="28"/>
        <v>0</v>
      </c>
      <c r="AK101" s="26">
        <f t="shared" si="28"/>
        <v>0</v>
      </c>
      <c r="AL101" s="26">
        <f t="shared" si="28"/>
        <v>0</v>
      </c>
    </row>
    <row r="102" spans="1:38" ht="21" hidden="1" customHeight="1" outlineLevel="1" thickBot="1" x14ac:dyDescent="0.4">
      <c r="A102" s="8">
        <f t="shared" si="29"/>
        <v>0</v>
      </c>
      <c r="B102" s="8">
        <f t="shared" si="29"/>
        <v>0</v>
      </c>
      <c r="C102" s="8">
        <f t="shared" si="29"/>
        <v>0</v>
      </c>
      <c r="D102" s="8">
        <f t="shared" si="29"/>
        <v>0</v>
      </c>
      <c r="E102" s="9">
        <f t="shared" si="20"/>
        <v>0</v>
      </c>
      <c r="F102" s="26">
        <f t="shared" si="28"/>
        <v>0</v>
      </c>
      <c r="G102" s="26">
        <f t="shared" si="28"/>
        <v>0</v>
      </c>
      <c r="H102" s="26">
        <f t="shared" si="28"/>
        <v>0</v>
      </c>
      <c r="I102" s="26">
        <f t="shared" si="28"/>
        <v>0</v>
      </c>
      <c r="J102" s="26">
        <f t="shared" si="28"/>
        <v>0</v>
      </c>
      <c r="K102" s="26">
        <f t="shared" si="28"/>
        <v>0</v>
      </c>
      <c r="L102" s="26">
        <f t="shared" si="28"/>
        <v>0</v>
      </c>
      <c r="M102" s="26">
        <f t="shared" si="28"/>
        <v>0</v>
      </c>
      <c r="N102" s="26">
        <f t="shared" si="28"/>
        <v>0</v>
      </c>
      <c r="O102" s="26">
        <f t="shared" si="28"/>
        <v>0</v>
      </c>
      <c r="P102" s="26">
        <f t="shared" si="28"/>
        <v>0</v>
      </c>
      <c r="Q102" s="26">
        <f t="shared" si="28"/>
        <v>0</v>
      </c>
      <c r="R102" s="26">
        <f t="shared" si="28"/>
        <v>0</v>
      </c>
      <c r="S102" s="26">
        <f t="shared" si="28"/>
        <v>0</v>
      </c>
      <c r="T102" s="26">
        <f t="shared" si="28"/>
        <v>0</v>
      </c>
      <c r="U102" s="26">
        <f t="shared" si="28"/>
        <v>0</v>
      </c>
      <c r="V102" s="26">
        <f t="shared" si="28"/>
        <v>0</v>
      </c>
      <c r="W102" s="26">
        <f t="shared" si="28"/>
        <v>0</v>
      </c>
      <c r="X102" s="26">
        <f t="shared" si="28"/>
        <v>0</v>
      </c>
      <c r="Y102" s="26">
        <f t="shared" si="28"/>
        <v>0</v>
      </c>
      <c r="Z102" s="26">
        <f t="shared" si="28"/>
        <v>0</v>
      </c>
      <c r="AA102" s="26">
        <f t="shared" si="28"/>
        <v>0</v>
      </c>
      <c r="AB102" s="26">
        <f t="shared" si="28"/>
        <v>0</v>
      </c>
      <c r="AC102" s="26">
        <f t="shared" si="28"/>
        <v>0</v>
      </c>
      <c r="AD102" s="26">
        <f t="shared" si="28"/>
        <v>0</v>
      </c>
      <c r="AE102" s="26">
        <f t="shared" si="28"/>
        <v>0</v>
      </c>
      <c r="AF102" s="26">
        <f t="shared" si="28"/>
        <v>0</v>
      </c>
      <c r="AG102" s="26">
        <f t="shared" si="28"/>
        <v>0</v>
      </c>
      <c r="AH102" s="26">
        <f t="shared" si="28"/>
        <v>0</v>
      </c>
      <c r="AI102" s="26">
        <f t="shared" si="28"/>
        <v>0</v>
      </c>
      <c r="AJ102" s="26">
        <f t="shared" si="28"/>
        <v>0</v>
      </c>
      <c r="AK102" s="26">
        <f t="shared" si="28"/>
        <v>0</v>
      </c>
      <c r="AL102" s="26">
        <f t="shared" si="28"/>
        <v>0</v>
      </c>
    </row>
    <row r="103" spans="1:38" ht="21" hidden="1" customHeight="1" outlineLevel="1" thickBot="1" x14ac:dyDescent="0.4">
      <c r="A103" s="8">
        <f t="shared" si="29"/>
        <v>0</v>
      </c>
      <c r="B103" s="8">
        <f t="shared" si="29"/>
        <v>0</v>
      </c>
      <c r="C103" s="8">
        <f t="shared" si="29"/>
        <v>0</v>
      </c>
      <c r="D103" s="8">
        <f t="shared" si="29"/>
        <v>0</v>
      </c>
      <c r="E103" s="9">
        <f t="shared" si="20"/>
        <v>0</v>
      </c>
      <c r="F103" s="26">
        <f t="shared" si="28"/>
        <v>0</v>
      </c>
      <c r="G103" s="26">
        <f t="shared" si="28"/>
        <v>0</v>
      </c>
      <c r="H103" s="26">
        <f t="shared" si="28"/>
        <v>0</v>
      </c>
      <c r="I103" s="26">
        <f t="shared" si="28"/>
        <v>0</v>
      </c>
      <c r="J103" s="26">
        <f t="shared" si="28"/>
        <v>0</v>
      </c>
      <c r="K103" s="26">
        <f t="shared" si="28"/>
        <v>0</v>
      </c>
      <c r="L103" s="26">
        <f t="shared" si="28"/>
        <v>0</v>
      </c>
      <c r="M103" s="26">
        <f t="shared" si="28"/>
        <v>0</v>
      </c>
      <c r="N103" s="26">
        <f t="shared" si="28"/>
        <v>0</v>
      </c>
      <c r="O103" s="26">
        <f t="shared" si="28"/>
        <v>0</v>
      </c>
      <c r="P103" s="26">
        <f t="shared" si="28"/>
        <v>0</v>
      </c>
      <c r="Q103" s="26">
        <f t="shared" si="28"/>
        <v>0</v>
      </c>
      <c r="R103" s="26">
        <f t="shared" si="28"/>
        <v>0</v>
      </c>
      <c r="S103" s="26">
        <f t="shared" si="28"/>
        <v>0</v>
      </c>
      <c r="T103" s="26">
        <f t="shared" si="28"/>
        <v>0</v>
      </c>
      <c r="U103" s="26">
        <f t="shared" si="28"/>
        <v>0</v>
      </c>
      <c r="V103" s="26">
        <f t="shared" si="28"/>
        <v>0</v>
      </c>
      <c r="W103" s="26">
        <f t="shared" si="28"/>
        <v>0</v>
      </c>
      <c r="X103" s="26">
        <f t="shared" si="28"/>
        <v>0</v>
      </c>
      <c r="Y103" s="26">
        <f t="shared" si="28"/>
        <v>0</v>
      </c>
      <c r="Z103" s="26">
        <f t="shared" si="28"/>
        <v>0</v>
      </c>
      <c r="AA103" s="26">
        <f t="shared" si="28"/>
        <v>0</v>
      </c>
      <c r="AB103" s="26">
        <f t="shared" si="28"/>
        <v>0</v>
      </c>
      <c r="AC103" s="26">
        <f t="shared" si="28"/>
        <v>0</v>
      </c>
      <c r="AD103" s="26">
        <f t="shared" si="28"/>
        <v>0</v>
      </c>
      <c r="AE103" s="26">
        <f t="shared" si="28"/>
        <v>0</v>
      </c>
      <c r="AF103" s="26">
        <f t="shared" si="28"/>
        <v>0</v>
      </c>
      <c r="AG103" s="26">
        <f t="shared" si="28"/>
        <v>0</v>
      </c>
      <c r="AH103" s="26">
        <f t="shared" si="28"/>
        <v>0</v>
      </c>
      <c r="AI103" s="26">
        <f t="shared" si="28"/>
        <v>0</v>
      </c>
      <c r="AJ103" s="26">
        <f t="shared" si="28"/>
        <v>0</v>
      </c>
      <c r="AK103" s="26">
        <f t="shared" si="28"/>
        <v>0</v>
      </c>
      <c r="AL103" s="26">
        <f t="shared" si="28"/>
        <v>0</v>
      </c>
    </row>
    <row r="104" spans="1:38" ht="21" hidden="1" customHeight="1" outlineLevel="1" thickBot="1" x14ac:dyDescent="0.4">
      <c r="A104" s="8">
        <f t="shared" si="29"/>
        <v>0</v>
      </c>
      <c r="B104" s="8">
        <f t="shared" si="29"/>
        <v>0</v>
      </c>
      <c r="C104" s="8">
        <f t="shared" si="29"/>
        <v>0</v>
      </c>
      <c r="D104" s="8">
        <f t="shared" si="29"/>
        <v>0</v>
      </c>
      <c r="E104" s="9">
        <f t="shared" si="20"/>
        <v>0</v>
      </c>
      <c r="F104" s="26">
        <f t="shared" si="28"/>
        <v>0</v>
      </c>
      <c r="G104" s="26">
        <f t="shared" si="28"/>
        <v>0</v>
      </c>
      <c r="H104" s="26">
        <f t="shared" si="28"/>
        <v>0</v>
      </c>
      <c r="I104" s="26">
        <f t="shared" si="28"/>
        <v>0</v>
      </c>
      <c r="J104" s="26">
        <f t="shared" si="28"/>
        <v>0</v>
      </c>
      <c r="K104" s="26">
        <f t="shared" si="28"/>
        <v>0</v>
      </c>
      <c r="L104" s="26">
        <f t="shared" si="28"/>
        <v>0</v>
      </c>
      <c r="M104" s="26">
        <f t="shared" si="28"/>
        <v>0</v>
      </c>
      <c r="N104" s="26">
        <f t="shared" si="28"/>
        <v>0</v>
      </c>
      <c r="O104" s="26">
        <f t="shared" si="28"/>
        <v>0</v>
      </c>
      <c r="P104" s="26">
        <f t="shared" si="28"/>
        <v>0</v>
      </c>
      <c r="Q104" s="26">
        <f t="shared" si="28"/>
        <v>0</v>
      </c>
      <c r="R104" s="26">
        <f t="shared" si="28"/>
        <v>0</v>
      </c>
      <c r="S104" s="26">
        <f t="shared" si="28"/>
        <v>0</v>
      </c>
      <c r="T104" s="26">
        <f t="shared" si="28"/>
        <v>0</v>
      </c>
      <c r="U104" s="26">
        <f t="shared" si="28"/>
        <v>0</v>
      </c>
      <c r="V104" s="26">
        <f t="shared" si="28"/>
        <v>0</v>
      </c>
      <c r="W104" s="26">
        <f t="shared" si="28"/>
        <v>0</v>
      </c>
      <c r="X104" s="26">
        <f t="shared" si="28"/>
        <v>0</v>
      </c>
      <c r="Y104" s="26">
        <f t="shared" si="28"/>
        <v>0</v>
      </c>
      <c r="Z104" s="26">
        <f t="shared" si="28"/>
        <v>0</v>
      </c>
      <c r="AA104" s="26">
        <f t="shared" si="28"/>
        <v>0</v>
      </c>
      <c r="AB104" s="26">
        <f t="shared" si="28"/>
        <v>0</v>
      </c>
      <c r="AC104" s="26">
        <f t="shared" si="28"/>
        <v>0</v>
      </c>
      <c r="AD104" s="26">
        <f t="shared" si="28"/>
        <v>0</v>
      </c>
      <c r="AE104" s="26">
        <f t="shared" si="28"/>
        <v>0</v>
      </c>
      <c r="AF104" s="26">
        <f t="shared" si="28"/>
        <v>0</v>
      </c>
      <c r="AG104" s="26">
        <f t="shared" si="28"/>
        <v>0</v>
      </c>
      <c r="AH104" s="26">
        <f t="shared" si="28"/>
        <v>0</v>
      </c>
      <c r="AI104" s="26">
        <f t="shared" si="28"/>
        <v>0</v>
      </c>
      <c r="AJ104" s="26">
        <f t="shared" si="28"/>
        <v>0</v>
      </c>
      <c r="AK104" s="26">
        <f t="shared" si="28"/>
        <v>0</v>
      </c>
      <c r="AL104" s="26">
        <f t="shared" si="28"/>
        <v>0</v>
      </c>
    </row>
    <row r="105" spans="1:38" ht="21" hidden="1" customHeight="1" outlineLevel="1" thickBot="1" x14ac:dyDescent="0.4">
      <c r="A105" s="8">
        <f t="shared" si="29"/>
        <v>0</v>
      </c>
      <c r="B105" s="8">
        <f t="shared" si="29"/>
        <v>0</v>
      </c>
      <c r="C105" s="8">
        <f t="shared" si="29"/>
        <v>0</v>
      </c>
      <c r="D105" s="8">
        <f t="shared" si="29"/>
        <v>0</v>
      </c>
      <c r="E105" s="9">
        <f t="shared" si="20"/>
        <v>0</v>
      </c>
      <c r="F105" s="26">
        <f t="shared" si="28"/>
        <v>0</v>
      </c>
      <c r="G105" s="26">
        <f t="shared" si="28"/>
        <v>0</v>
      </c>
      <c r="H105" s="26">
        <f t="shared" si="28"/>
        <v>0</v>
      </c>
      <c r="I105" s="26">
        <f t="shared" si="28"/>
        <v>0</v>
      </c>
      <c r="J105" s="26">
        <f t="shared" si="28"/>
        <v>0</v>
      </c>
      <c r="K105" s="26">
        <f t="shared" si="28"/>
        <v>0</v>
      </c>
      <c r="L105" s="26">
        <f t="shared" si="28"/>
        <v>0</v>
      </c>
      <c r="M105" s="26">
        <f t="shared" si="28"/>
        <v>0</v>
      </c>
      <c r="N105" s="26">
        <f t="shared" si="28"/>
        <v>0</v>
      </c>
      <c r="O105" s="26">
        <f t="shared" si="28"/>
        <v>0</v>
      </c>
      <c r="P105" s="26">
        <f t="shared" si="28"/>
        <v>0</v>
      </c>
      <c r="Q105" s="26">
        <f t="shared" si="28"/>
        <v>0</v>
      </c>
      <c r="R105" s="26">
        <f t="shared" si="28"/>
        <v>0</v>
      </c>
      <c r="S105" s="26">
        <f t="shared" si="28"/>
        <v>0</v>
      </c>
      <c r="T105" s="26">
        <f t="shared" si="28"/>
        <v>0</v>
      </c>
      <c r="U105" s="26">
        <f t="shared" si="28"/>
        <v>0</v>
      </c>
      <c r="V105" s="26">
        <f t="shared" si="28"/>
        <v>0</v>
      </c>
      <c r="W105" s="26">
        <f t="shared" si="28"/>
        <v>0</v>
      </c>
      <c r="X105" s="26">
        <f t="shared" si="28"/>
        <v>0</v>
      </c>
      <c r="Y105" s="26">
        <f t="shared" si="28"/>
        <v>0</v>
      </c>
      <c r="Z105" s="26">
        <f t="shared" si="28"/>
        <v>0</v>
      </c>
      <c r="AA105" s="26">
        <f t="shared" si="28"/>
        <v>0</v>
      </c>
      <c r="AB105" s="26">
        <f t="shared" si="28"/>
        <v>0</v>
      </c>
      <c r="AC105" s="26">
        <f t="shared" si="28"/>
        <v>0</v>
      </c>
      <c r="AD105" s="26">
        <f t="shared" si="28"/>
        <v>0</v>
      </c>
      <c r="AE105" s="26">
        <f t="shared" si="28"/>
        <v>0</v>
      </c>
      <c r="AF105" s="26">
        <f t="shared" si="28"/>
        <v>0</v>
      </c>
      <c r="AG105" s="26">
        <f t="shared" si="28"/>
        <v>0</v>
      </c>
      <c r="AH105" s="26">
        <f t="shared" si="28"/>
        <v>0</v>
      </c>
      <c r="AI105" s="26">
        <f t="shared" si="28"/>
        <v>0</v>
      </c>
      <c r="AJ105" s="26">
        <f t="shared" si="28"/>
        <v>0</v>
      </c>
      <c r="AK105" s="26">
        <f t="shared" si="28"/>
        <v>0</v>
      </c>
      <c r="AL105" s="26">
        <f t="shared" si="28"/>
        <v>0</v>
      </c>
    </row>
    <row r="106" spans="1:38" ht="21" hidden="1" customHeight="1" outlineLevel="1" thickBot="1" x14ac:dyDescent="0.4">
      <c r="A106" s="8">
        <f t="shared" si="29"/>
        <v>0</v>
      </c>
      <c r="B106" s="8">
        <f t="shared" si="29"/>
        <v>0</v>
      </c>
      <c r="C106" s="8">
        <f t="shared" si="29"/>
        <v>0</v>
      </c>
      <c r="D106" s="8">
        <f t="shared" si="29"/>
        <v>0</v>
      </c>
      <c r="E106" s="9">
        <f t="shared" si="20"/>
        <v>0</v>
      </c>
      <c r="F106" s="26">
        <f t="shared" si="28"/>
        <v>0</v>
      </c>
      <c r="G106" s="26">
        <f t="shared" si="28"/>
        <v>0</v>
      </c>
      <c r="H106" s="26">
        <f t="shared" si="28"/>
        <v>0</v>
      </c>
      <c r="I106" s="26">
        <f t="shared" si="28"/>
        <v>0</v>
      </c>
      <c r="J106" s="26">
        <f t="shared" si="28"/>
        <v>0</v>
      </c>
      <c r="K106" s="26">
        <f t="shared" si="28"/>
        <v>0</v>
      </c>
      <c r="L106" s="26">
        <f t="shared" si="28"/>
        <v>0</v>
      </c>
      <c r="M106" s="26">
        <f t="shared" si="28"/>
        <v>0</v>
      </c>
      <c r="N106" s="26">
        <f t="shared" si="28"/>
        <v>0</v>
      </c>
      <c r="O106" s="26">
        <f t="shared" si="28"/>
        <v>0</v>
      </c>
      <c r="P106" s="26">
        <f t="shared" si="28"/>
        <v>0</v>
      </c>
      <c r="Q106" s="26">
        <f t="shared" si="28"/>
        <v>0</v>
      </c>
      <c r="R106" s="26">
        <f t="shared" si="28"/>
        <v>0</v>
      </c>
      <c r="S106" s="26">
        <f t="shared" si="28"/>
        <v>0</v>
      </c>
      <c r="T106" s="26">
        <f t="shared" si="28"/>
        <v>0</v>
      </c>
      <c r="U106" s="26">
        <f t="shared" si="28"/>
        <v>0</v>
      </c>
      <c r="V106" s="26">
        <f t="shared" si="28"/>
        <v>0</v>
      </c>
      <c r="W106" s="26">
        <f t="shared" si="28"/>
        <v>0</v>
      </c>
      <c r="X106" s="26">
        <f t="shared" si="28"/>
        <v>0</v>
      </c>
      <c r="Y106" s="26">
        <f t="shared" si="28"/>
        <v>0</v>
      </c>
      <c r="Z106" s="26">
        <f t="shared" si="28"/>
        <v>0</v>
      </c>
      <c r="AA106" s="26">
        <f t="shared" si="28"/>
        <v>0</v>
      </c>
      <c r="AB106" s="26">
        <f t="shared" si="28"/>
        <v>0</v>
      </c>
      <c r="AC106" s="26">
        <f t="shared" si="28"/>
        <v>0</v>
      </c>
      <c r="AD106" s="26">
        <f t="shared" si="28"/>
        <v>0</v>
      </c>
      <c r="AE106" s="26">
        <f t="shared" si="28"/>
        <v>0</v>
      </c>
      <c r="AF106" s="26">
        <f t="shared" si="28"/>
        <v>0</v>
      </c>
      <c r="AG106" s="26">
        <f t="shared" si="28"/>
        <v>0</v>
      </c>
      <c r="AH106" s="26">
        <f t="shared" si="28"/>
        <v>0</v>
      </c>
      <c r="AI106" s="26">
        <f t="shared" si="28"/>
        <v>0</v>
      </c>
      <c r="AJ106" s="26">
        <f t="shared" si="28"/>
        <v>0</v>
      </c>
      <c r="AK106" s="26">
        <f t="shared" si="28"/>
        <v>0</v>
      </c>
      <c r="AL106" s="26">
        <f t="shared" si="28"/>
        <v>0</v>
      </c>
    </row>
    <row r="107" spans="1:38" ht="21" hidden="1" customHeight="1" outlineLevel="1" thickBot="1" x14ac:dyDescent="0.4">
      <c r="A107" s="8">
        <f t="shared" si="29"/>
        <v>0</v>
      </c>
      <c r="B107" s="8">
        <f t="shared" si="29"/>
        <v>0</v>
      </c>
      <c r="C107" s="8">
        <f t="shared" si="29"/>
        <v>0</v>
      </c>
      <c r="D107" s="8">
        <f t="shared" si="29"/>
        <v>0</v>
      </c>
      <c r="E107" s="9">
        <f t="shared" si="20"/>
        <v>0</v>
      </c>
      <c r="F107" s="26">
        <f t="shared" si="28"/>
        <v>0</v>
      </c>
      <c r="G107" s="26">
        <f t="shared" si="28"/>
        <v>0</v>
      </c>
      <c r="H107" s="26">
        <f t="shared" si="28"/>
        <v>0</v>
      </c>
      <c r="I107" s="26">
        <f t="shared" si="28"/>
        <v>0</v>
      </c>
      <c r="J107" s="26">
        <f t="shared" si="28"/>
        <v>0</v>
      </c>
      <c r="K107" s="26">
        <f t="shared" si="28"/>
        <v>0</v>
      </c>
      <c r="L107" s="26">
        <f t="shared" si="28"/>
        <v>0</v>
      </c>
      <c r="M107" s="26">
        <f t="shared" si="28"/>
        <v>0</v>
      </c>
      <c r="N107" s="26">
        <f t="shared" si="28"/>
        <v>0</v>
      </c>
      <c r="O107" s="26">
        <f t="shared" si="28"/>
        <v>0</v>
      </c>
      <c r="P107" s="26">
        <f t="shared" si="28"/>
        <v>0</v>
      </c>
      <c r="Q107" s="26">
        <f t="shared" si="28"/>
        <v>0</v>
      </c>
      <c r="R107" s="26">
        <f t="shared" si="28"/>
        <v>0</v>
      </c>
      <c r="S107" s="26">
        <f t="shared" si="28"/>
        <v>0</v>
      </c>
      <c r="T107" s="26">
        <f t="shared" si="28"/>
        <v>0</v>
      </c>
      <c r="U107" s="26">
        <f t="shared" si="28"/>
        <v>0</v>
      </c>
      <c r="V107" s="26">
        <f t="shared" si="28"/>
        <v>0</v>
      </c>
      <c r="W107" s="26">
        <f t="shared" si="28"/>
        <v>0</v>
      </c>
      <c r="X107" s="26">
        <f t="shared" si="28"/>
        <v>0</v>
      </c>
      <c r="Y107" s="26">
        <f t="shared" si="28"/>
        <v>0</v>
      </c>
      <c r="Z107" s="26">
        <f t="shared" si="28"/>
        <v>0</v>
      </c>
      <c r="AA107" s="26">
        <f t="shared" si="28"/>
        <v>0</v>
      </c>
      <c r="AB107" s="26">
        <f t="shared" si="28"/>
        <v>0</v>
      </c>
      <c r="AC107" s="26">
        <f t="shared" si="28"/>
        <v>0</v>
      </c>
      <c r="AD107" s="26">
        <f t="shared" ref="AD107:AL107" si="30">AD27*$C$82</f>
        <v>0</v>
      </c>
      <c r="AE107" s="26">
        <f t="shared" si="30"/>
        <v>0</v>
      </c>
      <c r="AF107" s="26">
        <f t="shared" si="30"/>
        <v>0</v>
      </c>
      <c r="AG107" s="26">
        <f t="shared" si="30"/>
        <v>0</v>
      </c>
      <c r="AH107" s="26">
        <f t="shared" si="30"/>
        <v>0</v>
      </c>
      <c r="AI107" s="26">
        <f t="shared" si="30"/>
        <v>0</v>
      </c>
      <c r="AJ107" s="26">
        <f t="shared" si="30"/>
        <v>0</v>
      </c>
      <c r="AK107" s="26">
        <f t="shared" si="30"/>
        <v>0</v>
      </c>
      <c r="AL107" s="26">
        <f t="shared" si="30"/>
        <v>0</v>
      </c>
    </row>
    <row r="108" spans="1:38" ht="21" hidden="1" customHeight="1" outlineLevel="1" thickBot="1" x14ac:dyDescent="0.4">
      <c r="A108" s="8">
        <f t="shared" si="29"/>
        <v>0</v>
      </c>
      <c r="B108" s="8">
        <f t="shared" si="29"/>
        <v>0</v>
      </c>
      <c r="C108" s="8">
        <f t="shared" si="29"/>
        <v>0</v>
      </c>
      <c r="D108" s="8">
        <f t="shared" si="29"/>
        <v>0</v>
      </c>
      <c r="E108" s="9">
        <f t="shared" si="20"/>
        <v>0</v>
      </c>
      <c r="F108" s="26">
        <f t="shared" ref="F108:AL112" si="31">F28*$C$82</f>
        <v>0</v>
      </c>
      <c r="G108" s="26">
        <f t="shared" si="31"/>
        <v>0</v>
      </c>
      <c r="H108" s="26">
        <f t="shared" si="31"/>
        <v>0</v>
      </c>
      <c r="I108" s="26">
        <f t="shared" si="31"/>
        <v>0</v>
      </c>
      <c r="J108" s="26">
        <f t="shared" si="31"/>
        <v>0</v>
      </c>
      <c r="K108" s="26">
        <f t="shared" si="31"/>
        <v>0</v>
      </c>
      <c r="L108" s="26">
        <f t="shared" si="31"/>
        <v>0</v>
      </c>
      <c r="M108" s="26">
        <f t="shared" si="31"/>
        <v>0</v>
      </c>
      <c r="N108" s="26">
        <f t="shared" si="31"/>
        <v>0</v>
      </c>
      <c r="O108" s="26">
        <f t="shared" si="31"/>
        <v>0</v>
      </c>
      <c r="P108" s="26">
        <f t="shared" si="31"/>
        <v>0</v>
      </c>
      <c r="Q108" s="26">
        <f t="shared" si="31"/>
        <v>0</v>
      </c>
      <c r="R108" s="26">
        <f t="shared" si="31"/>
        <v>0</v>
      </c>
      <c r="S108" s="26">
        <f t="shared" si="31"/>
        <v>0</v>
      </c>
      <c r="T108" s="26">
        <f t="shared" si="31"/>
        <v>0</v>
      </c>
      <c r="U108" s="26">
        <f t="shared" si="31"/>
        <v>0</v>
      </c>
      <c r="V108" s="26">
        <f t="shared" si="31"/>
        <v>0</v>
      </c>
      <c r="W108" s="26">
        <f t="shared" si="31"/>
        <v>0</v>
      </c>
      <c r="X108" s="26">
        <f t="shared" si="31"/>
        <v>0</v>
      </c>
      <c r="Y108" s="26">
        <f t="shared" si="31"/>
        <v>0</v>
      </c>
      <c r="Z108" s="26">
        <f t="shared" si="31"/>
        <v>0</v>
      </c>
      <c r="AA108" s="26">
        <f t="shared" si="31"/>
        <v>0</v>
      </c>
      <c r="AB108" s="26">
        <f t="shared" si="31"/>
        <v>0</v>
      </c>
      <c r="AC108" s="26">
        <f t="shared" si="31"/>
        <v>0</v>
      </c>
      <c r="AD108" s="26">
        <f t="shared" si="31"/>
        <v>0</v>
      </c>
      <c r="AE108" s="26">
        <f t="shared" si="31"/>
        <v>0</v>
      </c>
      <c r="AF108" s="26">
        <f t="shared" si="31"/>
        <v>0</v>
      </c>
      <c r="AG108" s="26">
        <f t="shared" si="31"/>
        <v>0</v>
      </c>
      <c r="AH108" s="26">
        <f t="shared" si="31"/>
        <v>0</v>
      </c>
      <c r="AI108" s="26">
        <f t="shared" si="31"/>
        <v>0</v>
      </c>
      <c r="AJ108" s="26">
        <f t="shared" si="31"/>
        <v>0</v>
      </c>
      <c r="AK108" s="26">
        <f t="shared" si="31"/>
        <v>0</v>
      </c>
      <c r="AL108" s="26">
        <f t="shared" si="31"/>
        <v>0</v>
      </c>
    </row>
    <row r="109" spans="1:38" ht="21" hidden="1" customHeight="1" outlineLevel="1" thickBot="1" x14ac:dyDescent="0.4">
      <c r="A109" s="8">
        <f t="shared" si="29"/>
        <v>0</v>
      </c>
      <c r="B109" s="8">
        <f t="shared" si="29"/>
        <v>0</v>
      </c>
      <c r="C109" s="8">
        <f t="shared" si="29"/>
        <v>0</v>
      </c>
      <c r="D109" s="8">
        <f t="shared" si="29"/>
        <v>0</v>
      </c>
      <c r="E109" s="9">
        <f t="shared" si="20"/>
        <v>0</v>
      </c>
      <c r="F109" s="26">
        <f t="shared" si="31"/>
        <v>0</v>
      </c>
      <c r="G109" s="26">
        <f t="shared" si="31"/>
        <v>0</v>
      </c>
      <c r="H109" s="26">
        <f t="shared" si="31"/>
        <v>0</v>
      </c>
      <c r="I109" s="26">
        <f t="shared" si="31"/>
        <v>0</v>
      </c>
      <c r="J109" s="26">
        <f t="shared" si="31"/>
        <v>0</v>
      </c>
      <c r="K109" s="26">
        <f t="shared" si="31"/>
        <v>0</v>
      </c>
      <c r="L109" s="26">
        <f t="shared" si="31"/>
        <v>0</v>
      </c>
      <c r="M109" s="26">
        <f t="shared" si="31"/>
        <v>0</v>
      </c>
      <c r="N109" s="26">
        <f t="shared" si="31"/>
        <v>0</v>
      </c>
      <c r="O109" s="26">
        <f t="shared" si="31"/>
        <v>0</v>
      </c>
      <c r="P109" s="26">
        <f t="shared" si="31"/>
        <v>0</v>
      </c>
      <c r="Q109" s="26">
        <f t="shared" si="31"/>
        <v>0</v>
      </c>
      <c r="R109" s="26">
        <f t="shared" si="31"/>
        <v>0</v>
      </c>
      <c r="S109" s="26">
        <f t="shared" si="31"/>
        <v>0</v>
      </c>
      <c r="T109" s="26">
        <f t="shared" si="31"/>
        <v>0</v>
      </c>
      <c r="U109" s="26">
        <f t="shared" si="31"/>
        <v>0</v>
      </c>
      <c r="V109" s="26">
        <f t="shared" si="31"/>
        <v>0</v>
      </c>
      <c r="W109" s="26">
        <f t="shared" si="31"/>
        <v>0</v>
      </c>
      <c r="X109" s="26">
        <f t="shared" si="31"/>
        <v>0</v>
      </c>
      <c r="Y109" s="26">
        <f t="shared" si="31"/>
        <v>0</v>
      </c>
      <c r="Z109" s="26">
        <f t="shared" si="31"/>
        <v>0</v>
      </c>
      <c r="AA109" s="26">
        <f t="shared" si="31"/>
        <v>0</v>
      </c>
      <c r="AB109" s="26">
        <f t="shared" si="31"/>
        <v>0</v>
      </c>
      <c r="AC109" s="26">
        <f t="shared" si="31"/>
        <v>0</v>
      </c>
      <c r="AD109" s="26">
        <f t="shared" si="31"/>
        <v>0</v>
      </c>
      <c r="AE109" s="26">
        <f t="shared" si="31"/>
        <v>0</v>
      </c>
      <c r="AF109" s="26">
        <f t="shared" si="31"/>
        <v>0</v>
      </c>
      <c r="AG109" s="26">
        <f t="shared" si="31"/>
        <v>0</v>
      </c>
      <c r="AH109" s="26">
        <f t="shared" si="31"/>
        <v>0</v>
      </c>
      <c r="AI109" s="26">
        <f t="shared" si="31"/>
        <v>0</v>
      </c>
      <c r="AJ109" s="26">
        <f t="shared" si="31"/>
        <v>0</v>
      </c>
      <c r="AK109" s="26">
        <f t="shared" si="31"/>
        <v>0</v>
      </c>
      <c r="AL109" s="26">
        <f t="shared" si="31"/>
        <v>0</v>
      </c>
    </row>
    <row r="110" spans="1:38" ht="21" hidden="1" customHeight="1" outlineLevel="1" thickBot="1" x14ac:dyDescent="0.4">
      <c r="A110" s="8">
        <f t="shared" si="29"/>
        <v>0</v>
      </c>
      <c r="B110" s="8">
        <f t="shared" si="29"/>
        <v>0</v>
      </c>
      <c r="C110" s="8">
        <f t="shared" si="29"/>
        <v>0</v>
      </c>
      <c r="D110" s="8">
        <f t="shared" si="29"/>
        <v>0</v>
      </c>
      <c r="E110" s="9">
        <f t="shared" si="20"/>
        <v>0</v>
      </c>
      <c r="F110" s="26">
        <f t="shared" si="31"/>
        <v>0</v>
      </c>
      <c r="G110" s="26">
        <f t="shared" si="31"/>
        <v>0</v>
      </c>
      <c r="H110" s="26">
        <f t="shared" si="31"/>
        <v>0</v>
      </c>
      <c r="I110" s="26">
        <f t="shared" si="31"/>
        <v>0</v>
      </c>
      <c r="J110" s="26">
        <f t="shared" si="31"/>
        <v>0</v>
      </c>
      <c r="K110" s="26">
        <f t="shared" si="31"/>
        <v>0</v>
      </c>
      <c r="L110" s="26">
        <f t="shared" si="31"/>
        <v>0</v>
      </c>
      <c r="M110" s="26">
        <f t="shared" si="31"/>
        <v>0</v>
      </c>
      <c r="N110" s="26">
        <f t="shared" si="31"/>
        <v>0</v>
      </c>
      <c r="O110" s="26">
        <f t="shared" si="31"/>
        <v>0</v>
      </c>
      <c r="P110" s="26">
        <f t="shared" si="31"/>
        <v>0</v>
      </c>
      <c r="Q110" s="26">
        <f t="shared" si="31"/>
        <v>0</v>
      </c>
      <c r="R110" s="26">
        <f t="shared" si="31"/>
        <v>0</v>
      </c>
      <c r="S110" s="26">
        <f t="shared" si="31"/>
        <v>0</v>
      </c>
      <c r="T110" s="26">
        <f t="shared" si="31"/>
        <v>0</v>
      </c>
      <c r="U110" s="26">
        <f t="shared" si="31"/>
        <v>0</v>
      </c>
      <c r="V110" s="26">
        <f t="shared" si="31"/>
        <v>0</v>
      </c>
      <c r="W110" s="26">
        <f t="shared" si="31"/>
        <v>0</v>
      </c>
      <c r="X110" s="26">
        <f t="shared" si="31"/>
        <v>0</v>
      </c>
      <c r="Y110" s="26">
        <f t="shared" si="31"/>
        <v>0</v>
      </c>
      <c r="Z110" s="26">
        <f t="shared" si="31"/>
        <v>0</v>
      </c>
      <c r="AA110" s="26">
        <f t="shared" si="31"/>
        <v>0</v>
      </c>
      <c r="AB110" s="26">
        <f t="shared" si="31"/>
        <v>0</v>
      </c>
      <c r="AC110" s="26">
        <f t="shared" si="31"/>
        <v>0</v>
      </c>
      <c r="AD110" s="26">
        <f t="shared" si="31"/>
        <v>0</v>
      </c>
      <c r="AE110" s="26">
        <f t="shared" si="31"/>
        <v>0</v>
      </c>
      <c r="AF110" s="26">
        <f t="shared" si="31"/>
        <v>0</v>
      </c>
      <c r="AG110" s="26">
        <f t="shared" si="31"/>
        <v>0</v>
      </c>
      <c r="AH110" s="26">
        <f t="shared" si="31"/>
        <v>0</v>
      </c>
      <c r="AI110" s="26">
        <f t="shared" si="31"/>
        <v>0</v>
      </c>
      <c r="AJ110" s="26">
        <f t="shared" si="31"/>
        <v>0</v>
      </c>
      <c r="AK110" s="26">
        <f t="shared" si="31"/>
        <v>0</v>
      </c>
      <c r="AL110" s="26">
        <f t="shared" si="31"/>
        <v>0</v>
      </c>
    </row>
    <row r="111" spans="1:38" ht="21" hidden="1" customHeight="1" outlineLevel="1" thickBot="1" x14ac:dyDescent="0.4">
      <c r="A111" s="8">
        <f t="shared" si="29"/>
        <v>0</v>
      </c>
      <c r="B111" s="8">
        <f t="shared" si="29"/>
        <v>0</v>
      </c>
      <c r="C111" s="8">
        <f t="shared" si="29"/>
        <v>0</v>
      </c>
      <c r="D111" s="8">
        <f t="shared" si="29"/>
        <v>0</v>
      </c>
      <c r="E111" s="9">
        <f t="shared" si="20"/>
        <v>0</v>
      </c>
      <c r="F111" s="26">
        <f t="shared" si="31"/>
        <v>0</v>
      </c>
      <c r="G111" s="26">
        <f t="shared" si="31"/>
        <v>0</v>
      </c>
      <c r="H111" s="26">
        <f t="shared" si="31"/>
        <v>0</v>
      </c>
      <c r="I111" s="26">
        <f t="shared" si="31"/>
        <v>0</v>
      </c>
      <c r="J111" s="26">
        <f t="shared" si="31"/>
        <v>0</v>
      </c>
      <c r="K111" s="26">
        <f t="shared" si="31"/>
        <v>0</v>
      </c>
      <c r="L111" s="26">
        <f t="shared" si="31"/>
        <v>0</v>
      </c>
      <c r="M111" s="26">
        <f t="shared" si="31"/>
        <v>0</v>
      </c>
      <c r="N111" s="26">
        <f t="shared" si="31"/>
        <v>0</v>
      </c>
      <c r="O111" s="26">
        <f t="shared" si="31"/>
        <v>0</v>
      </c>
      <c r="P111" s="26">
        <f t="shared" si="31"/>
        <v>0</v>
      </c>
      <c r="Q111" s="26">
        <f t="shared" si="31"/>
        <v>0</v>
      </c>
      <c r="R111" s="26">
        <f t="shared" si="31"/>
        <v>0</v>
      </c>
      <c r="S111" s="26">
        <f t="shared" si="31"/>
        <v>0</v>
      </c>
      <c r="T111" s="26">
        <f t="shared" si="31"/>
        <v>0</v>
      </c>
      <c r="U111" s="26">
        <f t="shared" si="31"/>
        <v>0</v>
      </c>
      <c r="V111" s="26">
        <f t="shared" si="31"/>
        <v>0</v>
      </c>
      <c r="W111" s="26">
        <f t="shared" si="31"/>
        <v>0</v>
      </c>
      <c r="X111" s="26">
        <f t="shared" si="31"/>
        <v>0</v>
      </c>
      <c r="Y111" s="26">
        <f t="shared" si="31"/>
        <v>0</v>
      </c>
      <c r="Z111" s="26">
        <f t="shared" si="31"/>
        <v>0</v>
      </c>
      <c r="AA111" s="26">
        <f t="shared" si="31"/>
        <v>0</v>
      </c>
      <c r="AB111" s="26">
        <f t="shared" si="31"/>
        <v>0</v>
      </c>
      <c r="AC111" s="26">
        <f t="shared" si="31"/>
        <v>0</v>
      </c>
      <c r="AD111" s="26">
        <f t="shared" si="31"/>
        <v>0</v>
      </c>
      <c r="AE111" s="26">
        <f t="shared" si="31"/>
        <v>0</v>
      </c>
      <c r="AF111" s="26">
        <f t="shared" si="31"/>
        <v>0</v>
      </c>
      <c r="AG111" s="26">
        <f t="shared" si="31"/>
        <v>0</v>
      </c>
      <c r="AH111" s="26">
        <f t="shared" si="31"/>
        <v>0</v>
      </c>
      <c r="AI111" s="26">
        <f t="shared" si="31"/>
        <v>0</v>
      </c>
      <c r="AJ111" s="26">
        <f t="shared" si="31"/>
        <v>0</v>
      </c>
      <c r="AK111" s="26">
        <f t="shared" si="31"/>
        <v>0</v>
      </c>
      <c r="AL111" s="26">
        <f t="shared" si="31"/>
        <v>0</v>
      </c>
    </row>
    <row r="112" spans="1:38" ht="21" hidden="1" customHeight="1" outlineLevel="1" thickBot="1" x14ac:dyDescent="0.4">
      <c r="A112" s="8">
        <f t="shared" si="29"/>
        <v>0</v>
      </c>
      <c r="B112" s="8">
        <f t="shared" si="29"/>
        <v>0</v>
      </c>
      <c r="C112" s="8">
        <f t="shared" si="29"/>
        <v>0</v>
      </c>
      <c r="D112" s="8">
        <f t="shared" si="29"/>
        <v>0</v>
      </c>
      <c r="E112" s="9">
        <f t="shared" si="20"/>
        <v>0</v>
      </c>
      <c r="F112" s="26">
        <f t="shared" si="31"/>
        <v>0</v>
      </c>
      <c r="G112" s="26">
        <f t="shared" si="31"/>
        <v>0</v>
      </c>
      <c r="H112" s="26">
        <f t="shared" si="31"/>
        <v>0</v>
      </c>
      <c r="I112" s="26">
        <f t="shared" si="31"/>
        <v>0</v>
      </c>
      <c r="J112" s="26">
        <f t="shared" si="31"/>
        <v>0</v>
      </c>
      <c r="K112" s="26">
        <f t="shared" si="31"/>
        <v>0</v>
      </c>
      <c r="L112" s="26">
        <f t="shared" si="31"/>
        <v>0</v>
      </c>
      <c r="M112" s="26">
        <f t="shared" si="31"/>
        <v>0</v>
      </c>
      <c r="N112" s="26">
        <f t="shared" si="31"/>
        <v>0</v>
      </c>
      <c r="O112" s="26">
        <f t="shared" si="31"/>
        <v>0</v>
      </c>
      <c r="P112" s="26">
        <f t="shared" si="31"/>
        <v>0</v>
      </c>
      <c r="Q112" s="26">
        <f t="shared" si="31"/>
        <v>0</v>
      </c>
      <c r="R112" s="26">
        <f t="shared" si="31"/>
        <v>0</v>
      </c>
      <c r="S112" s="26">
        <f t="shared" si="31"/>
        <v>0</v>
      </c>
      <c r="T112" s="26">
        <f t="shared" si="31"/>
        <v>0</v>
      </c>
      <c r="U112" s="26">
        <f t="shared" si="31"/>
        <v>0</v>
      </c>
      <c r="V112" s="26">
        <f t="shared" si="31"/>
        <v>0</v>
      </c>
      <c r="W112" s="26">
        <f t="shared" si="31"/>
        <v>0</v>
      </c>
      <c r="X112" s="26">
        <f t="shared" si="31"/>
        <v>0</v>
      </c>
      <c r="Y112" s="26">
        <f t="shared" si="31"/>
        <v>0</v>
      </c>
      <c r="Z112" s="26">
        <f t="shared" si="31"/>
        <v>0</v>
      </c>
      <c r="AA112" s="26">
        <f t="shared" si="31"/>
        <v>0</v>
      </c>
      <c r="AB112" s="26">
        <f t="shared" si="31"/>
        <v>0</v>
      </c>
      <c r="AC112" s="26">
        <f t="shared" si="31"/>
        <v>0</v>
      </c>
      <c r="AD112" s="26">
        <f t="shared" si="31"/>
        <v>0</v>
      </c>
      <c r="AE112" s="26">
        <f t="shared" si="31"/>
        <v>0</v>
      </c>
      <c r="AF112" s="26">
        <f t="shared" si="31"/>
        <v>0</v>
      </c>
      <c r="AG112" s="26">
        <f t="shared" si="31"/>
        <v>0</v>
      </c>
      <c r="AH112" s="26">
        <f t="shared" si="31"/>
        <v>0</v>
      </c>
      <c r="AI112" s="26">
        <f t="shared" si="31"/>
        <v>0</v>
      </c>
      <c r="AJ112" s="26">
        <f t="shared" si="31"/>
        <v>0</v>
      </c>
      <c r="AK112" s="26">
        <f t="shared" si="31"/>
        <v>0</v>
      </c>
      <c r="AL112" s="26">
        <f t="shared" si="31"/>
        <v>0</v>
      </c>
    </row>
    <row r="113" spans="1:38" ht="21" hidden="1" customHeight="1" outlineLevel="1" thickBot="1" x14ac:dyDescent="0.4">
      <c r="A113" s="8">
        <f t="shared" si="29"/>
        <v>0</v>
      </c>
      <c r="B113" s="8">
        <f t="shared" si="29"/>
        <v>0</v>
      </c>
      <c r="C113" s="8">
        <f t="shared" si="29"/>
        <v>0</v>
      </c>
      <c r="D113" s="8">
        <f t="shared" si="29"/>
        <v>0</v>
      </c>
      <c r="E113" s="9">
        <f t="shared" si="20"/>
        <v>1</v>
      </c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</row>
    <row r="114" spans="1:38" ht="21" hidden="1" customHeight="1" outlineLevel="1" x14ac:dyDescent="0.35"/>
    <row r="115" spans="1:38" ht="21" customHeight="1" collapsed="1" thickBot="1" x14ac:dyDescent="0.4"/>
    <row r="116" spans="1:38" ht="21" customHeight="1" thickTop="1" thickBot="1" x14ac:dyDescent="0.45">
      <c r="A116" s="1"/>
      <c r="B116" s="1"/>
      <c r="C116" s="1"/>
      <c r="D116" s="1"/>
      <c r="E116" s="2" t="s">
        <v>32</v>
      </c>
      <c r="F116" s="3"/>
      <c r="G116" s="2"/>
      <c r="H116" s="2"/>
      <c r="I116" s="2"/>
      <c r="J116" s="2"/>
      <c r="K116" s="2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</row>
    <row r="117" spans="1:38" ht="21" customHeight="1" outlineLevel="1" thickTop="1" thickBot="1" x14ac:dyDescent="0.4">
      <c r="A117" s="90" t="s">
        <v>11</v>
      </c>
      <c r="B117" s="91"/>
      <c r="C117" s="44" t="s">
        <v>12</v>
      </c>
      <c r="D117" s="27" t="s">
        <v>13</v>
      </c>
      <c r="E117" s="27"/>
      <c r="F117" s="7">
        <f t="shared" ref="F117:AL117" si="32">F3</f>
        <v>298.2</v>
      </c>
      <c r="G117" s="7">
        <f t="shared" si="32"/>
        <v>431.7</v>
      </c>
      <c r="H117" s="7">
        <f t="shared" si="32"/>
        <v>465.1</v>
      </c>
      <c r="I117" s="7">
        <f t="shared" si="32"/>
        <v>498.5</v>
      </c>
      <c r="J117" s="7">
        <f t="shared" si="32"/>
        <v>531.79999999999995</v>
      </c>
      <c r="K117" s="7">
        <f t="shared" si="32"/>
        <v>565.20000000000005</v>
      </c>
      <c r="L117" s="7">
        <f t="shared" si="32"/>
        <v>698.8</v>
      </c>
      <c r="M117" s="7">
        <f t="shared" si="32"/>
        <v>732.2</v>
      </c>
      <c r="N117" s="7">
        <f t="shared" si="32"/>
        <v>765.5</v>
      </c>
      <c r="O117" s="7">
        <f t="shared" si="32"/>
        <v>798.9</v>
      </c>
      <c r="P117" s="7">
        <f t="shared" si="32"/>
        <v>832.3</v>
      </c>
      <c r="Q117" s="7">
        <f t="shared" si="32"/>
        <v>965.8</v>
      </c>
      <c r="R117" s="7">
        <f t="shared" si="32"/>
        <v>999.2</v>
      </c>
      <c r="S117" s="7">
        <f t="shared" si="32"/>
        <v>1033</v>
      </c>
      <c r="T117" s="7">
        <f t="shared" si="32"/>
        <v>1066</v>
      </c>
      <c r="U117" s="7">
        <f t="shared" si="32"/>
        <v>1099</v>
      </c>
      <c r="V117" s="7">
        <f t="shared" si="32"/>
        <v>1233</v>
      </c>
      <c r="W117" s="7">
        <f t="shared" si="32"/>
        <v>1366</v>
      </c>
      <c r="X117" s="7">
        <f t="shared" si="32"/>
        <v>1500</v>
      </c>
      <c r="Y117" s="7">
        <f t="shared" si="32"/>
        <v>0</v>
      </c>
      <c r="Z117" s="7">
        <f t="shared" si="32"/>
        <v>0</v>
      </c>
      <c r="AA117" s="7">
        <f t="shared" si="32"/>
        <v>0</v>
      </c>
      <c r="AB117" s="7">
        <f t="shared" si="32"/>
        <v>0</v>
      </c>
      <c r="AC117" s="7">
        <f t="shared" si="32"/>
        <v>0</v>
      </c>
      <c r="AD117" s="7">
        <f t="shared" si="32"/>
        <v>0</v>
      </c>
      <c r="AE117" s="7">
        <f t="shared" si="32"/>
        <v>0</v>
      </c>
      <c r="AF117" s="7">
        <f t="shared" si="32"/>
        <v>0</v>
      </c>
      <c r="AG117" s="7">
        <f t="shared" si="32"/>
        <v>0</v>
      </c>
      <c r="AH117" s="7">
        <f t="shared" si="32"/>
        <v>0</v>
      </c>
      <c r="AI117" s="7">
        <f t="shared" si="32"/>
        <v>0</v>
      </c>
      <c r="AJ117" s="7">
        <f t="shared" si="32"/>
        <v>0</v>
      </c>
      <c r="AK117" s="7">
        <f t="shared" si="32"/>
        <v>0</v>
      </c>
      <c r="AL117" s="7">
        <f t="shared" si="32"/>
        <v>0</v>
      </c>
    </row>
    <row r="118" spans="1:38" ht="21" customHeight="1" outlineLevel="1" thickTop="1" thickBot="1" x14ac:dyDescent="0.4">
      <c r="A118" s="42">
        <f>$A$2</f>
        <v>731</v>
      </c>
      <c r="B118" s="83">
        <f ca="1">MIN(MIN(F118:AL121),MIN(F41:AL41))</f>
        <v>-1273.8999676436629</v>
      </c>
      <c r="C118" s="45">
        <f>COUNTA(E118:E125)+1</f>
        <v>6</v>
      </c>
      <c r="E118" s="29" t="s">
        <v>14</v>
      </c>
      <c r="F118" s="26">
        <f t="shared" ref="F118:AK118" ca="1" si="33">F$117*$B$2*SUMPRODUCT(F$94:F$96,F$60:F$62)/1000</f>
        <v>-60.34572474210001</v>
      </c>
      <c r="G118" s="26">
        <f t="shared" ca="1" si="33"/>
        <v>-120.41777178326494</v>
      </c>
      <c r="H118" s="26">
        <f t="shared" ca="1" si="33"/>
        <v>-136.93468438201671</v>
      </c>
      <c r="I118" s="26">
        <f t="shared" ca="1" si="33"/>
        <v>-153.64911057165588</v>
      </c>
      <c r="J118" s="26">
        <f t="shared" ca="1" si="33"/>
        <v>-169.95523988903386</v>
      </c>
      <c r="K118" s="26">
        <f t="shared" ca="1" si="33"/>
        <v>-184.71901989958698</v>
      </c>
      <c r="L118" s="26">
        <f t="shared" ca="1" si="33"/>
        <v>-204.00506052011042</v>
      </c>
      <c r="M118" s="26">
        <f t="shared" ca="1" si="33"/>
        <v>-205.13368370881298</v>
      </c>
      <c r="N118" s="26">
        <f t="shared" ca="1" si="33"/>
        <v>-207.05595494185272</v>
      </c>
      <c r="O118" s="26">
        <f t="shared" ca="1" si="33"/>
        <v>-208.79765702959429</v>
      </c>
      <c r="P118" s="26">
        <f t="shared" ca="1" si="33"/>
        <v>-208.535629440767</v>
      </c>
      <c r="Q118" s="26">
        <f t="shared" ca="1" si="33"/>
        <v>-161.02703822643409</v>
      </c>
      <c r="R118" s="26">
        <f t="shared" ca="1" si="33"/>
        <v>-142.94150639238987</v>
      </c>
      <c r="S118" s="26">
        <f t="shared" ca="1" si="33"/>
        <v>-126.7334933093542</v>
      </c>
      <c r="T118" s="26">
        <f t="shared" ca="1" si="33"/>
        <v>-114.79157304561214</v>
      </c>
      <c r="U118" s="26">
        <f t="shared" ca="1" si="33"/>
        <v>-106.20726785624076</v>
      </c>
      <c r="V118" s="26">
        <f t="shared" ca="1" si="33"/>
        <v>-93.941861314135522</v>
      </c>
      <c r="W118" s="26">
        <f t="shared" ca="1" si="33"/>
        <v>-97.429159832689763</v>
      </c>
      <c r="X118" s="26">
        <f t="shared" ca="1" si="33"/>
        <v>-106.55745882405002</v>
      </c>
      <c r="Y118" s="26">
        <f t="shared" ca="1" si="33"/>
        <v>0</v>
      </c>
      <c r="Z118" s="26">
        <f t="shared" ca="1" si="33"/>
        <v>0</v>
      </c>
      <c r="AA118" s="26">
        <f t="shared" ca="1" si="33"/>
        <v>0</v>
      </c>
      <c r="AB118" s="26">
        <f t="shared" ca="1" si="33"/>
        <v>0</v>
      </c>
      <c r="AC118" s="26">
        <f t="shared" ca="1" si="33"/>
        <v>0</v>
      </c>
      <c r="AD118" s="26">
        <f t="shared" ca="1" si="33"/>
        <v>0</v>
      </c>
      <c r="AE118" s="26">
        <f t="shared" ca="1" si="33"/>
        <v>0</v>
      </c>
      <c r="AF118" s="26">
        <f t="shared" ca="1" si="33"/>
        <v>0</v>
      </c>
      <c r="AG118" s="26">
        <f t="shared" ca="1" si="33"/>
        <v>0</v>
      </c>
      <c r="AH118" s="26">
        <f t="shared" ca="1" si="33"/>
        <v>0</v>
      </c>
      <c r="AI118" s="26">
        <f t="shared" ca="1" si="33"/>
        <v>0</v>
      </c>
      <c r="AJ118" s="26">
        <f t="shared" ca="1" si="33"/>
        <v>0</v>
      </c>
      <c r="AK118" s="26">
        <f t="shared" ca="1" si="33"/>
        <v>0</v>
      </c>
      <c r="AL118" s="26">
        <f ca="1">AL$117*$B$2*SUMPRODUCT(AL$94:AL$96,AL$60:AL$62)/1000</f>
        <v>0</v>
      </c>
    </row>
    <row r="119" spans="1:38" ht="21" customHeight="1" outlineLevel="1" thickBot="1" x14ac:dyDescent="0.4">
      <c r="A119" s="43">
        <f>$A$118</f>
        <v>731</v>
      </c>
      <c r="B119" s="84">
        <f ca="1">MAX(MAX(F118:AL121),MAX(F41:AL41))</f>
        <v>0</v>
      </c>
      <c r="C119" s="46">
        <f xml:space="preserve"> COUNTIF(F117:AL117,"&lt;&gt;"&amp;0)</f>
        <v>19</v>
      </c>
      <c r="E119" s="29" t="s">
        <v>15</v>
      </c>
      <c r="F119" s="26">
        <f t="shared" ref="F119:AL119" ca="1" si="34">F$117*$B$2*SUMPRODUCT(F$84:F$92,F$50:F$58)/1000</f>
        <v>-9.1411694747642525E-7</v>
      </c>
      <c r="G119" s="26">
        <f t="shared" ca="1" si="34"/>
        <v>-2.8389525378194894E-2</v>
      </c>
      <c r="H119" s="26">
        <f t="shared" ca="1" si="34"/>
        <v>-0.14226542592498001</v>
      </c>
      <c r="I119" s="26">
        <f t="shared" ca="1" si="34"/>
        <v>-0.56581364302199189</v>
      </c>
      <c r="J119" s="26">
        <f t="shared" ca="1" si="34"/>
        <v>-1.860475344740709</v>
      </c>
      <c r="K119" s="26">
        <f t="shared" ca="1" si="34"/>
        <v>-5.1919401705931376</v>
      </c>
      <c r="L119" s="26">
        <f t="shared" ca="1" si="34"/>
        <v>-63.492644131746765</v>
      </c>
      <c r="M119" s="26">
        <f t="shared" ca="1" si="34"/>
        <v>-83.496072698726948</v>
      </c>
      <c r="N119" s="26">
        <f t="shared" ca="1" si="34"/>
        <v>-103.27858556867463</v>
      </c>
      <c r="O119" s="26">
        <f t="shared" ca="1" si="34"/>
        <v>-123.8032612636763</v>
      </c>
      <c r="P119" s="26">
        <f t="shared" ca="1" si="34"/>
        <v>-146.77387316111256</v>
      </c>
      <c r="Q119" s="26">
        <f t="shared" ca="1" si="34"/>
        <v>-290.53363652714012</v>
      </c>
      <c r="R119" s="26">
        <f t="shared" ca="1" si="34"/>
        <v>-334.78702779858907</v>
      </c>
      <c r="S119" s="26">
        <f t="shared" ca="1" si="34"/>
        <v>-378.07270316542338</v>
      </c>
      <c r="T119" s="26">
        <f t="shared" ca="1" si="34"/>
        <v>-417.80290035550229</v>
      </c>
      <c r="U119" s="26">
        <f t="shared" ca="1" si="34"/>
        <v>-454.99298083227058</v>
      </c>
      <c r="V119" s="26">
        <f t="shared" ca="1" si="34"/>
        <v>-587.70450415226549</v>
      </c>
      <c r="W119" s="26">
        <f t="shared" ca="1" si="34"/>
        <v>-708.48845310326317</v>
      </c>
      <c r="X119" s="26">
        <f t="shared" ca="1" si="34"/>
        <v>-826.37200514366259</v>
      </c>
      <c r="Y119" s="26">
        <f t="shared" ca="1" si="34"/>
        <v>0</v>
      </c>
      <c r="Z119" s="26">
        <f t="shared" ca="1" si="34"/>
        <v>0</v>
      </c>
      <c r="AA119" s="26">
        <f t="shared" ca="1" si="34"/>
        <v>0</v>
      </c>
      <c r="AB119" s="26">
        <f t="shared" ca="1" si="34"/>
        <v>0</v>
      </c>
      <c r="AC119" s="26">
        <f t="shared" ca="1" si="34"/>
        <v>0</v>
      </c>
      <c r="AD119" s="26">
        <f t="shared" ca="1" si="34"/>
        <v>0</v>
      </c>
      <c r="AE119" s="26">
        <f t="shared" ca="1" si="34"/>
        <v>0</v>
      </c>
      <c r="AF119" s="26">
        <f t="shared" ca="1" si="34"/>
        <v>0</v>
      </c>
      <c r="AG119" s="26">
        <f t="shared" ca="1" si="34"/>
        <v>0</v>
      </c>
      <c r="AH119" s="26">
        <f t="shared" ca="1" si="34"/>
        <v>0</v>
      </c>
      <c r="AI119" s="26">
        <f t="shared" ca="1" si="34"/>
        <v>0</v>
      </c>
      <c r="AJ119" s="26">
        <f t="shared" ca="1" si="34"/>
        <v>0</v>
      </c>
      <c r="AK119" s="26">
        <f t="shared" ca="1" si="34"/>
        <v>0</v>
      </c>
      <c r="AL119" s="26">
        <f t="shared" ca="1" si="34"/>
        <v>0</v>
      </c>
    </row>
    <row r="120" spans="1:38" ht="21" customHeight="1" outlineLevel="1" thickBot="1" x14ac:dyDescent="0.4">
      <c r="E120" s="29" t="s">
        <v>16</v>
      </c>
      <c r="F120" s="26">
        <f t="shared" ref="F120:AL120" ca="1" si="35">F$117*$B$2*SUMPRODUCT(F$84:F$93,F$50:F$59)/1000</f>
        <v>-76.902224879116972</v>
      </c>
      <c r="G120" s="26">
        <f t="shared" ca="1" si="35"/>
        <v>-112.25601391537823</v>
      </c>
      <c r="H120" s="26">
        <f t="shared" ca="1" si="35"/>
        <v>-121.50393622342501</v>
      </c>
      <c r="I120" s="26">
        <f t="shared" ca="1" si="35"/>
        <v>-131.12632851802204</v>
      </c>
      <c r="J120" s="26">
        <f t="shared" ca="1" si="35"/>
        <v>-141.65834428974074</v>
      </c>
      <c r="K120" s="26">
        <f t="shared" ca="1" si="35"/>
        <v>-154.47479671059315</v>
      </c>
      <c r="L120" s="26">
        <f t="shared" ca="1" si="35"/>
        <v>-252.71059847174678</v>
      </c>
      <c r="M120" s="26">
        <f t="shared" ca="1" si="35"/>
        <v>-282.87404117372699</v>
      </c>
      <c r="N120" s="26">
        <f t="shared" ca="1" si="35"/>
        <v>-312.89101066867471</v>
      </c>
      <c r="O120" s="26">
        <f t="shared" ca="1" si="35"/>
        <v>-343.55778275117638</v>
      </c>
      <c r="P120" s="26">
        <f t="shared" ca="1" si="35"/>
        <v>-376.8691382986126</v>
      </c>
      <c r="Q120" s="26">
        <f t="shared" ca="1" si="35"/>
        <v>-563.82620739714025</v>
      </c>
      <c r="R120" s="26">
        <f t="shared" ca="1" si="35"/>
        <v>-619.19237135858918</v>
      </c>
      <c r="S120" s="26">
        <f t="shared" ca="1" si="35"/>
        <v>-673.81641951542338</v>
      </c>
      <c r="T120" s="26">
        <f t="shared" ca="1" si="35"/>
        <v>-724.47159255550241</v>
      </c>
      <c r="U120" s="26">
        <f t="shared" ca="1" si="35"/>
        <v>-772.52581445727071</v>
      </c>
      <c r="V120" s="26">
        <f t="shared" ca="1" si="35"/>
        <v>-948.56710735226557</v>
      </c>
      <c r="W120" s="26">
        <f t="shared" ca="1" si="35"/>
        <v>-1112.4406754032634</v>
      </c>
      <c r="X120" s="26">
        <f t="shared" ca="1" si="35"/>
        <v>-1273.8999676436629</v>
      </c>
      <c r="Y120" s="26">
        <f t="shared" ca="1" si="35"/>
        <v>0</v>
      </c>
      <c r="Z120" s="26">
        <f t="shared" ca="1" si="35"/>
        <v>0</v>
      </c>
      <c r="AA120" s="26">
        <f t="shared" ca="1" si="35"/>
        <v>0</v>
      </c>
      <c r="AB120" s="26">
        <f t="shared" ca="1" si="35"/>
        <v>0</v>
      </c>
      <c r="AC120" s="26">
        <f t="shared" ca="1" si="35"/>
        <v>0</v>
      </c>
      <c r="AD120" s="26">
        <f t="shared" ca="1" si="35"/>
        <v>0</v>
      </c>
      <c r="AE120" s="26">
        <f t="shared" ca="1" si="35"/>
        <v>0</v>
      </c>
      <c r="AF120" s="26">
        <f t="shared" ca="1" si="35"/>
        <v>0</v>
      </c>
      <c r="AG120" s="26">
        <f t="shared" ca="1" si="35"/>
        <v>0</v>
      </c>
      <c r="AH120" s="26">
        <f t="shared" ca="1" si="35"/>
        <v>0</v>
      </c>
      <c r="AI120" s="26">
        <f t="shared" ca="1" si="35"/>
        <v>0</v>
      </c>
      <c r="AJ120" s="26">
        <f t="shared" ca="1" si="35"/>
        <v>0</v>
      </c>
      <c r="AK120" s="26">
        <f t="shared" ca="1" si="35"/>
        <v>0</v>
      </c>
      <c r="AL120" s="26">
        <f t="shared" ca="1" si="35"/>
        <v>0</v>
      </c>
    </row>
    <row r="121" spans="1:38" ht="21" customHeight="1" outlineLevel="1" thickBot="1" x14ac:dyDescent="0.4">
      <c r="E121" s="29" t="s">
        <v>17</v>
      </c>
      <c r="F121" s="26">
        <f ca="1">F119+F118</f>
        <v>-60.345725656216956</v>
      </c>
      <c r="G121" s="26">
        <f t="shared" ref="G121:AL121" ca="1" si="36">G119+G118</f>
        <v>-120.44616130864313</v>
      </c>
      <c r="H121" s="26">
        <f t="shared" ca="1" si="36"/>
        <v>-137.0769498079417</v>
      </c>
      <c r="I121" s="26">
        <f t="shared" ca="1" si="36"/>
        <v>-154.21492421467786</v>
      </c>
      <c r="J121" s="26">
        <f t="shared" ca="1" si="36"/>
        <v>-171.81571523377457</v>
      </c>
      <c r="K121" s="26">
        <f t="shared" ca="1" si="36"/>
        <v>-189.91096007018012</v>
      </c>
      <c r="L121" s="26">
        <f t="shared" ca="1" si="36"/>
        <v>-267.49770465185719</v>
      </c>
      <c r="M121" s="26">
        <f t="shared" ca="1" si="36"/>
        <v>-288.62975640753996</v>
      </c>
      <c r="N121" s="26">
        <f t="shared" ca="1" si="36"/>
        <v>-310.33454051052735</v>
      </c>
      <c r="O121" s="26">
        <f t="shared" ca="1" si="36"/>
        <v>-332.60091829327058</v>
      </c>
      <c r="P121" s="26">
        <f t="shared" ca="1" si="36"/>
        <v>-355.30950260187956</v>
      </c>
      <c r="Q121" s="26">
        <f t="shared" ca="1" si="36"/>
        <v>-451.56067475357418</v>
      </c>
      <c r="R121" s="26">
        <f t="shared" ca="1" si="36"/>
        <v>-477.72853419097896</v>
      </c>
      <c r="S121" s="26">
        <f t="shared" ca="1" si="36"/>
        <v>-504.80619647477761</v>
      </c>
      <c r="T121" s="26">
        <f t="shared" ca="1" si="36"/>
        <v>-532.59447340111444</v>
      </c>
      <c r="U121" s="26">
        <f t="shared" ca="1" si="36"/>
        <v>-561.20024868851135</v>
      </c>
      <c r="V121" s="26">
        <f t="shared" ca="1" si="36"/>
        <v>-681.64636546640099</v>
      </c>
      <c r="W121" s="26">
        <f t="shared" ca="1" si="36"/>
        <v>-805.91761293595289</v>
      </c>
      <c r="X121" s="26">
        <f t="shared" ca="1" si="36"/>
        <v>-932.92946396771265</v>
      </c>
      <c r="Y121" s="26">
        <f t="shared" ca="1" si="36"/>
        <v>0</v>
      </c>
      <c r="Z121" s="26">
        <f t="shared" ca="1" si="36"/>
        <v>0</v>
      </c>
      <c r="AA121" s="26">
        <f t="shared" ca="1" si="36"/>
        <v>0</v>
      </c>
      <c r="AB121" s="26">
        <f t="shared" ca="1" si="36"/>
        <v>0</v>
      </c>
      <c r="AC121" s="26">
        <f t="shared" ca="1" si="36"/>
        <v>0</v>
      </c>
      <c r="AD121" s="26">
        <f t="shared" ca="1" si="36"/>
        <v>0</v>
      </c>
      <c r="AE121" s="26">
        <f t="shared" ca="1" si="36"/>
        <v>0</v>
      </c>
      <c r="AF121" s="26">
        <f t="shared" ca="1" si="36"/>
        <v>0</v>
      </c>
      <c r="AG121" s="26">
        <f t="shared" ca="1" si="36"/>
        <v>0</v>
      </c>
      <c r="AH121" s="26">
        <f t="shared" ca="1" si="36"/>
        <v>0</v>
      </c>
      <c r="AI121" s="26">
        <f t="shared" ca="1" si="36"/>
        <v>0</v>
      </c>
      <c r="AJ121" s="26">
        <f t="shared" ca="1" si="36"/>
        <v>0</v>
      </c>
      <c r="AK121" s="26">
        <f t="shared" ca="1" si="36"/>
        <v>0</v>
      </c>
      <c r="AL121" s="26">
        <f t="shared" ca="1" si="36"/>
        <v>0</v>
      </c>
    </row>
    <row r="122" spans="1:38" ht="21" customHeight="1" outlineLevel="1" thickBot="1" x14ac:dyDescent="0.4">
      <c r="E122" s="29" t="s">
        <v>18</v>
      </c>
      <c r="F122" s="26">
        <f ca="1">F120+F118</f>
        <v>-137.24794962121697</v>
      </c>
      <c r="G122" s="26">
        <f t="shared" ref="G122:AL122" ca="1" si="37">G120+G118</f>
        <v>-232.67378569864317</v>
      </c>
      <c r="H122" s="26">
        <f t="shared" ca="1" si="37"/>
        <v>-258.43862060544171</v>
      </c>
      <c r="I122" s="26">
        <f t="shared" ca="1" si="37"/>
        <v>-284.77543908967789</v>
      </c>
      <c r="J122" s="26">
        <f t="shared" ca="1" si="37"/>
        <v>-311.6135841787746</v>
      </c>
      <c r="K122" s="26">
        <f t="shared" ca="1" si="37"/>
        <v>-339.19381661018014</v>
      </c>
      <c r="L122" s="26">
        <f t="shared" ca="1" si="37"/>
        <v>-456.7156589918572</v>
      </c>
      <c r="M122" s="26">
        <f t="shared" ca="1" si="37"/>
        <v>-488.00772488253995</v>
      </c>
      <c r="N122" s="26">
        <f t="shared" ca="1" si="37"/>
        <v>-519.9469656105274</v>
      </c>
      <c r="O122" s="26">
        <f t="shared" ca="1" si="37"/>
        <v>-552.35543978077067</v>
      </c>
      <c r="P122" s="26">
        <f t="shared" ca="1" si="37"/>
        <v>-585.40476773937962</v>
      </c>
      <c r="Q122" s="26">
        <f t="shared" ca="1" si="37"/>
        <v>-724.85324562357437</v>
      </c>
      <c r="R122" s="26">
        <f t="shared" ca="1" si="37"/>
        <v>-762.13387775097908</v>
      </c>
      <c r="S122" s="26">
        <f t="shared" ca="1" si="37"/>
        <v>-800.54991282477761</v>
      </c>
      <c r="T122" s="26">
        <f t="shared" ca="1" si="37"/>
        <v>-839.26316560111457</v>
      </c>
      <c r="U122" s="26">
        <f t="shared" ca="1" si="37"/>
        <v>-878.73308231351143</v>
      </c>
      <c r="V122" s="26">
        <f t="shared" ca="1" si="37"/>
        <v>-1042.5089686664012</v>
      </c>
      <c r="W122" s="26">
        <f t="shared" ca="1" si="37"/>
        <v>-1209.8698352359531</v>
      </c>
      <c r="X122" s="26">
        <f t="shared" ca="1" si="37"/>
        <v>-1380.4574264677128</v>
      </c>
      <c r="Y122" s="26">
        <f t="shared" ca="1" si="37"/>
        <v>0</v>
      </c>
      <c r="Z122" s="26">
        <f t="shared" ca="1" si="37"/>
        <v>0</v>
      </c>
      <c r="AA122" s="26">
        <f t="shared" ca="1" si="37"/>
        <v>0</v>
      </c>
      <c r="AB122" s="26">
        <f t="shared" ca="1" si="37"/>
        <v>0</v>
      </c>
      <c r="AC122" s="26">
        <f t="shared" ca="1" si="37"/>
        <v>0</v>
      </c>
      <c r="AD122" s="26">
        <f t="shared" ca="1" si="37"/>
        <v>0</v>
      </c>
      <c r="AE122" s="26">
        <f t="shared" ca="1" si="37"/>
        <v>0</v>
      </c>
      <c r="AF122" s="26">
        <f t="shared" ca="1" si="37"/>
        <v>0</v>
      </c>
      <c r="AG122" s="26">
        <f t="shared" ca="1" si="37"/>
        <v>0</v>
      </c>
      <c r="AH122" s="26">
        <f t="shared" ca="1" si="37"/>
        <v>0</v>
      </c>
      <c r="AI122" s="26">
        <f t="shared" ca="1" si="37"/>
        <v>0</v>
      </c>
      <c r="AJ122" s="26">
        <f t="shared" ca="1" si="37"/>
        <v>0</v>
      </c>
      <c r="AK122" s="26">
        <f t="shared" ca="1" si="37"/>
        <v>0</v>
      </c>
      <c r="AL122" s="26">
        <f t="shared" ca="1" si="37"/>
        <v>0</v>
      </c>
    </row>
    <row r="123" spans="1:38" ht="21" customHeight="1" outlineLevel="1" thickBot="1" x14ac:dyDescent="0.4">
      <c r="E123" s="29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</row>
    <row r="124" spans="1:38" ht="21" customHeight="1" outlineLevel="1" thickBot="1" x14ac:dyDescent="0.4">
      <c r="E124" s="30"/>
      <c r="L124" s="61">
        <v>5</v>
      </c>
    </row>
    <row r="125" spans="1:38" ht="21" customHeight="1" outlineLevel="1" thickBot="1" x14ac:dyDescent="0.4">
      <c r="E125" s="30"/>
      <c r="L125" s="61">
        <v>3</v>
      </c>
    </row>
    <row r="126" spans="1:38" ht="21" customHeight="1" outlineLevel="1" thickTop="1" thickBot="1" x14ac:dyDescent="0.4">
      <c r="E126" s="7">
        <f t="array" aca="1" ref="E126:AL139" ca="1">OFFSET(E117,0,0,C118,C119+1)</f>
        <v>0</v>
      </c>
      <c r="F126" s="7">
        <f ca="1"/>
        <v>298.2</v>
      </c>
      <c r="G126" s="7">
        <f ca="1"/>
        <v>431.7</v>
      </c>
      <c r="H126" s="7">
        <f ca="1"/>
        <v>465.1</v>
      </c>
      <c r="I126" s="7">
        <f ca="1"/>
        <v>498.5</v>
      </c>
      <c r="J126" s="7">
        <f ca="1"/>
        <v>531.79999999999995</v>
      </c>
      <c r="K126" s="7">
        <f ca="1"/>
        <v>565.20000000000005</v>
      </c>
      <c r="L126" s="7">
        <f ca="1"/>
        <v>698.8</v>
      </c>
      <c r="M126" s="7">
        <f ca="1"/>
        <v>732.2</v>
      </c>
      <c r="N126" s="7">
        <f ca="1"/>
        <v>765.5</v>
      </c>
      <c r="O126" s="7">
        <f ca="1"/>
        <v>798.9</v>
      </c>
      <c r="P126" s="7">
        <f ca="1"/>
        <v>832.3</v>
      </c>
      <c r="Q126" s="7">
        <f ca="1"/>
        <v>965.8</v>
      </c>
      <c r="R126" s="7">
        <f ca="1"/>
        <v>999.2</v>
      </c>
      <c r="S126" s="7">
        <f ca="1"/>
        <v>1033</v>
      </c>
      <c r="T126" s="7">
        <f ca="1"/>
        <v>1066</v>
      </c>
      <c r="U126" s="7">
        <f ca="1"/>
        <v>1099</v>
      </c>
      <c r="V126" s="7">
        <f ca="1"/>
        <v>1233</v>
      </c>
      <c r="W126" s="7">
        <f ca="1"/>
        <v>1366</v>
      </c>
      <c r="X126" s="7">
        <f ca="1"/>
        <v>1500</v>
      </c>
      <c r="Y126" s="7" t="e">
        <f ca="1"/>
        <v>#N/A</v>
      </c>
      <c r="Z126" s="7" t="e">
        <f ca="1"/>
        <v>#N/A</v>
      </c>
      <c r="AA126" s="7" t="e">
        <f ca="1"/>
        <v>#N/A</v>
      </c>
      <c r="AB126" s="7" t="e">
        <f ca="1"/>
        <v>#N/A</v>
      </c>
      <c r="AC126" s="7" t="e">
        <f ca="1"/>
        <v>#N/A</v>
      </c>
      <c r="AD126" s="7" t="e">
        <f ca="1"/>
        <v>#N/A</v>
      </c>
      <c r="AE126" s="7" t="e">
        <f ca="1"/>
        <v>#N/A</v>
      </c>
      <c r="AF126" s="7" t="e">
        <f ca="1"/>
        <v>#N/A</v>
      </c>
      <c r="AG126" s="7" t="e">
        <f ca="1"/>
        <v>#N/A</v>
      </c>
      <c r="AH126" s="7" t="e">
        <f ca="1"/>
        <v>#N/A</v>
      </c>
      <c r="AI126" s="7" t="e">
        <f ca="1"/>
        <v>#N/A</v>
      </c>
      <c r="AJ126" s="7" t="e">
        <f ca="1"/>
        <v>#N/A</v>
      </c>
      <c r="AK126" s="7" t="e">
        <f ca="1"/>
        <v>#N/A</v>
      </c>
      <c r="AL126" s="7" t="e">
        <f ca="1"/>
        <v>#N/A</v>
      </c>
    </row>
    <row r="127" spans="1:38" ht="21" customHeight="1" outlineLevel="1" thickTop="1" thickBot="1" x14ac:dyDescent="0.4">
      <c r="E127" s="29" t="str">
        <f ca="1"/>
        <v xml:space="preserve">Раствор (жид): </v>
      </c>
      <c r="F127" s="61">
        <f ca="1"/>
        <v>-60.34572474210001</v>
      </c>
      <c r="G127" s="61">
        <f ca="1"/>
        <v>-120.41777178326494</v>
      </c>
      <c r="H127" s="61">
        <f ca="1"/>
        <v>-136.93468438201671</v>
      </c>
      <c r="I127" s="61">
        <f ca="1"/>
        <v>-153.64911057165588</v>
      </c>
      <c r="J127" s="61">
        <f ca="1"/>
        <v>-169.95523988903386</v>
      </c>
      <c r="K127" s="61">
        <f ca="1"/>
        <v>-184.71901989958698</v>
      </c>
      <c r="L127" s="61">
        <f ca="1"/>
        <v>-204.00506052011042</v>
      </c>
      <c r="M127" s="61">
        <f ca="1"/>
        <v>-205.13368370881298</v>
      </c>
      <c r="N127" s="61">
        <f ca="1"/>
        <v>-207.05595494185272</v>
      </c>
      <c r="O127" s="61">
        <f ca="1"/>
        <v>-208.79765702959429</v>
      </c>
      <c r="P127" s="61">
        <f ca="1"/>
        <v>-208.535629440767</v>
      </c>
      <c r="Q127" s="61">
        <f ca="1"/>
        <v>-161.02703822643409</v>
      </c>
      <c r="R127" s="61">
        <f ca="1"/>
        <v>-142.94150639238987</v>
      </c>
      <c r="S127" s="61">
        <f ca="1"/>
        <v>-126.7334933093542</v>
      </c>
      <c r="T127" s="61">
        <f ca="1"/>
        <v>-114.79157304561214</v>
      </c>
      <c r="U127" s="61">
        <f ca="1"/>
        <v>-106.20726785624076</v>
      </c>
      <c r="V127" s="61">
        <f ca="1"/>
        <v>-93.941861314135522</v>
      </c>
      <c r="W127" s="61">
        <f ca="1"/>
        <v>-97.429159832689763</v>
      </c>
      <c r="X127" s="61">
        <f ca="1"/>
        <v>-106.55745882405002</v>
      </c>
      <c r="Y127" s="61" t="e">
        <f ca="1"/>
        <v>#N/A</v>
      </c>
      <c r="Z127" s="61" t="e">
        <f ca="1"/>
        <v>#N/A</v>
      </c>
      <c r="AA127" s="61" t="e">
        <f ca="1"/>
        <v>#N/A</v>
      </c>
      <c r="AB127" s="61" t="e">
        <f ca="1"/>
        <v>#N/A</v>
      </c>
      <c r="AC127" s="61" t="e">
        <f ca="1"/>
        <v>#N/A</v>
      </c>
      <c r="AD127" s="61" t="e">
        <f ca="1"/>
        <v>#N/A</v>
      </c>
      <c r="AE127" s="61" t="e">
        <f ca="1"/>
        <v>#N/A</v>
      </c>
      <c r="AF127" s="61" t="e">
        <f ca="1"/>
        <v>#N/A</v>
      </c>
      <c r="AG127" s="61" t="e">
        <f ca="1"/>
        <v>#N/A</v>
      </c>
      <c r="AH127" s="61" t="e">
        <f ca="1"/>
        <v>#N/A</v>
      </c>
      <c r="AI127" s="61" t="e">
        <f ca="1"/>
        <v>#N/A</v>
      </c>
      <c r="AJ127" s="61" t="e">
        <f ca="1"/>
        <v>#N/A</v>
      </c>
      <c r="AK127" s="61" t="e">
        <f ca="1"/>
        <v>#N/A</v>
      </c>
      <c r="AL127" s="61" t="e">
        <f ca="1"/>
        <v>#N/A</v>
      </c>
    </row>
    <row r="128" spans="1:38" ht="21" customHeight="1" outlineLevel="1" thickBot="1" x14ac:dyDescent="0.4">
      <c r="E128" s="29" t="str">
        <f ca="1"/>
        <v xml:space="preserve">Газовая без Ar: </v>
      </c>
      <c r="F128" s="61">
        <f ca="1"/>
        <v>-9.1411694747642525E-7</v>
      </c>
      <c r="G128" s="61">
        <f ca="1"/>
        <v>-2.8389525378194894E-2</v>
      </c>
      <c r="H128" s="61">
        <f ca="1"/>
        <v>-0.14226542592498001</v>
      </c>
      <c r="I128" s="61">
        <f ca="1"/>
        <v>-0.56581364302199189</v>
      </c>
      <c r="J128" s="61">
        <f ca="1"/>
        <v>-1.860475344740709</v>
      </c>
      <c r="K128" s="61">
        <f ca="1"/>
        <v>-5.1919401705931376</v>
      </c>
      <c r="L128" s="61">
        <f ca="1"/>
        <v>-63.492644131746765</v>
      </c>
      <c r="M128" s="61">
        <f ca="1"/>
        <v>-83.496072698726948</v>
      </c>
      <c r="N128" s="61">
        <f ca="1"/>
        <v>-103.27858556867463</v>
      </c>
      <c r="O128" s="61">
        <f ca="1"/>
        <v>-123.8032612636763</v>
      </c>
      <c r="P128" s="61">
        <f ca="1"/>
        <v>-146.77387316111256</v>
      </c>
      <c r="Q128" s="61">
        <f ca="1"/>
        <v>-290.53363652714012</v>
      </c>
      <c r="R128" s="61">
        <f ca="1"/>
        <v>-334.78702779858907</v>
      </c>
      <c r="S128" s="61">
        <f ca="1"/>
        <v>-378.07270316542338</v>
      </c>
      <c r="T128" s="61">
        <f ca="1"/>
        <v>-417.80290035550229</v>
      </c>
      <c r="U128" s="61">
        <f ca="1"/>
        <v>-454.99298083227058</v>
      </c>
      <c r="V128" s="61">
        <f ca="1"/>
        <v>-587.70450415226549</v>
      </c>
      <c r="W128" s="61">
        <f ca="1"/>
        <v>-708.48845310326317</v>
      </c>
      <c r="X128" s="61">
        <f ca="1"/>
        <v>-826.37200514366259</v>
      </c>
      <c r="Y128" s="61" t="e">
        <f ca="1"/>
        <v>#N/A</v>
      </c>
      <c r="Z128" s="61" t="e">
        <f ca="1"/>
        <v>#N/A</v>
      </c>
      <c r="AA128" s="61" t="e">
        <f ca="1"/>
        <v>#N/A</v>
      </c>
      <c r="AB128" s="61" t="e">
        <f ca="1"/>
        <v>#N/A</v>
      </c>
      <c r="AC128" s="61" t="e">
        <f ca="1"/>
        <v>#N/A</v>
      </c>
      <c r="AD128" s="61" t="e">
        <f ca="1"/>
        <v>#N/A</v>
      </c>
      <c r="AE128" s="61" t="e">
        <f ca="1"/>
        <v>#N/A</v>
      </c>
      <c r="AF128" s="61" t="e">
        <f ca="1"/>
        <v>#N/A</v>
      </c>
      <c r="AG128" s="61" t="e">
        <f ca="1"/>
        <v>#N/A</v>
      </c>
      <c r="AH128" s="61" t="e">
        <f ca="1"/>
        <v>#N/A</v>
      </c>
      <c r="AI128" s="61" t="e">
        <f ca="1"/>
        <v>#N/A</v>
      </c>
      <c r="AJ128" s="61" t="e">
        <f ca="1"/>
        <v>#N/A</v>
      </c>
      <c r="AK128" s="61" t="e">
        <f ca="1"/>
        <v>#N/A</v>
      </c>
      <c r="AL128" s="61" t="e">
        <f ca="1"/>
        <v>#N/A</v>
      </c>
    </row>
    <row r="129" spans="1:38" ht="21" customHeight="1" outlineLevel="1" thickBot="1" x14ac:dyDescent="0.4">
      <c r="E129" s="29" t="str">
        <f ca="1"/>
        <v xml:space="preserve">Газовая: </v>
      </c>
      <c r="F129" s="61">
        <f ca="1"/>
        <v>-76.902224879116972</v>
      </c>
      <c r="G129" s="61">
        <f ca="1"/>
        <v>-112.25601391537823</v>
      </c>
      <c r="H129" s="61">
        <f ca="1"/>
        <v>-121.50393622342501</v>
      </c>
      <c r="I129" s="61">
        <f ca="1"/>
        <v>-131.12632851802204</v>
      </c>
      <c r="J129" s="61">
        <f ca="1"/>
        <v>-141.65834428974074</v>
      </c>
      <c r="K129" s="61">
        <f ca="1"/>
        <v>-154.47479671059315</v>
      </c>
      <c r="L129" s="61">
        <f ca="1"/>
        <v>-252.71059847174678</v>
      </c>
      <c r="M129" s="61">
        <f ca="1"/>
        <v>-282.87404117372699</v>
      </c>
      <c r="N129" s="61">
        <f ca="1"/>
        <v>-312.89101066867471</v>
      </c>
      <c r="O129" s="61">
        <f ca="1"/>
        <v>-343.55778275117638</v>
      </c>
      <c r="P129" s="61">
        <f ca="1"/>
        <v>-376.8691382986126</v>
      </c>
      <c r="Q129" s="61">
        <f ca="1"/>
        <v>-563.82620739714025</v>
      </c>
      <c r="R129" s="61">
        <f ca="1"/>
        <v>-619.19237135858918</v>
      </c>
      <c r="S129" s="61">
        <f ca="1"/>
        <v>-673.81641951542338</v>
      </c>
      <c r="T129" s="61">
        <f ca="1"/>
        <v>-724.47159255550241</v>
      </c>
      <c r="U129" s="61">
        <f ca="1"/>
        <v>-772.52581445727071</v>
      </c>
      <c r="V129" s="61">
        <f ca="1"/>
        <v>-948.56710735226557</v>
      </c>
      <c r="W129" s="61">
        <f ca="1"/>
        <v>-1112.4406754032634</v>
      </c>
      <c r="X129" s="61">
        <f ca="1"/>
        <v>-1273.8999676436629</v>
      </c>
      <c r="Y129" s="61" t="e">
        <f ca="1"/>
        <v>#N/A</v>
      </c>
      <c r="Z129" s="61" t="e">
        <f ca="1"/>
        <v>#N/A</v>
      </c>
      <c r="AA129" s="61" t="e">
        <f ca="1"/>
        <v>#N/A</v>
      </c>
      <c r="AB129" s="61" t="e">
        <f ca="1"/>
        <v>#N/A</v>
      </c>
      <c r="AC129" s="61" t="e">
        <f ca="1"/>
        <v>#N/A</v>
      </c>
      <c r="AD129" s="61" t="e">
        <f ca="1"/>
        <v>#N/A</v>
      </c>
      <c r="AE129" s="61" t="e">
        <f ca="1"/>
        <v>#N/A</v>
      </c>
      <c r="AF129" s="61" t="e">
        <f ca="1"/>
        <v>#N/A</v>
      </c>
      <c r="AG129" s="61" t="e">
        <f ca="1"/>
        <v>#N/A</v>
      </c>
      <c r="AH129" s="61" t="e">
        <f ca="1"/>
        <v>#N/A</v>
      </c>
      <c r="AI129" s="61" t="e">
        <f ca="1"/>
        <v>#N/A</v>
      </c>
      <c r="AJ129" s="61" t="e">
        <f ca="1"/>
        <v>#N/A</v>
      </c>
      <c r="AK129" s="61" t="e">
        <f ca="1"/>
        <v>#N/A</v>
      </c>
      <c r="AL129" s="61" t="e">
        <f ca="1"/>
        <v>#N/A</v>
      </c>
    </row>
    <row r="130" spans="1:38" ht="21" customHeight="1" outlineLevel="1" thickBot="1" x14ac:dyDescent="0.4">
      <c r="E130" s="29" t="str">
        <f ca="1"/>
        <v xml:space="preserve">Раствор + газовая без Ar: </v>
      </c>
      <c r="F130" s="61">
        <f ca="1"/>
        <v>-60.345725656216956</v>
      </c>
      <c r="G130" s="61">
        <f ca="1"/>
        <v>-120.44616130864313</v>
      </c>
      <c r="H130" s="61">
        <f ca="1"/>
        <v>-137.0769498079417</v>
      </c>
      <c r="I130" s="61">
        <f ca="1"/>
        <v>-154.21492421467786</v>
      </c>
      <c r="J130" s="61">
        <f ca="1"/>
        <v>-171.81571523377457</v>
      </c>
      <c r="K130" s="61">
        <f ca="1"/>
        <v>-189.91096007018012</v>
      </c>
      <c r="L130" s="61">
        <f ca="1"/>
        <v>-267.49770465185719</v>
      </c>
      <c r="M130" s="61">
        <f ca="1"/>
        <v>-288.62975640753996</v>
      </c>
      <c r="N130" s="61">
        <f ca="1"/>
        <v>-310.33454051052735</v>
      </c>
      <c r="O130" s="61">
        <f ca="1"/>
        <v>-332.60091829327058</v>
      </c>
      <c r="P130" s="61">
        <f ca="1"/>
        <v>-355.30950260187956</v>
      </c>
      <c r="Q130" s="61">
        <f ca="1"/>
        <v>-451.56067475357418</v>
      </c>
      <c r="R130" s="61">
        <f ca="1"/>
        <v>-477.72853419097896</v>
      </c>
      <c r="S130" s="61">
        <f ca="1"/>
        <v>-504.80619647477761</v>
      </c>
      <c r="T130" s="61">
        <f ca="1"/>
        <v>-532.59447340111444</v>
      </c>
      <c r="U130" s="61">
        <f ca="1"/>
        <v>-561.20024868851135</v>
      </c>
      <c r="V130" s="61">
        <f ca="1"/>
        <v>-681.64636546640099</v>
      </c>
      <c r="W130" s="61">
        <f ca="1"/>
        <v>-805.91761293595289</v>
      </c>
      <c r="X130" s="61">
        <f ca="1"/>
        <v>-932.92946396771265</v>
      </c>
      <c r="Y130" s="61" t="e">
        <f ca="1"/>
        <v>#N/A</v>
      </c>
      <c r="Z130" s="61" t="e">
        <f ca="1"/>
        <v>#N/A</v>
      </c>
      <c r="AA130" s="61" t="e">
        <f ca="1"/>
        <v>#N/A</v>
      </c>
      <c r="AB130" s="61" t="e">
        <f ca="1"/>
        <v>#N/A</v>
      </c>
      <c r="AC130" s="61" t="e">
        <f ca="1"/>
        <v>#N/A</v>
      </c>
      <c r="AD130" s="61" t="e">
        <f ca="1"/>
        <v>#N/A</v>
      </c>
      <c r="AE130" s="61" t="e">
        <f ca="1"/>
        <v>#N/A</v>
      </c>
      <c r="AF130" s="61" t="e">
        <f ca="1"/>
        <v>#N/A</v>
      </c>
      <c r="AG130" s="61" t="e">
        <f ca="1"/>
        <v>#N/A</v>
      </c>
      <c r="AH130" s="61" t="e">
        <f ca="1"/>
        <v>#N/A</v>
      </c>
      <c r="AI130" s="61" t="e">
        <f ca="1"/>
        <v>#N/A</v>
      </c>
      <c r="AJ130" s="61" t="e">
        <f ca="1"/>
        <v>#N/A</v>
      </c>
      <c r="AK130" s="61" t="e">
        <f ca="1"/>
        <v>#N/A</v>
      </c>
      <c r="AL130" s="61" t="e">
        <f ca="1"/>
        <v>#N/A</v>
      </c>
    </row>
    <row r="131" spans="1:38" ht="21" customHeight="1" outlineLevel="1" thickBot="1" x14ac:dyDescent="0.4">
      <c r="E131" s="29" t="str">
        <f ca="1"/>
        <v xml:space="preserve">Раствор + газовая: </v>
      </c>
      <c r="F131" s="61">
        <f ca="1"/>
        <v>-137.24794962121697</v>
      </c>
      <c r="G131" s="61">
        <f ca="1"/>
        <v>-232.67378569864317</v>
      </c>
      <c r="H131" s="61">
        <f ca="1"/>
        <v>-258.43862060544171</v>
      </c>
      <c r="I131" s="61">
        <f ca="1"/>
        <v>-284.77543908967789</v>
      </c>
      <c r="J131" s="61">
        <f ca="1"/>
        <v>-311.6135841787746</v>
      </c>
      <c r="K131" s="61">
        <f ca="1"/>
        <v>-339.19381661018014</v>
      </c>
      <c r="L131" s="61">
        <f ca="1"/>
        <v>-456.7156589918572</v>
      </c>
      <c r="M131" s="61">
        <f ca="1"/>
        <v>-488.00772488253995</v>
      </c>
      <c r="N131" s="61">
        <f ca="1"/>
        <v>-519.9469656105274</v>
      </c>
      <c r="O131" s="61">
        <f ca="1"/>
        <v>-552.35543978077067</v>
      </c>
      <c r="P131" s="61">
        <f ca="1"/>
        <v>-585.40476773937962</v>
      </c>
      <c r="Q131" s="61">
        <f ca="1"/>
        <v>-724.85324562357437</v>
      </c>
      <c r="R131" s="61">
        <f ca="1"/>
        <v>-762.13387775097908</v>
      </c>
      <c r="S131" s="61">
        <f ca="1"/>
        <v>-800.54991282477761</v>
      </c>
      <c r="T131" s="61">
        <f ca="1"/>
        <v>-839.26316560111457</v>
      </c>
      <c r="U131" s="61">
        <f ca="1"/>
        <v>-878.73308231351143</v>
      </c>
      <c r="V131" s="61">
        <f ca="1"/>
        <v>-1042.5089686664012</v>
      </c>
      <c r="W131" s="61">
        <f ca="1"/>
        <v>-1209.8698352359531</v>
      </c>
      <c r="X131" s="61">
        <f ca="1"/>
        <v>-1380.4574264677128</v>
      </c>
      <c r="Y131" s="61" t="e">
        <f ca="1"/>
        <v>#N/A</v>
      </c>
      <c r="Z131" s="61" t="e">
        <f ca="1"/>
        <v>#N/A</v>
      </c>
      <c r="AA131" s="61" t="e">
        <f ca="1"/>
        <v>#N/A</v>
      </c>
      <c r="AB131" s="61" t="e">
        <f ca="1"/>
        <v>#N/A</v>
      </c>
      <c r="AC131" s="61" t="e">
        <f ca="1"/>
        <v>#N/A</v>
      </c>
      <c r="AD131" s="61" t="e">
        <f ca="1"/>
        <v>#N/A</v>
      </c>
      <c r="AE131" s="61" t="e">
        <f ca="1"/>
        <v>#N/A</v>
      </c>
      <c r="AF131" s="61" t="e">
        <f ca="1"/>
        <v>#N/A</v>
      </c>
      <c r="AG131" s="61" t="e">
        <f ca="1"/>
        <v>#N/A</v>
      </c>
      <c r="AH131" s="61" t="e">
        <f ca="1"/>
        <v>#N/A</v>
      </c>
      <c r="AI131" s="61" t="e">
        <f ca="1"/>
        <v>#N/A</v>
      </c>
      <c r="AJ131" s="61" t="e">
        <f ca="1"/>
        <v>#N/A</v>
      </c>
      <c r="AK131" s="61" t="e">
        <f ca="1"/>
        <v>#N/A</v>
      </c>
      <c r="AL131" s="61" t="e">
        <f ca="1"/>
        <v>#N/A</v>
      </c>
    </row>
    <row r="132" spans="1:38" ht="21" customHeight="1" outlineLevel="1" thickBot="1" x14ac:dyDescent="0.4">
      <c r="E132" s="29" t="e">
        <f ca="1"/>
        <v>#N/A</v>
      </c>
      <c r="F132" s="61" t="e">
        <f ca="1"/>
        <v>#N/A</v>
      </c>
      <c r="G132" s="61" t="e">
        <f ca="1"/>
        <v>#N/A</v>
      </c>
      <c r="H132" s="61" t="e">
        <f ca="1"/>
        <v>#N/A</v>
      </c>
      <c r="I132" s="61" t="e">
        <f ca="1"/>
        <v>#N/A</v>
      </c>
      <c r="J132" s="61" t="e">
        <f ca="1"/>
        <v>#N/A</v>
      </c>
      <c r="K132" s="61" t="e">
        <f ca="1"/>
        <v>#N/A</v>
      </c>
      <c r="L132" s="61" t="e">
        <f ca="1"/>
        <v>#N/A</v>
      </c>
      <c r="M132" s="61" t="e">
        <f ca="1"/>
        <v>#N/A</v>
      </c>
      <c r="N132" s="61" t="e">
        <f ca="1"/>
        <v>#N/A</v>
      </c>
      <c r="O132" s="61" t="e">
        <f ca="1"/>
        <v>#N/A</v>
      </c>
      <c r="P132" s="61" t="e">
        <f ca="1"/>
        <v>#N/A</v>
      </c>
      <c r="Q132" s="61" t="e">
        <f ca="1"/>
        <v>#N/A</v>
      </c>
      <c r="R132" s="61" t="e">
        <f ca="1"/>
        <v>#N/A</v>
      </c>
      <c r="S132" s="61" t="e">
        <f ca="1"/>
        <v>#N/A</v>
      </c>
      <c r="T132" s="61" t="e">
        <f ca="1"/>
        <v>#N/A</v>
      </c>
      <c r="U132" s="61" t="e">
        <f ca="1"/>
        <v>#N/A</v>
      </c>
      <c r="V132" s="61" t="e">
        <f ca="1"/>
        <v>#N/A</v>
      </c>
      <c r="W132" s="61" t="e">
        <f ca="1"/>
        <v>#N/A</v>
      </c>
      <c r="X132" s="61" t="e">
        <f ca="1"/>
        <v>#N/A</v>
      </c>
      <c r="Y132" s="61" t="e">
        <f ca="1"/>
        <v>#N/A</v>
      </c>
      <c r="Z132" s="61" t="e">
        <f ca="1"/>
        <v>#N/A</v>
      </c>
      <c r="AA132" s="61" t="e">
        <f ca="1"/>
        <v>#N/A</v>
      </c>
      <c r="AB132" s="61" t="e">
        <f ca="1"/>
        <v>#N/A</v>
      </c>
      <c r="AC132" s="61" t="e">
        <f ca="1"/>
        <v>#N/A</v>
      </c>
      <c r="AD132" s="61" t="e">
        <f ca="1"/>
        <v>#N/A</v>
      </c>
      <c r="AE132" s="61" t="e">
        <f ca="1"/>
        <v>#N/A</v>
      </c>
      <c r="AF132" s="61" t="e">
        <f ca="1"/>
        <v>#N/A</v>
      </c>
      <c r="AG132" s="61" t="e">
        <f ca="1"/>
        <v>#N/A</v>
      </c>
      <c r="AH132" s="61" t="e">
        <f ca="1"/>
        <v>#N/A</v>
      </c>
      <c r="AI132" s="61" t="e">
        <f ca="1"/>
        <v>#N/A</v>
      </c>
      <c r="AJ132" s="61" t="e">
        <f ca="1"/>
        <v>#N/A</v>
      </c>
      <c r="AK132" s="61" t="e">
        <f ca="1"/>
        <v>#N/A</v>
      </c>
      <c r="AL132" s="61" t="e">
        <f ca="1"/>
        <v>#N/A</v>
      </c>
    </row>
    <row r="133" spans="1:38" ht="21" customHeight="1" outlineLevel="1" thickBot="1" x14ac:dyDescent="0.4">
      <c r="E133" s="29" t="e">
        <f ca="1"/>
        <v>#N/A</v>
      </c>
      <c r="F133" s="61" t="e">
        <f ca="1"/>
        <v>#N/A</v>
      </c>
      <c r="G133" s="61" t="e">
        <f ca="1"/>
        <v>#N/A</v>
      </c>
      <c r="H133" s="61" t="e">
        <f ca="1"/>
        <v>#N/A</v>
      </c>
      <c r="I133" s="61" t="e">
        <f ca="1"/>
        <v>#N/A</v>
      </c>
      <c r="J133" s="61" t="e">
        <f ca="1"/>
        <v>#N/A</v>
      </c>
      <c r="K133" s="61" t="e">
        <f ca="1"/>
        <v>#N/A</v>
      </c>
      <c r="L133" s="61" t="e">
        <f ca="1"/>
        <v>#N/A</v>
      </c>
      <c r="M133" s="61" t="e">
        <f ca="1"/>
        <v>#N/A</v>
      </c>
      <c r="N133" s="61" t="e">
        <f ca="1"/>
        <v>#N/A</v>
      </c>
      <c r="O133" s="61" t="e">
        <f ca="1"/>
        <v>#N/A</v>
      </c>
      <c r="P133" s="61" t="e">
        <f ca="1"/>
        <v>#N/A</v>
      </c>
      <c r="Q133" s="61" t="e">
        <f ca="1"/>
        <v>#N/A</v>
      </c>
      <c r="R133" s="61" t="e">
        <f ca="1"/>
        <v>#N/A</v>
      </c>
      <c r="S133" s="61" t="e">
        <f ca="1"/>
        <v>#N/A</v>
      </c>
      <c r="T133" s="61" t="e">
        <f ca="1"/>
        <v>#N/A</v>
      </c>
      <c r="U133" s="61" t="e">
        <f ca="1"/>
        <v>#N/A</v>
      </c>
      <c r="V133" s="61" t="e">
        <f ca="1"/>
        <v>#N/A</v>
      </c>
      <c r="W133" s="61" t="e">
        <f ca="1"/>
        <v>#N/A</v>
      </c>
      <c r="X133" s="61" t="e">
        <f ca="1"/>
        <v>#N/A</v>
      </c>
      <c r="Y133" s="61" t="e">
        <f ca="1"/>
        <v>#N/A</v>
      </c>
      <c r="Z133" s="61" t="e">
        <f ca="1"/>
        <v>#N/A</v>
      </c>
      <c r="AA133" s="61" t="e">
        <f ca="1"/>
        <v>#N/A</v>
      </c>
      <c r="AB133" s="61" t="e">
        <f ca="1"/>
        <v>#N/A</v>
      </c>
      <c r="AC133" s="61" t="e">
        <f ca="1"/>
        <v>#N/A</v>
      </c>
      <c r="AD133" s="61" t="e">
        <f ca="1"/>
        <v>#N/A</v>
      </c>
      <c r="AE133" s="61" t="e">
        <f ca="1"/>
        <v>#N/A</v>
      </c>
      <c r="AF133" s="61" t="e">
        <f ca="1"/>
        <v>#N/A</v>
      </c>
      <c r="AG133" s="61" t="e">
        <f ca="1"/>
        <v>#N/A</v>
      </c>
      <c r="AH133" s="61" t="e">
        <f ca="1"/>
        <v>#N/A</v>
      </c>
      <c r="AI133" s="61" t="e">
        <f ca="1"/>
        <v>#N/A</v>
      </c>
      <c r="AJ133" s="61" t="e">
        <f ca="1"/>
        <v>#N/A</v>
      </c>
      <c r="AK133" s="61" t="e">
        <f ca="1"/>
        <v>#N/A</v>
      </c>
      <c r="AL133" s="61" t="e">
        <f ca="1"/>
        <v>#N/A</v>
      </c>
    </row>
    <row r="134" spans="1:38" ht="21" customHeight="1" outlineLevel="1" thickBot="1" x14ac:dyDescent="0.4">
      <c r="E134" s="29" t="e">
        <f ca="1"/>
        <v>#N/A</v>
      </c>
      <c r="F134" s="61" t="e">
        <f ca="1"/>
        <v>#N/A</v>
      </c>
      <c r="G134" s="61" t="e">
        <f ca="1"/>
        <v>#N/A</v>
      </c>
      <c r="H134" s="61" t="e">
        <f ca="1"/>
        <v>#N/A</v>
      </c>
      <c r="I134" s="61" t="e">
        <f ca="1"/>
        <v>#N/A</v>
      </c>
      <c r="J134" s="61" t="e">
        <f ca="1"/>
        <v>#N/A</v>
      </c>
      <c r="K134" s="61" t="e">
        <f ca="1"/>
        <v>#N/A</v>
      </c>
      <c r="L134" s="61" t="e">
        <f ca="1"/>
        <v>#N/A</v>
      </c>
      <c r="M134" s="61" t="e">
        <f ca="1"/>
        <v>#N/A</v>
      </c>
      <c r="N134" s="61" t="e">
        <f ca="1"/>
        <v>#N/A</v>
      </c>
      <c r="O134" s="61" t="e">
        <f ca="1"/>
        <v>#N/A</v>
      </c>
      <c r="P134" s="61" t="e">
        <f ca="1"/>
        <v>#N/A</v>
      </c>
      <c r="Q134" s="61" t="e">
        <f ca="1"/>
        <v>#N/A</v>
      </c>
      <c r="R134" s="61" t="e">
        <f ca="1"/>
        <v>#N/A</v>
      </c>
      <c r="S134" s="61" t="e">
        <f ca="1"/>
        <v>#N/A</v>
      </c>
      <c r="T134" s="61" t="e">
        <f ca="1"/>
        <v>#N/A</v>
      </c>
      <c r="U134" s="61" t="e">
        <f ca="1"/>
        <v>#N/A</v>
      </c>
      <c r="V134" s="61" t="e">
        <f ca="1"/>
        <v>#N/A</v>
      </c>
      <c r="W134" s="61" t="e">
        <f ca="1"/>
        <v>#N/A</v>
      </c>
      <c r="X134" s="61" t="e">
        <f ca="1"/>
        <v>#N/A</v>
      </c>
      <c r="Y134" s="61" t="e">
        <f ca="1"/>
        <v>#N/A</v>
      </c>
      <c r="Z134" s="61" t="e">
        <f ca="1"/>
        <v>#N/A</v>
      </c>
      <c r="AA134" s="61" t="e">
        <f ca="1"/>
        <v>#N/A</v>
      </c>
      <c r="AB134" s="61" t="e">
        <f ca="1"/>
        <v>#N/A</v>
      </c>
      <c r="AC134" s="61" t="e">
        <f ca="1"/>
        <v>#N/A</v>
      </c>
      <c r="AD134" s="61" t="e">
        <f ca="1"/>
        <v>#N/A</v>
      </c>
      <c r="AE134" s="61" t="e">
        <f ca="1"/>
        <v>#N/A</v>
      </c>
      <c r="AF134" s="61" t="e">
        <f ca="1"/>
        <v>#N/A</v>
      </c>
      <c r="AG134" s="61" t="e">
        <f ca="1"/>
        <v>#N/A</v>
      </c>
      <c r="AH134" s="61" t="e">
        <f ca="1"/>
        <v>#N/A</v>
      </c>
      <c r="AI134" s="61" t="e">
        <f ca="1"/>
        <v>#N/A</v>
      </c>
      <c r="AJ134" s="61" t="e">
        <f ca="1"/>
        <v>#N/A</v>
      </c>
      <c r="AK134" s="61" t="e">
        <f ca="1"/>
        <v>#N/A</v>
      </c>
      <c r="AL134" s="61" t="e">
        <f ca="1"/>
        <v>#N/A</v>
      </c>
    </row>
    <row r="135" spans="1:38" ht="21" customHeight="1" outlineLevel="1" thickBot="1" x14ac:dyDescent="0.4">
      <c r="E135" s="29" t="e">
        <f ca="1"/>
        <v>#N/A</v>
      </c>
      <c r="F135" s="61" t="e">
        <f ca="1"/>
        <v>#N/A</v>
      </c>
      <c r="G135" s="61" t="e">
        <f ca="1"/>
        <v>#N/A</v>
      </c>
      <c r="H135" s="61" t="e">
        <f ca="1"/>
        <v>#N/A</v>
      </c>
      <c r="I135" s="61" t="e">
        <f ca="1"/>
        <v>#N/A</v>
      </c>
      <c r="J135" s="61" t="e">
        <f ca="1"/>
        <v>#N/A</v>
      </c>
      <c r="K135" s="61" t="e">
        <f ca="1"/>
        <v>#N/A</v>
      </c>
      <c r="L135" s="61" t="e">
        <f ca="1"/>
        <v>#N/A</v>
      </c>
      <c r="M135" s="61" t="e">
        <f ca="1"/>
        <v>#N/A</v>
      </c>
      <c r="N135" s="61" t="e">
        <f ca="1"/>
        <v>#N/A</v>
      </c>
      <c r="O135" s="61" t="e">
        <f ca="1"/>
        <v>#N/A</v>
      </c>
      <c r="P135" s="61" t="e">
        <f ca="1"/>
        <v>#N/A</v>
      </c>
      <c r="Q135" s="61" t="e">
        <f ca="1"/>
        <v>#N/A</v>
      </c>
      <c r="R135" s="61" t="e">
        <f ca="1"/>
        <v>#N/A</v>
      </c>
      <c r="S135" s="61" t="e">
        <f ca="1"/>
        <v>#N/A</v>
      </c>
      <c r="T135" s="61" t="e">
        <f ca="1"/>
        <v>#N/A</v>
      </c>
      <c r="U135" s="61" t="e">
        <f ca="1"/>
        <v>#N/A</v>
      </c>
      <c r="V135" s="61" t="e">
        <f ca="1"/>
        <v>#N/A</v>
      </c>
      <c r="W135" s="61" t="e">
        <f ca="1"/>
        <v>#N/A</v>
      </c>
      <c r="X135" s="61" t="e">
        <f ca="1"/>
        <v>#N/A</v>
      </c>
      <c r="Y135" s="61" t="e">
        <f ca="1"/>
        <v>#N/A</v>
      </c>
      <c r="Z135" s="61" t="e">
        <f ca="1"/>
        <v>#N/A</v>
      </c>
      <c r="AA135" s="61" t="e">
        <f ca="1"/>
        <v>#N/A</v>
      </c>
      <c r="AB135" s="61" t="e">
        <f ca="1"/>
        <v>#N/A</v>
      </c>
      <c r="AC135" s="61" t="e">
        <f ca="1"/>
        <v>#N/A</v>
      </c>
      <c r="AD135" s="61" t="e">
        <f ca="1"/>
        <v>#N/A</v>
      </c>
      <c r="AE135" s="61" t="e">
        <f ca="1"/>
        <v>#N/A</v>
      </c>
      <c r="AF135" s="61" t="e">
        <f ca="1"/>
        <v>#N/A</v>
      </c>
      <c r="AG135" s="61" t="e">
        <f ca="1"/>
        <v>#N/A</v>
      </c>
      <c r="AH135" s="61" t="e">
        <f ca="1"/>
        <v>#N/A</v>
      </c>
      <c r="AI135" s="61" t="e">
        <f ca="1"/>
        <v>#N/A</v>
      </c>
      <c r="AJ135" s="61" t="e">
        <f ca="1"/>
        <v>#N/A</v>
      </c>
      <c r="AK135" s="61" t="e">
        <f ca="1"/>
        <v>#N/A</v>
      </c>
      <c r="AL135" s="61" t="e">
        <f ca="1"/>
        <v>#N/A</v>
      </c>
    </row>
    <row r="136" spans="1:38" ht="21" customHeight="1" outlineLevel="1" thickBot="1" x14ac:dyDescent="0.4">
      <c r="E136" s="29" t="e">
        <f ca="1"/>
        <v>#N/A</v>
      </c>
      <c r="F136" s="61" t="e">
        <f ca="1"/>
        <v>#N/A</v>
      </c>
      <c r="G136" s="61" t="e">
        <f ca="1"/>
        <v>#N/A</v>
      </c>
      <c r="H136" s="61" t="e">
        <f ca="1"/>
        <v>#N/A</v>
      </c>
      <c r="I136" s="61" t="e">
        <f ca="1"/>
        <v>#N/A</v>
      </c>
      <c r="J136" s="61" t="e">
        <f ca="1"/>
        <v>#N/A</v>
      </c>
      <c r="K136" s="61" t="e">
        <f ca="1"/>
        <v>#N/A</v>
      </c>
      <c r="L136" s="61" t="e">
        <f ca="1"/>
        <v>#N/A</v>
      </c>
      <c r="M136" s="61" t="e">
        <f ca="1"/>
        <v>#N/A</v>
      </c>
      <c r="N136" s="61" t="e">
        <f ca="1"/>
        <v>#N/A</v>
      </c>
      <c r="O136" s="61" t="e">
        <f ca="1"/>
        <v>#N/A</v>
      </c>
      <c r="P136" s="61" t="e">
        <f ca="1"/>
        <v>#N/A</v>
      </c>
      <c r="Q136" s="61" t="e">
        <f ca="1"/>
        <v>#N/A</v>
      </c>
      <c r="R136" s="61" t="e">
        <f ca="1"/>
        <v>#N/A</v>
      </c>
      <c r="S136" s="61" t="e">
        <f ca="1"/>
        <v>#N/A</v>
      </c>
      <c r="T136" s="61" t="e">
        <f ca="1"/>
        <v>#N/A</v>
      </c>
      <c r="U136" s="61" t="e">
        <f ca="1"/>
        <v>#N/A</v>
      </c>
      <c r="V136" s="61" t="e">
        <f ca="1"/>
        <v>#N/A</v>
      </c>
      <c r="W136" s="61" t="e">
        <f ca="1"/>
        <v>#N/A</v>
      </c>
      <c r="X136" s="61" t="e">
        <f ca="1"/>
        <v>#N/A</v>
      </c>
      <c r="Y136" s="61" t="e">
        <f ca="1"/>
        <v>#N/A</v>
      </c>
      <c r="Z136" s="61" t="e">
        <f ca="1"/>
        <v>#N/A</v>
      </c>
      <c r="AA136" s="61" t="e">
        <f ca="1"/>
        <v>#N/A</v>
      </c>
      <c r="AB136" s="61" t="e">
        <f ca="1"/>
        <v>#N/A</v>
      </c>
      <c r="AC136" s="61" t="e">
        <f ca="1"/>
        <v>#N/A</v>
      </c>
      <c r="AD136" s="61" t="e">
        <f ca="1"/>
        <v>#N/A</v>
      </c>
      <c r="AE136" s="61" t="e">
        <f ca="1"/>
        <v>#N/A</v>
      </c>
      <c r="AF136" s="61" t="e">
        <f ca="1"/>
        <v>#N/A</v>
      </c>
      <c r="AG136" s="61" t="e">
        <f ca="1"/>
        <v>#N/A</v>
      </c>
      <c r="AH136" s="61" t="e">
        <f ca="1"/>
        <v>#N/A</v>
      </c>
      <c r="AI136" s="61" t="e">
        <f ca="1"/>
        <v>#N/A</v>
      </c>
      <c r="AJ136" s="61" t="e">
        <f ca="1"/>
        <v>#N/A</v>
      </c>
      <c r="AK136" s="61" t="e">
        <f ca="1"/>
        <v>#N/A</v>
      </c>
      <c r="AL136" s="61" t="e">
        <f ca="1"/>
        <v>#N/A</v>
      </c>
    </row>
    <row r="137" spans="1:38" ht="21" customHeight="1" outlineLevel="1" thickBot="1" x14ac:dyDescent="0.4">
      <c r="E137" s="29" t="e">
        <f ca="1"/>
        <v>#N/A</v>
      </c>
      <c r="F137" s="61" t="e">
        <f ca="1"/>
        <v>#N/A</v>
      </c>
      <c r="G137" s="61" t="e">
        <f ca="1"/>
        <v>#N/A</v>
      </c>
      <c r="H137" s="61" t="e">
        <f ca="1"/>
        <v>#N/A</v>
      </c>
      <c r="I137" s="61" t="e">
        <f ca="1"/>
        <v>#N/A</v>
      </c>
      <c r="J137" s="61" t="e">
        <f ca="1"/>
        <v>#N/A</v>
      </c>
      <c r="K137" s="61" t="e">
        <f ca="1"/>
        <v>#N/A</v>
      </c>
      <c r="L137" s="61" t="e">
        <f ca="1"/>
        <v>#N/A</v>
      </c>
      <c r="M137" s="61" t="e">
        <f ca="1"/>
        <v>#N/A</v>
      </c>
      <c r="N137" s="61" t="e">
        <f ca="1"/>
        <v>#N/A</v>
      </c>
      <c r="O137" s="61" t="e">
        <f ca="1"/>
        <v>#N/A</v>
      </c>
      <c r="P137" s="61" t="e">
        <f ca="1"/>
        <v>#N/A</v>
      </c>
      <c r="Q137" s="61" t="e">
        <f ca="1"/>
        <v>#N/A</v>
      </c>
      <c r="R137" s="61" t="e">
        <f ca="1"/>
        <v>#N/A</v>
      </c>
      <c r="S137" s="61" t="e">
        <f ca="1"/>
        <v>#N/A</v>
      </c>
      <c r="T137" s="61" t="e">
        <f ca="1"/>
        <v>#N/A</v>
      </c>
      <c r="U137" s="61" t="e">
        <f ca="1"/>
        <v>#N/A</v>
      </c>
      <c r="V137" s="61" t="e">
        <f ca="1"/>
        <v>#N/A</v>
      </c>
      <c r="W137" s="61" t="e">
        <f ca="1"/>
        <v>#N/A</v>
      </c>
      <c r="X137" s="61" t="e">
        <f ca="1"/>
        <v>#N/A</v>
      </c>
      <c r="Y137" s="61" t="e">
        <f ca="1"/>
        <v>#N/A</v>
      </c>
      <c r="Z137" s="61" t="e">
        <f ca="1"/>
        <v>#N/A</v>
      </c>
      <c r="AA137" s="61" t="e">
        <f ca="1"/>
        <v>#N/A</v>
      </c>
      <c r="AB137" s="61" t="e">
        <f ca="1"/>
        <v>#N/A</v>
      </c>
      <c r="AC137" s="61" t="e">
        <f ca="1"/>
        <v>#N/A</v>
      </c>
      <c r="AD137" s="61" t="e">
        <f ca="1"/>
        <v>#N/A</v>
      </c>
      <c r="AE137" s="61" t="e">
        <f ca="1"/>
        <v>#N/A</v>
      </c>
      <c r="AF137" s="61" t="e">
        <f ca="1"/>
        <v>#N/A</v>
      </c>
      <c r="AG137" s="61" t="e">
        <f ca="1"/>
        <v>#N/A</v>
      </c>
      <c r="AH137" s="61" t="e">
        <f ca="1"/>
        <v>#N/A</v>
      </c>
      <c r="AI137" s="61" t="e">
        <f ca="1"/>
        <v>#N/A</v>
      </c>
      <c r="AJ137" s="61" t="e">
        <f ca="1"/>
        <v>#N/A</v>
      </c>
      <c r="AK137" s="61" t="e">
        <f ca="1"/>
        <v>#N/A</v>
      </c>
      <c r="AL137" s="61" t="e">
        <f ca="1"/>
        <v>#N/A</v>
      </c>
    </row>
    <row r="138" spans="1:38" ht="21" customHeight="1" outlineLevel="1" thickBot="1" x14ac:dyDescent="0.4">
      <c r="E138" s="29" t="e">
        <f ca="1"/>
        <v>#N/A</v>
      </c>
      <c r="F138" s="61" t="e">
        <f ca="1"/>
        <v>#N/A</v>
      </c>
      <c r="G138" s="61" t="e">
        <f ca="1"/>
        <v>#N/A</v>
      </c>
      <c r="H138" s="61" t="e">
        <f ca="1"/>
        <v>#N/A</v>
      </c>
      <c r="I138" s="61" t="e">
        <f ca="1"/>
        <v>#N/A</v>
      </c>
      <c r="J138" s="61" t="e">
        <f ca="1"/>
        <v>#N/A</v>
      </c>
      <c r="K138" s="61" t="e">
        <f ca="1"/>
        <v>#N/A</v>
      </c>
      <c r="L138" s="61" t="e">
        <f ca="1"/>
        <v>#N/A</v>
      </c>
      <c r="M138" s="61" t="e">
        <f ca="1"/>
        <v>#N/A</v>
      </c>
      <c r="N138" s="61" t="e">
        <f ca="1"/>
        <v>#N/A</v>
      </c>
      <c r="O138" s="61" t="e">
        <f ca="1"/>
        <v>#N/A</v>
      </c>
      <c r="P138" s="61" t="e">
        <f ca="1"/>
        <v>#N/A</v>
      </c>
      <c r="Q138" s="61" t="e">
        <f ca="1"/>
        <v>#N/A</v>
      </c>
      <c r="R138" s="61" t="e">
        <f ca="1"/>
        <v>#N/A</v>
      </c>
      <c r="S138" s="61" t="e">
        <f ca="1"/>
        <v>#N/A</v>
      </c>
      <c r="T138" s="61" t="e">
        <f ca="1"/>
        <v>#N/A</v>
      </c>
      <c r="U138" s="61" t="e">
        <f ca="1"/>
        <v>#N/A</v>
      </c>
      <c r="V138" s="61" t="e">
        <f ca="1"/>
        <v>#N/A</v>
      </c>
      <c r="W138" s="61" t="e">
        <f ca="1"/>
        <v>#N/A</v>
      </c>
      <c r="X138" s="61" t="e">
        <f ca="1"/>
        <v>#N/A</v>
      </c>
      <c r="Y138" s="61" t="e">
        <f ca="1"/>
        <v>#N/A</v>
      </c>
      <c r="Z138" s="61" t="e">
        <f ca="1"/>
        <v>#N/A</v>
      </c>
      <c r="AA138" s="61" t="e">
        <f ca="1"/>
        <v>#N/A</v>
      </c>
      <c r="AB138" s="61" t="e">
        <f ca="1"/>
        <v>#N/A</v>
      </c>
      <c r="AC138" s="61" t="e">
        <f ca="1"/>
        <v>#N/A</v>
      </c>
      <c r="AD138" s="61" t="e">
        <f ca="1"/>
        <v>#N/A</v>
      </c>
      <c r="AE138" s="61" t="e">
        <f ca="1"/>
        <v>#N/A</v>
      </c>
      <c r="AF138" s="61" t="e">
        <f ca="1"/>
        <v>#N/A</v>
      </c>
      <c r="AG138" s="61" t="e">
        <f ca="1"/>
        <v>#N/A</v>
      </c>
      <c r="AH138" s="61" t="e">
        <f ca="1"/>
        <v>#N/A</v>
      </c>
      <c r="AI138" s="61" t="e">
        <f ca="1"/>
        <v>#N/A</v>
      </c>
      <c r="AJ138" s="61" t="e">
        <f ca="1"/>
        <v>#N/A</v>
      </c>
      <c r="AK138" s="61" t="e">
        <f ca="1"/>
        <v>#N/A</v>
      </c>
      <c r="AL138" s="61" t="e">
        <f ca="1"/>
        <v>#N/A</v>
      </c>
    </row>
    <row r="139" spans="1:38" ht="21" customHeight="1" outlineLevel="1" thickBot="1" x14ac:dyDescent="0.4">
      <c r="E139" s="29" t="e">
        <f ca="1"/>
        <v>#N/A</v>
      </c>
      <c r="F139" s="61" t="e">
        <f ca="1"/>
        <v>#N/A</v>
      </c>
      <c r="G139" s="61" t="e">
        <f ca="1"/>
        <v>#N/A</v>
      </c>
      <c r="H139" s="61" t="e">
        <f ca="1"/>
        <v>#N/A</v>
      </c>
      <c r="I139" s="61" t="e">
        <f ca="1"/>
        <v>#N/A</v>
      </c>
      <c r="J139" s="61" t="e">
        <f ca="1"/>
        <v>#N/A</v>
      </c>
      <c r="K139" s="61" t="e">
        <f ca="1"/>
        <v>#N/A</v>
      </c>
      <c r="L139" s="61" t="e">
        <f ca="1"/>
        <v>#N/A</v>
      </c>
      <c r="M139" s="61" t="e">
        <f ca="1"/>
        <v>#N/A</v>
      </c>
      <c r="N139" s="61" t="e">
        <f ca="1"/>
        <v>#N/A</v>
      </c>
      <c r="O139" s="61" t="e">
        <f ca="1"/>
        <v>#N/A</v>
      </c>
      <c r="P139" s="61" t="e">
        <f ca="1"/>
        <v>#N/A</v>
      </c>
      <c r="Q139" s="61" t="e">
        <f ca="1"/>
        <v>#N/A</v>
      </c>
      <c r="R139" s="61" t="e">
        <f ca="1"/>
        <v>#N/A</v>
      </c>
      <c r="S139" s="61" t="e">
        <f ca="1"/>
        <v>#N/A</v>
      </c>
      <c r="T139" s="61" t="e">
        <f ca="1"/>
        <v>#N/A</v>
      </c>
      <c r="U139" s="61" t="e">
        <f ca="1"/>
        <v>#N/A</v>
      </c>
      <c r="V139" s="61" t="e">
        <f ca="1"/>
        <v>#N/A</v>
      </c>
      <c r="W139" s="61" t="e">
        <f ca="1"/>
        <v>#N/A</v>
      </c>
      <c r="X139" s="61" t="e">
        <f ca="1"/>
        <v>#N/A</v>
      </c>
      <c r="Y139" s="61" t="e">
        <f ca="1"/>
        <v>#N/A</v>
      </c>
      <c r="Z139" s="61" t="e">
        <f ca="1"/>
        <v>#N/A</v>
      </c>
      <c r="AA139" s="61" t="e">
        <f ca="1"/>
        <v>#N/A</v>
      </c>
      <c r="AB139" s="61" t="e">
        <f ca="1"/>
        <v>#N/A</v>
      </c>
      <c r="AC139" s="61" t="e">
        <f ca="1"/>
        <v>#N/A</v>
      </c>
      <c r="AD139" s="61" t="e">
        <f ca="1"/>
        <v>#N/A</v>
      </c>
      <c r="AE139" s="61" t="e">
        <f ca="1"/>
        <v>#N/A</v>
      </c>
      <c r="AF139" s="61" t="e">
        <f ca="1"/>
        <v>#N/A</v>
      </c>
      <c r="AG139" s="61" t="e">
        <f ca="1"/>
        <v>#N/A</v>
      </c>
      <c r="AH139" s="61" t="e">
        <f ca="1"/>
        <v>#N/A</v>
      </c>
      <c r="AI139" s="61" t="e">
        <f ca="1"/>
        <v>#N/A</v>
      </c>
      <c r="AJ139" s="61" t="e">
        <f ca="1"/>
        <v>#N/A</v>
      </c>
      <c r="AK139" s="61" t="e">
        <f ca="1"/>
        <v>#N/A</v>
      </c>
      <c r="AL139" s="61" t="e">
        <f ca="1"/>
        <v>#N/A</v>
      </c>
    </row>
    <row r="140" spans="1:38" ht="21" customHeight="1" outlineLevel="1" thickBot="1" x14ac:dyDescent="0.4">
      <c r="E140" s="30"/>
    </row>
    <row r="141" spans="1:38" ht="21" customHeight="1" thickBot="1" x14ac:dyDescent="0.4"/>
    <row r="142" spans="1:38" ht="21" customHeight="1" thickBot="1" x14ac:dyDescent="0.45">
      <c r="A142" s="1"/>
      <c r="B142" s="1"/>
      <c r="C142" s="1"/>
      <c r="D142" s="1"/>
      <c r="E142" s="2" t="s">
        <v>19</v>
      </c>
      <c r="F142" s="3"/>
      <c r="G142" s="2"/>
      <c r="H142" s="2"/>
      <c r="I142" s="2"/>
      <c r="J142" s="2"/>
      <c r="K142" s="31"/>
      <c r="L142" s="31"/>
      <c r="M142" s="31"/>
      <c r="N142" s="31"/>
      <c r="O142" s="31"/>
      <c r="P142" s="31"/>
      <c r="Q142" s="31"/>
      <c r="R142" s="31"/>
      <c r="S142" s="32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ht="21" customHeight="1" outlineLevel="1" thickBot="1" x14ac:dyDescent="0.4">
      <c r="A143" s="33" t="s">
        <v>20</v>
      </c>
      <c r="B143" s="34" t="s">
        <v>21</v>
      </c>
      <c r="C143" s="61">
        <v>298.14999999999998</v>
      </c>
    </row>
    <row r="144" spans="1:38" ht="21" customHeight="1" outlineLevel="1" x14ac:dyDescent="0.35">
      <c r="A144" s="61">
        <v>8</v>
      </c>
      <c r="B144" s="35" t="s">
        <v>22</v>
      </c>
      <c r="C144" s="61">
        <v>5</v>
      </c>
    </row>
    <row r="145" spans="2:19" ht="21" customHeight="1" outlineLevel="1" x14ac:dyDescent="0.35">
      <c r="B145" s="36" t="s">
        <v>23</v>
      </c>
      <c r="C145" s="37">
        <f>C144-$C$144</f>
        <v>0</v>
      </c>
      <c r="D145" s="37">
        <f>D144-$C$144</f>
        <v>-5</v>
      </c>
      <c r="E145" s="37">
        <f t="shared" ref="E145:F145" si="38">E144-$C$144</f>
        <v>-5</v>
      </c>
      <c r="F145" s="37">
        <f t="shared" si="38"/>
        <v>-5</v>
      </c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</row>
    <row r="146" spans="2:19" ht="21" customHeight="1" outlineLevel="1" thickBot="1" x14ac:dyDescent="0.4">
      <c r="B146" s="34" t="s">
        <v>24</v>
      </c>
      <c r="C146" s="37">
        <f>C145+$A$144</f>
        <v>8</v>
      </c>
      <c r="D146" s="37">
        <f t="shared" ref="D146:F146" si="39">D145+$A$144</f>
        <v>3</v>
      </c>
      <c r="E146" s="37">
        <f t="shared" si="39"/>
        <v>3</v>
      </c>
      <c r="F146" s="37">
        <f t="shared" si="39"/>
        <v>3</v>
      </c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</row>
    <row r="147" spans="2:19" ht="21" customHeight="1" outlineLevel="1" x14ac:dyDescent="0.35"/>
  </sheetData>
  <mergeCells count="2">
    <mergeCell ref="A1:BB1"/>
    <mergeCell ref="A117:B117"/>
  </mergeCells>
  <conditionalFormatting sqref="A4:D33">
    <cfRule type="cellIs" dxfId="6" priority="3" operator="equal">
      <formula>0</formula>
    </cfRule>
  </conditionalFormatting>
  <conditionalFormatting sqref="A50:D80">
    <cfRule type="cellIs" dxfId="5" priority="2" operator="equal">
      <formula>0</formula>
    </cfRule>
  </conditionalFormatting>
  <conditionalFormatting sqref="A84:D113">
    <cfRule type="cellIs" dxfId="4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C4602-7949-4CF8-A91D-3E3FFA532598}">
  <sheetPr codeName="Лист7">
    <tabColor rgb="FF0070C0"/>
  </sheetPr>
  <dimension ref="A1:BB148"/>
  <sheetViews>
    <sheetView topLeftCell="A13" zoomScaleNormal="100" zoomScaleSheetLayoutView="25" workbookViewId="0">
      <selection activeCell="AY25" sqref="AY25"/>
    </sheetView>
  </sheetViews>
  <sheetFormatPr defaultRowHeight="21" customHeight="1" outlineLevelRow="1" x14ac:dyDescent="0.35"/>
  <cols>
    <col min="1" max="4" width="5.6328125" style="61" customWidth="1"/>
    <col min="5" max="5" width="11.6328125" style="61" customWidth="1"/>
    <col min="6" max="6" width="8.90625" style="61" customWidth="1"/>
    <col min="7" max="37" width="8.6328125" style="61" hidden="1" customWidth="1"/>
    <col min="38" max="38" width="8.6328125" style="61" customWidth="1"/>
    <col min="39" max="16384" width="8.7265625" style="61"/>
  </cols>
  <sheetData>
    <row r="1" spans="1:54" ht="21.75" customHeight="1" thickBot="1" x14ac:dyDescent="0.4">
      <c r="A1" s="94" t="s">
        <v>34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</row>
    <row r="2" spans="1:54" ht="21" customHeight="1" thickBot="1" x14ac:dyDescent="0.45">
      <c r="A2" s="28">
        <f>Values!B1</f>
        <v>731</v>
      </c>
      <c r="B2" s="41">
        <v>8.3145000000000007</v>
      </c>
      <c r="C2" s="1"/>
      <c r="D2" s="1"/>
      <c r="E2" s="2" t="s">
        <v>28</v>
      </c>
      <c r="F2" s="3"/>
      <c r="G2" s="2"/>
      <c r="H2" s="2"/>
      <c r="I2" s="2"/>
      <c r="J2" s="2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7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9"/>
    </row>
    <row r="3" spans="1:54" ht="21" customHeight="1" outlineLevel="1" thickTop="1" thickBot="1" x14ac:dyDescent="0.4">
      <c r="A3" s="67" t="s">
        <v>1</v>
      </c>
      <c r="B3" s="67" t="s">
        <v>2</v>
      </c>
      <c r="C3" s="67" t="s">
        <v>3</v>
      </c>
      <c r="D3" s="68" t="s">
        <v>4</v>
      </c>
      <c r="E3" s="6"/>
      <c r="F3" s="6">
        <v>298.2</v>
      </c>
      <c r="G3" s="6">
        <v>331.5</v>
      </c>
      <c r="H3" s="6">
        <v>364.9</v>
      </c>
      <c r="I3" s="6">
        <v>398.3</v>
      </c>
      <c r="J3" s="6">
        <v>431.7</v>
      </c>
      <c r="K3" s="6">
        <v>465.1</v>
      </c>
      <c r="L3" s="6">
        <v>498.5</v>
      </c>
      <c r="M3" s="6">
        <v>531.79999999999995</v>
      </c>
      <c r="N3" s="6">
        <v>565.20000000000005</v>
      </c>
      <c r="O3" s="6">
        <v>698.8</v>
      </c>
      <c r="P3" s="6">
        <v>832.3</v>
      </c>
      <c r="Q3" s="6">
        <v>965.8</v>
      </c>
      <c r="R3" s="6">
        <v>999.2</v>
      </c>
      <c r="S3" s="6">
        <v>1033</v>
      </c>
      <c r="T3" s="6">
        <v>1066</v>
      </c>
      <c r="U3" s="6">
        <v>1099</v>
      </c>
      <c r="V3" s="6">
        <v>1233</v>
      </c>
      <c r="W3" s="6">
        <v>1366</v>
      </c>
      <c r="X3" s="6">
        <v>1400</v>
      </c>
      <c r="Y3" s="6">
        <v>1433</v>
      </c>
      <c r="Z3" s="6">
        <v>1467</v>
      </c>
      <c r="AA3" s="6">
        <v>1500</v>
      </c>
      <c r="AB3" s="7"/>
      <c r="AC3" s="7"/>
      <c r="AD3" s="7"/>
      <c r="AE3" s="7"/>
      <c r="AF3" s="7"/>
      <c r="AG3" s="7"/>
      <c r="AH3" s="7"/>
      <c r="AI3" s="7"/>
      <c r="AJ3" s="7"/>
      <c r="AK3" s="7"/>
      <c r="AL3" s="40"/>
      <c r="AM3" s="50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2"/>
    </row>
    <row r="4" spans="1:54" ht="21" customHeight="1" outlineLevel="1" thickTop="1" thickBot="1" x14ac:dyDescent="0.4">
      <c r="A4" s="69">
        <f>IF( ISNUMBER( FIND(A$3,$E4,1)),   IF( ISNUMBER( VALUE(MID($E4,FIND(A$3,$E4,1)+2,1)) ), VALUE( MID($E4,FIND(A$3,$E4,1)+2,1) ),1),0)</f>
        <v>0</v>
      </c>
      <c r="B4" s="69">
        <f t="shared" ref="B4:D19" si="0">IF( ISNUMBER( FIND(B$3,$E4,1)),   IF( ISNUMBER( VALUE(MID($E4,FIND(B$3,$E4,1)+2,1)) ), VALUE( MID($E4,FIND(B$3,$E4,1)+2,1) ),1),0)</f>
        <v>0</v>
      </c>
      <c r="C4" s="69">
        <f t="shared" si="0"/>
        <v>1</v>
      </c>
      <c r="D4" s="69">
        <f t="shared" si="0"/>
        <v>0</v>
      </c>
      <c r="E4" s="9" t="s">
        <v>64</v>
      </c>
      <c r="F4" s="80">
        <v>0</v>
      </c>
      <c r="G4" s="80">
        <v>0</v>
      </c>
      <c r="H4" s="80">
        <v>0</v>
      </c>
      <c r="I4" s="80">
        <v>0</v>
      </c>
      <c r="J4" s="80">
        <v>0</v>
      </c>
      <c r="K4" s="80">
        <v>0</v>
      </c>
      <c r="L4" s="80">
        <v>0</v>
      </c>
      <c r="M4" s="80">
        <v>0</v>
      </c>
      <c r="N4" s="80">
        <v>5.4464E-24</v>
      </c>
      <c r="O4" s="80">
        <v>2.7126E-13</v>
      </c>
      <c r="P4" s="80">
        <v>4.3304999999999999E-11</v>
      </c>
      <c r="Q4" s="80">
        <v>1.4366E-9</v>
      </c>
      <c r="R4" s="80">
        <v>2.4853000000000001E-9</v>
      </c>
      <c r="S4" s="80">
        <v>4.4833E-9</v>
      </c>
      <c r="T4" s="80">
        <v>1.1865000000000001E-8</v>
      </c>
      <c r="U4" s="80">
        <v>2.9401E-8</v>
      </c>
      <c r="V4" s="80">
        <v>5.9993999999999999E-2</v>
      </c>
      <c r="W4" s="80">
        <v>0.06</v>
      </c>
      <c r="X4" s="80">
        <v>0.06</v>
      </c>
      <c r="Y4" s="80">
        <v>0.06</v>
      </c>
      <c r="Z4" s="80">
        <v>0.06</v>
      </c>
      <c r="AA4" s="80">
        <v>0.06</v>
      </c>
      <c r="AM4" s="50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2"/>
    </row>
    <row r="5" spans="1:54" ht="21" customHeight="1" outlineLevel="1" thickBot="1" x14ac:dyDescent="0.4">
      <c r="A5" s="69">
        <f t="shared" ref="A5:D27" si="1">IF( ISNUMBER( FIND(A$3,$E5,1)),   IF( ISNUMBER( VALUE(MID($E5,FIND(A$3,$E5,1)+2,1)) ), VALUE( MID($E5,FIND(A$3,$E5,1)+2,1) ),1),0)</f>
        <v>0</v>
      </c>
      <c r="B5" s="69">
        <f t="shared" si="0"/>
        <v>0</v>
      </c>
      <c r="C5" s="69">
        <f t="shared" si="0"/>
        <v>1</v>
      </c>
      <c r="D5" s="69">
        <f t="shared" si="0"/>
        <v>0</v>
      </c>
      <c r="E5" s="9" t="s">
        <v>65</v>
      </c>
      <c r="F5" s="80">
        <v>0</v>
      </c>
      <c r="G5" s="80">
        <v>0</v>
      </c>
      <c r="H5" s="80">
        <v>0</v>
      </c>
      <c r="I5" s="80">
        <v>2.4355E-24</v>
      </c>
      <c r="J5" s="80">
        <v>9.869100000000001E-16</v>
      </c>
      <c r="K5" s="80">
        <v>1.9321999999999999E-11</v>
      </c>
      <c r="L5" s="80">
        <v>4.5759999999999999E-9</v>
      </c>
      <c r="M5" s="80">
        <v>0.06</v>
      </c>
      <c r="N5" s="80">
        <v>0.06</v>
      </c>
      <c r="O5" s="80">
        <v>0.06</v>
      </c>
      <c r="P5" s="80">
        <v>0.06</v>
      </c>
      <c r="Q5" s="80">
        <v>0.06</v>
      </c>
      <c r="R5" s="80">
        <v>0.06</v>
      </c>
      <c r="S5" s="80">
        <v>0.06</v>
      </c>
      <c r="T5" s="80">
        <v>0.06</v>
      </c>
      <c r="U5" s="80">
        <v>0.06</v>
      </c>
      <c r="V5" s="80">
        <v>5.8922000000000001E-6</v>
      </c>
      <c r="W5" s="80">
        <v>1.9743E-8</v>
      </c>
      <c r="X5" s="80">
        <v>1.4553E-8</v>
      </c>
      <c r="Y5" s="80">
        <v>8.2159000000000001E-9</v>
      </c>
      <c r="Z5" s="80">
        <v>7.8679999999999997E-9</v>
      </c>
      <c r="AA5" s="80">
        <v>6.0850000000000004E-9</v>
      </c>
      <c r="AM5" s="50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2"/>
    </row>
    <row r="6" spans="1:54" ht="21" customHeight="1" outlineLevel="1" thickBot="1" x14ac:dyDescent="0.4">
      <c r="A6" s="69">
        <f t="shared" si="1"/>
        <v>0</v>
      </c>
      <c r="B6" s="69">
        <f t="shared" si="0"/>
        <v>1</v>
      </c>
      <c r="C6" s="69">
        <f t="shared" si="0"/>
        <v>1</v>
      </c>
      <c r="D6" s="69">
        <f t="shared" si="0"/>
        <v>0</v>
      </c>
      <c r="E6" s="9" t="s">
        <v>41</v>
      </c>
      <c r="F6" s="80">
        <v>0.06</v>
      </c>
      <c r="G6" s="80">
        <v>0.06</v>
      </c>
      <c r="H6" s="80">
        <v>0.12</v>
      </c>
      <c r="I6" s="80">
        <v>0.12</v>
      </c>
      <c r="J6" s="80">
        <v>0.12</v>
      </c>
      <c r="K6" s="80">
        <v>0.12</v>
      </c>
      <c r="L6" s="80">
        <v>0.12</v>
      </c>
      <c r="M6" s="80">
        <v>8.4004999999999997E-9</v>
      </c>
      <c r="N6" s="80">
        <v>8.1328000000000001E-11</v>
      </c>
      <c r="O6" s="80">
        <v>7.2548999999999998E-26</v>
      </c>
      <c r="P6" s="80">
        <v>0</v>
      </c>
      <c r="Q6" s="80">
        <v>0</v>
      </c>
      <c r="R6" s="80">
        <v>0</v>
      </c>
      <c r="S6" s="80">
        <v>0</v>
      </c>
      <c r="T6" s="80">
        <v>0</v>
      </c>
      <c r="U6" s="80">
        <v>0</v>
      </c>
      <c r="V6" s="80">
        <v>0</v>
      </c>
      <c r="W6" s="80">
        <v>0</v>
      </c>
      <c r="X6" s="80">
        <v>0</v>
      </c>
      <c r="Y6" s="80">
        <v>0</v>
      </c>
      <c r="Z6" s="80">
        <v>0</v>
      </c>
      <c r="AA6" s="80">
        <v>0</v>
      </c>
      <c r="AM6" s="50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2"/>
    </row>
    <row r="7" spans="1:54" ht="21" customHeight="1" outlineLevel="1" thickBot="1" x14ac:dyDescent="0.4">
      <c r="A7" s="69">
        <f t="shared" si="1"/>
        <v>0</v>
      </c>
      <c r="B7" s="69">
        <f t="shared" si="0"/>
        <v>0</v>
      </c>
      <c r="C7" s="69">
        <f t="shared" si="0"/>
        <v>0</v>
      </c>
      <c r="D7" s="69">
        <f t="shared" si="0"/>
        <v>1</v>
      </c>
      <c r="E7" s="9" t="s">
        <v>66</v>
      </c>
      <c r="F7" s="80">
        <v>0</v>
      </c>
      <c r="G7" s="80">
        <v>0</v>
      </c>
      <c r="H7" s="80">
        <v>0</v>
      </c>
      <c r="I7" s="80">
        <v>0</v>
      </c>
      <c r="J7" s="80">
        <v>0</v>
      </c>
      <c r="K7" s="80">
        <v>0</v>
      </c>
      <c r="L7" s="80">
        <v>0</v>
      </c>
      <c r="M7" s="80">
        <v>0.15512999999999999</v>
      </c>
      <c r="N7" s="80">
        <v>0.2</v>
      </c>
      <c r="O7" s="80">
        <v>0.2</v>
      </c>
      <c r="P7" s="80">
        <v>0.2</v>
      </c>
      <c r="Q7" s="80">
        <v>0.2</v>
      </c>
      <c r="R7" s="80">
        <v>0.2</v>
      </c>
      <c r="S7" s="80">
        <v>0.2</v>
      </c>
      <c r="T7" s="80">
        <v>0.2</v>
      </c>
      <c r="U7" s="80">
        <v>0.2</v>
      </c>
      <c r="V7" s="80">
        <v>0.2</v>
      </c>
      <c r="W7" s="80">
        <v>0.2</v>
      </c>
      <c r="X7" s="80">
        <v>0.2</v>
      </c>
      <c r="Y7" s="80">
        <v>0.2</v>
      </c>
      <c r="Z7" s="80">
        <v>0.2</v>
      </c>
      <c r="AA7" s="80">
        <v>0.2</v>
      </c>
      <c r="AM7" s="50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2"/>
    </row>
    <row r="8" spans="1:54" ht="21" customHeight="1" outlineLevel="1" thickBot="1" x14ac:dyDescent="0.4">
      <c r="A8" s="69">
        <f t="shared" si="1"/>
        <v>0</v>
      </c>
      <c r="B8" s="69">
        <f t="shared" si="0"/>
        <v>0</v>
      </c>
      <c r="C8" s="69">
        <f t="shared" si="0"/>
        <v>1</v>
      </c>
      <c r="D8" s="69">
        <f t="shared" si="0"/>
        <v>0</v>
      </c>
      <c r="E8" s="9" t="s">
        <v>67</v>
      </c>
      <c r="F8" s="80">
        <v>0</v>
      </c>
      <c r="G8" s="80">
        <v>0</v>
      </c>
      <c r="H8" s="80">
        <v>0</v>
      </c>
      <c r="I8" s="80">
        <v>2.4355E-24</v>
      </c>
      <c r="J8" s="80">
        <v>9.869100000000001E-16</v>
      </c>
      <c r="K8" s="80">
        <v>1.9321999999999999E-11</v>
      </c>
      <c r="L8" s="80">
        <v>4.5759999999999999E-9</v>
      </c>
      <c r="M8" s="80">
        <v>0.06</v>
      </c>
      <c r="N8" s="80">
        <v>0.06</v>
      </c>
      <c r="O8" s="80">
        <v>0.06</v>
      </c>
      <c r="P8" s="80">
        <v>0.06</v>
      </c>
      <c r="Q8" s="80">
        <v>0.06</v>
      </c>
      <c r="R8" s="80">
        <v>0.06</v>
      </c>
      <c r="S8" s="80">
        <v>0.06</v>
      </c>
      <c r="T8" s="80">
        <v>0.06</v>
      </c>
      <c r="U8" s="80">
        <v>0.06</v>
      </c>
      <c r="V8" s="80">
        <v>5.8922000000000001E-6</v>
      </c>
      <c r="W8" s="80">
        <v>1.9743E-8</v>
      </c>
      <c r="X8" s="80">
        <v>1.4553E-8</v>
      </c>
      <c r="Y8" s="80">
        <v>8.2159000000000001E-9</v>
      </c>
      <c r="Z8" s="80">
        <v>7.8679999999999997E-9</v>
      </c>
      <c r="AA8" s="80">
        <v>6.0850000000000004E-9</v>
      </c>
      <c r="AM8" s="50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2"/>
    </row>
    <row r="9" spans="1:54" ht="21" customHeight="1" outlineLevel="1" thickBot="1" x14ac:dyDescent="0.4">
      <c r="A9" s="69">
        <f t="shared" si="1"/>
        <v>0</v>
      </c>
      <c r="B9" s="69">
        <f t="shared" si="0"/>
        <v>1</v>
      </c>
      <c r="C9" s="69">
        <f t="shared" si="0"/>
        <v>0</v>
      </c>
      <c r="D9" s="69">
        <f t="shared" si="0"/>
        <v>0</v>
      </c>
      <c r="E9" s="9" t="s">
        <v>42</v>
      </c>
      <c r="F9" s="80">
        <v>8.7129E-15</v>
      </c>
      <c r="G9" s="80">
        <v>9.8545999999999994E-9</v>
      </c>
      <c r="H9" s="80">
        <v>0.06</v>
      </c>
      <c r="I9" s="80">
        <v>0.06</v>
      </c>
      <c r="J9" s="80">
        <v>0.06</v>
      </c>
      <c r="K9" s="80">
        <v>0.06</v>
      </c>
      <c r="L9" s="80">
        <v>0.06</v>
      </c>
      <c r="M9" s="80">
        <v>0.41270000000000001</v>
      </c>
      <c r="N9" s="80">
        <v>0.47999000000000003</v>
      </c>
      <c r="O9" s="80">
        <v>0.48</v>
      </c>
      <c r="P9" s="80">
        <v>0.48</v>
      </c>
      <c r="Q9" s="80">
        <v>0.48</v>
      </c>
      <c r="R9" s="80">
        <v>0.48</v>
      </c>
      <c r="S9" s="80">
        <v>0.48</v>
      </c>
      <c r="T9" s="80">
        <v>0.48</v>
      </c>
      <c r="U9" s="80">
        <v>0.48</v>
      </c>
      <c r="V9" s="80">
        <v>0.48</v>
      </c>
      <c r="W9" s="80">
        <v>0.48</v>
      </c>
      <c r="X9" s="80">
        <v>0.48</v>
      </c>
      <c r="Y9" s="80">
        <v>0.48</v>
      </c>
      <c r="Z9" s="80">
        <v>0.48</v>
      </c>
      <c r="AA9" s="80">
        <v>0.48</v>
      </c>
      <c r="AM9" s="50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/>
      <c r="BB9" s="52"/>
    </row>
    <row r="10" spans="1:54" ht="21" customHeight="1" outlineLevel="1" thickBot="1" x14ac:dyDescent="0.4">
      <c r="A10" s="69">
        <f t="shared" si="1"/>
        <v>0</v>
      </c>
      <c r="B10" s="69">
        <f t="shared" si="0"/>
        <v>2</v>
      </c>
      <c r="C10" s="69">
        <f t="shared" si="0"/>
        <v>1</v>
      </c>
      <c r="D10" s="69">
        <f t="shared" si="0"/>
        <v>0</v>
      </c>
      <c r="E10" s="9" t="s">
        <v>68</v>
      </c>
      <c r="F10" s="80">
        <v>0.06</v>
      </c>
      <c r="G10" s="80">
        <v>0.06</v>
      </c>
      <c r="H10" s="80">
        <v>3.7176000000000002E-10</v>
      </c>
      <c r="I10" s="80">
        <v>3.6682999999999996E-12</v>
      </c>
      <c r="J10" s="80">
        <v>2.1788000000000001E-17</v>
      </c>
      <c r="K10" s="80">
        <v>1.974E-29</v>
      </c>
      <c r="L10" s="80">
        <v>0</v>
      </c>
      <c r="M10" s="80">
        <v>0</v>
      </c>
      <c r="N10" s="80">
        <v>0</v>
      </c>
      <c r="O10" s="80">
        <v>0</v>
      </c>
      <c r="P10" s="80">
        <v>0</v>
      </c>
      <c r="Q10" s="80">
        <v>0</v>
      </c>
      <c r="R10" s="80">
        <v>0</v>
      </c>
      <c r="S10" s="80">
        <v>0</v>
      </c>
      <c r="T10" s="80">
        <v>0</v>
      </c>
      <c r="U10" s="80">
        <v>0</v>
      </c>
      <c r="V10" s="80">
        <v>0</v>
      </c>
      <c r="W10" s="80">
        <v>0</v>
      </c>
      <c r="X10" s="80">
        <v>0</v>
      </c>
      <c r="Y10" s="80">
        <v>0</v>
      </c>
      <c r="Z10" s="80">
        <v>0</v>
      </c>
      <c r="AA10" s="80">
        <v>0</v>
      </c>
      <c r="AM10" s="50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2"/>
    </row>
    <row r="11" spans="1:54" ht="21" customHeight="1" outlineLevel="1" thickBot="1" x14ac:dyDescent="0.4">
      <c r="A11" s="69">
        <f t="shared" si="1"/>
        <v>0</v>
      </c>
      <c r="B11" s="69">
        <f t="shared" si="0"/>
        <v>3</v>
      </c>
      <c r="C11" s="69">
        <f t="shared" si="0"/>
        <v>0</v>
      </c>
      <c r="D11" s="69">
        <f t="shared" si="0"/>
        <v>2</v>
      </c>
      <c r="E11" s="9" t="s">
        <v>77</v>
      </c>
      <c r="F11" s="80">
        <v>0.1</v>
      </c>
      <c r="G11" s="80">
        <v>0.1</v>
      </c>
      <c r="H11" s="80">
        <v>0.1</v>
      </c>
      <c r="I11" s="80">
        <v>0.1</v>
      </c>
      <c r="J11" s="80">
        <v>0.1</v>
      </c>
      <c r="K11" s="80">
        <v>0.1</v>
      </c>
      <c r="L11" s="80">
        <v>0.1</v>
      </c>
      <c r="M11" s="80">
        <v>2.2433000000000002E-2</v>
      </c>
      <c r="N11" s="80">
        <v>2.0362000000000001E-6</v>
      </c>
      <c r="O11" s="80">
        <v>7.7761000000000004E-20</v>
      </c>
      <c r="P11" s="80">
        <v>2.5107E-30</v>
      </c>
      <c r="Q11" s="80">
        <v>0</v>
      </c>
      <c r="R11" s="80">
        <v>0</v>
      </c>
      <c r="S11" s="80">
        <v>0</v>
      </c>
      <c r="T11" s="80">
        <v>0</v>
      </c>
      <c r="U11" s="80">
        <v>0</v>
      </c>
      <c r="V11" s="80">
        <v>0</v>
      </c>
      <c r="W11" s="80">
        <v>0</v>
      </c>
      <c r="X11" s="80">
        <v>0</v>
      </c>
      <c r="Y11" s="80">
        <v>0</v>
      </c>
      <c r="Z11" s="80">
        <v>0</v>
      </c>
      <c r="AA11" s="80">
        <v>0</v>
      </c>
      <c r="AM11" s="50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2"/>
    </row>
    <row r="12" spans="1:54" ht="21" customHeight="1" outlineLevel="1" thickBot="1" x14ac:dyDescent="0.4">
      <c r="A12" s="69">
        <f t="shared" si="1"/>
        <v>0</v>
      </c>
      <c r="B12" s="69">
        <f t="shared" si="0"/>
        <v>0</v>
      </c>
      <c r="C12" s="69">
        <f t="shared" si="0"/>
        <v>2</v>
      </c>
      <c r="D12" s="69">
        <f t="shared" si="0"/>
        <v>0</v>
      </c>
      <c r="E12" s="9" t="s">
        <v>69</v>
      </c>
      <c r="F12" s="80">
        <v>0</v>
      </c>
      <c r="G12" s="80">
        <v>0</v>
      </c>
      <c r="H12" s="80">
        <v>0</v>
      </c>
      <c r="I12" s="80">
        <v>0</v>
      </c>
      <c r="J12" s="80">
        <v>0</v>
      </c>
      <c r="K12" s="80">
        <v>0</v>
      </c>
      <c r="L12" s="80">
        <v>0</v>
      </c>
      <c r="M12" s="80">
        <v>0</v>
      </c>
      <c r="N12" s="80">
        <v>4.1590999999999998E-36</v>
      </c>
      <c r="O12" s="80">
        <v>1.3659000000000001E-27</v>
      </c>
      <c r="P12" s="80">
        <v>8.0203000000000004E-22</v>
      </c>
      <c r="Q12" s="80">
        <v>1.1604999999999999E-17</v>
      </c>
      <c r="R12" s="80">
        <v>8.4930999999999999E-17</v>
      </c>
      <c r="S12" s="80">
        <v>5.4554999999999996E-16</v>
      </c>
      <c r="T12" s="80">
        <v>3.1137999999999998E-15</v>
      </c>
      <c r="U12" s="80">
        <v>1.5962999999999998E-14</v>
      </c>
      <c r="V12" s="80">
        <v>3.9470999999999996E-12</v>
      </c>
      <c r="W12" s="80">
        <v>1.7847999999999999E-10</v>
      </c>
      <c r="X12" s="80">
        <v>4.1200000000000002E-10</v>
      </c>
      <c r="Y12" s="80">
        <v>9.1374999999999997E-10</v>
      </c>
      <c r="Z12" s="80">
        <v>1.9525E-9</v>
      </c>
      <c r="AA12" s="80">
        <v>4.0296000000000002E-9</v>
      </c>
      <c r="AM12" s="50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2"/>
    </row>
    <row r="13" spans="1:54" ht="21" customHeight="1" outlineLevel="1" thickBot="1" x14ac:dyDescent="0.4">
      <c r="A13" s="69">
        <f t="shared" si="1"/>
        <v>0</v>
      </c>
      <c r="B13" s="69">
        <f t="shared" si="0"/>
        <v>0</v>
      </c>
      <c r="C13" s="69">
        <f t="shared" si="0"/>
        <v>1</v>
      </c>
      <c r="D13" s="69">
        <f t="shared" si="0"/>
        <v>0</v>
      </c>
      <c r="E13" s="9" t="s">
        <v>3</v>
      </c>
      <c r="F13" s="80">
        <v>0</v>
      </c>
      <c r="G13" s="80">
        <v>0</v>
      </c>
      <c r="H13" s="80">
        <v>0</v>
      </c>
      <c r="I13" s="80">
        <v>0</v>
      </c>
      <c r="J13" s="80">
        <v>0</v>
      </c>
      <c r="K13" s="80">
        <v>0</v>
      </c>
      <c r="L13" s="80">
        <v>2.5350000000000001E-33</v>
      </c>
      <c r="M13" s="80">
        <v>1.0517999999999999E-30</v>
      </c>
      <c r="N13" s="80">
        <v>1.3863000000000001E-28</v>
      </c>
      <c r="O13" s="80">
        <v>5.5174000000000001E-22</v>
      </c>
      <c r="P13" s="80">
        <v>1.6886000000000001E-17</v>
      </c>
      <c r="Q13" s="80">
        <v>2.9747000000000003E-14</v>
      </c>
      <c r="R13" s="80">
        <v>1.4100000000000001E-13</v>
      </c>
      <c r="S13" s="80">
        <v>6.0427000000000001E-13</v>
      </c>
      <c r="T13" s="80">
        <v>2.3635000000000002E-12</v>
      </c>
      <c r="U13" s="80">
        <v>8.5073000000000003E-12</v>
      </c>
      <c r="V13" s="80">
        <v>6.6755000000000004E-10</v>
      </c>
      <c r="W13" s="80">
        <v>1.6446E-8</v>
      </c>
      <c r="X13" s="80">
        <v>3.3279000000000003E-8</v>
      </c>
      <c r="Y13" s="80">
        <v>6.5148999999999997E-8</v>
      </c>
      <c r="Z13" s="80">
        <v>1.2367E-7</v>
      </c>
      <c r="AA13" s="80">
        <v>2.2807999999999999E-7</v>
      </c>
      <c r="AM13" s="50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2"/>
    </row>
    <row r="14" spans="1:54" ht="21" customHeight="1" outlineLevel="1" thickBot="1" x14ac:dyDescent="0.4">
      <c r="A14" s="69">
        <f t="shared" si="1"/>
        <v>1</v>
      </c>
      <c r="B14" s="69">
        <f t="shared" si="0"/>
        <v>0</v>
      </c>
      <c r="C14" s="69">
        <f t="shared" si="0"/>
        <v>0</v>
      </c>
      <c r="D14" s="69">
        <f t="shared" si="0"/>
        <v>0</v>
      </c>
      <c r="E14" s="9" t="s">
        <v>1</v>
      </c>
      <c r="F14" s="80">
        <v>0.2</v>
      </c>
      <c r="G14" s="80">
        <v>0.2</v>
      </c>
      <c r="H14" s="80">
        <v>0.2</v>
      </c>
      <c r="I14" s="80">
        <v>0.2</v>
      </c>
      <c r="J14" s="80">
        <v>0.2</v>
      </c>
      <c r="K14" s="80">
        <v>0.2</v>
      </c>
      <c r="L14" s="80">
        <v>0.2</v>
      </c>
      <c r="M14" s="80">
        <v>0.2</v>
      </c>
      <c r="N14" s="80">
        <v>0.2</v>
      </c>
      <c r="O14" s="80">
        <v>0.2</v>
      </c>
      <c r="P14" s="80">
        <v>0.2</v>
      </c>
      <c r="Q14" s="80">
        <v>0.2</v>
      </c>
      <c r="R14" s="80">
        <v>0.2</v>
      </c>
      <c r="S14" s="80">
        <v>0.2</v>
      </c>
      <c r="T14" s="80">
        <v>0.2</v>
      </c>
      <c r="U14" s="80">
        <v>0.2</v>
      </c>
      <c r="V14" s="80">
        <v>0.2</v>
      </c>
      <c r="W14" s="80">
        <v>0.2</v>
      </c>
      <c r="X14" s="80">
        <v>0.2</v>
      </c>
      <c r="Y14" s="80">
        <v>0.2</v>
      </c>
      <c r="Z14" s="80">
        <v>0.2</v>
      </c>
      <c r="AA14" s="80">
        <v>0.2</v>
      </c>
      <c r="AM14" s="50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2"/>
    </row>
    <row r="15" spans="1:54" ht="21" customHeight="1" outlineLevel="1" thickBot="1" x14ac:dyDescent="0.4">
      <c r="A15" s="69">
        <f t="shared" si="1"/>
        <v>0</v>
      </c>
      <c r="B15" s="69">
        <f t="shared" si="0"/>
        <v>0</v>
      </c>
      <c r="C15" s="69">
        <f t="shared" si="0"/>
        <v>1</v>
      </c>
      <c r="D15" s="69">
        <f t="shared" si="0"/>
        <v>0</v>
      </c>
      <c r="E15" s="9" t="s">
        <v>62</v>
      </c>
      <c r="F15" s="80">
        <v>0</v>
      </c>
      <c r="G15" s="80">
        <v>0</v>
      </c>
      <c r="H15" s="80">
        <v>0</v>
      </c>
      <c r="I15" s="80">
        <v>0</v>
      </c>
      <c r="J15" s="80">
        <v>0</v>
      </c>
      <c r="K15" s="80">
        <v>0</v>
      </c>
      <c r="L15" s="80">
        <v>0</v>
      </c>
      <c r="M15" s="80">
        <v>0</v>
      </c>
      <c r="N15" s="80">
        <v>2.0058000000000001E-22</v>
      </c>
      <c r="O15" s="80">
        <v>7.6130999999999995E-12</v>
      </c>
      <c r="P15" s="80">
        <v>5.2134000000000001E-11</v>
      </c>
      <c r="Q15" s="80">
        <v>1.4366E-9</v>
      </c>
      <c r="R15" s="80">
        <v>2.4853000000000001E-9</v>
      </c>
      <c r="S15" s="80">
        <v>4.4833E-9</v>
      </c>
      <c r="T15" s="80">
        <v>1.1865000000000001E-8</v>
      </c>
      <c r="U15" s="80">
        <v>2.9401E-8</v>
      </c>
      <c r="V15" s="80">
        <v>5.9993999999999999E-2</v>
      </c>
      <c r="W15" s="80">
        <v>0.06</v>
      </c>
      <c r="X15" s="80">
        <v>0.06</v>
      </c>
      <c r="Y15" s="80">
        <v>0.06</v>
      </c>
      <c r="Z15" s="80">
        <v>0.06</v>
      </c>
      <c r="AA15" s="80">
        <v>0.06</v>
      </c>
      <c r="AM15" s="50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2"/>
    </row>
    <row r="16" spans="1:54" ht="21" customHeight="1" outlineLevel="1" thickBot="1" x14ac:dyDescent="0.4">
      <c r="A16" s="69">
        <f t="shared" si="1"/>
        <v>1</v>
      </c>
      <c r="B16" s="69">
        <f t="shared" si="0"/>
        <v>0</v>
      </c>
      <c r="C16" s="69">
        <f t="shared" si="0"/>
        <v>0</v>
      </c>
      <c r="D16" s="69">
        <f t="shared" si="0"/>
        <v>0</v>
      </c>
      <c r="E16" s="9" t="s">
        <v>36</v>
      </c>
      <c r="F16" s="80">
        <v>-19.02</v>
      </c>
      <c r="G16" s="80">
        <v>-19.03</v>
      </c>
      <c r="H16" s="80">
        <v>-19.059999999999999</v>
      </c>
      <c r="I16" s="80">
        <v>-19.11</v>
      </c>
      <c r="J16" s="80">
        <v>-19.170000000000002</v>
      </c>
      <c r="K16" s="80">
        <v>-19.23</v>
      </c>
      <c r="L16" s="80">
        <v>-19.3</v>
      </c>
      <c r="M16" s="80">
        <v>-19.07</v>
      </c>
      <c r="N16" s="80">
        <v>-19.03</v>
      </c>
      <c r="O16" s="80">
        <v>-19.309999999999999</v>
      </c>
      <c r="P16" s="80">
        <v>-19.57</v>
      </c>
      <c r="Q16" s="80">
        <v>-19.82</v>
      </c>
      <c r="R16" s="80">
        <v>-19.88</v>
      </c>
      <c r="S16" s="80">
        <v>-19.940000000000001</v>
      </c>
      <c r="T16" s="80">
        <v>-20</v>
      </c>
      <c r="U16" s="80">
        <v>-20.05</v>
      </c>
      <c r="V16" s="80">
        <v>-20.260000000000002</v>
      </c>
      <c r="W16" s="80">
        <v>-20.46</v>
      </c>
      <c r="X16" s="80">
        <v>-20.51</v>
      </c>
      <c r="Y16" s="80">
        <v>-20.56</v>
      </c>
      <c r="Z16" s="80">
        <v>-20.6</v>
      </c>
      <c r="AA16" s="80">
        <v>-20.65</v>
      </c>
      <c r="AM16" s="50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2"/>
    </row>
    <row r="17" spans="1:54" ht="21" customHeight="1" outlineLevel="1" thickBot="1" x14ac:dyDescent="0.4">
      <c r="A17" s="69">
        <f t="shared" si="1"/>
        <v>0</v>
      </c>
      <c r="B17" s="69">
        <f t="shared" si="0"/>
        <v>0</v>
      </c>
      <c r="C17" s="69">
        <f t="shared" si="0"/>
        <v>0</v>
      </c>
      <c r="D17" s="69">
        <f t="shared" si="0"/>
        <v>1</v>
      </c>
      <c r="E17" s="9" t="s">
        <v>5</v>
      </c>
      <c r="F17" s="80">
        <v>-60.99</v>
      </c>
      <c r="G17" s="80">
        <v>-55.39</v>
      </c>
      <c r="H17" s="80">
        <v>-48.92</v>
      </c>
      <c r="I17" s="80">
        <v>-42.66</v>
      </c>
      <c r="J17" s="80">
        <v>-37.28</v>
      </c>
      <c r="K17" s="80">
        <v>-32.6</v>
      </c>
      <c r="L17" s="80">
        <v>-28.48</v>
      </c>
      <c r="M17" s="80">
        <v>-25.41</v>
      </c>
      <c r="N17" s="80">
        <v>-26.73</v>
      </c>
      <c r="O17" s="80">
        <v>-31.78</v>
      </c>
      <c r="P17" s="80">
        <v>-36.28</v>
      </c>
      <c r="Q17" s="80">
        <v>-40.049999999999997</v>
      </c>
      <c r="R17" s="80">
        <v>-40.86</v>
      </c>
      <c r="S17" s="80">
        <v>-41.61</v>
      </c>
      <c r="T17" s="80">
        <v>-42.31</v>
      </c>
      <c r="U17" s="80">
        <v>-42.94</v>
      </c>
      <c r="V17" s="80">
        <v>-44.86</v>
      </c>
      <c r="W17" s="80">
        <v>-45.72</v>
      </c>
      <c r="X17" s="80">
        <v>-45.76</v>
      </c>
      <c r="Y17" s="80">
        <v>-45.74</v>
      </c>
      <c r="Z17" s="80">
        <v>-45.64</v>
      </c>
      <c r="AA17" s="80">
        <v>-45.47</v>
      </c>
      <c r="AM17" s="50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2"/>
    </row>
    <row r="18" spans="1:54" ht="21" customHeight="1" outlineLevel="1" thickBot="1" x14ac:dyDescent="0.4">
      <c r="A18" s="69">
        <f t="shared" si="1"/>
        <v>0</v>
      </c>
      <c r="B18" s="69">
        <f t="shared" si="0"/>
        <v>0</v>
      </c>
      <c r="C18" s="69">
        <f t="shared" si="0"/>
        <v>1</v>
      </c>
      <c r="D18" s="69">
        <f t="shared" si="0"/>
        <v>0</v>
      </c>
      <c r="E18" s="9" t="s">
        <v>6</v>
      </c>
      <c r="F18" s="80">
        <v>-15.35</v>
      </c>
      <c r="G18" s="80">
        <v>-14.36</v>
      </c>
      <c r="H18" s="80">
        <v>-12.3</v>
      </c>
      <c r="I18" s="80">
        <v>-10.01</v>
      </c>
      <c r="J18" s="80">
        <v>-8.0210000000000008</v>
      </c>
      <c r="K18" s="80">
        <v>-6.28</v>
      </c>
      <c r="L18" s="80">
        <v>-4.7359999999999998</v>
      </c>
      <c r="M18" s="80">
        <v>-4.141</v>
      </c>
      <c r="N18" s="80">
        <v>-4.2229999999999999</v>
      </c>
      <c r="O18" s="80">
        <v>-4.5529999999999999</v>
      </c>
      <c r="P18" s="80">
        <v>-4.8730000000000002</v>
      </c>
      <c r="Q18" s="80">
        <v>-5.1749999999999998</v>
      </c>
      <c r="R18" s="80">
        <v>-5.2469999999999999</v>
      </c>
      <c r="S18" s="80">
        <v>-5.3179999999999996</v>
      </c>
      <c r="T18" s="80">
        <v>-5.3890000000000002</v>
      </c>
      <c r="U18" s="80">
        <v>-5.4580000000000002</v>
      </c>
      <c r="V18" s="80">
        <v>-5.7869999999999999</v>
      </c>
      <c r="W18" s="80">
        <v>-6.3879999999999999</v>
      </c>
      <c r="X18" s="80">
        <v>-6.5250000000000004</v>
      </c>
      <c r="Y18" s="80">
        <v>-6.6580000000000004</v>
      </c>
      <c r="Z18" s="80">
        <v>-6.7869999999999999</v>
      </c>
      <c r="AA18" s="80">
        <v>-6.9109999999999996</v>
      </c>
      <c r="AM18" s="50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2"/>
    </row>
    <row r="19" spans="1:54" ht="21" customHeight="1" outlineLevel="1" thickBot="1" x14ac:dyDescent="0.4">
      <c r="A19" s="69">
        <f t="shared" si="1"/>
        <v>0</v>
      </c>
      <c r="B19" s="69">
        <f t="shared" si="0"/>
        <v>1</v>
      </c>
      <c r="C19" s="69">
        <f t="shared" si="0"/>
        <v>0</v>
      </c>
      <c r="D19" s="69">
        <f t="shared" si="0"/>
        <v>0</v>
      </c>
      <c r="E19" s="9" t="s">
        <v>7</v>
      </c>
      <c r="F19" s="80">
        <v>-21.89</v>
      </c>
      <c r="G19" s="80">
        <v>-20.11</v>
      </c>
      <c r="H19" s="80">
        <v>-19.97</v>
      </c>
      <c r="I19" s="80">
        <v>-20.47</v>
      </c>
      <c r="J19" s="80">
        <v>-20.98</v>
      </c>
      <c r="K19" s="80">
        <v>-21.49</v>
      </c>
      <c r="L19" s="80">
        <v>-22.01</v>
      </c>
      <c r="M19" s="80">
        <v>-22.51</v>
      </c>
      <c r="N19" s="80">
        <v>-23.02</v>
      </c>
      <c r="O19" s="80">
        <v>-24.96</v>
      </c>
      <c r="P19" s="80">
        <v>-26.77</v>
      </c>
      <c r="Q19" s="80">
        <v>-28.49</v>
      </c>
      <c r="R19" s="80">
        <v>-28.9</v>
      </c>
      <c r="S19" s="80">
        <v>-29.31</v>
      </c>
      <c r="T19" s="80">
        <v>-29.72</v>
      </c>
      <c r="U19" s="80">
        <v>-30.12</v>
      </c>
      <c r="V19" s="80">
        <v>-31.69</v>
      </c>
      <c r="W19" s="80">
        <v>-33.22</v>
      </c>
      <c r="X19" s="80">
        <v>-33.590000000000003</v>
      </c>
      <c r="Y19" s="80">
        <v>-33.97</v>
      </c>
      <c r="Z19" s="80">
        <v>-34.340000000000003</v>
      </c>
      <c r="AA19" s="80">
        <v>-34.71</v>
      </c>
      <c r="AM19" s="50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2"/>
    </row>
    <row r="20" spans="1:54" ht="21" customHeight="1" outlineLevel="1" thickBot="1" x14ac:dyDescent="0.4">
      <c r="A20" s="69">
        <f t="shared" si="1"/>
        <v>0</v>
      </c>
      <c r="B20" s="69">
        <f t="shared" si="1"/>
        <v>0</v>
      </c>
      <c r="C20" s="69">
        <f t="shared" si="1"/>
        <v>0</v>
      </c>
      <c r="D20" s="69">
        <f t="shared" si="1"/>
        <v>0</v>
      </c>
      <c r="E20" s="66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AM20" s="50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2"/>
    </row>
    <row r="21" spans="1:54" ht="21" customHeight="1" outlineLevel="1" thickBot="1" x14ac:dyDescent="0.4">
      <c r="A21" s="69">
        <f t="shared" si="1"/>
        <v>0</v>
      </c>
      <c r="B21" s="69">
        <f t="shared" si="1"/>
        <v>0</v>
      </c>
      <c r="C21" s="69">
        <f t="shared" si="1"/>
        <v>0</v>
      </c>
      <c r="D21" s="69">
        <f t="shared" si="1"/>
        <v>0</v>
      </c>
      <c r="E21" s="66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AM21" s="50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2"/>
    </row>
    <row r="22" spans="1:54" ht="21" customHeight="1" outlineLevel="1" thickBot="1" x14ac:dyDescent="0.4">
      <c r="A22" s="69">
        <f t="shared" si="1"/>
        <v>0</v>
      </c>
      <c r="B22" s="69">
        <f t="shared" si="1"/>
        <v>0</v>
      </c>
      <c r="C22" s="69">
        <f t="shared" si="1"/>
        <v>0</v>
      </c>
      <c r="D22" s="69">
        <f t="shared" si="1"/>
        <v>0</v>
      </c>
      <c r="E22" s="66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AM22" s="50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2"/>
    </row>
    <row r="23" spans="1:54" ht="21" customHeight="1" outlineLevel="1" thickBot="1" x14ac:dyDescent="0.4">
      <c r="A23" s="69">
        <f t="shared" si="1"/>
        <v>0</v>
      </c>
      <c r="B23" s="69">
        <f t="shared" si="1"/>
        <v>0</v>
      </c>
      <c r="C23" s="69">
        <f t="shared" si="1"/>
        <v>0</v>
      </c>
      <c r="D23" s="69">
        <f t="shared" si="1"/>
        <v>0</v>
      </c>
      <c r="E23" s="66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AM23" s="50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2"/>
    </row>
    <row r="24" spans="1:54" ht="21" customHeight="1" outlineLevel="1" thickBot="1" x14ac:dyDescent="0.4">
      <c r="A24" s="69">
        <f t="shared" si="1"/>
        <v>0</v>
      </c>
      <c r="B24" s="69">
        <f t="shared" si="1"/>
        <v>0</v>
      </c>
      <c r="C24" s="69">
        <f t="shared" si="1"/>
        <v>0</v>
      </c>
      <c r="D24" s="69">
        <f t="shared" si="1"/>
        <v>0</v>
      </c>
      <c r="E24" s="66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AM24" s="50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2"/>
    </row>
    <row r="25" spans="1:54" ht="21" customHeight="1" outlineLevel="1" thickBot="1" x14ac:dyDescent="0.4">
      <c r="A25" s="69">
        <f t="shared" si="1"/>
        <v>0</v>
      </c>
      <c r="B25" s="69">
        <f t="shared" si="1"/>
        <v>0</v>
      </c>
      <c r="C25" s="69">
        <f t="shared" si="1"/>
        <v>0</v>
      </c>
      <c r="D25" s="69">
        <f t="shared" si="1"/>
        <v>0</v>
      </c>
      <c r="E25" s="66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AM25" s="50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2"/>
    </row>
    <row r="26" spans="1:54" ht="21" customHeight="1" outlineLevel="1" thickBot="1" x14ac:dyDescent="0.4">
      <c r="A26" s="69">
        <f t="shared" si="1"/>
        <v>0</v>
      </c>
      <c r="B26" s="69">
        <f t="shared" si="1"/>
        <v>0</v>
      </c>
      <c r="C26" s="69">
        <f t="shared" si="1"/>
        <v>0</v>
      </c>
      <c r="D26" s="69">
        <f t="shared" si="1"/>
        <v>0</v>
      </c>
      <c r="E26" s="66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AM26" s="50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2"/>
    </row>
    <row r="27" spans="1:54" ht="21" customHeight="1" outlineLevel="1" thickBot="1" x14ac:dyDescent="0.4">
      <c r="A27" s="69">
        <f t="shared" si="1"/>
        <v>0</v>
      </c>
      <c r="B27" s="69">
        <f t="shared" si="1"/>
        <v>0</v>
      </c>
      <c r="C27" s="69">
        <f t="shared" si="1"/>
        <v>0</v>
      </c>
      <c r="D27" s="69">
        <f t="shared" si="1"/>
        <v>0</v>
      </c>
      <c r="E27" s="66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AM27" s="50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2"/>
    </row>
    <row r="28" spans="1:54" ht="21" customHeight="1" outlineLevel="1" thickBot="1" x14ac:dyDescent="0.4">
      <c r="A28" s="69">
        <f t="shared" ref="A28:D33" si="2">IF( ISNUMBER( FIND(A$3,$E28,1)),   IF( ISNUMBER( VALUE(MID($E28,FIND(A$3,$E28,1)+2,1)) ), VALUE( MID($E28,FIND(A$3,$E28,1)+2,1) ),1),0)</f>
        <v>0</v>
      </c>
      <c r="B28" s="69">
        <f t="shared" si="2"/>
        <v>0</v>
      </c>
      <c r="C28" s="69">
        <f t="shared" si="2"/>
        <v>0</v>
      </c>
      <c r="D28" s="69">
        <f t="shared" si="2"/>
        <v>0</v>
      </c>
      <c r="E28" s="66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AM28" s="50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2"/>
    </row>
    <row r="29" spans="1:54" ht="21" customHeight="1" outlineLevel="1" thickBot="1" x14ac:dyDescent="0.4">
      <c r="A29" s="69">
        <f t="shared" si="2"/>
        <v>0</v>
      </c>
      <c r="B29" s="69">
        <f t="shared" si="2"/>
        <v>0</v>
      </c>
      <c r="C29" s="69">
        <f t="shared" si="2"/>
        <v>0</v>
      </c>
      <c r="D29" s="69">
        <f t="shared" si="2"/>
        <v>0</v>
      </c>
      <c r="E29" s="66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AM29" s="50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2"/>
    </row>
    <row r="30" spans="1:54" ht="21" customHeight="1" outlineLevel="1" thickBot="1" x14ac:dyDescent="0.4">
      <c r="A30" s="69">
        <f t="shared" si="2"/>
        <v>0</v>
      </c>
      <c r="B30" s="69">
        <f t="shared" si="2"/>
        <v>0</v>
      </c>
      <c r="C30" s="69">
        <f t="shared" si="2"/>
        <v>0</v>
      </c>
      <c r="D30" s="69">
        <f t="shared" si="2"/>
        <v>0</v>
      </c>
      <c r="E30" s="66"/>
      <c r="AM30" s="50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2"/>
    </row>
    <row r="31" spans="1:54" ht="21" customHeight="1" outlineLevel="1" thickBot="1" x14ac:dyDescent="0.4">
      <c r="A31" s="69">
        <f t="shared" si="2"/>
        <v>0</v>
      </c>
      <c r="B31" s="69">
        <f t="shared" si="2"/>
        <v>0</v>
      </c>
      <c r="C31" s="69">
        <f t="shared" si="2"/>
        <v>0</v>
      </c>
      <c r="D31" s="69">
        <f t="shared" si="2"/>
        <v>0</v>
      </c>
      <c r="E31" s="66"/>
      <c r="AM31" s="50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2"/>
    </row>
    <row r="32" spans="1:54" ht="21" customHeight="1" outlineLevel="1" thickBot="1" x14ac:dyDescent="0.4">
      <c r="A32" s="69">
        <f t="shared" si="2"/>
        <v>0</v>
      </c>
      <c r="B32" s="69">
        <f t="shared" si="2"/>
        <v>0</v>
      </c>
      <c r="C32" s="69">
        <f t="shared" si="2"/>
        <v>0</v>
      </c>
      <c r="D32" s="69">
        <f t="shared" si="2"/>
        <v>0</v>
      </c>
      <c r="E32" s="66"/>
      <c r="AM32" s="50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2"/>
    </row>
    <row r="33" spans="1:54" ht="21" customHeight="1" outlineLevel="1" thickBot="1" x14ac:dyDescent="0.4">
      <c r="A33" s="69">
        <f t="shared" si="2"/>
        <v>0</v>
      </c>
      <c r="B33" s="69">
        <f t="shared" si="2"/>
        <v>0</v>
      </c>
      <c r="C33" s="69">
        <f t="shared" si="2"/>
        <v>0</v>
      </c>
      <c r="D33" s="69">
        <f t="shared" si="2"/>
        <v>0</v>
      </c>
      <c r="E33" s="66">
        <v>1</v>
      </c>
      <c r="AM33" s="50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2"/>
    </row>
    <row r="34" spans="1:54" ht="21" customHeight="1" outlineLevel="1" x14ac:dyDescent="0.35">
      <c r="A34" s="47">
        <f>$A$2</f>
        <v>731</v>
      </c>
      <c r="B34" s="81">
        <v>0</v>
      </c>
      <c r="C34" s="22" t="s">
        <v>36</v>
      </c>
      <c r="D34" s="75">
        <f>MATCH(C34,$E$4:$E$33)</f>
        <v>13</v>
      </c>
      <c r="E34" s="22" t="str">
        <f ca="1">OFFSET($E$3:$AL$3,$D34,0)</f>
        <v>H (Ar)</v>
      </c>
      <c r="F34" s="26">
        <f t="shared" ref="F34:AL37" ca="1" si="3">OFFSET($E$3:$AL$3,$D34,0)</f>
        <v>-19.02</v>
      </c>
      <c r="G34" s="26">
        <f t="shared" ca="1" si="3"/>
        <v>-19.03</v>
      </c>
      <c r="H34" s="26">
        <f t="shared" ca="1" si="3"/>
        <v>-19.059999999999999</v>
      </c>
      <c r="I34" s="26">
        <f t="shared" ca="1" si="3"/>
        <v>-19.11</v>
      </c>
      <c r="J34" s="26">
        <f t="shared" ca="1" si="3"/>
        <v>-19.170000000000002</v>
      </c>
      <c r="K34" s="26">
        <f t="shared" ca="1" si="3"/>
        <v>-19.23</v>
      </c>
      <c r="L34" s="26">
        <f t="shared" ca="1" si="3"/>
        <v>-19.3</v>
      </c>
      <c r="M34" s="26">
        <f t="shared" ca="1" si="3"/>
        <v>-19.07</v>
      </c>
      <c r="N34" s="26">
        <f t="shared" ca="1" si="3"/>
        <v>-19.03</v>
      </c>
      <c r="O34" s="26">
        <f t="shared" ca="1" si="3"/>
        <v>-19.309999999999999</v>
      </c>
      <c r="P34" s="26">
        <f t="shared" ca="1" si="3"/>
        <v>-19.57</v>
      </c>
      <c r="Q34" s="26">
        <f t="shared" ca="1" si="3"/>
        <v>-19.82</v>
      </c>
      <c r="R34" s="26">
        <f t="shared" ca="1" si="3"/>
        <v>-19.88</v>
      </c>
      <c r="S34" s="26">
        <f t="shared" ca="1" si="3"/>
        <v>-19.940000000000001</v>
      </c>
      <c r="T34" s="26">
        <f t="shared" ca="1" si="3"/>
        <v>-20</v>
      </c>
      <c r="U34" s="26">
        <f t="shared" ca="1" si="3"/>
        <v>-20.05</v>
      </c>
      <c r="V34" s="26">
        <f t="shared" ca="1" si="3"/>
        <v>-20.260000000000002</v>
      </c>
      <c r="W34" s="26">
        <f t="shared" ca="1" si="3"/>
        <v>-20.46</v>
      </c>
      <c r="X34" s="26">
        <f t="shared" ca="1" si="3"/>
        <v>-20.51</v>
      </c>
      <c r="Y34" s="26">
        <f t="shared" ca="1" si="3"/>
        <v>-20.56</v>
      </c>
      <c r="Z34" s="26">
        <f t="shared" ca="1" si="3"/>
        <v>-20.6</v>
      </c>
      <c r="AA34" s="26">
        <f t="shared" ca="1" si="3"/>
        <v>-20.65</v>
      </c>
      <c r="AB34" s="26">
        <f t="shared" ca="1" si="3"/>
        <v>0</v>
      </c>
      <c r="AC34" s="26">
        <f t="shared" ca="1" si="3"/>
        <v>0</v>
      </c>
      <c r="AD34" s="26">
        <f t="shared" ca="1" si="3"/>
        <v>0</v>
      </c>
      <c r="AE34" s="26">
        <f t="shared" ca="1" si="3"/>
        <v>0</v>
      </c>
      <c r="AF34" s="26">
        <f t="shared" ca="1" si="3"/>
        <v>0</v>
      </c>
      <c r="AG34" s="26">
        <f t="shared" ca="1" si="3"/>
        <v>0</v>
      </c>
      <c r="AH34" s="26">
        <f t="shared" ca="1" si="3"/>
        <v>0</v>
      </c>
      <c r="AI34" s="26">
        <f t="shared" ca="1" si="3"/>
        <v>0</v>
      </c>
      <c r="AJ34" s="26">
        <f t="shared" ca="1" si="3"/>
        <v>0</v>
      </c>
      <c r="AK34" s="26">
        <f t="shared" ca="1" si="3"/>
        <v>0</v>
      </c>
      <c r="AL34" s="26">
        <f t="shared" ca="1" si="3"/>
        <v>0</v>
      </c>
      <c r="AM34" s="50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2"/>
    </row>
    <row r="35" spans="1:54" ht="21" customHeight="1" outlineLevel="1" thickBot="1" x14ac:dyDescent="0.4">
      <c r="A35" s="53">
        <f>$A$2</f>
        <v>731</v>
      </c>
      <c r="B35" s="82">
        <v>1</v>
      </c>
      <c r="C35" s="22" t="s">
        <v>5</v>
      </c>
      <c r="D35" s="75">
        <f t="shared" ref="D35:D37" si="4">MATCH(C35,$E$4:$E$33)</f>
        <v>14</v>
      </c>
      <c r="E35" s="22" t="str">
        <f t="shared" ref="E35:E37" ca="1" si="5">OFFSET($E$3:$AL$3,$D35,0)</f>
        <v>H (Ga)</v>
      </c>
      <c r="F35" s="26">
        <f t="shared" ca="1" si="3"/>
        <v>-60.99</v>
      </c>
      <c r="G35" s="26">
        <f t="shared" ca="1" si="3"/>
        <v>-55.39</v>
      </c>
      <c r="H35" s="26">
        <f t="shared" ca="1" si="3"/>
        <v>-48.92</v>
      </c>
      <c r="I35" s="26">
        <f t="shared" ca="1" si="3"/>
        <v>-42.66</v>
      </c>
      <c r="J35" s="26">
        <f t="shared" ca="1" si="3"/>
        <v>-37.28</v>
      </c>
      <c r="K35" s="26">
        <f t="shared" ca="1" si="3"/>
        <v>-32.6</v>
      </c>
      <c r="L35" s="26">
        <f t="shared" ca="1" si="3"/>
        <v>-28.48</v>
      </c>
      <c r="M35" s="26">
        <f t="shared" ca="1" si="3"/>
        <v>-25.41</v>
      </c>
      <c r="N35" s="26">
        <f t="shared" ca="1" si="3"/>
        <v>-26.73</v>
      </c>
      <c r="O35" s="26">
        <f t="shared" ca="1" si="3"/>
        <v>-31.78</v>
      </c>
      <c r="P35" s="26">
        <f t="shared" ca="1" si="3"/>
        <v>-36.28</v>
      </c>
      <c r="Q35" s="26">
        <f t="shared" ca="1" si="3"/>
        <v>-40.049999999999997</v>
      </c>
      <c r="R35" s="26">
        <f t="shared" ca="1" si="3"/>
        <v>-40.86</v>
      </c>
      <c r="S35" s="26">
        <f t="shared" ca="1" si="3"/>
        <v>-41.61</v>
      </c>
      <c r="T35" s="26">
        <f t="shared" ca="1" si="3"/>
        <v>-42.31</v>
      </c>
      <c r="U35" s="26">
        <f t="shared" ca="1" si="3"/>
        <v>-42.94</v>
      </c>
      <c r="V35" s="26">
        <f t="shared" ca="1" si="3"/>
        <v>-44.86</v>
      </c>
      <c r="W35" s="26">
        <f t="shared" ca="1" si="3"/>
        <v>-45.72</v>
      </c>
      <c r="X35" s="26">
        <f t="shared" ca="1" si="3"/>
        <v>-45.76</v>
      </c>
      <c r="Y35" s="26">
        <f t="shared" ca="1" si="3"/>
        <v>-45.74</v>
      </c>
      <c r="Z35" s="26">
        <f t="shared" ca="1" si="3"/>
        <v>-45.64</v>
      </c>
      <c r="AA35" s="26">
        <f t="shared" ca="1" si="3"/>
        <v>-45.47</v>
      </c>
      <c r="AB35" s="26">
        <f t="shared" ca="1" si="3"/>
        <v>0</v>
      </c>
      <c r="AC35" s="26">
        <f t="shared" ca="1" si="3"/>
        <v>0</v>
      </c>
      <c r="AD35" s="26">
        <f t="shared" ca="1" si="3"/>
        <v>0</v>
      </c>
      <c r="AE35" s="26">
        <f t="shared" ca="1" si="3"/>
        <v>0</v>
      </c>
      <c r="AF35" s="26">
        <f t="shared" ca="1" si="3"/>
        <v>0</v>
      </c>
      <c r="AG35" s="26">
        <f t="shared" ca="1" si="3"/>
        <v>0</v>
      </c>
      <c r="AH35" s="26">
        <f t="shared" ca="1" si="3"/>
        <v>0</v>
      </c>
      <c r="AI35" s="26">
        <f t="shared" ca="1" si="3"/>
        <v>0</v>
      </c>
      <c r="AJ35" s="26">
        <f t="shared" ca="1" si="3"/>
        <v>0</v>
      </c>
      <c r="AK35" s="26">
        <f t="shared" ca="1" si="3"/>
        <v>0</v>
      </c>
      <c r="AL35" s="26">
        <f t="shared" ca="1" si="3"/>
        <v>0</v>
      </c>
      <c r="AM35" s="50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2"/>
    </row>
    <row r="36" spans="1:54" ht="21" customHeight="1" outlineLevel="1" x14ac:dyDescent="0.35">
      <c r="C36" s="22" t="s">
        <v>6</v>
      </c>
      <c r="D36" s="75">
        <f t="shared" si="4"/>
        <v>15</v>
      </c>
      <c r="E36" s="22" t="str">
        <f t="shared" ca="1" si="5"/>
        <v>H (Ge)</v>
      </c>
      <c r="F36" s="26">
        <f t="shared" ca="1" si="3"/>
        <v>-15.35</v>
      </c>
      <c r="G36" s="26">
        <f t="shared" ca="1" si="3"/>
        <v>-14.36</v>
      </c>
      <c r="H36" s="26">
        <f t="shared" ca="1" si="3"/>
        <v>-12.3</v>
      </c>
      <c r="I36" s="26">
        <f t="shared" ca="1" si="3"/>
        <v>-10.01</v>
      </c>
      <c r="J36" s="26">
        <f t="shared" ca="1" si="3"/>
        <v>-8.0210000000000008</v>
      </c>
      <c r="K36" s="26">
        <f t="shared" ca="1" si="3"/>
        <v>-6.28</v>
      </c>
      <c r="L36" s="26">
        <f t="shared" ca="1" si="3"/>
        <v>-4.7359999999999998</v>
      </c>
      <c r="M36" s="26">
        <f t="shared" ca="1" si="3"/>
        <v>-4.141</v>
      </c>
      <c r="N36" s="26">
        <f t="shared" ca="1" si="3"/>
        <v>-4.2229999999999999</v>
      </c>
      <c r="O36" s="26">
        <f t="shared" ca="1" si="3"/>
        <v>-4.5529999999999999</v>
      </c>
      <c r="P36" s="26">
        <f t="shared" ca="1" si="3"/>
        <v>-4.8730000000000002</v>
      </c>
      <c r="Q36" s="26">
        <f t="shared" ca="1" si="3"/>
        <v>-5.1749999999999998</v>
      </c>
      <c r="R36" s="26">
        <f t="shared" ca="1" si="3"/>
        <v>-5.2469999999999999</v>
      </c>
      <c r="S36" s="26">
        <f t="shared" ca="1" si="3"/>
        <v>-5.3179999999999996</v>
      </c>
      <c r="T36" s="26">
        <f t="shared" ca="1" si="3"/>
        <v>-5.3890000000000002</v>
      </c>
      <c r="U36" s="26">
        <f t="shared" ca="1" si="3"/>
        <v>-5.4580000000000002</v>
      </c>
      <c r="V36" s="26">
        <f t="shared" ca="1" si="3"/>
        <v>-5.7869999999999999</v>
      </c>
      <c r="W36" s="26">
        <f t="shared" ca="1" si="3"/>
        <v>-6.3879999999999999</v>
      </c>
      <c r="X36" s="26">
        <f t="shared" ca="1" si="3"/>
        <v>-6.5250000000000004</v>
      </c>
      <c r="Y36" s="26">
        <f t="shared" ca="1" si="3"/>
        <v>-6.6580000000000004</v>
      </c>
      <c r="Z36" s="26">
        <f t="shared" ca="1" si="3"/>
        <v>-6.7869999999999999</v>
      </c>
      <c r="AA36" s="26">
        <f t="shared" ca="1" si="3"/>
        <v>-6.9109999999999996</v>
      </c>
      <c r="AB36" s="26">
        <f t="shared" ca="1" si="3"/>
        <v>0</v>
      </c>
      <c r="AC36" s="26">
        <f t="shared" ca="1" si="3"/>
        <v>0</v>
      </c>
      <c r="AD36" s="26">
        <f t="shared" ca="1" si="3"/>
        <v>0</v>
      </c>
      <c r="AE36" s="26">
        <f t="shared" ca="1" si="3"/>
        <v>0</v>
      </c>
      <c r="AF36" s="26">
        <f t="shared" ca="1" si="3"/>
        <v>0</v>
      </c>
      <c r="AG36" s="26">
        <f t="shared" ca="1" si="3"/>
        <v>0</v>
      </c>
      <c r="AH36" s="26">
        <f t="shared" ca="1" si="3"/>
        <v>0</v>
      </c>
      <c r="AI36" s="26">
        <f t="shared" ca="1" si="3"/>
        <v>0</v>
      </c>
      <c r="AJ36" s="26">
        <f t="shared" ca="1" si="3"/>
        <v>0</v>
      </c>
      <c r="AK36" s="26">
        <f t="shared" ca="1" si="3"/>
        <v>0</v>
      </c>
      <c r="AL36" s="26">
        <f t="shared" ca="1" si="3"/>
        <v>0</v>
      </c>
      <c r="AM36" s="50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2"/>
    </row>
    <row r="37" spans="1:54" ht="21" customHeight="1" outlineLevel="1" thickBot="1" x14ac:dyDescent="0.4">
      <c r="C37" s="22" t="s">
        <v>7</v>
      </c>
      <c r="D37" s="75">
        <f t="shared" si="4"/>
        <v>16</v>
      </c>
      <c r="E37" s="22" t="str">
        <f t="shared" ca="1" si="5"/>
        <v>H (Se)</v>
      </c>
      <c r="F37" s="26">
        <f t="shared" ca="1" si="3"/>
        <v>-21.89</v>
      </c>
      <c r="G37" s="26">
        <f t="shared" ca="1" si="3"/>
        <v>-20.11</v>
      </c>
      <c r="H37" s="26">
        <f t="shared" ca="1" si="3"/>
        <v>-19.97</v>
      </c>
      <c r="I37" s="26">
        <f t="shared" ca="1" si="3"/>
        <v>-20.47</v>
      </c>
      <c r="J37" s="26">
        <f t="shared" ca="1" si="3"/>
        <v>-20.98</v>
      </c>
      <c r="K37" s="26">
        <f t="shared" ca="1" si="3"/>
        <v>-21.49</v>
      </c>
      <c r="L37" s="26">
        <f t="shared" ca="1" si="3"/>
        <v>-22.01</v>
      </c>
      <c r="M37" s="26">
        <f t="shared" ca="1" si="3"/>
        <v>-22.51</v>
      </c>
      <c r="N37" s="26">
        <f t="shared" ca="1" si="3"/>
        <v>-23.02</v>
      </c>
      <c r="O37" s="26">
        <f t="shared" ca="1" si="3"/>
        <v>-24.96</v>
      </c>
      <c r="P37" s="26">
        <f t="shared" ca="1" si="3"/>
        <v>-26.77</v>
      </c>
      <c r="Q37" s="26">
        <f t="shared" ca="1" si="3"/>
        <v>-28.49</v>
      </c>
      <c r="R37" s="26">
        <f t="shared" ca="1" si="3"/>
        <v>-28.9</v>
      </c>
      <c r="S37" s="26">
        <f t="shared" ca="1" si="3"/>
        <v>-29.31</v>
      </c>
      <c r="T37" s="26">
        <f t="shared" ca="1" si="3"/>
        <v>-29.72</v>
      </c>
      <c r="U37" s="26">
        <f t="shared" ca="1" si="3"/>
        <v>-30.12</v>
      </c>
      <c r="V37" s="26">
        <f t="shared" ca="1" si="3"/>
        <v>-31.69</v>
      </c>
      <c r="W37" s="26">
        <f t="shared" ca="1" si="3"/>
        <v>-33.22</v>
      </c>
      <c r="X37" s="26">
        <f t="shared" ca="1" si="3"/>
        <v>-33.590000000000003</v>
      </c>
      <c r="Y37" s="26">
        <f t="shared" ca="1" si="3"/>
        <v>-33.97</v>
      </c>
      <c r="Z37" s="26">
        <f t="shared" ca="1" si="3"/>
        <v>-34.340000000000003</v>
      </c>
      <c r="AA37" s="26">
        <f t="shared" ca="1" si="3"/>
        <v>-34.71</v>
      </c>
      <c r="AB37" s="26">
        <f t="shared" ca="1" si="3"/>
        <v>0</v>
      </c>
      <c r="AC37" s="26">
        <f t="shared" ca="1" si="3"/>
        <v>0</v>
      </c>
      <c r="AD37" s="26">
        <f t="shared" ca="1" si="3"/>
        <v>0</v>
      </c>
      <c r="AE37" s="26">
        <f t="shared" ca="1" si="3"/>
        <v>0</v>
      </c>
      <c r="AF37" s="26">
        <f t="shared" ca="1" si="3"/>
        <v>0</v>
      </c>
      <c r="AG37" s="26">
        <f t="shared" ca="1" si="3"/>
        <v>0</v>
      </c>
      <c r="AH37" s="26">
        <f t="shared" ca="1" si="3"/>
        <v>0</v>
      </c>
      <c r="AI37" s="26">
        <f t="shared" ca="1" si="3"/>
        <v>0</v>
      </c>
      <c r="AJ37" s="26">
        <f t="shared" ca="1" si="3"/>
        <v>0</v>
      </c>
      <c r="AK37" s="26">
        <f t="shared" ca="1" si="3"/>
        <v>0</v>
      </c>
      <c r="AL37" s="26">
        <f t="shared" ca="1" si="3"/>
        <v>0</v>
      </c>
      <c r="AM37" s="53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5"/>
    </row>
    <row r="38" spans="1:54" ht="21" customHeight="1" thickBot="1" x14ac:dyDescent="0.4"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</row>
    <row r="39" spans="1:54" ht="21" customHeight="1" thickTop="1" thickBot="1" x14ac:dyDescent="0.45">
      <c r="A39" s="11" t="s">
        <v>8</v>
      </c>
      <c r="B39" s="12"/>
      <c r="C39" s="12"/>
      <c r="D39" s="13"/>
      <c r="E39" s="2" t="s">
        <v>29</v>
      </c>
      <c r="F39" s="3"/>
      <c r="G39" s="2"/>
      <c r="H39" s="2"/>
      <c r="I39" s="2"/>
      <c r="J39" s="2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5"/>
      <c r="AN39" s="15"/>
      <c r="AO39" s="15"/>
      <c r="AP39" s="15"/>
      <c r="AQ39" s="15"/>
      <c r="AR39" s="15"/>
    </row>
    <row r="40" spans="1:54" ht="21" customHeight="1" outlineLevel="1" thickTop="1" thickBot="1" x14ac:dyDescent="0.4">
      <c r="A40" s="16" t="s">
        <v>1</v>
      </c>
      <c r="B40" s="16" t="s">
        <v>3</v>
      </c>
      <c r="C40" s="16" t="s">
        <v>4</v>
      </c>
      <c r="D40" s="16" t="s">
        <v>2</v>
      </c>
      <c r="E40" s="16" t="s">
        <v>9</v>
      </c>
      <c r="F40" s="17">
        <f>F3</f>
        <v>298.2</v>
      </c>
      <c r="G40" s="17">
        <f t="shared" ref="G40:AL40" si="6">G3</f>
        <v>331.5</v>
      </c>
      <c r="H40" s="17">
        <f t="shared" si="6"/>
        <v>364.9</v>
      </c>
      <c r="I40" s="17">
        <f t="shared" si="6"/>
        <v>398.3</v>
      </c>
      <c r="J40" s="17">
        <f t="shared" si="6"/>
        <v>431.7</v>
      </c>
      <c r="K40" s="17">
        <f t="shared" si="6"/>
        <v>465.1</v>
      </c>
      <c r="L40" s="17">
        <f t="shared" si="6"/>
        <v>498.5</v>
      </c>
      <c r="M40" s="17">
        <f t="shared" si="6"/>
        <v>531.79999999999995</v>
      </c>
      <c r="N40" s="17">
        <f t="shared" si="6"/>
        <v>565.20000000000005</v>
      </c>
      <c r="O40" s="17">
        <f t="shared" si="6"/>
        <v>698.8</v>
      </c>
      <c r="P40" s="17">
        <f t="shared" si="6"/>
        <v>832.3</v>
      </c>
      <c r="Q40" s="17">
        <f t="shared" si="6"/>
        <v>965.8</v>
      </c>
      <c r="R40" s="17">
        <f t="shared" si="6"/>
        <v>999.2</v>
      </c>
      <c r="S40" s="17">
        <f t="shared" si="6"/>
        <v>1033</v>
      </c>
      <c r="T40" s="17">
        <f t="shared" si="6"/>
        <v>1066</v>
      </c>
      <c r="U40" s="17">
        <f t="shared" si="6"/>
        <v>1099</v>
      </c>
      <c r="V40" s="17">
        <f t="shared" si="6"/>
        <v>1233</v>
      </c>
      <c r="W40" s="17">
        <f t="shared" si="6"/>
        <v>1366</v>
      </c>
      <c r="X40" s="17">
        <f t="shared" si="6"/>
        <v>1400</v>
      </c>
      <c r="Y40" s="17">
        <f t="shared" si="6"/>
        <v>1433</v>
      </c>
      <c r="Z40" s="17">
        <f t="shared" si="6"/>
        <v>1467</v>
      </c>
      <c r="AA40" s="17">
        <f t="shared" si="6"/>
        <v>1500</v>
      </c>
      <c r="AB40" s="17">
        <f t="shared" si="6"/>
        <v>0</v>
      </c>
      <c r="AC40" s="17">
        <f t="shared" si="6"/>
        <v>0</v>
      </c>
      <c r="AD40" s="17">
        <f t="shared" si="6"/>
        <v>0</v>
      </c>
      <c r="AE40" s="17">
        <f t="shared" si="6"/>
        <v>0</v>
      </c>
      <c r="AF40" s="17">
        <f t="shared" si="6"/>
        <v>0</v>
      </c>
      <c r="AG40" s="17">
        <f t="shared" si="6"/>
        <v>0</v>
      </c>
      <c r="AH40" s="17">
        <f t="shared" si="6"/>
        <v>0</v>
      </c>
      <c r="AI40" s="17">
        <f t="shared" si="6"/>
        <v>0</v>
      </c>
      <c r="AJ40" s="17">
        <f t="shared" si="6"/>
        <v>0</v>
      </c>
      <c r="AK40" s="17">
        <f t="shared" si="6"/>
        <v>0</v>
      </c>
      <c r="AL40" s="17">
        <f t="shared" si="6"/>
        <v>0</v>
      </c>
    </row>
    <row r="41" spans="1:54" ht="21" customHeight="1" outlineLevel="1" thickTop="1" x14ac:dyDescent="0.35">
      <c r="A41" s="18">
        <f>A45/$B45</f>
        <v>1.6666666666666667</v>
      </c>
      <c r="B41" s="18">
        <f>B45/$B45</f>
        <v>1</v>
      </c>
      <c r="C41" s="18">
        <f>C45/$B45</f>
        <v>1.6666666666666667</v>
      </c>
      <c r="D41" s="18">
        <f>D45/$B45</f>
        <v>4</v>
      </c>
      <c r="E41" s="18">
        <f>SUM(A41:D41)</f>
        <v>8.3333333333333339</v>
      </c>
      <c r="F41" s="19">
        <f t="shared" ref="F41:AL41" ca="1" si="7">($B$41*H.Ge+$C$41*H.Ga+$D$41*H.Se)*F$40*$B$2/1000</f>
        <v>-507.18277058400002</v>
      </c>
      <c r="G41" s="19">
        <f t="shared" ca="1" si="7"/>
        <v>-515.74157553750013</v>
      </c>
      <c r="H41" s="19">
        <f t="shared" ca="1" si="7"/>
        <v>-527.03948719900006</v>
      </c>
      <c r="I41" s="19">
        <f t="shared" ca="1" si="7"/>
        <v>-539.76833539650011</v>
      </c>
      <c r="J41" s="19">
        <f t="shared" ca="1" si="7"/>
        <v>-553.02973591065006</v>
      </c>
      <c r="K41" s="19">
        <f t="shared" ca="1" si="7"/>
        <v>-566.80991909800002</v>
      </c>
      <c r="L41" s="19">
        <f t="shared" ca="1" si="7"/>
        <v>-581.27475452200008</v>
      </c>
      <c r="M41" s="19">
        <f t="shared" ca="1" si="7"/>
        <v>-603.69244633409994</v>
      </c>
      <c r="N41" s="19">
        <f t="shared" ca="1" si="7"/>
        <v>-661.91830615620017</v>
      </c>
      <c r="O41" s="19">
        <f t="shared" ca="1" si="7"/>
        <v>-914.28682361179995</v>
      </c>
      <c r="P41" s="19">
        <f t="shared" ca="1" si="7"/>
        <v>-1193.1713959875501</v>
      </c>
      <c r="Q41" s="19">
        <f t="shared" ca="1" si="7"/>
        <v>-1492.6833360285</v>
      </c>
      <c r="R41" s="19">
        <f t="shared" ca="1" si="7"/>
        <v>-1569.7430316348004</v>
      </c>
      <c r="S41" s="19">
        <f t="shared" ca="1" si="7"/>
        <v>-1648.2744951780003</v>
      </c>
      <c r="T41" s="19">
        <f t="shared" ca="1" si="7"/>
        <v>-1726.4354235829999</v>
      </c>
      <c r="U41" s="19">
        <f t="shared" ca="1" si="7"/>
        <v>-1804.7256535490001</v>
      </c>
      <c r="V41" s="19">
        <f t="shared" ca="1" si="7"/>
        <v>-2125.3337906895003</v>
      </c>
      <c r="W41" s="19">
        <f t="shared" ca="1" si="7"/>
        <v>-2447.2008650760004</v>
      </c>
      <c r="X41" s="19">
        <f t="shared" ca="1" si="7"/>
        <v>-2527.7105455000005</v>
      </c>
      <c r="Y41" s="19">
        <f t="shared" ca="1" si="7"/>
        <v>-2606.5901016830003</v>
      </c>
      <c r="Z41" s="19">
        <f t="shared" ca="1" si="7"/>
        <v>-2686.0279017105008</v>
      </c>
      <c r="AA41" s="19">
        <f t="shared" ca="1" si="7"/>
        <v>-2762.92082175</v>
      </c>
      <c r="AB41" s="19">
        <f t="shared" ca="1" si="7"/>
        <v>0</v>
      </c>
      <c r="AC41" s="19">
        <f t="shared" ca="1" si="7"/>
        <v>0</v>
      </c>
      <c r="AD41" s="19">
        <f t="shared" ca="1" si="7"/>
        <v>0</v>
      </c>
      <c r="AE41" s="19">
        <f t="shared" ca="1" si="7"/>
        <v>0</v>
      </c>
      <c r="AF41" s="19">
        <f t="shared" ca="1" si="7"/>
        <v>0</v>
      </c>
      <c r="AG41" s="19">
        <f t="shared" ca="1" si="7"/>
        <v>0</v>
      </c>
      <c r="AH41" s="19">
        <f t="shared" ca="1" si="7"/>
        <v>0</v>
      </c>
      <c r="AI41" s="19">
        <f t="shared" ca="1" si="7"/>
        <v>0</v>
      </c>
      <c r="AJ41" s="19">
        <f t="shared" ca="1" si="7"/>
        <v>0</v>
      </c>
      <c r="AK41" s="19">
        <f t="shared" ca="1" si="7"/>
        <v>0</v>
      </c>
      <c r="AL41" s="19">
        <f t="shared" ca="1" si="7"/>
        <v>0</v>
      </c>
    </row>
    <row r="42" spans="1:54" ht="21" customHeight="1" outlineLevel="1" x14ac:dyDescent="0.35"/>
    <row r="43" spans="1:54" ht="21" customHeight="1" outlineLevel="1" thickBot="1" x14ac:dyDescent="0.4">
      <c r="A43" s="13" t="s">
        <v>10</v>
      </c>
      <c r="B43" s="13"/>
      <c r="C43" s="13"/>
      <c r="D43" s="72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</row>
    <row r="44" spans="1:54" ht="21" customHeight="1" outlineLevel="1" thickTop="1" thickBot="1" x14ac:dyDescent="0.4">
      <c r="A44" s="20" t="s">
        <v>1</v>
      </c>
      <c r="B44" s="20" t="s">
        <v>3</v>
      </c>
      <c r="C44" s="20" t="s">
        <v>4</v>
      </c>
      <c r="D44" s="20" t="s">
        <v>2</v>
      </c>
    </row>
    <row r="45" spans="1:54" ht="21" customHeight="1" outlineLevel="1" thickTop="1" x14ac:dyDescent="0.35">
      <c r="A45" s="22">
        <f t="array" ref="A45:D45">Values!D3:G3</f>
        <v>25</v>
      </c>
      <c r="B45" s="22">
        <v>15</v>
      </c>
      <c r="C45" s="22">
        <v>25</v>
      </c>
      <c r="D45" s="22">
        <v>60</v>
      </c>
      <c r="W45" s="21"/>
    </row>
    <row r="46" spans="1:54" ht="21" customHeight="1" outlineLevel="1" x14ac:dyDescent="0.35"/>
    <row r="47" spans="1:54" ht="21" customHeight="1" thickBot="1" x14ac:dyDescent="0.4"/>
    <row r="48" spans="1:54" ht="21" customHeight="1" thickBot="1" x14ac:dyDescent="0.45">
      <c r="A48" s="1"/>
      <c r="B48" s="1"/>
      <c r="C48" s="1"/>
      <c r="D48" s="1"/>
      <c r="E48" s="2" t="s">
        <v>30</v>
      </c>
      <c r="F48" s="3"/>
      <c r="G48" s="2"/>
      <c r="H48" s="2"/>
      <c r="I48" s="2"/>
      <c r="J48" s="2"/>
      <c r="K48" s="2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</row>
    <row r="49" spans="1:38" ht="21" hidden="1" customHeight="1" outlineLevel="1" thickTop="1" thickBot="1" x14ac:dyDescent="0.4">
      <c r="A49" s="24" t="s">
        <v>1</v>
      </c>
      <c r="B49" s="24" t="s">
        <v>2</v>
      </c>
      <c r="C49" s="24" t="s">
        <v>3</v>
      </c>
      <c r="D49" s="25" t="s">
        <v>4</v>
      </c>
      <c r="E49" s="6">
        <f t="shared" ref="E49:AL49" si="8">E3</f>
        <v>0</v>
      </c>
      <c r="F49" s="6">
        <f t="shared" si="8"/>
        <v>298.2</v>
      </c>
      <c r="G49" s="6">
        <f t="shared" si="8"/>
        <v>331.5</v>
      </c>
      <c r="H49" s="6">
        <f t="shared" si="8"/>
        <v>364.9</v>
      </c>
      <c r="I49" s="6">
        <f t="shared" si="8"/>
        <v>398.3</v>
      </c>
      <c r="J49" s="6">
        <f t="shared" si="8"/>
        <v>431.7</v>
      </c>
      <c r="K49" s="6">
        <f t="shared" si="8"/>
        <v>465.1</v>
      </c>
      <c r="L49" s="6">
        <f t="shared" si="8"/>
        <v>498.5</v>
      </c>
      <c r="M49" s="6">
        <f t="shared" si="8"/>
        <v>531.79999999999995</v>
      </c>
      <c r="N49" s="6">
        <f t="shared" si="8"/>
        <v>565.20000000000005</v>
      </c>
      <c r="O49" s="6">
        <f t="shared" si="8"/>
        <v>698.8</v>
      </c>
      <c r="P49" s="6">
        <f t="shared" si="8"/>
        <v>832.3</v>
      </c>
      <c r="Q49" s="6">
        <f t="shared" si="8"/>
        <v>965.8</v>
      </c>
      <c r="R49" s="6">
        <f t="shared" si="8"/>
        <v>999.2</v>
      </c>
      <c r="S49" s="6">
        <f t="shared" si="8"/>
        <v>1033</v>
      </c>
      <c r="T49" s="6">
        <f t="shared" si="8"/>
        <v>1066</v>
      </c>
      <c r="U49" s="6">
        <f t="shared" si="8"/>
        <v>1099</v>
      </c>
      <c r="V49" s="6">
        <f t="shared" si="8"/>
        <v>1233</v>
      </c>
      <c r="W49" s="6">
        <f t="shared" si="8"/>
        <v>1366</v>
      </c>
      <c r="X49" s="6">
        <f t="shared" si="8"/>
        <v>1400</v>
      </c>
      <c r="Y49" s="6">
        <f t="shared" si="8"/>
        <v>1433</v>
      </c>
      <c r="Z49" s="6">
        <f t="shared" si="8"/>
        <v>1467</v>
      </c>
      <c r="AA49" s="6">
        <f t="shared" si="8"/>
        <v>1500</v>
      </c>
      <c r="AB49" s="6">
        <f t="shared" si="8"/>
        <v>0</v>
      </c>
      <c r="AC49" s="6">
        <f t="shared" si="8"/>
        <v>0</v>
      </c>
      <c r="AD49" s="6">
        <f t="shared" si="8"/>
        <v>0</v>
      </c>
      <c r="AE49" s="6">
        <f t="shared" si="8"/>
        <v>0</v>
      </c>
      <c r="AF49" s="6">
        <f t="shared" si="8"/>
        <v>0</v>
      </c>
      <c r="AG49" s="6">
        <f t="shared" si="8"/>
        <v>0</v>
      </c>
      <c r="AH49" s="6">
        <f t="shared" si="8"/>
        <v>0</v>
      </c>
      <c r="AI49" s="6">
        <f t="shared" si="8"/>
        <v>0</v>
      </c>
      <c r="AJ49" s="6">
        <f t="shared" si="8"/>
        <v>0</v>
      </c>
      <c r="AK49" s="6">
        <f t="shared" si="8"/>
        <v>0</v>
      </c>
      <c r="AL49" s="6">
        <f t="shared" si="8"/>
        <v>0</v>
      </c>
    </row>
    <row r="50" spans="1:38" ht="21" hidden="1" customHeight="1" outlineLevel="1" thickTop="1" thickBot="1" x14ac:dyDescent="0.4">
      <c r="A50" s="8">
        <f t="shared" ref="A50:E65" si="9">A4</f>
        <v>0</v>
      </c>
      <c r="B50" s="8">
        <f t="shared" si="9"/>
        <v>0</v>
      </c>
      <c r="C50" s="8">
        <f t="shared" si="9"/>
        <v>1</v>
      </c>
      <c r="D50" s="8">
        <f t="shared" si="9"/>
        <v>0</v>
      </c>
      <c r="E50" s="9" t="str">
        <f t="shared" si="9"/>
        <v>*Ge[l]</v>
      </c>
      <c r="F50" s="26">
        <f t="shared" ref="F50:O59" ca="1" si="10">$A50*H.Ar + $B50*H.Se + $C50*H.Ge + $D50*H.Ga</f>
        <v>-15.35</v>
      </c>
      <c r="G50" s="26">
        <f t="shared" ca="1" si="10"/>
        <v>-14.36</v>
      </c>
      <c r="H50" s="26">
        <f t="shared" ca="1" si="10"/>
        <v>-12.3</v>
      </c>
      <c r="I50" s="26">
        <f t="shared" ca="1" si="10"/>
        <v>-10.01</v>
      </c>
      <c r="J50" s="26">
        <f t="shared" ca="1" si="10"/>
        <v>-8.0210000000000008</v>
      </c>
      <c r="K50" s="26">
        <f t="shared" ca="1" si="10"/>
        <v>-6.28</v>
      </c>
      <c r="L50" s="26">
        <f t="shared" ca="1" si="10"/>
        <v>-4.7359999999999998</v>
      </c>
      <c r="M50" s="26">
        <f t="shared" ca="1" si="10"/>
        <v>-4.141</v>
      </c>
      <c r="N50" s="26">
        <f t="shared" ca="1" si="10"/>
        <v>-4.2229999999999999</v>
      </c>
      <c r="O50" s="26">
        <f t="shared" ca="1" si="10"/>
        <v>-4.5529999999999999</v>
      </c>
      <c r="P50" s="26">
        <f t="shared" ref="P50:AE59" ca="1" si="11">$A50*H.Ar + $B50*H.Se + $C50*H.Ge + $D50*H.Ga</f>
        <v>-4.8730000000000002</v>
      </c>
      <c r="Q50" s="26">
        <f t="shared" ca="1" si="11"/>
        <v>-5.1749999999999998</v>
      </c>
      <c r="R50" s="26">
        <f t="shared" ca="1" si="11"/>
        <v>-5.2469999999999999</v>
      </c>
      <c r="S50" s="26">
        <f t="shared" ca="1" si="11"/>
        <v>-5.3179999999999996</v>
      </c>
      <c r="T50" s="26">
        <f t="shared" ca="1" si="11"/>
        <v>-5.3890000000000002</v>
      </c>
      <c r="U50" s="26">
        <f t="shared" ca="1" si="11"/>
        <v>-5.4580000000000002</v>
      </c>
      <c r="V50" s="26">
        <f t="shared" ca="1" si="11"/>
        <v>-5.7869999999999999</v>
      </c>
      <c r="W50" s="26">
        <f t="shared" ca="1" si="11"/>
        <v>-6.3879999999999999</v>
      </c>
      <c r="X50" s="26">
        <f t="shared" ca="1" si="11"/>
        <v>-6.5250000000000004</v>
      </c>
      <c r="Y50" s="26">
        <f t="shared" ca="1" si="11"/>
        <v>-6.6580000000000004</v>
      </c>
      <c r="Z50" s="26">
        <f t="shared" ca="1" si="11"/>
        <v>-6.7869999999999999</v>
      </c>
      <c r="AA50" s="26">
        <f t="shared" ca="1" si="11"/>
        <v>-6.9109999999999996</v>
      </c>
      <c r="AB50" s="26">
        <f t="shared" ca="1" si="11"/>
        <v>0</v>
      </c>
      <c r="AC50" s="26">
        <f t="shared" ca="1" si="11"/>
        <v>0</v>
      </c>
      <c r="AD50" s="26">
        <f t="shared" ca="1" si="11"/>
        <v>0</v>
      </c>
      <c r="AE50" s="26">
        <f t="shared" ca="1" si="11"/>
        <v>0</v>
      </c>
      <c r="AF50" s="26">
        <f t="shared" ref="AF50:AL50" ca="1" si="12">$A50*H.Ar + $B50*H.Se + $C50*H.Ge + $D50*H.Ga</f>
        <v>0</v>
      </c>
      <c r="AG50" s="26">
        <f t="shared" ca="1" si="12"/>
        <v>0</v>
      </c>
      <c r="AH50" s="26">
        <f t="shared" ca="1" si="12"/>
        <v>0</v>
      </c>
      <c r="AI50" s="26">
        <f t="shared" ca="1" si="12"/>
        <v>0</v>
      </c>
      <c r="AJ50" s="26">
        <f t="shared" ca="1" si="12"/>
        <v>0</v>
      </c>
      <c r="AK50" s="26">
        <f t="shared" ca="1" si="12"/>
        <v>0</v>
      </c>
      <c r="AL50" s="26">
        <f t="shared" ca="1" si="12"/>
        <v>0</v>
      </c>
    </row>
    <row r="51" spans="1:38" ht="21" hidden="1" customHeight="1" outlineLevel="1" thickBot="1" x14ac:dyDescent="0.4">
      <c r="A51" s="8">
        <f t="shared" si="9"/>
        <v>0</v>
      </c>
      <c r="B51" s="8">
        <f t="shared" si="9"/>
        <v>0</v>
      </c>
      <c r="C51" s="8">
        <f t="shared" si="9"/>
        <v>1</v>
      </c>
      <c r="D51" s="8">
        <f t="shared" si="9"/>
        <v>0</v>
      </c>
      <c r="E51" s="9" t="str">
        <f t="shared" si="9"/>
        <v>*Ge</v>
      </c>
      <c r="F51" s="26">
        <f t="shared" ca="1" si="10"/>
        <v>-15.35</v>
      </c>
      <c r="G51" s="26">
        <f t="shared" ca="1" si="10"/>
        <v>-14.36</v>
      </c>
      <c r="H51" s="26">
        <f t="shared" ca="1" si="10"/>
        <v>-12.3</v>
      </c>
      <c r="I51" s="26">
        <f t="shared" ca="1" si="10"/>
        <v>-10.01</v>
      </c>
      <c r="J51" s="26">
        <f t="shared" ca="1" si="10"/>
        <v>-8.0210000000000008</v>
      </c>
      <c r="K51" s="26">
        <f t="shared" ca="1" si="10"/>
        <v>-6.28</v>
      </c>
      <c r="L51" s="26">
        <f t="shared" ca="1" si="10"/>
        <v>-4.7359999999999998</v>
      </c>
      <c r="M51" s="26">
        <f t="shared" ca="1" si="10"/>
        <v>-4.141</v>
      </c>
      <c r="N51" s="26">
        <f t="shared" ca="1" si="10"/>
        <v>-4.2229999999999999</v>
      </c>
      <c r="O51" s="26">
        <f t="shared" ca="1" si="10"/>
        <v>-4.5529999999999999</v>
      </c>
      <c r="P51" s="26">
        <f t="shared" ca="1" si="11"/>
        <v>-4.8730000000000002</v>
      </c>
      <c r="Q51" s="26">
        <f t="shared" ca="1" si="11"/>
        <v>-5.1749999999999998</v>
      </c>
      <c r="R51" s="26">
        <f t="shared" ca="1" si="11"/>
        <v>-5.2469999999999999</v>
      </c>
      <c r="S51" s="26">
        <f t="shared" ca="1" si="11"/>
        <v>-5.3179999999999996</v>
      </c>
      <c r="T51" s="26">
        <f t="shared" ca="1" si="11"/>
        <v>-5.3890000000000002</v>
      </c>
      <c r="U51" s="26">
        <f t="shared" ca="1" si="11"/>
        <v>-5.4580000000000002</v>
      </c>
      <c r="V51" s="26">
        <f t="shared" ca="1" si="11"/>
        <v>-5.7869999999999999</v>
      </c>
      <c r="W51" s="26">
        <f t="shared" ca="1" si="11"/>
        <v>-6.3879999999999999</v>
      </c>
      <c r="X51" s="26">
        <f t="shared" ca="1" si="11"/>
        <v>-6.5250000000000004</v>
      </c>
      <c r="Y51" s="26">
        <f t="shared" ref="Y51:AL65" ca="1" si="13">$A51*H.Ar + $B51*H.Se + $C51*H.Ge + $D51*H.Ga</f>
        <v>-6.6580000000000004</v>
      </c>
      <c r="Z51" s="26">
        <f t="shared" ca="1" si="13"/>
        <v>-6.7869999999999999</v>
      </c>
      <c r="AA51" s="26">
        <f t="shared" ca="1" si="13"/>
        <v>-6.9109999999999996</v>
      </c>
      <c r="AB51" s="26">
        <f t="shared" ca="1" si="13"/>
        <v>0</v>
      </c>
      <c r="AC51" s="26">
        <f t="shared" ca="1" si="13"/>
        <v>0</v>
      </c>
      <c r="AD51" s="26">
        <f t="shared" ca="1" si="13"/>
        <v>0</v>
      </c>
      <c r="AE51" s="26">
        <f t="shared" ca="1" si="13"/>
        <v>0</v>
      </c>
      <c r="AF51" s="26">
        <f t="shared" ca="1" si="13"/>
        <v>0</v>
      </c>
      <c r="AG51" s="26">
        <f t="shared" ca="1" si="13"/>
        <v>0</v>
      </c>
      <c r="AH51" s="26">
        <f t="shared" ca="1" si="13"/>
        <v>0</v>
      </c>
      <c r="AI51" s="26">
        <f t="shared" ca="1" si="13"/>
        <v>0</v>
      </c>
      <c r="AJ51" s="26">
        <f t="shared" ca="1" si="13"/>
        <v>0</v>
      </c>
      <c r="AK51" s="26">
        <f t="shared" ca="1" si="13"/>
        <v>0</v>
      </c>
      <c r="AL51" s="26">
        <f t="shared" ca="1" si="13"/>
        <v>0</v>
      </c>
    </row>
    <row r="52" spans="1:38" ht="21" hidden="1" customHeight="1" outlineLevel="1" thickBot="1" x14ac:dyDescent="0.4">
      <c r="A52" s="8">
        <f t="shared" si="9"/>
        <v>0</v>
      </c>
      <c r="B52" s="8">
        <f t="shared" si="9"/>
        <v>1</v>
      </c>
      <c r="C52" s="8">
        <f t="shared" si="9"/>
        <v>1</v>
      </c>
      <c r="D52" s="8">
        <f t="shared" si="9"/>
        <v>0</v>
      </c>
      <c r="E52" s="9" t="str">
        <f t="shared" si="9"/>
        <v>*GeSe</v>
      </c>
      <c r="F52" s="26">
        <f t="shared" ca="1" si="10"/>
        <v>-37.24</v>
      </c>
      <c r="G52" s="26">
        <f t="shared" ca="1" si="10"/>
        <v>-34.47</v>
      </c>
      <c r="H52" s="26">
        <f t="shared" ca="1" si="10"/>
        <v>-32.269999999999996</v>
      </c>
      <c r="I52" s="26">
        <f t="shared" ca="1" si="10"/>
        <v>-30.479999999999997</v>
      </c>
      <c r="J52" s="26">
        <f t="shared" ca="1" si="10"/>
        <v>-29.001000000000001</v>
      </c>
      <c r="K52" s="26">
        <f t="shared" ca="1" si="10"/>
        <v>-27.77</v>
      </c>
      <c r="L52" s="26">
        <f t="shared" ca="1" si="10"/>
        <v>-26.746000000000002</v>
      </c>
      <c r="M52" s="26">
        <f t="shared" ca="1" si="10"/>
        <v>-26.651000000000003</v>
      </c>
      <c r="N52" s="26">
        <f t="shared" ca="1" si="10"/>
        <v>-27.242999999999999</v>
      </c>
      <c r="O52" s="26">
        <f t="shared" ca="1" si="10"/>
        <v>-29.513000000000002</v>
      </c>
      <c r="P52" s="26">
        <f t="shared" ca="1" si="11"/>
        <v>-31.643000000000001</v>
      </c>
      <c r="Q52" s="26">
        <f t="shared" ca="1" si="11"/>
        <v>-33.664999999999999</v>
      </c>
      <c r="R52" s="26">
        <f t="shared" ca="1" si="11"/>
        <v>-34.146999999999998</v>
      </c>
      <c r="S52" s="26">
        <f t="shared" ca="1" si="11"/>
        <v>-34.628</v>
      </c>
      <c r="T52" s="26">
        <f t="shared" ca="1" si="11"/>
        <v>-35.109000000000002</v>
      </c>
      <c r="U52" s="26">
        <f t="shared" ca="1" si="11"/>
        <v>-35.578000000000003</v>
      </c>
      <c r="V52" s="26">
        <f t="shared" ca="1" si="11"/>
        <v>-37.477000000000004</v>
      </c>
      <c r="W52" s="26">
        <f t="shared" ca="1" si="11"/>
        <v>-39.607999999999997</v>
      </c>
      <c r="X52" s="26">
        <f t="shared" ca="1" si="11"/>
        <v>-40.115000000000002</v>
      </c>
      <c r="Y52" s="26">
        <f t="shared" ca="1" si="13"/>
        <v>-40.628</v>
      </c>
      <c r="Z52" s="26">
        <f t="shared" ca="1" si="13"/>
        <v>-41.127000000000002</v>
      </c>
      <c r="AA52" s="26">
        <f t="shared" ca="1" si="13"/>
        <v>-41.621000000000002</v>
      </c>
      <c r="AB52" s="26">
        <f t="shared" ca="1" si="13"/>
        <v>0</v>
      </c>
      <c r="AC52" s="26">
        <f t="shared" ca="1" si="13"/>
        <v>0</v>
      </c>
      <c r="AD52" s="26">
        <f t="shared" ca="1" si="13"/>
        <v>0</v>
      </c>
      <c r="AE52" s="26">
        <f t="shared" ca="1" si="13"/>
        <v>0</v>
      </c>
      <c r="AF52" s="26">
        <f t="shared" ca="1" si="13"/>
        <v>0</v>
      </c>
      <c r="AG52" s="26">
        <f t="shared" ca="1" si="13"/>
        <v>0</v>
      </c>
      <c r="AH52" s="26">
        <f t="shared" ca="1" si="13"/>
        <v>0</v>
      </c>
      <c r="AI52" s="26">
        <f t="shared" ca="1" si="13"/>
        <v>0</v>
      </c>
      <c r="AJ52" s="26">
        <f t="shared" ca="1" si="13"/>
        <v>0</v>
      </c>
      <c r="AK52" s="26">
        <f t="shared" ca="1" si="13"/>
        <v>0</v>
      </c>
      <c r="AL52" s="26">
        <f t="shared" ca="1" si="13"/>
        <v>0</v>
      </c>
    </row>
    <row r="53" spans="1:38" ht="21" hidden="1" customHeight="1" outlineLevel="1" thickBot="1" x14ac:dyDescent="0.4">
      <c r="A53" s="8">
        <f t="shared" si="9"/>
        <v>0</v>
      </c>
      <c r="B53" s="8">
        <f t="shared" si="9"/>
        <v>0</v>
      </c>
      <c r="C53" s="8">
        <f t="shared" si="9"/>
        <v>0</v>
      </c>
      <c r="D53" s="8">
        <f t="shared" si="9"/>
        <v>1</v>
      </c>
      <c r="E53" s="9" t="str">
        <f t="shared" si="9"/>
        <v>*Ga</v>
      </c>
      <c r="F53" s="26">
        <f t="shared" ca="1" si="10"/>
        <v>-60.99</v>
      </c>
      <c r="G53" s="26">
        <f t="shared" ca="1" si="10"/>
        <v>-55.39</v>
      </c>
      <c r="H53" s="26">
        <f t="shared" ca="1" si="10"/>
        <v>-48.92</v>
      </c>
      <c r="I53" s="26">
        <f t="shared" ca="1" si="10"/>
        <v>-42.66</v>
      </c>
      <c r="J53" s="26">
        <f t="shared" ca="1" si="10"/>
        <v>-37.28</v>
      </c>
      <c r="K53" s="26">
        <f t="shared" ca="1" si="10"/>
        <v>-32.6</v>
      </c>
      <c r="L53" s="26">
        <f t="shared" ca="1" si="10"/>
        <v>-28.48</v>
      </c>
      <c r="M53" s="26">
        <f t="shared" ca="1" si="10"/>
        <v>-25.41</v>
      </c>
      <c r="N53" s="26">
        <f t="shared" ca="1" si="10"/>
        <v>-26.73</v>
      </c>
      <c r="O53" s="26">
        <f t="shared" ca="1" si="10"/>
        <v>-31.78</v>
      </c>
      <c r="P53" s="26">
        <f t="shared" ca="1" si="11"/>
        <v>-36.28</v>
      </c>
      <c r="Q53" s="26">
        <f t="shared" ca="1" si="11"/>
        <v>-40.049999999999997</v>
      </c>
      <c r="R53" s="26">
        <f t="shared" ca="1" si="11"/>
        <v>-40.86</v>
      </c>
      <c r="S53" s="26">
        <f t="shared" ca="1" si="11"/>
        <v>-41.61</v>
      </c>
      <c r="T53" s="26">
        <f t="shared" ca="1" si="11"/>
        <v>-42.31</v>
      </c>
      <c r="U53" s="26">
        <f t="shared" ca="1" si="11"/>
        <v>-42.94</v>
      </c>
      <c r="V53" s="26">
        <f t="shared" ca="1" si="11"/>
        <v>-44.86</v>
      </c>
      <c r="W53" s="26">
        <f t="shared" ca="1" si="11"/>
        <v>-45.72</v>
      </c>
      <c r="X53" s="26">
        <f t="shared" ca="1" si="11"/>
        <v>-45.76</v>
      </c>
      <c r="Y53" s="26">
        <f t="shared" ca="1" si="13"/>
        <v>-45.74</v>
      </c>
      <c r="Z53" s="26">
        <f t="shared" ca="1" si="13"/>
        <v>-45.64</v>
      </c>
      <c r="AA53" s="26">
        <f t="shared" ca="1" si="13"/>
        <v>-45.47</v>
      </c>
      <c r="AB53" s="26">
        <f t="shared" ca="1" si="13"/>
        <v>0</v>
      </c>
      <c r="AC53" s="26">
        <f t="shared" ca="1" si="13"/>
        <v>0</v>
      </c>
      <c r="AD53" s="26">
        <f t="shared" ca="1" si="13"/>
        <v>0</v>
      </c>
      <c r="AE53" s="26">
        <f t="shared" ca="1" si="13"/>
        <v>0</v>
      </c>
      <c r="AF53" s="26">
        <f t="shared" ca="1" si="13"/>
        <v>0</v>
      </c>
      <c r="AG53" s="26">
        <f t="shared" ca="1" si="13"/>
        <v>0</v>
      </c>
      <c r="AH53" s="26">
        <f t="shared" ca="1" si="13"/>
        <v>0</v>
      </c>
      <c r="AI53" s="26">
        <f t="shared" ca="1" si="13"/>
        <v>0</v>
      </c>
      <c r="AJ53" s="26">
        <f t="shared" ca="1" si="13"/>
        <v>0</v>
      </c>
      <c r="AK53" s="26">
        <f t="shared" ca="1" si="13"/>
        <v>0</v>
      </c>
      <c r="AL53" s="26">
        <f t="shared" ca="1" si="13"/>
        <v>0</v>
      </c>
    </row>
    <row r="54" spans="1:38" ht="21" hidden="1" customHeight="1" outlineLevel="1" thickBot="1" x14ac:dyDescent="0.4">
      <c r="A54" s="8">
        <f t="shared" si="9"/>
        <v>0</v>
      </c>
      <c r="B54" s="8">
        <f t="shared" si="9"/>
        <v>0</v>
      </c>
      <c r="C54" s="8">
        <f t="shared" si="9"/>
        <v>1</v>
      </c>
      <c r="D54" s="8">
        <f t="shared" si="9"/>
        <v>0</v>
      </c>
      <c r="E54" s="9" t="str">
        <f t="shared" si="9"/>
        <v>*Ge[c]</v>
      </c>
      <c r="F54" s="26">
        <f t="shared" ca="1" si="10"/>
        <v>-15.35</v>
      </c>
      <c r="G54" s="26">
        <f t="shared" ca="1" si="10"/>
        <v>-14.36</v>
      </c>
      <c r="H54" s="26">
        <f t="shared" ca="1" si="10"/>
        <v>-12.3</v>
      </c>
      <c r="I54" s="26">
        <f t="shared" ca="1" si="10"/>
        <v>-10.01</v>
      </c>
      <c r="J54" s="26">
        <f t="shared" ca="1" si="10"/>
        <v>-8.0210000000000008</v>
      </c>
      <c r="K54" s="26">
        <f t="shared" ca="1" si="10"/>
        <v>-6.28</v>
      </c>
      <c r="L54" s="26">
        <f t="shared" ca="1" si="10"/>
        <v>-4.7359999999999998</v>
      </c>
      <c r="M54" s="26">
        <f t="shared" ca="1" si="10"/>
        <v>-4.141</v>
      </c>
      <c r="N54" s="26">
        <f t="shared" ca="1" si="10"/>
        <v>-4.2229999999999999</v>
      </c>
      <c r="O54" s="26">
        <f t="shared" ca="1" si="10"/>
        <v>-4.5529999999999999</v>
      </c>
      <c r="P54" s="26">
        <f t="shared" ca="1" si="11"/>
        <v>-4.8730000000000002</v>
      </c>
      <c r="Q54" s="26">
        <f t="shared" ca="1" si="11"/>
        <v>-5.1749999999999998</v>
      </c>
      <c r="R54" s="26">
        <f t="shared" ca="1" si="11"/>
        <v>-5.2469999999999999</v>
      </c>
      <c r="S54" s="26">
        <f t="shared" ca="1" si="11"/>
        <v>-5.3179999999999996</v>
      </c>
      <c r="T54" s="26">
        <f t="shared" ca="1" si="11"/>
        <v>-5.3890000000000002</v>
      </c>
      <c r="U54" s="26">
        <f t="shared" ca="1" si="11"/>
        <v>-5.4580000000000002</v>
      </c>
      <c r="V54" s="26">
        <f t="shared" ca="1" si="11"/>
        <v>-5.7869999999999999</v>
      </c>
      <c r="W54" s="26">
        <f t="shared" ca="1" si="11"/>
        <v>-6.3879999999999999</v>
      </c>
      <c r="X54" s="26">
        <f t="shared" ca="1" si="11"/>
        <v>-6.5250000000000004</v>
      </c>
      <c r="Y54" s="26">
        <f t="shared" ca="1" si="13"/>
        <v>-6.6580000000000004</v>
      </c>
      <c r="Z54" s="26">
        <f t="shared" ca="1" si="13"/>
        <v>-6.7869999999999999</v>
      </c>
      <c r="AA54" s="26">
        <f t="shared" ca="1" si="13"/>
        <v>-6.9109999999999996</v>
      </c>
      <c r="AB54" s="26">
        <f t="shared" ca="1" si="13"/>
        <v>0</v>
      </c>
      <c r="AC54" s="26">
        <f t="shared" ca="1" si="13"/>
        <v>0</v>
      </c>
      <c r="AD54" s="26">
        <f t="shared" ca="1" si="13"/>
        <v>0</v>
      </c>
      <c r="AE54" s="26">
        <f t="shared" ca="1" si="13"/>
        <v>0</v>
      </c>
      <c r="AF54" s="26">
        <f t="shared" ca="1" si="13"/>
        <v>0</v>
      </c>
      <c r="AG54" s="26">
        <f t="shared" ca="1" si="13"/>
        <v>0</v>
      </c>
      <c r="AH54" s="26">
        <f t="shared" ca="1" si="13"/>
        <v>0</v>
      </c>
      <c r="AI54" s="26">
        <f t="shared" ca="1" si="13"/>
        <v>0</v>
      </c>
      <c r="AJ54" s="26">
        <f t="shared" ca="1" si="13"/>
        <v>0</v>
      </c>
      <c r="AK54" s="26">
        <f t="shared" ca="1" si="13"/>
        <v>0</v>
      </c>
      <c r="AL54" s="26">
        <f t="shared" ca="1" si="13"/>
        <v>0</v>
      </c>
    </row>
    <row r="55" spans="1:38" ht="21" hidden="1" customHeight="1" outlineLevel="1" thickBot="1" x14ac:dyDescent="0.4">
      <c r="A55" s="8">
        <f t="shared" si="9"/>
        <v>0</v>
      </c>
      <c r="B55" s="8">
        <f t="shared" si="9"/>
        <v>1</v>
      </c>
      <c r="C55" s="8">
        <f t="shared" si="9"/>
        <v>0</v>
      </c>
      <c r="D55" s="8">
        <f t="shared" si="9"/>
        <v>0</v>
      </c>
      <c r="E55" s="9" t="str">
        <f t="shared" si="9"/>
        <v>*Se[m]</v>
      </c>
      <c r="F55" s="26">
        <f t="shared" ca="1" si="10"/>
        <v>-21.89</v>
      </c>
      <c r="G55" s="26">
        <f t="shared" ca="1" si="10"/>
        <v>-20.11</v>
      </c>
      <c r="H55" s="26">
        <f t="shared" ca="1" si="10"/>
        <v>-19.97</v>
      </c>
      <c r="I55" s="26">
        <f t="shared" ca="1" si="10"/>
        <v>-20.47</v>
      </c>
      <c r="J55" s="26">
        <f t="shared" ca="1" si="10"/>
        <v>-20.98</v>
      </c>
      <c r="K55" s="26">
        <f t="shared" ca="1" si="10"/>
        <v>-21.49</v>
      </c>
      <c r="L55" s="26">
        <f t="shared" ca="1" si="10"/>
        <v>-22.01</v>
      </c>
      <c r="M55" s="26">
        <f t="shared" ca="1" si="10"/>
        <v>-22.51</v>
      </c>
      <c r="N55" s="26">
        <f t="shared" ca="1" si="10"/>
        <v>-23.02</v>
      </c>
      <c r="O55" s="26">
        <f t="shared" ca="1" si="10"/>
        <v>-24.96</v>
      </c>
      <c r="P55" s="26">
        <f t="shared" ca="1" si="11"/>
        <v>-26.77</v>
      </c>
      <c r="Q55" s="26">
        <f t="shared" ca="1" si="11"/>
        <v>-28.49</v>
      </c>
      <c r="R55" s="26">
        <f t="shared" ca="1" si="11"/>
        <v>-28.9</v>
      </c>
      <c r="S55" s="26">
        <f t="shared" ca="1" si="11"/>
        <v>-29.31</v>
      </c>
      <c r="T55" s="26">
        <f t="shared" ca="1" si="11"/>
        <v>-29.72</v>
      </c>
      <c r="U55" s="26">
        <f t="shared" ca="1" si="11"/>
        <v>-30.12</v>
      </c>
      <c r="V55" s="26">
        <f t="shared" ca="1" si="11"/>
        <v>-31.69</v>
      </c>
      <c r="W55" s="26">
        <f t="shared" ca="1" si="11"/>
        <v>-33.22</v>
      </c>
      <c r="X55" s="26">
        <f t="shared" ca="1" si="11"/>
        <v>-33.590000000000003</v>
      </c>
      <c r="Y55" s="26">
        <f t="shared" ca="1" si="13"/>
        <v>-33.97</v>
      </c>
      <c r="Z55" s="26">
        <f t="shared" ca="1" si="13"/>
        <v>-34.340000000000003</v>
      </c>
      <c r="AA55" s="26">
        <f t="shared" ca="1" si="13"/>
        <v>-34.71</v>
      </c>
      <c r="AB55" s="26">
        <f t="shared" ca="1" si="13"/>
        <v>0</v>
      </c>
      <c r="AC55" s="26">
        <f t="shared" ca="1" si="13"/>
        <v>0</v>
      </c>
      <c r="AD55" s="26">
        <f t="shared" ca="1" si="13"/>
        <v>0</v>
      </c>
      <c r="AE55" s="26">
        <f t="shared" ca="1" si="13"/>
        <v>0</v>
      </c>
      <c r="AF55" s="26">
        <f t="shared" ca="1" si="13"/>
        <v>0</v>
      </c>
      <c r="AG55" s="26">
        <f t="shared" ca="1" si="13"/>
        <v>0</v>
      </c>
      <c r="AH55" s="26">
        <f t="shared" ca="1" si="13"/>
        <v>0</v>
      </c>
      <c r="AI55" s="26">
        <f t="shared" ca="1" si="13"/>
        <v>0</v>
      </c>
      <c r="AJ55" s="26">
        <f t="shared" ca="1" si="13"/>
        <v>0</v>
      </c>
      <c r="AK55" s="26">
        <f t="shared" ca="1" si="13"/>
        <v>0</v>
      </c>
      <c r="AL55" s="26">
        <f t="shared" ca="1" si="13"/>
        <v>0</v>
      </c>
    </row>
    <row r="56" spans="1:38" ht="21" hidden="1" customHeight="1" outlineLevel="1" thickBot="1" x14ac:dyDescent="0.4">
      <c r="A56" s="8">
        <f t="shared" si="9"/>
        <v>0</v>
      </c>
      <c r="B56" s="8">
        <f t="shared" si="9"/>
        <v>2</v>
      </c>
      <c r="C56" s="8">
        <f t="shared" si="9"/>
        <v>1</v>
      </c>
      <c r="D56" s="8">
        <f t="shared" si="9"/>
        <v>0</v>
      </c>
      <c r="E56" s="9" t="str">
        <f t="shared" si="9"/>
        <v>*GeSe2</v>
      </c>
      <c r="F56" s="26">
        <f t="shared" ca="1" si="10"/>
        <v>-59.13</v>
      </c>
      <c r="G56" s="26">
        <f t="shared" ca="1" si="10"/>
        <v>-54.58</v>
      </c>
      <c r="H56" s="26">
        <f t="shared" ca="1" si="10"/>
        <v>-52.239999999999995</v>
      </c>
      <c r="I56" s="26">
        <f t="shared" ca="1" si="10"/>
        <v>-50.949999999999996</v>
      </c>
      <c r="J56" s="26">
        <f t="shared" ca="1" si="10"/>
        <v>-49.981000000000002</v>
      </c>
      <c r="K56" s="26">
        <f t="shared" ca="1" si="10"/>
        <v>-49.26</v>
      </c>
      <c r="L56" s="26">
        <f t="shared" ca="1" si="10"/>
        <v>-48.756</v>
      </c>
      <c r="M56" s="26">
        <f t="shared" ca="1" si="10"/>
        <v>-49.161000000000001</v>
      </c>
      <c r="N56" s="26">
        <f t="shared" ca="1" si="10"/>
        <v>-50.262999999999998</v>
      </c>
      <c r="O56" s="26">
        <f t="shared" ca="1" si="10"/>
        <v>-54.472999999999999</v>
      </c>
      <c r="P56" s="26">
        <f t="shared" ca="1" si="11"/>
        <v>-58.412999999999997</v>
      </c>
      <c r="Q56" s="26">
        <f t="shared" ca="1" si="11"/>
        <v>-62.154999999999994</v>
      </c>
      <c r="R56" s="26">
        <f t="shared" ca="1" si="11"/>
        <v>-63.046999999999997</v>
      </c>
      <c r="S56" s="26">
        <f t="shared" ca="1" si="11"/>
        <v>-63.937999999999995</v>
      </c>
      <c r="T56" s="26">
        <f t="shared" ca="1" si="11"/>
        <v>-64.828999999999994</v>
      </c>
      <c r="U56" s="26">
        <f t="shared" ca="1" si="11"/>
        <v>-65.698000000000008</v>
      </c>
      <c r="V56" s="26">
        <f t="shared" ca="1" si="11"/>
        <v>-69.167000000000002</v>
      </c>
      <c r="W56" s="26">
        <f t="shared" ca="1" si="11"/>
        <v>-72.828000000000003</v>
      </c>
      <c r="X56" s="26">
        <f t="shared" ca="1" si="11"/>
        <v>-73.705000000000013</v>
      </c>
      <c r="Y56" s="26">
        <f t="shared" ca="1" si="13"/>
        <v>-74.597999999999999</v>
      </c>
      <c r="Z56" s="26">
        <f t="shared" ca="1" si="13"/>
        <v>-75.467000000000013</v>
      </c>
      <c r="AA56" s="26">
        <f t="shared" ca="1" si="13"/>
        <v>-76.331000000000003</v>
      </c>
      <c r="AB56" s="26">
        <f t="shared" ca="1" si="13"/>
        <v>0</v>
      </c>
      <c r="AC56" s="26">
        <f t="shared" ca="1" si="13"/>
        <v>0</v>
      </c>
      <c r="AD56" s="26">
        <f t="shared" ca="1" si="13"/>
        <v>0</v>
      </c>
      <c r="AE56" s="26">
        <f t="shared" ca="1" si="13"/>
        <v>0</v>
      </c>
      <c r="AF56" s="26">
        <f t="shared" ca="1" si="13"/>
        <v>0</v>
      </c>
      <c r="AG56" s="26">
        <f t="shared" ca="1" si="13"/>
        <v>0</v>
      </c>
      <c r="AH56" s="26">
        <f t="shared" ca="1" si="13"/>
        <v>0</v>
      </c>
      <c r="AI56" s="26">
        <f t="shared" ca="1" si="13"/>
        <v>0</v>
      </c>
      <c r="AJ56" s="26">
        <f t="shared" ca="1" si="13"/>
        <v>0</v>
      </c>
      <c r="AK56" s="26">
        <f t="shared" ca="1" si="13"/>
        <v>0</v>
      </c>
      <c r="AL56" s="26">
        <f t="shared" ca="1" si="13"/>
        <v>0</v>
      </c>
    </row>
    <row r="57" spans="1:38" ht="21" hidden="1" customHeight="1" outlineLevel="1" thickBot="1" x14ac:dyDescent="0.4">
      <c r="A57" s="8">
        <f t="shared" si="9"/>
        <v>0</v>
      </c>
      <c r="B57" s="8">
        <f t="shared" si="9"/>
        <v>3</v>
      </c>
      <c r="C57" s="8">
        <f t="shared" si="9"/>
        <v>0</v>
      </c>
      <c r="D57" s="8">
        <f t="shared" si="9"/>
        <v>2</v>
      </c>
      <c r="E57" s="9" t="str">
        <f t="shared" si="9"/>
        <v>*Ga2Se3</v>
      </c>
      <c r="F57" s="26">
        <f t="shared" ca="1" si="10"/>
        <v>-187.65</v>
      </c>
      <c r="G57" s="26">
        <f t="shared" ca="1" si="10"/>
        <v>-171.11</v>
      </c>
      <c r="H57" s="26">
        <f t="shared" ca="1" si="10"/>
        <v>-157.75</v>
      </c>
      <c r="I57" s="26">
        <f t="shared" ca="1" si="10"/>
        <v>-146.72999999999999</v>
      </c>
      <c r="J57" s="26">
        <f t="shared" ca="1" si="10"/>
        <v>-137.5</v>
      </c>
      <c r="K57" s="26">
        <f t="shared" ca="1" si="10"/>
        <v>-129.67000000000002</v>
      </c>
      <c r="L57" s="26">
        <f t="shared" ca="1" si="10"/>
        <v>-122.99000000000001</v>
      </c>
      <c r="M57" s="26">
        <f t="shared" ca="1" si="10"/>
        <v>-118.35</v>
      </c>
      <c r="N57" s="26">
        <f t="shared" ca="1" si="10"/>
        <v>-122.52000000000001</v>
      </c>
      <c r="O57" s="26">
        <f t="shared" ca="1" si="10"/>
        <v>-138.44</v>
      </c>
      <c r="P57" s="26">
        <f t="shared" ca="1" si="11"/>
        <v>-152.87</v>
      </c>
      <c r="Q57" s="26">
        <f t="shared" ca="1" si="11"/>
        <v>-165.57</v>
      </c>
      <c r="R57" s="26">
        <f t="shared" ca="1" si="11"/>
        <v>-168.42</v>
      </c>
      <c r="S57" s="26">
        <f t="shared" ca="1" si="11"/>
        <v>-171.14999999999998</v>
      </c>
      <c r="T57" s="26">
        <f t="shared" ca="1" si="11"/>
        <v>-173.78</v>
      </c>
      <c r="U57" s="26">
        <f t="shared" ca="1" si="11"/>
        <v>-176.24</v>
      </c>
      <c r="V57" s="26">
        <f t="shared" ca="1" si="11"/>
        <v>-184.79000000000002</v>
      </c>
      <c r="W57" s="26">
        <f t="shared" ca="1" si="11"/>
        <v>-191.1</v>
      </c>
      <c r="X57" s="26">
        <f t="shared" ca="1" si="11"/>
        <v>-192.29000000000002</v>
      </c>
      <c r="Y57" s="26">
        <f t="shared" ca="1" si="13"/>
        <v>-193.39</v>
      </c>
      <c r="Z57" s="26">
        <f t="shared" ca="1" si="13"/>
        <v>-194.3</v>
      </c>
      <c r="AA57" s="26">
        <f t="shared" ca="1" si="13"/>
        <v>-195.07</v>
      </c>
      <c r="AB57" s="26">
        <f t="shared" ca="1" si="13"/>
        <v>0</v>
      </c>
      <c r="AC57" s="26">
        <f t="shared" ca="1" si="13"/>
        <v>0</v>
      </c>
      <c r="AD57" s="26">
        <f t="shared" ca="1" si="13"/>
        <v>0</v>
      </c>
      <c r="AE57" s="26">
        <f t="shared" ca="1" si="13"/>
        <v>0</v>
      </c>
      <c r="AF57" s="26">
        <f t="shared" ca="1" si="13"/>
        <v>0</v>
      </c>
      <c r="AG57" s="26">
        <f t="shared" ca="1" si="13"/>
        <v>0</v>
      </c>
      <c r="AH57" s="26">
        <f t="shared" ca="1" si="13"/>
        <v>0</v>
      </c>
      <c r="AI57" s="26">
        <f t="shared" ca="1" si="13"/>
        <v>0</v>
      </c>
      <c r="AJ57" s="26">
        <f t="shared" ca="1" si="13"/>
        <v>0</v>
      </c>
      <c r="AK57" s="26">
        <f t="shared" ca="1" si="13"/>
        <v>0</v>
      </c>
      <c r="AL57" s="26">
        <f t="shared" ca="1" si="13"/>
        <v>0</v>
      </c>
    </row>
    <row r="58" spans="1:38" ht="21" hidden="1" customHeight="1" outlineLevel="1" thickBot="1" x14ac:dyDescent="0.4">
      <c r="A58" s="8">
        <f t="shared" si="9"/>
        <v>0</v>
      </c>
      <c r="B58" s="8">
        <f t="shared" si="9"/>
        <v>0</v>
      </c>
      <c r="C58" s="8">
        <f t="shared" si="9"/>
        <v>2</v>
      </c>
      <c r="D58" s="8">
        <f t="shared" si="9"/>
        <v>0</v>
      </c>
      <c r="E58" s="9" t="str">
        <f t="shared" si="9"/>
        <v>Ge2</v>
      </c>
      <c r="F58" s="26">
        <f t="shared" ca="1" si="10"/>
        <v>-30.7</v>
      </c>
      <c r="G58" s="26">
        <f t="shared" ca="1" si="10"/>
        <v>-28.72</v>
      </c>
      <c r="H58" s="26">
        <f t="shared" ca="1" si="10"/>
        <v>-24.6</v>
      </c>
      <c r="I58" s="26">
        <f t="shared" ca="1" si="10"/>
        <v>-20.02</v>
      </c>
      <c r="J58" s="26">
        <f t="shared" ca="1" si="10"/>
        <v>-16.042000000000002</v>
      </c>
      <c r="K58" s="26">
        <f t="shared" ca="1" si="10"/>
        <v>-12.56</v>
      </c>
      <c r="L58" s="26">
        <f t="shared" ca="1" si="10"/>
        <v>-9.4719999999999995</v>
      </c>
      <c r="M58" s="26">
        <f t="shared" ca="1" si="10"/>
        <v>-8.282</v>
      </c>
      <c r="N58" s="26">
        <f t="shared" ca="1" si="10"/>
        <v>-8.4459999999999997</v>
      </c>
      <c r="O58" s="26">
        <f t="shared" ca="1" si="10"/>
        <v>-9.1059999999999999</v>
      </c>
      <c r="P58" s="26">
        <f t="shared" ca="1" si="11"/>
        <v>-9.7460000000000004</v>
      </c>
      <c r="Q58" s="26">
        <f t="shared" ca="1" si="11"/>
        <v>-10.35</v>
      </c>
      <c r="R58" s="26">
        <f t="shared" ca="1" si="11"/>
        <v>-10.494</v>
      </c>
      <c r="S58" s="26">
        <f t="shared" ca="1" si="11"/>
        <v>-10.635999999999999</v>
      </c>
      <c r="T58" s="26">
        <f t="shared" ca="1" si="11"/>
        <v>-10.778</v>
      </c>
      <c r="U58" s="26">
        <f t="shared" ca="1" si="11"/>
        <v>-10.916</v>
      </c>
      <c r="V58" s="26">
        <f t="shared" ca="1" si="11"/>
        <v>-11.574</v>
      </c>
      <c r="W58" s="26">
        <f t="shared" ca="1" si="11"/>
        <v>-12.776</v>
      </c>
      <c r="X58" s="26">
        <f t="shared" ca="1" si="11"/>
        <v>-13.05</v>
      </c>
      <c r="Y58" s="26">
        <f t="shared" ca="1" si="13"/>
        <v>-13.316000000000001</v>
      </c>
      <c r="Z58" s="26">
        <f t="shared" ca="1" si="13"/>
        <v>-13.574</v>
      </c>
      <c r="AA58" s="26">
        <f t="shared" ca="1" si="13"/>
        <v>-13.821999999999999</v>
      </c>
      <c r="AB58" s="26">
        <f t="shared" ca="1" si="13"/>
        <v>0</v>
      </c>
      <c r="AC58" s="26">
        <f t="shared" ca="1" si="13"/>
        <v>0</v>
      </c>
      <c r="AD58" s="26">
        <f t="shared" ca="1" si="13"/>
        <v>0</v>
      </c>
      <c r="AE58" s="26">
        <f t="shared" ca="1" si="13"/>
        <v>0</v>
      </c>
      <c r="AF58" s="26">
        <f t="shared" ca="1" si="13"/>
        <v>0</v>
      </c>
      <c r="AG58" s="26">
        <f t="shared" ca="1" si="13"/>
        <v>0</v>
      </c>
      <c r="AH58" s="26">
        <f t="shared" ca="1" si="13"/>
        <v>0</v>
      </c>
      <c r="AI58" s="26">
        <f t="shared" ca="1" si="13"/>
        <v>0</v>
      </c>
      <c r="AJ58" s="26">
        <f t="shared" ca="1" si="13"/>
        <v>0</v>
      </c>
      <c r="AK58" s="26">
        <f t="shared" ca="1" si="13"/>
        <v>0</v>
      </c>
      <c r="AL58" s="26">
        <f t="shared" ca="1" si="13"/>
        <v>0</v>
      </c>
    </row>
    <row r="59" spans="1:38" ht="21" hidden="1" customHeight="1" outlineLevel="1" thickBot="1" x14ac:dyDescent="0.4">
      <c r="A59" s="8">
        <f t="shared" si="9"/>
        <v>0</v>
      </c>
      <c r="B59" s="8">
        <f t="shared" si="9"/>
        <v>0</v>
      </c>
      <c r="C59" s="8">
        <f t="shared" si="9"/>
        <v>1</v>
      </c>
      <c r="D59" s="8">
        <f t="shared" si="9"/>
        <v>0</v>
      </c>
      <c r="E59" s="9" t="str">
        <f t="shared" si="9"/>
        <v>Ge</v>
      </c>
      <c r="F59" s="26">
        <f t="shared" ca="1" si="10"/>
        <v>-15.35</v>
      </c>
      <c r="G59" s="26">
        <f t="shared" ca="1" si="10"/>
        <v>-14.36</v>
      </c>
      <c r="H59" s="26">
        <f t="shared" ca="1" si="10"/>
        <v>-12.3</v>
      </c>
      <c r="I59" s="26">
        <f t="shared" ca="1" si="10"/>
        <v>-10.01</v>
      </c>
      <c r="J59" s="26">
        <f t="shared" ca="1" si="10"/>
        <v>-8.0210000000000008</v>
      </c>
      <c r="K59" s="26">
        <f t="shared" ca="1" si="10"/>
        <v>-6.28</v>
      </c>
      <c r="L59" s="26">
        <f t="shared" ca="1" si="10"/>
        <v>-4.7359999999999998</v>
      </c>
      <c r="M59" s="26">
        <f t="shared" ca="1" si="10"/>
        <v>-4.141</v>
      </c>
      <c r="N59" s="26">
        <f t="shared" ca="1" si="10"/>
        <v>-4.2229999999999999</v>
      </c>
      <c r="O59" s="26">
        <f t="shared" ca="1" si="10"/>
        <v>-4.5529999999999999</v>
      </c>
      <c r="P59" s="26">
        <f t="shared" ca="1" si="11"/>
        <v>-4.8730000000000002</v>
      </c>
      <c r="Q59" s="26">
        <f t="shared" ca="1" si="11"/>
        <v>-5.1749999999999998</v>
      </c>
      <c r="R59" s="26">
        <f t="shared" ca="1" si="11"/>
        <v>-5.2469999999999999</v>
      </c>
      <c r="S59" s="26">
        <f t="shared" ca="1" si="11"/>
        <v>-5.3179999999999996</v>
      </c>
      <c r="T59" s="26">
        <f t="shared" ca="1" si="11"/>
        <v>-5.3890000000000002</v>
      </c>
      <c r="U59" s="26">
        <f t="shared" ca="1" si="11"/>
        <v>-5.4580000000000002</v>
      </c>
      <c r="V59" s="26">
        <f t="shared" ca="1" si="11"/>
        <v>-5.7869999999999999</v>
      </c>
      <c r="W59" s="26">
        <f t="shared" ca="1" si="11"/>
        <v>-6.3879999999999999</v>
      </c>
      <c r="X59" s="26">
        <f t="shared" ca="1" si="11"/>
        <v>-6.5250000000000004</v>
      </c>
      <c r="Y59" s="26">
        <f t="shared" ca="1" si="13"/>
        <v>-6.6580000000000004</v>
      </c>
      <c r="Z59" s="26">
        <f t="shared" ca="1" si="13"/>
        <v>-6.7869999999999999</v>
      </c>
      <c r="AA59" s="26">
        <f t="shared" ca="1" si="13"/>
        <v>-6.9109999999999996</v>
      </c>
      <c r="AB59" s="26">
        <f t="shared" ca="1" si="13"/>
        <v>0</v>
      </c>
      <c r="AC59" s="26">
        <f t="shared" ca="1" si="13"/>
        <v>0</v>
      </c>
      <c r="AD59" s="26">
        <f t="shared" ca="1" si="13"/>
        <v>0</v>
      </c>
      <c r="AE59" s="26">
        <f t="shared" ca="1" si="13"/>
        <v>0</v>
      </c>
      <c r="AF59" s="26">
        <f t="shared" ca="1" si="13"/>
        <v>0</v>
      </c>
      <c r="AG59" s="26">
        <f t="shared" ca="1" si="13"/>
        <v>0</v>
      </c>
      <c r="AH59" s="26">
        <f t="shared" ca="1" si="13"/>
        <v>0</v>
      </c>
      <c r="AI59" s="26">
        <f t="shared" ca="1" si="13"/>
        <v>0</v>
      </c>
      <c r="AJ59" s="26">
        <f t="shared" ca="1" si="13"/>
        <v>0</v>
      </c>
      <c r="AK59" s="26">
        <f t="shared" ca="1" si="13"/>
        <v>0</v>
      </c>
      <c r="AL59" s="26">
        <f t="shared" ca="1" si="13"/>
        <v>0</v>
      </c>
    </row>
    <row r="60" spans="1:38" ht="21" hidden="1" customHeight="1" outlineLevel="1" thickBot="1" x14ac:dyDescent="0.4">
      <c r="A60" s="8">
        <f t="shared" si="9"/>
        <v>1</v>
      </c>
      <c r="B60" s="8">
        <f t="shared" si="9"/>
        <v>0</v>
      </c>
      <c r="C60" s="8">
        <f t="shared" si="9"/>
        <v>0</v>
      </c>
      <c r="D60" s="8">
        <f t="shared" si="9"/>
        <v>0</v>
      </c>
      <c r="E60" s="9" t="str">
        <f t="shared" si="9"/>
        <v>Ar</v>
      </c>
      <c r="F60" s="26">
        <f t="shared" ref="F60:O69" ca="1" si="14">$A60*H.Ar + $B60*H.Se + $C60*H.Ge + $D60*H.Ga</f>
        <v>-19.02</v>
      </c>
      <c r="G60" s="26">
        <f t="shared" ca="1" si="14"/>
        <v>-19.03</v>
      </c>
      <c r="H60" s="26">
        <f t="shared" ca="1" si="14"/>
        <v>-19.059999999999999</v>
      </c>
      <c r="I60" s="26">
        <f t="shared" ca="1" si="14"/>
        <v>-19.11</v>
      </c>
      <c r="J60" s="26">
        <f t="shared" ca="1" si="14"/>
        <v>-19.170000000000002</v>
      </c>
      <c r="K60" s="26">
        <f t="shared" ca="1" si="14"/>
        <v>-19.23</v>
      </c>
      <c r="L60" s="26">
        <f t="shared" ca="1" si="14"/>
        <v>-19.3</v>
      </c>
      <c r="M60" s="26">
        <f t="shared" ca="1" si="14"/>
        <v>-19.07</v>
      </c>
      <c r="N60" s="26">
        <f t="shared" ca="1" si="14"/>
        <v>-19.03</v>
      </c>
      <c r="O60" s="26">
        <f t="shared" ca="1" si="14"/>
        <v>-19.309999999999999</v>
      </c>
      <c r="P60" s="26">
        <f t="shared" ref="P60:AE69" ca="1" si="15">$A60*H.Ar + $B60*H.Se + $C60*H.Ge + $D60*H.Ga</f>
        <v>-19.57</v>
      </c>
      <c r="Q60" s="26">
        <f t="shared" ca="1" si="15"/>
        <v>-19.82</v>
      </c>
      <c r="R60" s="26">
        <f t="shared" ca="1" si="15"/>
        <v>-19.88</v>
      </c>
      <c r="S60" s="26">
        <f t="shared" ca="1" si="15"/>
        <v>-19.940000000000001</v>
      </c>
      <c r="T60" s="26">
        <f t="shared" ca="1" si="15"/>
        <v>-20</v>
      </c>
      <c r="U60" s="26">
        <f t="shared" ca="1" si="15"/>
        <v>-20.05</v>
      </c>
      <c r="V60" s="26">
        <f t="shared" ca="1" si="15"/>
        <v>-20.260000000000002</v>
      </c>
      <c r="W60" s="26">
        <f t="shared" ca="1" si="15"/>
        <v>-20.46</v>
      </c>
      <c r="X60" s="26">
        <f t="shared" ca="1" si="15"/>
        <v>-20.51</v>
      </c>
      <c r="Y60" s="26">
        <f t="shared" ca="1" si="15"/>
        <v>-20.56</v>
      </c>
      <c r="Z60" s="26">
        <f t="shared" ca="1" si="15"/>
        <v>-20.6</v>
      </c>
      <c r="AA60" s="26">
        <f t="shared" ca="1" si="15"/>
        <v>-20.65</v>
      </c>
      <c r="AB60" s="26">
        <f t="shared" ca="1" si="15"/>
        <v>0</v>
      </c>
      <c r="AC60" s="26">
        <f t="shared" ca="1" si="15"/>
        <v>0</v>
      </c>
      <c r="AD60" s="26">
        <f t="shared" ca="1" si="15"/>
        <v>0</v>
      </c>
      <c r="AE60" s="26">
        <f t="shared" ca="1" si="15"/>
        <v>0</v>
      </c>
      <c r="AF60" s="26">
        <f t="shared" ca="1" si="13"/>
        <v>0</v>
      </c>
      <c r="AG60" s="26">
        <f t="shared" ca="1" si="13"/>
        <v>0</v>
      </c>
      <c r="AH60" s="26">
        <f t="shared" ca="1" si="13"/>
        <v>0</v>
      </c>
      <c r="AI60" s="26">
        <f t="shared" ca="1" si="13"/>
        <v>0</v>
      </c>
      <c r="AJ60" s="26">
        <f t="shared" ca="1" si="13"/>
        <v>0</v>
      </c>
      <c r="AK60" s="26">
        <f t="shared" ca="1" si="13"/>
        <v>0</v>
      </c>
      <c r="AL60" s="26">
        <f t="shared" ca="1" si="13"/>
        <v>0</v>
      </c>
    </row>
    <row r="61" spans="1:38" ht="21" hidden="1" customHeight="1" outlineLevel="1" thickBot="1" x14ac:dyDescent="0.4">
      <c r="A61" s="8">
        <f t="shared" si="9"/>
        <v>0</v>
      </c>
      <c r="B61" s="8">
        <f t="shared" si="9"/>
        <v>0</v>
      </c>
      <c r="C61" s="8">
        <f t="shared" si="9"/>
        <v>1</v>
      </c>
      <c r="D61" s="8">
        <f t="shared" si="9"/>
        <v>0</v>
      </c>
      <c r="E61" s="9" t="str">
        <f t="shared" si="9"/>
        <v>(l)Ge[l]</v>
      </c>
      <c r="F61" s="26">
        <f t="shared" ca="1" si="14"/>
        <v>-15.35</v>
      </c>
      <c r="G61" s="26">
        <f t="shared" ca="1" si="14"/>
        <v>-14.36</v>
      </c>
      <c r="H61" s="26">
        <f t="shared" ca="1" si="14"/>
        <v>-12.3</v>
      </c>
      <c r="I61" s="26">
        <f t="shared" ca="1" si="14"/>
        <v>-10.01</v>
      </c>
      <c r="J61" s="26">
        <f t="shared" ca="1" si="14"/>
        <v>-8.0210000000000008</v>
      </c>
      <c r="K61" s="26">
        <f t="shared" ca="1" si="14"/>
        <v>-6.28</v>
      </c>
      <c r="L61" s="26">
        <f t="shared" ca="1" si="14"/>
        <v>-4.7359999999999998</v>
      </c>
      <c r="M61" s="26">
        <f t="shared" ca="1" si="14"/>
        <v>-4.141</v>
      </c>
      <c r="N61" s="26">
        <f t="shared" ca="1" si="14"/>
        <v>-4.2229999999999999</v>
      </c>
      <c r="O61" s="26">
        <f t="shared" ca="1" si="14"/>
        <v>-4.5529999999999999</v>
      </c>
      <c r="P61" s="26">
        <f t="shared" ca="1" si="15"/>
        <v>-4.8730000000000002</v>
      </c>
      <c r="Q61" s="26">
        <f t="shared" ca="1" si="15"/>
        <v>-5.1749999999999998</v>
      </c>
      <c r="R61" s="26">
        <f t="shared" ca="1" si="15"/>
        <v>-5.2469999999999999</v>
      </c>
      <c r="S61" s="26">
        <f t="shared" ca="1" si="15"/>
        <v>-5.3179999999999996</v>
      </c>
      <c r="T61" s="26">
        <f t="shared" ca="1" si="15"/>
        <v>-5.3890000000000002</v>
      </c>
      <c r="U61" s="26">
        <f t="shared" ca="1" si="15"/>
        <v>-5.4580000000000002</v>
      </c>
      <c r="V61" s="26">
        <f t="shared" ca="1" si="15"/>
        <v>-5.7869999999999999</v>
      </c>
      <c r="W61" s="26">
        <f t="shared" ca="1" si="15"/>
        <v>-6.3879999999999999</v>
      </c>
      <c r="X61" s="26">
        <f t="shared" ca="1" si="15"/>
        <v>-6.5250000000000004</v>
      </c>
      <c r="Y61" s="26">
        <f t="shared" ca="1" si="13"/>
        <v>-6.6580000000000004</v>
      </c>
      <c r="Z61" s="26">
        <f t="shared" ca="1" si="13"/>
        <v>-6.7869999999999999</v>
      </c>
      <c r="AA61" s="26">
        <f t="shared" ca="1" si="13"/>
        <v>-6.9109999999999996</v>
      </c>
      <c r="AB61" s="26">
        <f t="shared" ca="1" si="13"/>
        <v>0</v>
      </c>
      <c r="AC61" s="26">
        <f t="shared" ca="1" si="13"/>
        <v>0</v>
      </c>
      <c r="AD61" s="26">
        <f t="shared" ca="1" si="13"/>
        <v>0</v>
      </c>
      <c r="AE61" s="26">
        <f t="shared" ca="1" si="13"/>
        <v>0</v>
      </c>
      <c r="AF61" s="26">
        <f t="shared" ca="1" si="13"/>
        <v>0</v>
      </c>
      <c r="AG61" s="26">
        <f t="shared" ca="1" si="13"/>
        <v>0</v>
      </c>
      <c r="AH61" s="26">
        <f t="shared" ca="1" si="13"/>
        <v>0</v>
      </c>
      <c r="AI61" s="26">
        <f t="shared" ca="1" si="13"/>
        <v>0</v>
      </c>
      <c r="AJ61" s="26">
        <f t="shared" ca="1" si="13"/>
        <v>0</v>
      </c>
      <c r="AK61" s="26">
        <f t="shared" ca="1" si="13"/>
        <v>0</v>
      </c>
      <c r="AL61" s="26">
        <f t="shared" ca="1" si="13"/>
        <v>0</v>
      </c>
    </row>
    <row r="62" spans="1:38" ht="21" hidden="1" customHeight="1" outlineLevel="1" thickBot="1" x14ac:dyDescent="0.4">
      <c r="A62" s="8">
        <f t="shared" si="9"/>
        <v>1</v>
      </c>
      <c r="B62" s="8">
        <f t="shared" si="9"/>
        <v>0</v>
      </c>
      <c r="C62" s="8">
        <f t="shared" si="9"/>
        <v>0</v>
      </c>
      <c r="D62" s="8">
        <f t="shared" si="9"/>
        <v>0</v>
      </c>
      <c r="E62" s="9" t="str">
        <f t="shared" si="9"/>
        <v>H (Ar)</v>
      </c>
      <c r="F62" s="26">
        <f t="shared" ca="1" si="14"/>
        <v>-19.02</v>
      </c>
      <c r="G62" s="26">
        <f t="shared" ca="1" si="14"/>
        <v>-19.03</v>
      </c>
      <c r="H62" s="26">
        <f t="shared" ca="1" si="14"/>
        <v>-19.059999999999999</v>
      </c>
      <c r="I62" s="26">
        <f t="shared" ca="1" si="14"/>
        <v>-19.11</v>
      </c>
      <c r="J62" s="26">
        <f t="shared" ca="1" si="14"/>
        <v>-19.170000000000002</v>
      </c>
      <c r="K62" s="26">
        <f t="shared" ca="1" si="14"/>
        <v>-19.23</v>
      </c>
      <c r="L62" s="26">
        <f t="shared" ca="1" si="14"/>
        <v>-19.3</v>
      </c>
      <c r="M62" s="26">
        <f t="shared" ca="1" si="14"/>
        <v>-19.07</v>
      </c>
      <c r="N62" s="26">
        <f t="shared" ca="1" si="14"/>
        <v>-19.03</v>
      </c>
      <c r="O62" s="26">
        <f t="shared" ca="1" si="14"/>
        <v>-19.309999999999999</v>
      </c>
      <c r="P62" s="26">
        <f t="shared" ca="1" si="15"/>
        <v>-19.57</v>
      </c>
      <c r="Q62" s="26">
        <f t="shared" ca="1" si="15"/>
        <v>-19.82</v>
      </c>
      <c r="R62" s="26">
        <f t="shared" ca="1" si="15"/>
        <v>-19.88</v>
      </c>
      <c r="S62" s="26">
        <f t="shared" ca="1" si="15"/>
        <v>-19.940000000000001</v>
      </c>
      <c r="T62" s="26">
        <f t="shared" ca="1" si="15"/>
        <v>-20</v>
      </c>
      <c r="U62" s="26">
        <f t="shared" ca="1" si="15"/>
        <v>-20.05</v>
      </c>
      <c r="V62" s="26">
        <f t="shared" ca="1" si="15"/>
        <v>-20.260000000000002</v>
      </c>
      <c r="W62" s="26">
        <f t="shared" ca="1" si="15"/>
        <v>-20.46</v>
      </c>
      <c r="X62" s="26">
        <f t="shared" ca="1" si="15"/>
        <v>-20.51</v>
      </c>
      <c r="Y62" s="26">
        <f t="shared" ca="1" si="13"/>
        <v>-20.56</v>
      </c>
      <c r="Z62" s="26">
        <f t="shared" ca="1" si="13"/>
        <v>-20.6</v>
      </c>
      <c r="AA62" s="26">
        <f t="shared" ca="1" si="13"/>
        <v>-20.65</v>
      </c>
      <c r="AB62" s="26">
        <f t="shared" ca="1" si="13"/>
        <v>0</v>
      </c>
      <c r="AC62" s="26">
        <f t="shared" ca="1" si="13"/>
        <v>0</v>
      </c>
      <c r="AD62" s="26">
        <f t="shared" ca="1" si="13"/>
        <v>0</v>
      </c>
      <c r="AE62" s="26">
        <f t="shared" ca="1" si="13"/>
        <v>0</v>
      </c>
      <c r="AF62" s="26">
        <f t="shared" ca="1" si="13"/>
        <v>0</v>
      </c>
      <c r="AG62" s="26">
        <f t="shared" ca="1" si="13"/>
        <v>0</v>
      </c>
      <c r="AH62" s="26">
        <f t="shared" ca="1" si="13"/>
        <v>0</v>
      </c>
      <c r="AI62" s="26">
        <f t="shared" ca="1" si="13"/>
        <v>0</v>
      </c>
      <c r="AJ62" s="26">
        <f t="shared" ca="1" si="13"/>
        <v>0</v>
      </c>
      <c r="AK62" s="26">
        <f t="shared" ca="1" si="13"/>
        <v>0</v>
      </c>
      <c r="AL62" s="26">
        <f t="shared" ca="1" si="13"/>
        <v>0</v>
      </c>
    </row>
    <row r="63" spans="1:38" ht="21" hidden="1" customHeight="1" outlineLevel="1" thickBot="1" x14ac:dyDescent="0.4">
      <c r="A63" s="8">
        <f t="shared" si="9"/>
        <v>0</v>
      </c>
      <c r="B63" s="8">
        <f t="shared" si="9"/>
        <v>0</v>
      </c>
      <c r="C63" s="8">
        <f t="shared" si="9"/>
        <v>0</v>
      </c>
      <c r="D63" s="8">
        <f t="shared" si="9"/>
        <v>1</v>
      </c>
      <c r="E63" s="9" t="str">
        <f t="shared" si="9"/>
        <v>H (Ga)</v>
      </c>
      <c r="F63" s="26">
        <f t="shared" ca="1" si="14"/>
        <v>-60.99</v>
      </c>
      <c r="G63" s="26">
        <f t="shared" ca="1" si="14"/>
        <v>-55.39</v>
      </c>
      <c r="H63" s="26">
        <f t="shared" ca="1" si="14"/>
        <v>-48.92</v>
      </c>
      <c r="I63" s="26">
        <f t="shared" ca="1" si="14"/>
        <v>-42.66</v>
      </c>
      <c r="J63" s="26">
        <f t="shared" ca="1" si="14"/>
        <v>-37.28</v>
      </c>
      <c r="K63" s="26">
        <f t="shared" ca="1" si="14"/>
        <v>-32.6</v>
      </c>
      <c r="L63" s="26">
        <f t="shared" ca="1" si="14"/>
        <v>-28.48</v>
      </c>
      <c r="M63" s="26">
        <f t="shared" ca="1" si="14"/>
        <v>-25.41</v>
      </c>
      <c r="N63" s="26">
        <f t="shared" ca="1" si="14"/>
        <v>-26.73</v>
      </c>
      <c r="O63" s="26">
        <f t="shared" ca="1" si="14"/>
        <v>-31.78</v>
      </c>
      <c r="P63" s="26">
        <f t="shared" ca="1" si="15"/>
        <v>-36.28</v>
      </c>
      <c r="Q63" s="26">
        <f t="shared" ca="1" si="15"/>
        <v>-40.049999999999997</v>
      </c>
      <c r="R63" s="26">
        <f t="shared" ca="1" si="15"/>
        <v>-40.86</v>
      </c>
      <c r="S63" s="26">
        <f t="shared" ca="1" si="15"/>
        <v>-41.61</v>
      </c>
      <c r="T63" s="26">
        <f t="shared" ca="1" si="15"/>
        <v>-42.31</v>
      </c>
      <c r="U63" s="26">
        <f t="shared" ca="1" si="15"/>
        <v>-42.94</v>
      </c>
      <c r="V63" s="26">
        <f t="shared" ca="1" si="15"/>
        <v>-44.86</v>
      </c>
      <c r="W63" s="26">
        <f t="shared" ca="1" si="15"/>
        <v>-45.72</v>
      </c>
      <c r="X63" s="26">
        <f t="shared" ca="1" si="15"/>
        <v>-45.76</v>
      </c>
      <c r="Y63" s="26">
        <f t="shared" ca="1" si="13"/>
        <v>-45.74</v>
      </c>
      <c r="Z63" s="26">
        <f t="shared" ca="1" si="13"/>
        <v>-45.64</v>
      </c>
      <c r="AA63" s="26">
        <f t="shared" ca="1" si="13"/>
        <v>-45.47</v>
      </c>
      <c r="AB63" s="26">
        <f t="shared" ca="1" si="13"/>
        <v>0</v>
      </c>
      <c r="AC63" s="26">
        <f t="shared" ca="1" si="13"/>
        <v>0</v>
      </c>
      <c r="AD63" s="26">
        <f t="shared" ca="1" si="13"/>
        <v>0</v>
      </c>
      <c r="AE63" s="26">
        <f t="shared" ca="1" si="13"/>
        <v>0</v>
      </c>
      <c r="AF63" s="26">
        <f t="shared" ca="1" si="13"/>
        <v>0</v>
      </c>
      <c r="AG63" s="26">
        <f t="shared" ca="1" si="13"/>
        <v>0</v>
      </c>
      <c r="AH63" s="26">
        <f t="shared" ca="1" si="13"/>
        <v>0</v>
      </c>
      <c r="AI63" s="26">
        <f t="shared" ca="1" si="13"/>
        <v>0</v>
      </c>
      <c r="AJ63" s="26">
        <f t="shared" ca="1" si="13"/>
        <v>0</v>
      </c>
      <c r="AK63" s="26">
        <f t="shared" ca="1" si="13"/>
        <v>0</v>
      </c>
      <c r="AL63" s="26">
        <f t="shared" ca="1" si="13"/>
        <v>0</v>
      </c>
    </row>
    <row r="64" spans="1:38" ht="21" hidden="1" customHeight="1" outlineLevel="1" thickBot="1" x14ac:dyDescent="0.4">
      <c r="A64" s="8">
        <f t="shared" si="9"/>
        <v>0</v>
      </c>
      <c r="B64" s="8">
        <f t="shared" si="9"/>
        <v>0</v>
      </c>
      <c r="C64" s="8">
        <f t="shared" si="9"/>
        <v>1</v>
      </c>
      <c r="D64" s="8">
        <f t="shared" si="9"/>
        <v>0</v>
      </c>
      <c r="E64" s="9" t="str">
        <f t="shared" si="9"/>
        <v>H (Ge)</v>
      </c>
      <c r="F64" s="26">
        <f t="shared" ca="1" si="14"/>
        <v>-15.35</v>
      </c>
      <c r="G64" s="26">
        <f t="shared" ca="1" si="14"/>
        <v>-14.36</v>
      </c>
      <c r="H64" s="26">
        <f t="shared" ca="1" si="14"/>
        <v>-12.3</v>
      </c>
      <c r="I64" s="26">
        <f t="shared" ca="1" si="14"/>
        <v>-10.01</v>
      </c>
      <c r="J64" s="26">
        <f t="shared" ca="1" si="14"/>
        <v>-8.0210000000000008</v>
      </c>
      <c r="K64" s="26">
        <f t="shared" ca="1" si="14"/>
        <v>-6.28</v>
      </c>
      <c r="L64" s="26">
        <f t="shared" ca="1" si="14"/>
        <v>-4.7359999999999998</v>
      </c>
      <c r="M64" s="26">
        <f t="shared" ca="1" si="14"/>
        <v>-4.141</v>
      </c>
      <c r="N64" s="26">
        <f t="shared" ca="1" si="14"/>
        <v>-4.2229999999999999</v>
      </c>
      <c r="O64" s="26">
        <f t="shared" ca="1" si="14"/>
        <v>-4.5529999999999999</v>
      </c>
      <c r="P64" s="26">
        <f t="shared" ca="1" si="15"/>
        <v>-4.8730000000000002</v>
      </c>
      <c r="Q64" s="26">
        <f t="shared" ca="1" si="15"/>
        <v>-5.1749999999999998</v>
      </c>
      <c r="R64" s="26">
        <f t="shared" ca="1" si="15"/>
        <v>-5.2469999999999999</v>
      </c>
      <c r="S64" s="26">
        <f t="shared" ca="1" si="15"/>
        <v>-5.3179999999999996</v>
      </c>
      <c r="T64" s="26">
        <f t="shared" ca="1" si="15"/>
        <v>-5.3890000000000002</v>
      </c>
      <c r="U64" s="26">
        <f t="shared" ca="1" si="15"/>
        <v>-5.4580000000000002</v>
      </c>
      <c r="V64" s="26">
        <f t="shared" ca="1" si="15"/>
        <v>-5.7869999999999999</v>
      </c>
      <c r="W64" s="26">
        <f t="shared" ca="1" si="15"/>
        <v>-6.3879999999999999</v>
      </c>
      <c r="X64" s="26">
        <f t="shared" ca="1" si="15"/>
        <v>-6.5250000000000004</v>
      </c>
      <c r="Y64" s="26">
        <f t="shared" ca="1" si="13"/>
        <v>-6.6580000000000004</v>
      </c>
      <c r="Z64" s="26">
        <f t="shared" ca="1" si="13"/>
        <v>-6.7869999999999999</v>
      </c>
      <c r="AA64" s="26">
        <f t="shared" ca="1" si="13"/>
        <v>-6.9109999999999996</v>
      </c>
      <c r="AB64" s="26">
        <f t="shared" ca="1" si="13"/>
        <v>0</v>
      </c>
      <c r="AC64" s="26">
        <f t="shared" ca="1" si="13"/>
        <v>0</v>
      </c>
      <c r="AD64" s="26">
        <f t="shared" ca="1" si="13"/>
        <v>0</v>
      </c>
      <c r="AE64" s="26">
        <f t="shared" ca="1" si="13"/>
        <v>0</v>
      </c>
      <c r="AF64" s="26">
        <f t="shared" ca="1" si="13"/>
        <v>0</v>
      </c>
      <c r="AG64" s="26">
        <f t="shared" ca="1" si="13"/>
        <v>0</v>
      </c>
      <c r="AH64" s="26">
        <f t="shared" ca="1" si="13"/>
        <v>0</v>
      </c>
      <c r="AI64" s="26">
        <f t="shared" ca="1" si="13"/>
        <v>0</v>
      </c>
      <c r="AJ64" s="26">
        <f t="shared" ca="1" si="13"/>
        <v>0</v>
      </c>
      <c r="AK64" s="26">
        <f t="shared" ca="1" si="13"/>
        <v>0</v>
      </c>
      <c r="AL64" s="26">
        <f t="shared" ca="1" si="13"/>
        <v>0</v>
      </c>
    </row>
    <row r="65" spans="1:38" ht="21" hidden="1" customHeight="1" outlineLevel="1" thickBot="1" x14ac:dyDescent="0.4">
      <c r="A65" s="8">
        <f t="shared" si="9"/>
        <v>0</v>
      </c>
      <c r="B65" s="8">
        <f t="shared" si="9"/>
        <v>1</v>
      </c>
      <c r="C65" s="8">
        <f t="shared" si="9"/>
        <v>0</v>
      </c>
      <c r="D65" s="8">
        <f t="shared" si="9"/>
        <v>0</v>
      </c>
      <c r="E65" s="9" t="str">
        <f t="shared" si="9"/>
        <v>H (Se)</v>
      </c>
      <c r="F65" s="26">
        <f t="shared" ca="1" si="14"/>
        <v>-21.89</v>
      </c>
      <c r="G65" s="26">
        <f t="shared" ca="1" si="14"/>
        <v>-20.11</v>
      </c>
      <c r="H65" s="26">
        <f t="shared" ca="1" si="14"/>
        <v>-19.97</v>
      </c>
      <c r="I65" s="26">
        <f t="shared" ca="1" si="14"/>
        <v>-20.47</v>
      </c>
      <c r="J65" s="26">
        <f t="shared" ca="1" si="14"/>
        <v>-20.98</v>
      </c>
      <c r="K65" s="26">
        <f t="shared" ca="1" si="14"/>
        <v>-21.49</v>
      </c>
      <c r="L65" s="26">
        <f t="shared" ca="1" si="14"/>
        <v>-22.01</v>
      </c>
      <c r="M65" s="26">
        <f t="shared" ca="1" si="14"/>
        <v>-22.51</v>
      </c>
      <c r="N65" s="26">
        <f t="shared" ca="1" si="14"/>
        <v>-23.02</v>
      </c>
      <c r="O65" s="26">
        <f t="shared" ca="1" si="14"/>
        <v>-24.96</v>
      </c>
      <c r="P65" s="26">
        <f t="shared" ca="1" si="15"/>
        <v>-26.77</v>
      </c>
      <c r="Q65" s="26">
        <f t="shared" ca="1" si="15"/>
        <v>-28.49</v>
      </c>
      <c r="R65" s="26">
        <f t="shared" ca="1" si="15"/>
        <v>-28.9</v>
      </c>
      <c r="S65" s="26">
        <f t="shared" ca="1" si="15"/>
        <v>-29.31</v>
      </c>
      <c r="T65" s="26">
        <f t="shared" ca="1" si="15"/>
        <v>-29.72</v>
      </c>
      <c r="U65" s="26">
        <f t="shared" ca="1" si="15"/>
        <v>-30.12</v>
      </c>
      <c r="V65" s="26">
        <f t="shared" ca="1" si="15"/>
        <v>-31.69</v>
      </c>
      <c r="W65" s="26">
        <f t="shared" ca="1" si="15"/>
        <v>-33.22</v>
      </c>
      <c r="X65" s="26">
        <f t="shared" ca="1" si="15"/>
        <v>-33.590000000000003</v>
      </c>
      <c r="Y65" s="26">
        <f t="shared" ca="1" si="13"/>
        <v>-33.97</v>
      </c>
      <c r="Z65" s="26">
        <f t="shared" ca="1" si="13"/>
        <v>-34.340000000000003</v>
      </c>
      <c r="AA65" s="26">
        <f t="shared" ca="1" si="13"/>
        <v>-34.71</v>
      </c>
      <c r="AB65" s="26">
        <f t="shared" ca="1" si="13"/>
        <v>0</v>
      </c>
      <c r="AC65" s="26">
        <f t="shared" ca="1" si="13"/>
        <v>0</v>
      </c>
      <c r="AD65" s="26">
        <f t="shared" ca="1" si="13"/>
        <v>0</v>
      </c>
      <c r="AE65" s="26">
        <f t="shared" ca="1" si="13"/>
        <v>0</v>
      </c>
      <c r="AF65" s="26">
        <f t="shared" ca="1" si="13"/>
        <v>0</v>
      </c>
      <c r="AG65" s="26">
        <f t="shared" ca="1" si="13"/>
        <v>0</v>
      </c>
      <c r="AH65" s="26">
        <f t="shared" ca="1" si="13"/>
        <v>0</v>
      </c>
      <c r="AI65" s="26">
        <f t="shared" ca="1" si="13"/>
        <v>0</v>
      </c>
      <c r="AJ65" s="26">
        <f t="shared" ca="1" si="13"/>
        <v>0</v>
      </c>
      <c r="AK65" s="26">
        <f t="shared" ca="1" si="13"/>
        <v>0</v>
      </c>
      <c r="AL65" s="26">
        <f t="shared" ca="1" si="13"/>
        <v>0</v>
      </c>
    </row>
    <row r="66" spans="1:38" ht="21" hidden="1" customHeight="1" outlineLevel="1" thickBot="1" x14ac:dyDescent="0.4">
      <c r="A66" s="8">
        <f t="shared" ref="A66:E79" si="16">A20</f>
        <v>0</v>
      </c>
      <c r="B66" s="8">
        <f t="shared" si="16"/>
        <v>0</v>
      </c>
      <c r="C66" s="8">
        <f t="shared" si="16"/>
        <v>0</v>
      </c>
      <c r="D66" s="8">
        <f t="shared" si="16"/>
        <v>0</v>
      </c>
      <c r="E66" s="9">
        <f t="shared" si="16"/>
        <v>0</v>
      </c>
      <c r="F66" s="26">
        <f t="shared" ca="1" si="14"/>
        <v>0</v>
      </c>
      <c r="G66" s="26">
        <f t="shared" ca="1" si="14"/>
        <v>0</v>
      </c>
      <c r="H66" s="26">
        <f t="shared" ca="1" si="14"/>
        <v>0</v>
      </c>
      <c r="I66" s="26">
        <f t="shared" ca="1" si="14"/>
        <v>0</v>
      </c>
      <c r="J66" s="26">
        <f t="shared" ca="1" si="14"/>
        <v>0</v>
      </c>
      <c r="K66" s="26">
        <f t="shared" ca="1" si="14"/>
        <v>0</v>
      </c>
      <c r="L66" s="26">
        <f t="shared" ca="1" si="14"/>
        <v>0</v>
      </c>
      <c r="M66" s="26">
        <f t="shared" ca="1" si="14"/>
        <v>0</v>
      </c>
      <c r="N66" s="26">
        <f t="shared" ca="1" si="14"/>
        <v>0</v>
      </c>
      <c r="O66" s="26">
        <f t="shared" ca="1" si="14"/>
        <v>0</v>
      </c>
      <c r="P66" s="26">
        <f t="shared" ca="1" si="15"/>
        <v>0</v>
      </c>
      <c r="Q66" s="26">
        <f t="shared" ca="1" si="15"/>
        <v>0</v>
      </c>
      <c r="R66" s="26">
        <f t="shared" ca="1" si="15"/>
        <v>0</v>
      </c>
      <c r="S66" s="26">
        <f t="shared" ca="1" si="15"/>
        <v>0</v>
      </c>
      <c r="T66" s="26">
        <f t="shared" ca="1" si="15"/>
        <v>0</v>
      </c>
      <c r="U66" s="26">
        <f t="shared" ca="1" si="15"/>
        <v>0</v>
      </c>
      <c r="V66" s="26">
        <f t="shared" ca="1" si="15"/>
        <v>0</v>
      </c>
      <c r="W66" s="26">
        <f t="shared" ca="1" si="15"/>
        <v>0</v>
      </c>
      <c r="X66" s="26">
        <f t="shared" ca="1" si="15"/>
        <v>0</v>
      </c>
      <c r="Y66" s="26">
        <f t="shared" ref="Y66:AL78" ca="1" si="17">$A66*H.Ar + $B66*H.Se + $C66*H.Ge + $D66*H.Ga</f>
        <v>0</v>
      </c>
      <c r="Z66" s="26">
        <f t="shared" ca="1" si="17"/>
        <v>0</v>
      </c>
      <c r="AA66" s="26">
        <f t="shared" ca="1" si="17"/>
        <v>0</v>
      </c>
      <c r="AB66" s="26">
        <f t="shared" ca="1" si="17"/>
        <v>0</v>
      </c>
      <c r="AC66" s="26">
        <f t="shared" ca="1" si="17"/>
        <v>0</v>
      </c>
      <c r="AD66" s="26">
        <f t="shared" ca="1" si="17"/>
        <v>0</v>
      </c>
      <c r="AE66" s="26">
        <f t="shared" ca="1" si="17"/>
        <v>0</v>
      </c>
      <c r="AF66" s="26">
        <f t="shared" ca="1" si="17"/>
        <v>0</v>
      </c>
      <c r="AG66" s="26">
        <f t="shared" ca="1" si="17"/>
        <v>0</v>
      </c>
      <c r="AH66" s="26">
        <f t="shared" ca="1" si="17"/>
        <v>0</v>
      </c>
      <c r="AI66" s="26">
        <f t="shared" ca="1" si="17"/>
        <v>0</v>
      </c>
      <c r="AJ66" s="26">
        <f t="shared" ca="1" si="17"/>
        <v>0</v>
      </c>
      <c r="AK66" s="26">
        <f t="shared" ca="1" si="17"/>
        <v>0</v>
      </c>
      <c r="AL66" s="26">
        <f t="shared" ca="1" si="17"/>
        <v>0</v>
      </c>
    </row>
    <row r="67" spans="1:38" ht="21" hidden="1" customHeight="1" outlineLevel="1" thickBot="1" x14ac:dyDescent="0.4">
      <c r="A67" s="8">
        <f t="shared" si="16"/>
        <v>0</v>
      </c>
      <c r="B67" s="8">
        <f t="shared" si="16"/>
        <v>0</v>
      </c>
      <c r="C67" s="8">
        <f t="shared" si="16"/>
        <v>0</v>
      </c>
      <c r="D67" s="8">
        <f t="shared" si="16"/>
        <v>0</v>
      </c>
      <c r="E67" s="9">
        <f t="shared" si="16"/>
        <v>0</v>
      </c>
      <c r="F67" s="26">
        <f t="shared" ca="1" si="14"/>
        <v>0</v>
      </c>
      <c r="G67" s="26">
        <f t="shared" ca="1" si="14"/>
        <v>0</v>
      </c>
      <c r="H67" s="26">
        <f t="shared" ca="1" si="14"/>
        <v>0</v>
      </c>
      <c r="I67" s="26">
        <f t="shared" ca="1" si="14"/>
        <v>0</v>
      </c>
      <c r="J67" s="26">
        <f t="shared" ca="1" si="14"/>
        <v>0</v>
      </c>
      <c r="K67" s="26">
        <f t="shared" ca="1" si="14"/>
        <v>0</v>
      </c>
      <c r="L67" s="26">
        <f t="shared" ca="1" si="14"/>
        <v>0</v>
      </c>
      <c r="M67" s="26">
        <f t="shared" ca="1" si="14"/>
        <v>0</v>
      </c>
      <c r="N67" s="26">
        <f t="shared" ca="1" si="14"/>
        <v>0</v>
      </c>
      <c r="O67" s="26">
        <f t="shared" ca="1" si="14"/>
        <v>0</v>
      </c>
      <c r="P67" s="26">
        <f t="shared" ca="1" si="15"/>
        <v>0</v>
      </c>
      <c r="Q67" s="26">
        <f t="shared" ca="1" si="15"/>
        <v>0</v>
      </c>
      <c r="R67" s="26">
        <f t="shared" ca="1" si="15"/>
        <v>0</v>
      </c>
      <c r="S67" s="26">
        <f t="shared" ca="1" si="15"/>
        <v>0</v>
      </c>
      <c r="T67" s="26">
        <f t="shared" ca="1" si="15"/>
        <v>0</v>
      </c>
      <c r="U67" s="26">
        <f t="shared" ca="1" si="15"/>
        <v>0</v>
      </c>
      <c r="V67" s="26">
        <f t="shared" ca="1" si="15"/>
        <v>0</v>
      </c>
      <c r="W67" s="26">
        <f t="shared" ca="1" si="15"/>
        <v>0</v>
      </c>
      <c r="X67" s="26">
        <f t="shared" ca="1" si="15"/>
        <v>0</v>
      </c>
      <c r="Y67" s="26">
        <f t="shared" ca="1" si="17"/>
        <v>0</v>
      </c>
      <c r="Z67" s="26">
        <f t="shared" ca="1" si="17"/>
        <v>0</v>
      </c>
      <c r="AA67" s="26">
        <f t="shared" ca="1" si="17"/>
        <v>0</v>
      </c>
      <c r="AB67" s="26">
        <f t="shared" ca="1" si="17"/>
        <v>0</v>
      </c>
      <c r="AC67" s="26">
        <f t="shared" ca="1" si="17"/>
        <v>0</v>
      </c>
      <c r="AD67" s="26">
        <f t="shared" ca="1" si="17"/>
        <v>0</v>
      </c>
      <c r="AE67" s="26">
        <f t="shared" ca="1" si="17"/>
        <v>0</v>
      </c>
      <c r="AF67" s="26">
        <f t="shared" ca="1" si="17"/>
        <v>0</v>
      </c>
      <c r="AG67" s="26">
        <f t="shared" ca="1" si="17"/>
        <v>0</v>
      </c>
      <c r="AH67" s="26">
        <f t="shared" ca="1" si="17"/>
        <v>0</v>
      </c>
      <c r="AI67" s="26">
        <f t="shared" ca="1" si="17"/>
        <v>0</v>
      </c>
      <c r="AJ67" s="26">
        <f t="shared" ca="1" si="17"/>
        <v>0</v>
      </c>
      <c r="AK67" s="26">
        <f t="shared" ca="1" si="17"/>
        <v>0</v>
      </c>
      <c r="AL67" s="26">
        <f t="shared" ca="1" si="17"/>
        <v>0</v>
      </c>
    </row>
    <row r="68" spans="1:38" ht="21" hidden="1" customHeight="1" outlineLevel="1" thickBot="1" x14ac:dyDescent="0.4">
      <c r="A68" s="8">
        <f t="shared" si="16"/>
        <v>0</v>
      </c>
      <c r="B68" s="8">
        <f t="shared" si="16"/>
        <v>0</v>
      </c>
      <c r="C68" s="8">
        <f t="shared" si="16"/>
        <v>0</v>
      </c>
      <c r="D68" s="8">
        <f t="shared" si="16"/>
        <v>0</v>
      </c>
      <c r="E68" s="9">
        <f t="shared" si="16"/>
        <v>0</v>
      </c>
      <c r="F68" s="26">
        <f t="shared" ca="1" si="14"/>
        <v>0</v>
      </c>
      <c r="G68" s="26">
        <f t="shared" ca="1" si="14"/>
        <v>0</v>
      </c>
      <c r="H68" s="26">
        <f t="shared" ca="1" si="14"/>
        <v>0</v>
      </c>
      <c r="I68" s="26">
        <f t="shared" ca="1" si="14"/>
        <v>0</v>
      </c>
      <c r="J68" s="26">
        <f t="shared" ca="1" si="14"/>
        <v>0</v>
      </c>
      <c r="K68" s="26">
        <f t="shared" ca="1" si="14"/>
        <v>0</v>
      </c>
      <c r="L68" s="26">
        <f t="shared" ca="1" si="14"/>
        <v>0</v>
      </c>
      <c r="M68" s="26">
        <f t="shared" ca="1" si="14"/>
        <v>0</v>
      </c>
      <c r="N68" s="26">
        <f t="shared" ca="1" si="14"/>
        <v>0</v>
      </c>
      <c r="O68" s="26">
        <f t="shared" ca="1" si="14"/>
        <v>0</v>
      </c>
      <c r="P68" s="26">
        <f t="shared" ca="1" si="15"/>
        <v>0</v>
      </c>
      <c r="Q68" s="26">
        <f t="shared" ca="1" si="15"/>
        <v>0</v>
      </c>
      <c r="R68" s="26">
        <f t="shared" ca="1" si="15"/>
        <v>0</v>
      </c>
      <c r="S68" s="26">
        <f t="shared" ca="1" si="15"/>
        <v>0</v>
      </c>
      <c r="T68" s="26">
        <f t="shared" ca="1" si="15"/>
        <v>0</v>
      </c>
      <c r="U68" s="26">
        <f t="shared" ca="1" si="15"/>
        <v>0</v>
      </c>
      <c r="V68" s="26">
        <f t="shared" ca="1" si="15"/>
        <v>0</v>
      </c>
      <c r="W68" s="26">
        <f t="shared" ca="1" si="15"/>
        <v>0</v>
      </c>
      <c r="X68" s="26">
        <f t="shared" ca="1" si="15"/>
        <v>0</v>
      </c>
      <c r="Y68" s="26">
        <f t="shared" ca="1" si="17"/>
        <v>0</v>
      </c>
      <c r="Z68" s="26">
        <f t="shared" ca="1" si="17"/>
        <v>0</v>
      </c>
      <c r="AA68" s="26">
        <f t="shared" ca="1" si="17"/>
        <v>0</v>
      </c>
      <c r="AB68" s="26">
        <f t="shared" ca="1" si="17"/>
        <v>0</v>
      </c>
      <c r="AC68" s="26">
        <f t="shared" ca="1" si="17"/>
        <v>0</v>
      </c>
      <c r="AD68" s="26">
        <f t="shared" ca="1" si="17"/>
        <v>0</v>
      </c>
      <c r="AE68" s="26">
        <f t="shared" ca="1" si="17"/>
        <v>0</v>
      </c>
      <c r="AF68" s="26">
        <f t="shared" ca="1" si="17"/>
        <v>0</v>
      </c>
      <c r="AG68" s="26">
        <f t="shared" ca="1" si="17"/>
        <v>0</v>
      </c>
      <c r="AH68" s="26">
        <f t="shared" ca="1" si="17"/>
        <v>0</v>
      </c>
      <c r="AI68" s="26">
        <f t="shared" ca="1" si="17"/>
        <v>0</v>
      </c>
      <c r="AJ68" s="26">
        <f t="shared" ca="1" si="17"/>
        <v>0</v>
      </c>
      <c r="AK68" s="26">
        <f t="shared" ca="1" si="17"/>
        <v>0</v>
      </c>
      <c r="AL68" s="26">
        <f t="shared" ca="1" si="17"/>
        <v>0</v>
      </c>
    </row>
    <row r="69" spans="1:38" ht="21" hidden="1" customHeight="1" outlineLevel="1" thickBot="1" x14ac:dyDescent="0.4">
      <c r="A69" s="8">
        <f t="shared" si="16"/>
        <v>0</v>
      </c>
      <c r="B69" s="8">
        <f t="shared" si="16"/>
        <v>0</v>
      </c>
      <c r="C69" s="8">
        <f t="shared" si="16"/>
        <v>0</v>
      </c>
      <c r="D69" s="8">
        <f t="shared" si="16"/>
        <v>0</v>
      </c>
      <c r="E69" s="9">
        <f t="shared" si="16"/>
        <v>0</v>
      </c>
      <c r="F69" s="26">
        <f t="shared" ca="1" si="14"/>
        <v>0</v>
      </c>
      <c r="G69" s="26">
        <f t="shared" ca="1" si="14"/>
        <v>0</v>
      </c>
      <c r="H69" s="26">
        <f t="shared" ca="1" si="14"/>
        <v>0</v>
      </c>
      <c r="I69" s="26">
        <f t="shared" ca="1" si="14"/>
        <v>0</v>
      </c>
      <c r="J69" s="26">
        <f t="shared" ca="1" si="14"/>
        <v>0</v>
      </c>
      <c r="K69" s="26">
        <f t="shared" ca="1" si="14"/>
        <v>0</v>
      </c>
      <c r="L69" s="26">
        <f t="shared" ca="1" si="14"/>
        <v>0</v>
      </c>
      <c r="M69" s="26">
        <f t="shared" ca="1" si="14"/>
        <v>0</v>
      </c>
      <c r="N69" s="26">
        <f t="shared" ca="1" si="14"/>
        <v>0</v>
      </c>
      <c r="O69" s="26">
        <f t="shared" ca="1" si="14"/>
        <v>0</v>
      </c>
      <c r="P69" s="26">
        <f t="shared" ca="1" si="15"/>
        <v>0</v>
      </c>
      <c r="Q69" s="26">
        <f t="shared" ca="1" si="15"/>
        <v>0</v>
      </c>
      <c r="R69" s="26">
        <f t="shared" ca="1" si="15"/>
        <v>0</v>
      </c>
      <c r="S69" s="26">
        <f t="shared" ca="1" si="15"/>
        <v>0</v>
      </c>
      <c r="T69" s="26">
        <f t="shared" ca="1" si="15"/>
        <v>0</v>
      </c>
      <c r="U69" s="26">
        <f t="shared" ca="1" si="15"/>
        <v>0</v>
      </c>
      <c r="V69" s="26">
        <f t="shared" ca="1" si="15"/>
        <v>0</v>
      </c>
      <c r="W69" s="26">
        <f t="shared" ca="1" si="15"/>
        <v>0</v>
      </c>
      <c r="X69" s="26">
        <f t="shared" ca="1" si="15"/>
        <v>0</v>
      </c>
      <c r="Y69" s="26">
        <f t="shared" ca="1" si="17"/>
        <v>0</v>
      </c>
      <c r="Z69" s="26">
        <f t="shared" ca="1" si="17"/>
        <v>0</v>
      </c>
      <c r="AA69" s="26">
        <f t="shared" ca="1" si="17"/>
        <v>0</v>
      </c>
      <c r="AB69" s="26">
        <f t="shared" ca="1" si="17"/>
        <v>0</v>
      </c>
      <c r="AC69" s="26">
        <f t="shared" ca="1" si="17"/>
        <v>0</v>
      </c>
      <c r="AD69" s="26">
        <f t="shared" ca="1" si="17"/>
        <v>0</v>
      </c>
      <c r="AE69" s="26">
        <f t="shared" ca="1" si="17"/>
        <v>0</v>
      </c>
      <c r="AF69" s="26">
        <f t="shared" ca="1" si="17"/>
        <v>0</v>
      </c>
      <c r="AG69" s="26">
        <f t="shared" ca="1" si="17"/>
        <v>0</v>
      </c>
      <c r="AH69" s="26">
        <f t="shared" ca="1" si="17"/>
        <v>0</v>
      </c>
      <c r="AI69" s="26">
        <f t="shared" ca="1" si="17"/>
        <v>0</v>
      </c>
      <c r="AJ69" s="26">
        <f t="shared" ca="1" si="17"/>
        <v>0</v>
      </c>
      <c r="AK69" s="26">
        <f t="shared" ca="1" si="17"/>
        <v>0</v>
      </c>
      <c r="AL69" s="26">
        <f t="shared" ca="1" si="17"/>
        <v>0</v>
      </c>
    </row>
    <row r="70" spans="1:38" ht="21" hidden="1" customHeight="1" outlineLevel="1" thickBot="1" x14ac:dyDescent="0.4">
      <c r="A70" s="8">
        <f t="shared" si="16"/>
        <v>0</v>
      </c>
      <c r="B70" s="8">
        <f t="shared" si="16"/>
        <v>0</v>
      </c>
      <c r="C70" s="8">
        <f t="shared" si="16"/>
        <v>0</v>
      </c>
      <c r="D70" s="8">
        <f t="shared" si="16"/>
        <v>0</v>
      </c>
      <c r="E70" s="9">
        <f t="shared" si="16"/>
        <v>0</v>
      </c>
      <c r="F70" s="26">
        <f t="shared" ref="F70:O78" ca="1" si="18">$A70*H.Ar + $B70*H.Se + $C70*H.Ge + $D70*H.Ga</f>
        <v>0</v>
      </c>
      <c r="G70" s="26">
        <f t="shared" ca="1" si="18"/>
        <v>0</v>
      </c>
      <c r="H70" s="26">
        <f t="shared" ca="1" si="18"/>
        <v>0</v>
      </c>
      <c r="I70" s="26">
        <f t="shared" ca="1" si="18"/>
        <v>0</v>
      </c>
      <c r="J70" s="26">
        <f t="shared" ca="1" si="18"/>
        <v>0</v>
      </c>
      <c r="K70" s="26">
        <f t="shared" ca="1" si="18"/>
        <v>0</v>
      </c>
      <c r="L70" s="26">
        <f t="shared" ca="1" si="18"/>
        <v>0</v>
      </c>
      <c r="M70" s="26">
        <f t="shared" ca="1" si="18"/>
        <v>0</v>
      </c>
      <c r="N70" s="26">
        <f t="shared" ca="1" si="18"/>
        <v>0</v>
      </c>
      <c r="O70" s="26">
        <f t="shared" ca="1" si="18"/>
        <v>0</v>
      </c>
      <c r="P70" s="26">
        <f t="shared" ref="P70:AE78" ca="1" si="19">$A70*H.Ar + $B70*H.Se + $C70*H.Ge + $D70*H.Ga</f>
        <v>0</v>
      </c>
      <c r="Q70" s="26">
        <f t="shared" ca="1" si="19"/>
        <v>0</v>
      </c>
      <c r="R70" s="26">
        <f t="shared" ca="1" si="19"/>
        <v>0</v>
      </c>
      <c r="S70" s="26">
        <f t="shared" ca="1" si="19"/>
        <v>0</v>
      </c>
      <c r="T70" s="26">
        <f t="shared" ca="1" si="19"/>
        <v>0</v>
      </c>
      <c r="U70" s="26">
        <f t="shared" ca="1" si="19"/>
        <v>0</v>
      </c>
      <c r="V70" s="26">
        <f t="shared" ca="1" si="19"/>
        <v>0</v>
      </c>
      <c r="W70" s="26">
        <f t="shared" ca="1" si="19"/>
        <v>0</v>
      </c>
      <c r="X70" s="26">
        <f t="shared" ca="1" si="19"/>
        <v>0</v>
      </c>
      <c r="Y70" s="26">
        <f t="shared" ca="1" si="19"/>
        <v>0</v>
      </c>
      <c r="Z70" s="26">
        <f t="shared" ca="1" si="19"/>
        <v>0</v>
      </c>
      <c r="AA70" s="26">
        <f t="shared" ca="1" si="19"/>
        <v>0</v>
      </c>
      <c r="AB70" s="26">
        <f t="shared" ca="1" si="19"/>
        <v>0</v>
      </c>
      <c r="AC70" s="26">
        <f t="shared" ca="1" si="19"/>
        <v>0</v>
      </c>
      <c r="AD70" s="26">
        <f t="shared" ca="1" si="19"/>
        <v>0</v>
      </c>
      <c r="AE70" s="26">
        <f t="shared" ca="1" si="19"/>
        <v>0</v>
      </c>
      <c r="AF70" s="26">
        <f t="shared" ca="1" si="17"/>
        <v>0</v>
      </c>
      <c r="AG70" s="26">
        <f t="shared" ca="1" si="17"/>
        <v>0</v>
      </c>
      <c r="AH70" s="26">
        <f t="shared" ca="1" si="17"/>
        <v>0</v>
      </c>
      <c r="AI70" s="26">
        <f t="shared" ca="1" si="17"/>
        <v>0</v>
      </c>
      <c r="AJ70" s="26">
        <f t="shared" ca="1" si="17"/>
        <v>0</v>
      </c>
      <c r="AK70" s="26">
        <f t="shared" ca="1" si="17"/>
        <v>0</v>
      </c>
      <c r="AL70" s="26">
        <f t="shared" ca="1" si="17"/>
        <v>0</v>
      </c>
    </row>
    <row r="71" spans="1:38" ht="21" hidden="1" customHeight="1" outlineLevel="1" thickBot="1" x14ac:dyDescent="0.4">
      <c r="A71" s="8">
        <f t="shared" si="16"/>
        <v>0</v>
      </c>
      <c r="B71" s="8">
        <f t="shared" si="16"/>
        <v>0</v>
      </c>
      <c r="C71" s="8">
        <f t="shared" si="16"/>
        <v>0</v>
      </c>
      <c r="D71" s="8">
        <f t="shared" si="16"/>
        <v>0</v>
      </c>
      <c r="E71" s="9">
        <f t="shared" si="16"/>
        <v>0</v>
      </c>
      <c r="F71" s="26">
        <f t="shared" ca="1" si="18"/>
        <v>0</v>
      </c>
      <c r="G71" s="26">
        <f t="shared" ca="1" si="18"/>
        <v>0</v>
      </c>
      <c r="H71" s="26">
        <f t="shared" ca="1" si="18"/>
        <v>0</v>
      </c>
      <c r="I71" s="26">
        <f t="shared" ca="1" si="18"/>
        <v>0</v>
      </c>
      <c r="J71" s="26">
        <f t="shared" ca="1" si="18"/>
        <v>0</v>
      </c>
      <c r="K71" s="26">
        <f t="shared" ca="1" si="18"/>
        <v>0</v>
      </c>
      <c r="L71" s="26">
        <f t="shared" ca="1" si="18"/>
        <v>0</v>
      </c>
      <c r="M71" s="26">
        <f t="shared" ca="1" si="18"/>
        <v>0</v>
      </c>
      <c r="N71" s="26">
        <f t="shared" ca="1" si="18"/>
        <v>0</v>
      </c>
      <c r="O71" s="26">
        <f t="shared" ca="1" si="18"/>
        <v>0</v>
      </c>
      <c r="P71" s="26">
        <f t="shared" ca="1" si="19"/>
        <v>0</v>
      </c>
      <c r="Q71" s="26">
        <f t="shared" ca="1" si="19"/>
        <v>0</v>
      </c>
      <c r="R71" s="26">
        <f t="shared" ca="1" si="19"/>
        <v>0</v>
      </c>
      <c r="S71" s="26">
        <f t="shared" ca="1" si="19"/>
        <v>0</v>
      </c>
      <c r="T71" s="26">
        <f t="shared" ca="1" si="19"/>
        <v>0</v>
      </c>
      <c r="U71" s="26">
        <f t="shared" ca="1" si="19"/>
        <v>0</v>
      </c>
      <c r="V71" s="26">
        <f t="shared" ca="1" si="19"/>
        <v>0</v>
      </c>
      <c r="W71" s="26">
        <f t="shared" ca="1" si="19"/>
        <v>0</v>
      </c>
      <c r="X71" s="26">
        <f t="shared" ca="1" si="19"/>
        <v>0</v>
      </c>
      <c r="Y71" s="26">
        <f t="shared" ca="1" si="17"/>
        <v>0</v>
      </c>
      <c r="Z71" s="26">
        <f t="shared" ca="1" si="17"/>
        <v>0</v>
      </c>
      <c r="AA71" s="26">
        <f t="shared" ca="1" si="17"/>
        <v>0</v>
      </c>
      <c r="AB71" s="26">
        <f t="shared" ca="1" si="17"/>
        <v>0</v>
      </c>
      <c r="AC71" s="26">
        <f t="shared" ca="1" si="17"/>
        <v>0</v>
      </c>
      <c r="AD71" s="26">
        <f t="shared" ca="1" si="17"/>
        <v>0</v>
      </c>
      <c r="AE71" s="26">
        <f t="shared" ca="1" si="17"/>
        <v>0</v>
      </c>
      <c r="AF71" s="26">
        <f t="shared" ca="1" si="17"/>
        <v>0</v>
      </c>
      <c r="AG71" s="26">
        <f t="shared" ca="1" si="17"/>
        <v>0</v>
      </c>
      <c r="AH71" s="26">
        <f t="shared" ca="1" si="17"/>
        <v>0</v>
      </c>
      <c r="AI71" s="26">
        <f t="shared" ca="1" si="17"/>
        <v>0</v>
      </c>
      <c r="AJ71" s="26">
        <f t="shared" ca="1" si="17"/>
        <v>0</v>
      </c>
      <c r="AK71" s="26">
        <f t="shared" ca="1" si="17"/>
        <v>0</v>
      </c>
      <c r="AL71" s="26">
        <f t="shared" ca="1" si="17"/>
        <v>0</v>
      </c>
    </row>
    <row r="72" spans="1:38" ht="21" hidden="1" customHeight="1" outlineLevel="1" thickBot="1" x14ac:dyDescent="0.4">
      <c r="A72" s="8">
        <f t="shared" si="16"/>
        <v>0</v>
      </c>
      <c r="B72" s="8">
        <f t="shared" si="16"/>
        <v>0</v>
      </c>
      <c r="C72" s="8">
        <f t="shared" si="16"/>
        <v>0</v>
      </c>
      <c r="D72" s="8">
        <f t="shared" si="16"/>
        <v>0</v>
      </c>
      <c r="E72" s="9">
        <f t="shared" si="16"/>
        <v>0</v>
      </c>
      <c r="F72" s="26">
        <f t="shared" ca="1" si="18"/>
        <v>0</v>
      </c>
      <c r="G72" s="26">
        <f t="shared" ca="1" si="18"/>
        <v>0</v>
      </c>
      <c r="H72" s="26">
        <f t="shared" ca="1" si="18"/>
        <v>0</v>
      </c>
      <c r="I72" s="26">
        <f t="shared" ca="1" si="18"/>
        <v>0</v>
      </c>
      <c r="J72" s="26">
        <f t="shared" ca="1" si="18"/>
        <v>0</v>
      </c>
      <c r="K72" s="26">
        <f t="shared" ca="1" si="18"/>
        <v>0</v>
      </c>
      <c r="L72" s="26">
        <f t="shared" ca="1" si="18"/>
        <v>0</v>
      </c>
      <c r="M72" s="26">
        <f t="shared" ca="1" si="18"/>
        <v>0</v>
      </c>
      <c r="N72" s="26">
        <f t="shared" ca="1" si="18"/>
        <v>0</v>
      </c>
      <c r="O72" s="26">
        <f t="shared" ca="1" si="18"/>
        <v>0</v>
      </c>
      <c r="P72" s="26">
        <f t="shared" ca="1" si="19"/>
        <v>0</v>
      </c>
      <c r="Q72" s="26">
        <f t="shared" ca="1" si="19"/>
        <v>0</v>
      </c>
      <c r="R72" s="26">
        <f t="shared" ca="1" si="19"/>
        <v>0</v>
      </c>
      <c r="S72" s="26">
        <f t="shared" ca="1" si="19"/>
        <v>0</v>
      </c>
      <c r="T72" s="26">
        <f t="shared" ca="1" si="19"/>
        <v>0</v>
      </c>
      <c r="U72" s="26">
        <f t="shared" ca="1" si="19"/>
        <v>0</v>
      </c>
      <c r="V72" s="26">
        <f t="shared" ca="1" si="19"/>
        <v>0</v>
      </c>
      <c r="W72" s="26">
        <f t="shared" ca="1" si="19"/>
        <v>0</v>
      </c>
      <c r="X72" s="26">
        <f t="shared" ca="1" si="19"/>
        <v>0</v>
      </c>
      <c r="Y72" s="26">
        <f t="shared" ca="1" si="17"/>
        <v>0</v>
      </c>
      <c r="Z72" s="26">
        <f t="shared" ca="1" si="17"/>
        <v>0</v>
      </c>
      <c r="AA72" s="26">
        <f t="shared" ca="1" si="17"/>
        <v>0</v>
      </c>
      <c r="AB72" s="26">
        <f t="shared" ca="1" si="17"/>
        <v>0</v>
      </c>
      <c r="AC72" s="26">
        <f t="shared" ca="1" si="17"/>
        <v>0</v>
      </c>
      <c r="AD72" s="26">
        <f t="shared" ca="1" si="17"/>
        <v>0</v>
      </c>
      <c r="AE72" s="26">
        <f t="shared" ca="1" si="17"/>
        <v>0</v>
      </c>
      <c r="AF72" s="26">
        <f t="shared" ca="1" si="17"/>
        <v>0</v>
      </c>
      <c r="AG72" s="26">
        <f t="shared" ca="1" si="17"/>
        <v>0</v>
      </c>
      <c r="AH72" s="26">
        <f t="shared" ca="1" si="17"/>
        <v>0</v>
      </c>
      <c r="AI72" s="26">
        <f t="shared" ca="1" si="17"/>
        <v>0</v>
      </c>
      <c r="AJ72" s="26">
        <f t="shared" ca="1" si="17"/>
        <v>0</v>
      </c>
      <c r="AK72" s="26">
        <f t="shared" ca="1" si="17"/>
        <v>0</v>
      </c>
      <c r="AL72" s="26">
        <f t="shared" ca="1" si="17"/>
        <v>0</v>
      </c>
    </row>
    <row r="73" spans="1:38" ht="21" hidden="1" customHeight="1" outlineLevel="1" thickBot="1" x14ac:dyDescent="0.4">
      <c r="A73" s="8">
        <f t="shared" si="16"/>
        <v>0</v>
      </c>
      <c r="B73" s="8">
        <f t="shared" si="16"/>
        <v>0</v>
      </c>
      <c r="C73" s="8">
        <f t="shared" si="16"/>
        <v>0</v>
      </c>
      <c r="D73" s="8">
        <f t="shared" si="16"/>
        <v>0</v>
      </c>
      <c r="E73" s="9">
        <f t="shared" si="16"/>
        <v>0</v>
      </c>
      <c r="F73" s="26">
        <f t="shared" ca="1" si="18"/>
        <v>0</v>
      </c>
      <c r="G73" s="26">
        <f t="shared" ca="1" si="18"/>
        <v>0</v>
      </c>
      <c r="H73" s="26">
        <f t="shared" ca="1" si="18"/>
        <v>0</v>
      </c>
      <c r="I73" s="26">
        <f t="shared" ca="1" si="18"/>
        <v>0</v>
      </c>
      <c r="J73" s="26">
        <f t="shared" ca="1" si="18"/>
        <v>0</v>
      </c>
      <c r="K73" s="26">
        <f t="shared" ca="1" si="18"/>
        <v>0</v>
      </c>
      <c r="L73" s="26">
        <f t="shared" ca="1" si="18"/>
        <v>0</v>
      </c>
      <c r="M73" s="26">
        <f t="shared" ca="1" si="18"/>
        <v>0</v>
      </c>
      <c r="N73" s="26">
        <f t="shared" ca="1" si="18"/>
        <v>0</v>
      </c>
      <c r="O73" s="26">
        <f t="shared" ca="1" si="18"/>
        <v>0</v>
      </c>
      <c r="P73" s="26">
        <f t="shared" ca="1" si="19"/>
        <v>0</v>
      </c>
      <c r="Q73" s="26">
        <f t="shared" ca="1" si="19"/>
        <v>0</v>
      </c>
      <c r="R73" s="26">
        <f t="shared" ca="1" si="19"/>
        <v>0</v>
      </c>
      <c r="S73" s="26">
        <f t="shared" ca="1" si="19"/>
        <v>0</v>
      </c>
      <c r="T73" s="26">
        <f t="shared" ca="1" si="19"/>
        <v>0</v>
      </c>
      <c r="U73" s="26">
        <f t="shared" ca="1" si="19"/>
        <v>0</v>
      </c>
      <c r="V73" s="26">
        <f t="shared" ca="1" si="19"/>
        <v>0</v>
      </c>
      <c r="W73" s="26">
        <f t="shared" ca="1" si="19"/>
        <v>0</v>
      </c>
      <c r="X73" s="26">
        <f t="shared" ca="1" si="19"/>
        <v>0</v>
      </c>
      <c r="Y73" s="26">
        <f t="shared" ca="1" si="17"/>
        <v>0</v>
      </c>
      <c r="Z73" s="26">
        <f t="shared" ca="1" si="17"/>
        <v>0</v>
      </c>
      <c r="AA73" s="26">
        <f t="shared" ca="1" si="17"/>
        <v>0</v>
      </c>
      <c r="AB73" s="26">
        <f t="shared" ca="1" si="17"/>
        <v>0</v>
      </c>
      <c r="AC73" s="26">
        <f t="shared" ca="1" si="17"/>
        <v>0</v>
      </c>
      <c r="AD73" s="26">
        <f t="shared" ca="1" si="17"/>
        <v>0</v>
      </c>
      <c r="AE73" s="26">
        <f t="shared" ca="1" si="17"/>
        <v>0</v>
      </c>
      <c r="AF73" s="26">
        <f t="shared" ca="1" si="17"/>
        <v>0</v>
      </c>
      <c r="AG73" s="26">
        <f t="shared" ca="1" si="17"/>
        <v>0</v>
      </c>
      <c r="AH73" s="26">
        <f t="shared" ca="1" si="17"/>
        <v>0</v>
      </c>
      <c r="AI73" s="26">
        <f t="shared" ca="1" si="17"/>
        <v>0</v>
      </c>
      <c r="AJ73" s="26">
        <f t="shared" ca="1" si="17"/>
        <v>0</v>
      </c>
      <c r="AK73" s="26">
        <f t="shared" ca="1" si="17"/>
        <v>0</v>
      </c>
      <c r="AL73" s="26">
        <f t="shared" ca="1" si="17"/>
        <v>0</v>
      </c>
    </row>
    <row r="74" spans="1:38" ht="21" hidden="1" customHeight="1" outlineLevel="1" thickBot="1" x14ac:dyDescent="0.4">
      <c r="A74" s="8">
        <f t="shared" si="16"/>
        <v>0</v>
      </c>
      <c r="B74" s="8">
        <f t="shared" si="16"/>
        <v>0</v>
      </c>
      <c r="C74" s="8">
        <f t="shared" si="16"/>
        <v>0</v>
      </c>
      <c r="D74" s="8">
        <f t="shared" si="16"/>
        <v>0</v>
      </c>
      <c r="E74" s="9">
        <f t="shared" si="16"/>
        <v>0</v>
      </c>
      <c r="F74" s="26">
        <f t="shared" ca="1" si="18"/>
        <v>0</v>
      </c>
      <c r="G74" s="26">
        <f t="shared" ca="1" si="18"/>
        <v>0</v>
      </c>
      <c r="H74" s="26">
        <f t="shared" ca="1" si="18"/>
        <v>0</v>
      </c>
      <c r="I74" s="26">
        <f t="shared" ca="1" si="18"/>
        <v>0</v>
      </c>
      <c r="J74" s="26">
        <f t="shared" ca="1" si="18"/>
        <v>0</v>
      </c>
      <c r="K74" s="26">
        <f t="shared" ca="1" si="18"/>
        <v>0</v>
      </c>
      <c r="L74" s="26">
        <f t="shared" ca="1" si="18"/>
        <v>0</v>
      </c>
      <c r="M74" s="26">
        <f t="shared" ca="1" si="18"/>
        <v>0</v>
      </c>
      <c r="N74" s="26">
        <f t="shared" ca="1" si="18"/>
        <v>0</v>
      </c>
      <c r="O74" s="26">
        <f t="shared" ca="1" si="18"/>
        <v>0</v>
      </c>
      <c r="P74" s="26">
        <f t="shared" ca="1" si="19"/>
        <v>0</v>
      </c>
      <c r="Q74" s="26">
        <f t="shared" ca="1" si="19"/>
        <v>0</v>
      </c>
      <c r="R74" s="26">
        <f t="shared" ca="1" si="19"/>
        <v>0</v>
      </c>
      <c r="S74" s="26">
        <f t="shared" ca="1" si="19"/>
        <v>0</v>
      </c>
      <c r="T74" s="26">
        <f t="shared" ca="1" si="19"/>
        <v>0</v>
      </c>
      <c r="U74" s="26">
        <f t="shared" ca="1" si="19"/>
        <v>0</v>
      </c>
      <c r="V74" s="26">
        <f t="shared" ca="1" si="19"/>
        <v>0</v>
      </c>
      <c r="W74" s="26">
        <f t="shared" ca="1" si="19"/>
        <v>0</v>
      </c>
      <c r="X74" s="26">
        <f t="shared" ca="1" si="19"/>
        <v>0</v>
      </c>
      <c r="Y74" s="26">
        <f t="shared" ca="1" si="17"/>
        <v>0</v>
      </c>
      <c r="Z74" s="26">
        <f t="shared" ca="1" si="17"/>
        <v>0</v>
      </c>
      <c r="AA74" s="26">
        <f t="shared" ca="1" si="17"/>
        <v>0</v>
      </c>
      <c r="AB74" s="26">
        <f t="shared" ca="1" si="17"/>
        <v>0</v>
      </c>
      <c r="AC74" s="26">
        <f t="shared" ca="1" si="17"/>
        <v>0</v>
      </c>
      <c r="AD74" s="26">
        <f t="shared" ca="1" si="17"/>
        <v>0</v>
      </c>
      <c r="AE74" s="26">
        <f t="shared" ca="1" si="17"/>
        <v>0</v>
      </c>
      <c r="AF74" s="26">
        <f t="shared" ca="1" si="17"/>
        <v>0</v>
      </c>
      <c r="AG74" s="26">
        <f t="shared" ca="1" si="17"/>
        <v>0</v>
      </c>
      <c r="AH74" s="26">
        <f t="shared" ca="1" si="17"/>
        <v>0</v>
      </c>
      <c r="AI74" s="26">
        <f t="shared" ca="1" si="17"/>
        <v>0</v>
      </c>
      <c r="AJ74" s="26">
        <f t="shared" ca="1" si="17"/>
        <v>0</v>
      </c>
      <c r="AK74" s="26">
        <f t="shared" ca="1" si="17"/>
        <v>0</v>
      </c>
      <c r="AL74" s="26">
        <f t="shared" ca="1" si="17"/>
        <v>0</v>
      </c>
    </row>
    <row r="75" spans="1:38" ht="21" hidden="1" customHeight="1" outlineLevel="1" thickBot="1" x14ac:dyDescent="0.4">
      <c r="A75" s="8">
        <f t="shared" si="16"/>
        <v>0</v>
      </c>
      <c r="B75" s="8">
        <f t="shared" si="16"/>
        <v>0</v>
      </c>
      <c r="C75" s="8">
        <f t="shared" si="16"/>
        <v>0</v>
      </c>
      <c r="D75" s="8">
        <f t="shared" si="16"/>
        <v>0</v>
      </c>
      <c r="E75" s="9">
        <f t="shared" si="16"/>
        <v>0</v>
      </c>
      <c r="F75" s="26">
        <f t="shared" ca="1" si="18"/>
        <v>0</v>
      </c>
      <c r="G75" s="26">
        <f t="shared" ca="1" si="18"/>
        <v>0</v>
      </c>
      <c r="H75" s="26">
        <f t="shared" ca="1" si="18"/>
        <v>0</v>
      </c>
      <c r="I75" s="26">
        <f t="shared" ca="1" si="18"/>
        <v>0</v>
      </c>
      <c r="J75" s="26">
        <f t="shared" ca="1" si="18"/>
        <v>0</v>
      </c>
      <c r="K75" s="26">
        <f t="shared" ca="1" si="18"/>
        <v>0</v>
      </c>
      <c r="L75" s="26">
        <f t="shared" ca="1" si="18"/>
        <v>0</v>
      </c>
      <c r="M75" s="26">
        <f t="shared" ca="1" si="18"/>
        <v>0</v>
      </c>
      <c r="N75" s="26">
        <f t="shared" ca="1" si="18"/>
        <v>0</v>
      </c>
      <c r="O75" s="26">
        <f t="shared" ca="1" si="18"/>
        <v>0</v>
      </c>
      <c r="P75" s="26">
        <f t="shared" ca="1" si="19"/>
        <v>0</v>
      </c>
      <c r="Q75" s="26">
        <f t="shared" ca="1" si="19"/>
        <v>0</v>
      </c>
      <c r="R75" s="26">
        <f t="shared" ca="1" si="19"/>
        <v>0</v>
      </c>
      <c r="S75" s="26">
        <f t="shared" ca="1" si="19"/>
        <v>0</v>
      </c>
      <c r="T75" s="26">
        <f t="shared" ca="1" si="19"/>
        <v>0</v>
      </c>
      <c r="U75" s="26">
        <f t="shared" ca="1" si="19"/>
        <v>0</v>
      </c>
      <c r="V75" s="26">
        <f t="shared" ca="1" si="19"/>
        <v>0</v>
      </c>
      <c r="W75" s="26">
        <f t="shared" ca="1" si="19"/>
        <v>0</v>
      </c>
      <c r="X75" s="26">
        <f t="shared" ca="1" si="19"/>
        <v>0</v>
      </c>
      <c r="Y75" s="26">
        <f t="shared" ca="1" si="17"/>
        <v>0</v>
      </c>
      <c r="Z75" s="26">
        <f t="shared" ca="1" si="17"/>
        <v>0</v>
      </c>
      <c r="AA75" s="26">
        <f t="shared" ca="1" si="17"/>
        <v>0</v>
      </c>
      <c r="AB75" s="26">
        <f t="shared" ca="1" si="17"/>
        <v>0</v>
      </c>
      <c r="AC75" s="26">
        <f t="shared" ca="1" si="17"/>
        <v>0</v>
      </c>
      <c r="AD75" s="26">
        <f t="shared" ca="1" si="17"/>
        <v>0</v>
      </c>
      <c r="AE75" s="26">
        <f t="shared" ca="1" si="17"/>
        <v>0</v>
      </c>
      <c r="AF75" s="26">
        <f t="shared" ca="1" si="17"/>
        <v>0</v>
      </c>
      <c r="AG75" s="26">
        <f t="shared" ca="1" si="17"/>
        <v>0</v>
      </c>
      <c r="AH75" s="26">
        <f t="shared" ca="1" si="17"/>
        <v>0</v>
      </c>
      <c r="AI75" s="26">
        <f t="shared" ca="1" si="17"/>
        <v>0</v>
      </c>
      <c r="AJ75" s="26">
        <f t="shared" ca="1" si="17"/>
        <v>0</v>
      </c>
      <c r="AK75" s="26">
        <f t="shared" ca="1" si="17"/>
        <v>0</v>
      </c>
      <c r="AL75" s="26">
        <f t="shared" ca="1" si="17"/>
        <v>0</v>
      </c>
    </row>
    <row r="76" spans="1:38" ht="21" hidden="1" customHeight="1" outlineLevel="1" thickBot="1" x14ac:dyDescent="0.4">
      <c r="A76" s="8">
        <f t="shared" si="16"/>
        <v>0</v>
      </c>
      <c r="B76" s="8">
        <f t="shared" si="16"/>
        <v>0</v>
      </c>
      <c r="C76" s="8">
        <f t="shared" si="16"/>
        <v>0</v>
      </c>
      <c r="D76" s="8">
        <f t="shared" si="16"/>
        <v>0</v>
      </c>
      <c r="E76" s="9">
        <f t="shared" si="16"/>
        <v>0</v>
      </c>
      <c r="F76" s="26">
        <f t="shared" ca="1" si="18"/>
        <v>0</v>
      </c>
      <c r="G76" s="26">
        <f t="shared" ca="1" si="18"/>
        <v>0</v>
      </c>
      <c r="H76" s="26">
        <f t="shared" ca="1" si="18"/>
        <v>0</v>
      </c>
      <c r="I76" s="26">
        <f t="shared" ca="1" si="18"/>
        <v>0</v>
      </c>
      <c r="J76" s="26">
        <f t="shared" ca="1" si="18"/>
        <v>0</v>
      </c>
      <c r="K76" s="26">
        <f t="shared" ca="1" si="18"/>
        <v>0</v>
      </c>
      <c r="L76" s="26">
        <f t="shared" ca="1" si="18"/>
        <v>0</v>
      </c>
      <c r="M76" s="26">
        <f t="shared" ca="1" si="18"/>
        <v>0</v>
      </c>
      <c r="N76" s="26">
        <f t="shared" ca="1" si="18"/>
        <v>0</v>
      </c>
      <c r="O76" s="26">
        <f t="shared" ca="1" si="18"/>
        <v>0</v>
      </c>
      <c r="P76" s="26">
        <f t="shared" ca="1" si="19"/>
        <v>0</v>
      </c>
      <c r="Q76" s="26">
        <f t="shared" ca="1" si="19"/>
        <v>0</v>
      </c>
      <c r="R76" s="26">
        <f t="shared" ca="1" si="19"/>
        <v>0</v>
      </c>
      <c r="S76" s="26">
        <f t="shared" ca="1" si="19"/>
        <v>0</v>
      </c>
      <c r="T76" s="26">
        <f t="shared" ca="1" si="19"/>
        <v>0</v>
      </c>
      <c r="U76" s="26">
        <f t="shared" ca="1" si="19"/>
        <v>0</v>
      </c>
      <c r="V76" s="26">
        <f t="shared" ca="1" si="19"/>
        <v>0</v>
      </c>
      <c r="W76" s="26">
        <f t="shared" ca="1" si="19"/>
        <v>0</v>
      </c>
      <c r="X76" s="26">
        <f t="shared" ca="1" si="19"/>
        <v>0</v>
      </c>
      <c r="Y76" s="26">
        <f t="shared" ca="1" si="17"/>
        <v>0</v>
      </c>
      <c r="Z76" s="26">
        <f t="shared" ca="1" si="17"/>
        <v>0</v>
      </c>
      <c r="AA76" s="26">
        <f t="shared" ca="1" si="17"/>
        <v>0</v>
      </c>
      <c r="AB76" s="26">
        <f t="shared" ca="1" si="17"/>
        <v>0</v>
      </c>
      <c r="AC76" s="26">
        <f t="shared" ca="1" si="17"/>
        <v>0</v>
      </c>
      <c r="AD76" s="26">
        <f t="shared" ca="1" si="17"/>
        <v>0</v>
      </c>
      <c r="AE76" s="26">
        <f t="shared" ca="1" si="17"/>
        <v>0</v>
      </c>
      <c r="AF76" s="26">
        <f t="shared" ca="1" si="17"/>
        <v>0</v>
      </c>
      <c r="AG76" s="26">
        <f t="shared" ca="1" si="17"/>
        <v>0</v>
      </c>
      <c r="AH76" s="26">
        <f t="shared" ca="1" si="17"/>
        <v>0</v>
      </c>
      <c r="AI76" s="26">
        <f t="shared" ca="1" si="17"/>
        <v>0</v>
      </c>
      <c r="AJ76" s="26">
        <f t="shared" ca="1" si="17"/>
        <v>0</v>
      </c>
      <c r="AK76" s="26">
        <f t="shared" ca="1" si="17"/>
        <v>0</v>
      </c>
      <c r="AL76" s="26">
        <f t="shared" ca="1" si="17"/>
        <v>0</v>
      </c>
    </row>
    <row r="77" spans="1:38" ht="21" hidden="1" customHeight="1" outlineLevel="1" thickBot="1" x14ac:dyDescent="0.4">
      <c r="A77" s="8">
        <f t="shared" si="16"/>
        <v>0</v>
      </c>
      <c r="B77" s="8">
        <f t="shared" si="16"/>
        <v>0</v>
      </c>
      <c r="C77" s="8">
        <f t="shared" si="16"/>
        <v>0</v>
      </c>
      <c r="D77" s="8">
        <f t="shared" si="16"/>
        <v>0</v>
      </c>
      <c r="E77" s="9">
        <f t="shared" si="16"/>
        <v>0</v>
      </c>
      <c r="F77" s="26">
        <f t="shared" ca="1" si="18"/>
        <v>0</v>
      </c>
      <c r="G77" s="26">
        <f t="shared" ca="1" si="18"/>
        <v>0</v>
      </c>
      <c r="H77" s="26">
        <f t="shared" ca="1" si="18"/>
        <v>0</v>
      </c>
      <c r="I77" s="26">
        <f t="shared" ca="1" si="18"/>
        <v>0</v>
      </c>
      <c r="J77" s="26">
        <f t="shared" ca="1" si="18"/>
        <v>0</v>
      </c>
      <c r="K77" s="26">
        <f t="shared" ca="1" si="18"/>
        <v>0</v>
      </c>
      <c r="L77" s="26">
        <f t="shared" ca="1" si="18"/>
        <v>0</v>
      </c>
      <c r="M77" s="26">
        <f t="shared" ca="1" si="18"/>
        <v>0</v>
      </c>
      <c r="N77" s="26">
        <f t="shared" ca="1" si="18"/>
        <v>0</v>
      </c>
      <c r="O77" s="26">
        <f t="shared" ca="1" si="18"/>
        <v>0</v>
      </c>
      <c r="P77" s="26">
        <f t="shared" ca="1" si="19"/>
        <v>0</v>
      </c>
      <c r="Q77" s="26">
        <f t="shared" ca="1" si="19"/>
        <v>0</v>
      </c>
      <c r="R77" s="26">
        <f t="shared" ca="1" si="19"/>
        <v>0</v>
      </c>
      <c r="S77" s="26">
        <f t="shared" ca="1" si="19"/>
        <v>0</v>
      </c>
      <c r="T77" s="26">
        <f t="shared" ca="1" si="19"/>
        <v>0</v>
      </c>
      <c r="U77" s="26">
        <f t="shared" ca="1" si="19"/>
        <v>0</v>
      </c>
      <c r="V77" s="26">
        <f t="shared" ca="1" si="19"/>
        <v>0</v>
      </c>
      <c r="W77" s="26">
        <f t="shared" ca="1" si="19"/>
        <v>0</v>
      </c>
      <c r="X77" s="26">
        <f t="shared" ca="1" si="19"/>
        <v>0</v>
      </c>
      <c r="Y77" s="26">
        <f t="shared" ca="1" si="17"/>
        <v>0</v>
      </c>
      <c r="Z77" s="26">
        <f t="shared" ca="1" si="17"/>
        <v>0</v>
      </c>
      <c r="AA77" s="26">
        <f t="shared" ca="1" si="17"/>
        <v>0</v>
      </c>
      <c r="AB77" s="26">
        <f t="shared" ca="1" si="17"/>
        <v>0</v>
      </c>
      <c r="AC77" s="26">
        <f t="shared" ca="1" si="17"/>
        <v>0</v>
      </c>
      <c r="AD77" s="26">
        <f t="shared" ca="1" si="17"/>
        <v>0</v>
      </c>
      <c r="AE77" s="26">
        <f t="shared" ca="1" si="17"/>
        <v>0</v>
      </c>
      <c r="AF77" s="26">
        <f t="shared" ca="1" si="17"/>
        <v>0</v>
      </c>
      <c r="AG77" s="26">
        <f t="shared" ca="1" si="17"/>
        <v>0</v>
      </c>
      <c r="AH77" s="26">
        <f t="shared" ca="1" si="17"/>
        <v>0</v>
      </c>
      <c r="AI77" s="26">
        <f t="shared" ca="1" si="17"/>
        <v>0</v>
      </c>
      <c r="AJ77" s="26">
        <f t="shared" ca="1" si="17"/>
        <v>0</v>
      </c>
      <c r="AK77" s="26">
        <f t="shared" ca="1" si="17"/>
        <v>0</v>
      </c>
      <c r="AL77" s="26">
        <f t="shared" ca="1" si="17"/>
        <v>0</v>
      </c>
    </row>
    <row r="78" spans="1:38" ht="21" hidden="1" customHeight="1" outlineLevel="1" thickBot="1" x14ac:dyDescent="0.4">
      <c r="A78" s="8">
        <f t="shared" si="16"/>
        <v>0</v>
      </c>
      <c r="B78" s="8">
        <f t="shared" si="16"/>
        <v>0</v>
      </c>
      <c r="C78" s="8">
        <f t="shared" si="16"/>
        <v>0</v>
      </c>
      <c r="D78" s="8">
        <f t="shared" si="16"/>
        <v>0</v>
      </c>
      <c r="E78" s="9">
        <f t="shared" si="16"/>
        <v>0</v>
      </c>
      <c r="F78" s="26">
        <f t="shared" ca="1" si="18"/>
        <v>0</v>
      </c>
      <c r="G78" s="26">
        <f t="shared" ca="1" si="18"/>
        <v>0</v>
      </c>
      <c r="H78" s="26">
        <f t="shared" ca="1" si="18"/>
        <v>0</v>
      </c>
      <c r="I78" s="26">
        <f t="shared" ca="1" si="18"/>
        <v>0</v>
      </c>
      <c r="J78" s="26">
        <f t="shared" ca="1" si="18"/>
        <v>0</v>
      </c>
      <c r="K78" s="26">
        <f t="shared" ca="1" si="18"/>
        <v>0</v>
      </c>
      <c r="L78" s="26">
        <f t="shared" ca="1" si="18"/>
        <v>0</v>
      </c>
      <c r="M78" s="26">
        <f t="shared" ca="1" si="18"/>
        <v>0</v>
      </c>
      <c r="N78" s="26">
        <f t="shared" ca="1" si="18"/>
        <v>0</v>
      </c>
      <c r="O78" s="26">
        <f t="shared" ca="1" si="18"/>
        <v>0</v>
      </c>
      <c r="P78" s="26">
        <f t="shared" ca="1" si="19"/>
        <v>0</v>
      </c>
      <c r="Q78" s="26">
        <f t="shared" ca="1" si="19"/>
        <v>0</v>
      </c>
      <c r="R78" s="26">
        <f t="shared" ca="1" si="19"/>
        <v>0</v>
      </c>
      <c r="S78" s="26">
        <f t="shared" ca="1" si="19"/>
        <v>0</v>
      </c>
      <c r="T78" s="26">
        <f t="shared" ca="1" si="19"/>
        <v>0</v>
      </c>
      <c r="U78" s="26">
        <f t="shared" ca="1" si="19"/>
        <v>0</v>
      </c>
      <c r="V78" s="26">
        <f t="shared" ca="1" si="19"/>
        <v>0</v>
      </c>
      <c r="W78" s="26">
        <f t="shared" ca="1" si="19"/>
        <v>0</v>
      </c>
      <c r="X78" s="26">
        <f t="shared" ca="1" si="19"/>
        <v>0</v>
      </c>
      <c r="Y78" s="26">
        <f t="shared" ca="1" si="17"/>
        <v>0</v>
      </c>
      <c r="Z78" s="26">
        <f t="shared" ca="1" si="17"/>
        <v>0</v>
      </c>
      <c r="AA78" s="26">
        <f t="shared" ca="1" si="17"/>
        <v>0</v>
      </c>
      <c r="AB78" s="26">
        <f t="shared" ca="1" si="17"/>
        <v>0</v>
      </c>
      <c r="AC78" s="26">
        <f t="shared" ca="1" si="17"/>
        <v>0</v>
      </c>
      <c r="AD78" s="26">
        <f t="shared" ca="1" si="17"/>
        <v>0</v>
      </c>
      <c r="AE78" s="26">
        <f t="shared" ca="1" si="17"/>
        <v>0</v>
      </c>
      <c r="AF78" s="26">
        <f t="shared" ca="1" si="17"/>
        <v>0</v>
      </c>
      <c r="AG78" s="26">
        <f t="shared" ca="1" si="17"/>
        <v>0</v>
      </c>
      <c r="AH78" s="26">
        <f t="shared" ca="1" si="17"/>
        <v>0</v>
      </c>
      <c r="AI78" s="26">
        <f t="shared" ca="1" si="17"/>
        <v>0</v>
      </c>
      <c r="AJ78" s="26">
        <f t="shared" ca="1" si="17"/>
        <v>0</v>
      </c>
      <c r="AK78" s="26">
        <f t="shared" ca="1" si="17"/>
        <v>0</v>
      </c>
      <c r="AL78" s="26">
        <f t="shared" ca="1" si="17"/>
        <v>0</v>
      </c>
    </row>
    <row r="79" spans="1:38" ht="21" hidden="1" customHeight="1" outlineLevel="1" thickBot="1" x14ac:dyDescent="0.4">
      <c r="A79" s="8">
        <f t="shared" si="16"/>
        <v>0</v>
      </c>
      <c r="B79" s="8">
        <f t="shared" si="16"/>
        <v>0</v>
      </c>
      <c r="C79" s="8">
        <f t="shared" si="16"/>
        <v>0</v>
      </c>
      <c r="D79" s="8">
        <f t="shared" si="16"/>
        <v>0</v>
      </c>
      <c r="E79" s="9">
        <f t="shared" si="16"/>
        <v>1</v>
      </c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</row>
    <row r="80" spans="1:38" ht="21" hidden="1" customHeight="1" outlineLevel="1" x14ac:dyDescent="0.35"/>
    <row r="81" spans="1:38" ht="21" customHeight="1" collapsed="1" thickBot="1" x14ac:dyDescent="0.4">
      <c r="W81" s="21"/>
    </row>
    <row r="82" spans="1:38" ht="21" customHeight="1" thickBot="1" x14ac:dyDescent="0.45">
      <c r="A82" s="26"/>
      <c r="B82" s="26"/>
      <c r="C82" s="38">
        <f>E41</f>
        <v>8.3333333333333339</v>
      </c>
      <c r="D82" s="1"/>
      <c r="E82" s="2" t="s">
        <v>31</v>
      </c>
      <c r="F82" s="3"/>
      <c r="G82" s="2"/>
      <c r="H82" s="2"/>
      <c r="I82" s="2"/>
      <c r="J82" s="2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</row>
    <row r="83" spans="1:38" ht="21" hidden="1" customHeight="1" outlineLevel="1" thickTop="1" thickBot="1" x14ac:dyDescent="0.4">
      <c r="A83" s="24" t="s">
        <v>1</v>
      </c>
      <c r="B83" s="5" t="s">
        <v>2</v>
      </c>
      <c r="C83" s="5" t="s">
        <v>3</v>
      </c>
      <c r="D83" s="25" t="s">
        <v>4</v>
      </c>
      <c r="E83" s="6">
        <f t="shared" ref="E83:E113" si="20">E49</f>
        <v>0</v>
      </c>
      <c r="F83" s="6">
        <f t="shared" ref="F83:AL83" si="21">F3</f>
        <v>298.2</v>
      </c>
      <c r="G83" s="6">
        <f t="shared" si="21"/>
        <v>331.5</v>
      </c>
      <c r="H83" s="6">
        <f t="shared" si="21"/>
        <v>364.9</v>
      </c>
      <c r="I83" s="6">
        <f t="shared" si="21"/>
        <v>398.3</v>
      </c>
      <c r="J83" s="6">
        <f t="shared" si="21"/>
        <v>431.7</v>
      </c>
      <c r="K83" s="6">
        <f t="shared" si="21"/>
        <v>465.1</v>
      </c>
      <c r="L83" s="6">
        <f t="shared" si="21"/>
        <v>498.5</v>
      </c>
      <c r="M83" s="6">
        <f t="shared" si="21"/>
        <v>531.79999999999995</v>
      </c>
      <c r="N83" s="6">
        <f t="shared" si="21"/>
        <v>565.20000000000005</v>
      </c>
      <c r="O83" s="6">
        <f t="shared" si="21"/>
        <v>698.8</v>
      </c>
      <c r="P83" s="6">
        <f t="shared" si="21"/>
        <v>832.3</v>
      </c>
      <c r="Q83" s="6">
        <f t="shared" si="21"/>
        <v>965.8</v>
      </c>
      <c r="R83" s="6">
        <f t="shared" si="21"/>
        <v>999.2</v>
      </c>
      <c r="S83" s="6">
        <f t="shared" si="21"/>
        <v>1033</v>
      </c>
      <c r="T83" s="6">
        <f t="shared" si="21"/>
        <v>1066</v>
      </c>
      <c r="U83" s="6">
        <f t="shared" si="21"/>
        <v>1099</v>
      </c>
      <c r="V83" s="6">
        <f t="shared" si="21"/>
        <v>1233</v>
      </c>
      <c r="W83" s="6">
        <f t="shared" si="21"/>
        <v>1366</v>
      </c>
      <c r="X83" s="6">
        <f t="shared" si="21"/>
        <v>1400</v>
      </c>
      <c r="Y83" s="6">
        <f t="shared" si="21"/>
        <v>1433</v>
      </c>
      <c r="Z83" s="6">
        <f t="shared" si="21"/>
        <v>1467</v>
      </c>
      <c r="AA83" s="6">
        <f t="shared" si="21"/>
        <v>1500</v>
      </c>
      <c r="AB83" s="6">
        <f t="shared" si="21"/>
        <v>0</v>
      </c>
      <c r="AC83" s="6">
        <f t="shared" si="21"/>
        <v>0</v>
      </c>
      <c r="AD83" s="6">
        <f t="shared" si="21"/>
        <v>0</v>
      </c>
      <c r="AE83" s="6">
        <f t="shared" si="21"/>
        <v>0</v>
      </c>
      <c r="AF83" s="6">
        <f t="shared" si="21"/>
        <v>0</v>
      </c>
      <c r="AG83" s="6">
        <f t="shared" si="21"/>
        <v>0</v>
      </c>
      <c r="AH83" s="6">
        <f t="shared" si="21"/>
        <v>0</v>
      </c>
      <c r="AI83" s="6">
        <f t="shared" si="21"/>
        <v>0</v>
      </c>
      <c r="AJ83" s="6">
        <f t="shared" si="21"/>
        <v>0</v>
      </c>
      <c r="AK83" s="6">
        <f t="shared" si="21"/>
        <v>0</v>
      </c>
      <c r="AL83" s="6">
        <f t="shared" si="21"/>
        <v>0</v>
      </c>
    </row>
    <row r="84" spans="1:38" ht="21" hidden="1" customHeight="1" outlineLevel="1" thickTop="1" thickBot="1" x14ac:dyDescent="0.4">
      <c r="A84" s="8">
        <f>A50</f>
        <v>0</v>
      </c>
      <c r="B84" s="8">
        <f t="shared" ref="B84:D84" si="22">B50</f>
        <v>0</v>
      </c>
      <c r="C84" s="8">
        <f t="shared" si="22"/>
        <v>1</v>
      </c>
      <c r="D84" s="8">
        <f t="shared" si="22"/>
        <v>0</v>
      </c>
      <c r="E84" s="9" t="str">
        <f t="shared" si="20"/>
        <v>*Ge[l]</v>
      </c>
      <c r="F84" s="26">
        <f t="shared" ref="F84:AL91" si="23">F4*$C$82</f>
        <v>0</v>
      </c>
      <c r="G84" s="26">
        <f t="shared" si="23"/>
        <v>0</v>
      </c>
      <c r="H84" s="26">
        <f t="shared" si="23"/>
        <v>0</v>
      </c>
      <c r="I84" s="26">
        <f t="shared" si="23"/>
        <v>0</v>
      </c>
      <c r="J84" s="26">
        <f t="shared" si="23"/>
        <v>0</v>
      </c>
      <c r="K84" s="26">
        <f t="shared" si="23"/>
        <v>0</v>
      </c>
      <c r="L84" s="26">
        <f t="shared" si="23"/>
        <v>0</v>
      </c>
      <c r="M84" s="26">
        <f t="shared" si="23"/>
        <v>0</v>
      </c>
      <c r="N84" s="26">
        <f t="shared" si="23"/>
        <v>4.5386666666666667E-23</v>
      </c>
      <c r="O84" s="26">
        <f t="shared" si="23"/>
        <v>2.2605000000000003E-12</v>
      </c>
      <c r="P84" s="26">
        <f t="shared" si="23"/>
        <v>3.6087500000000001E-10</v>
      </c>
      <c r="Q84" s="26">
        <f t="shared" si="23"/>
        <v>1.1971666666666667E-8</v>
      </c>
      <c r="R84" s="26">
        <f t="shared" si="23"/>
        <v>2.0710833333333335E-8</v>
      </c>
      <c r="S84" s="26">
        <f t="shared" si="23"/>
        <v>3.7360833333333335E-8</v>
      </c>
      <c r="T84" s="26">
        <f t="shared" si="23"/>
        <v>9.8875000000000017E-8</v>
      </c>
      <c r="U84" s="26">
        <f t="shared" si="23"/>
        <v>2.4500833333333334E-7</v>
      </c>
      <c r="V84" s="26">
        <f t="shared" si="23"/>
        <v>0.49995000000000001</v>
      </c>
      <c r="W84" s="26">
        <f t="shared" si="23"/>
        <v>0.5</v>
      </c>
      <c r="X84" s="26">
        <f t="shared" si="23"/>
        <v>0.5</v>
      </c>
      <c r="Y84" s="26">
        <f t="shared" si="23"/>
        <v>0.5</v>
      </c>
      <c r="Z84" s="26">
        <f t="shared" si="23"/>
        <v>0.5</v>
      </c>
      <c r="AA84" s="26">
        <f t="shared" si="23"/>
        <v>0.5</v>
      </c>
      <c r="AB84" s="26">
        <f t="shared" si="23"/>
        <v>0</v>
      </c>
      <c r="AC84" s="26">
        <f t="shared" si="23"/>
        <v>0</v>
      </c>
      <c r="AD84" s="26">
        <f t="shared" si="23"/>
        <v>0</v>
      </c>
      <c r="AE84" s="26">
        <f t="shared" si="23"/>
        <v>0</v>
      </c>
      <c r="AF84" s="26">
        <f t="shared" si="23"/>
        <v>0</v>
      </c>
      <c r="AG84" s="26">
        <f t="shared" si="23"/>
        <v>0</v>
      </c>
      <c r="AH84" s="26">
        <f t="shared" si="23"/>
        <v>0</v>
      </c>
      <c r="AI84" s="26">
        <f t="shared" si="23"/>
        <v>0</v>
      </c>
      <c r="AJ84" s="26">
        <f t="shared" si="23"/>
        <v>0</v>
      </c>
      <c r="AK84" s="26">
        <f t="shared" si="23"/>
        <v>0</v>
      </c>
      <c r="AL84" s="26">
        <f t="shared" si="23"/>
        <v>0</v>
      </c>
    </row>
    <row r="85" spans="1:38" ht="21" hidden="1" customHeight="1" outlineLevel="1" thickBot="1" x14ac:dyDescent="0.4">
      <c r="A85" s="8">
        <f t="shared" ref="A85:D100" si="24">A51</f>
        <v>0</v>
      </c>
      <c r="B85" s="8">
        <f t="shared" si="24"/>
        <v>0</v>
      </c>
      <c r="C85" s="8">
        <f t="shared" si="24"/>
        <v>1</v>
      </c>
      <c r="D85" s="8">
        <f t="shared" si="24"/>
        <v>0</v>
      </c>
      <c r="E85" s="9" t="str">
        <f t="shared" si="20"/>
        <v>*Ge</v>
      </c>
      <c r="F85" s="26">
        <f t="shared" si="23"/>
        <v>0</v>
      </c>
      <c r="G85" s="26">
        <f t="shared" si="23"/>
        <v>0</v>
      </c>
      <c r="H85" s="26">
        <f t="shared" si="23"/>
        <v>0</v>
      </c>
      <c r="I85" s="26">
        <f t="shared" si="23"/>
        <v>2.0295833333333334E-23</v>
      </c>
      <c r="J85" s="26">
        <f t="shared" si="23"/>
        <v>8.2242500000000018E-15</v>
      </c>
      <c r="K85" s="26">
        <f t="shared" si="23"/>
        <v>1.6101666666666666E-10</v>
      </c>
      <c r="L85" s="26">
        <f t="shared" si="23"/>
        <v>3.8133333333333337E-8</v>
      </c>
      <c r="M85" s="26">
        <f t="shared" si="23"/>
        <v>0.5</v>
      </c>
      <c r="N85" s="26">
        <f t="shared" si="23"/>
        <v>0.5</v>
      </c>
      <c r="O85" s="26">
        <f t="shared" si="23"/>
        <v>0.5</v>
      </c>
      <c r="P85" s="26">
        <f t="shared" si="23"/>
        <v>0.5</v>
      </c>
      <c r="Q85" s="26">
        <f t="shared" si="23"/>
        <v>0.5</v>
      </c>
      <c r="R85" s="26">
        <f t="shared" si="23"/>
        <v>0.5</v>
      </c>
      <c r="S85" s="26">
        <f t="shared" si="23"/>
        <v>0.5</v>
      </c>
      <c r="T85" s="26">
        <f t="shared" si="23"/>
        <v>0.5</v>
      </c>
      <c r="U85" s="26">
        <f t="shared" si="23"/>
        <v>0.5</v>
      </c>
      <c r="V85" s="26">
        <f t="shared" si="23"/>
        <v>4.9101666666666671E-5</v>
      </c>
      <c r="W85" s="26">
        <f t="shared" si="23"/>
        <v>1.6452500000000003E-7</v>
      </c>
      <c r="X85" s="26">
        <f t="shared" si="23"/>
        <v>1.2127500000000001E-7</v>
      </c>
      <c r="Y85" s="26">
        <f t="shared" si="23"/>
        <v>6.8465833333333341E-8</v>
      </c>
      <c r="Z85" s="26">
        <f t="shared" si="23"/>
        <v>6.5566666666666665E-8</v>
      </c>
      <c r="AA85" s="26">
        <f t="shared" si="23"/>
        <v>5.0708333333333342E-8</v>
      </c>
      <c r="AB85" s="26">
        <f t="shared" si="23"/>
        <v>0</v>
      </c>
      <c r="AC85" s="26">
        <f t="shared" si="23"/>
        <v>0</v>
      </c>
      <c r="AD85" s="26">
        <f t="shared" si="23"/>
        <v>0</v>
      </c>
      <c r="AE85" s="26">
        <f t="shared" si="23"/>
        <v>0</v>
      </c>
      <c r="AF85" s="26">
        <f t="shared" si="23"/>
        <v>0</v>
      </c>
      <c r="AG85" s="26">
        <f t="shared" si="23"/>
        <v>0</v>
      </c>
      <c r="AH85" s="26">
        <f t="shared" si="23"/>
        <v>0</v>
      </c>
      <c r="AI85" s="26">
        <f t="shared" si="23"/>
        <v>0</v>
      </c>
      <c r="AJ85" s="26">
        <f t="shared" si="23"/>
        <v>0</v>
      </c>
      <c r="AK85" s="26">
        <f t="shared" si="23"/>
        <v>0</v>
      </c>
      <c r="AL85" s="26">
        <f t="shared" si="23"/>
        <v>0</v>
      </c>
    </row>
    <row r="86" spans="1:38" ht="21" hidden="1" customHeight="1" outlineLevel="1" thickBot="1" x14ac:dyDescent="0.4">
      <c r="A86" s="8">
        <f t="shared" si="24"/>
        <v>0</v>
      </c>
      <c r="B86" s="8">
        <f t="shared" si="24"/>
        <v>1</v>
      </c>
      <c r="C86" s="8">
        <f t="shared" si="24"/>
        <v>1</v>
      </c>
      <c r="D86" s="8">
        <f t="shared" si="24"/>
        <v>0</v>
      </c>
      <c r="E86" s="9" t="str">
        <f t="shared" si="20"/>
        <v>*GeSe</v>
      </c>
      <c r="F86" s="26">
        <f t="shared" si="23"/>
        <v>0.5</v>
      </c>
      <c r="G86" s="26">
        <f t="shared" si="23"/>
        <v>0.5</v>
      </c>
      <c r="H86" s="26">
        <f t="shared" si="23"/>
        <v>1</v>
      </c>
      <c r="I86" s="26">
        <f t="shared" si="23"/>
        <v>1</v>
      </c>
      <c r="J86" s="26">
        <f t="shared" si="23"/>
        <v>1</v>
      </c>
      <c r="K86" s="26">
        <f t="shared" si="23"/>
        <v>1</v>
      </c>
      <c r="L86" s="26">
        <f t="shared" si="23"/>
        <v>1</v>
      </c>
      <c r="M86" s="26">
        <f t="shared" si="23"/>
        <v>7.0004166666666667E-8</v>
      </c>
      <c r="N86" s="26">
        <f t="shared" si="23"/>
        <v>6.7773333333333339E-10</v>
      </c>
      <c r="O86" s="26">
        <f t="shared" si="23"/>
        <v>6.0457500000000001E-25</v>
      </c>
      <c r="P86" s="26">
        <f t="shared" si="23"/>
        <v>0</v>
      </c>
      <c r="Q86" s="26">
        <f t="shared" si="23"/>
        <v>0</v>
      </c>
      <c r="R86" s="26">
        <f t="shared" si="23"/>
        <v>0</v>
      </c>
      <c r="S86" s="26">
        <f t="shared" si="23"/>
        <v>0</v>
      </c>
      <c r="T86" s="26">
        <f t="shared" si="23"/>
        <v>0</v>
      </c>
      <c r="U86" s="26">
        <f t="shared" si="23"/>
        <v>0</v>
      </c>
      <c r="V86" s="26">
        <f t="shared" si="23"/>
        <v>0</v>
      </c>
      <c r="W86" s="26">
        <f t="shared" si="23"/>
        <v>0</v>
      </c>
      <c r="X86" s="26">
        <f t="shared" si="23"/>
        <v>0</v>
      </c>
      <c r="Y86" s="26">
        <f t="shared" si="23"/>
        <v>0</v>
      </c>
      <c r="Z86" s="26">
        <f t="shared" si="23"/>
        <v>0</v>
      </c>
      <c r="AA86" s="26">
        <f t="shared" si="23"/>
        <v>0</v>
      </c>
      <c r="AB86" s="26">
        <f t="shared" si="23"/>
        <v>0</v>
      </c>
      <c r="AC86" s="26">
        <f t="shared" si="23"/>
        <v>0</v>
      </c>
      <c r="AD86" s="26">
        <f t="shared" si="23"/>
        <v>0</v>
      </c>
      <c r="AE86" s="26">
        <f t="shared" si="23"/>
        <v>0</v>
      </c>
      <c r="AF86" s="26">
        <f t="shared" si="23"/>
        <v>0</v>
      </c>
      <c r="AG86" s="26">
        <f t="shared" si="23"/>
        <v>0</v>
      </c>
      <c r="AH86" s="26">
        <f t="shared" si="23"/>
        <v>0</v>
      </c>
      <c r="AI86" s="26">
        <f t="shared" si="23"/>
        <v>0</v>
      </c>
      <c r="AJ86" s="26">
        <f t="shared" si="23"/>
        <v>0</v>
      </c>
      <c r="AK86" s="26">
        <f t="shared" si="23"/>
        <v>0</v>
      </c>
      <c r="AL86" s="26">
        <f t="shared" si="23"/>
        <v>0</v>
      </c>
    </row>
    <row r="87" spans="1:38" ht="21" hidden="1" customHeight="1" outlineLevel="1" thickBot="1" x14ac:dyDescent="0.4">
      <c r="A87" s="8">
        <f t="shared" si="24"/>
        <v>0</v>
      </c>
      <c r="B87" s="8">
        <f t="shared" si="24"/>
        <v>0</v>
      </c>
      <c r="C87" s="8">
        <f t="shared" si="24"/>
        <v>0</v>
      </c>
      <c r="D87" s="8">
        <f t="shared" si="24"/>
        <v>1</v>
      </c>
      <c r="E87" s="9" t="str">
        <f t="shared" si="20"/>
        <v>*Ga</v>
      </c>
      <c r="F87" s="26">
        <f t="shared" si="23"/>
        <v>0</v>
      </c>
      <c r="G87" s="26">
        <f t="shared" si="23"/>
        <v>0</v>
      </c>
      <c r="H87" s="26">
        <f t="shared" si="23"/>
        <v>0</v>
      </c>
      <c r="I87" s="26">
        <f t="shared" si="23"/>
        <v>0</v>
      </c>
      <c r="J87" s="26">
        <f t="shared" si="23"/>
        <v>0</v>
      </c>
      <c r="K87" s="26">
        <f t="shared" si="23"/>
        <v>0</v>
      </c>
      <c r="L87" s="26">
        <f t="shared" si="23"/>
        <v>0</v>
      </c>
      <c r="M87" s="26">
        <f t="shared" si="23"/>
        <v>1.2927500000000001</v>
      </c>
      <c r="N87" s="26">
        <f t="shared" si="23"/>
        <v>1.666666666666667</v>
      </c>
      <c r="O87" s="26">
        <f t="shared" si="23"/>
        <v>1.666666666666667</v>
      </c>
      <c r="P87" s="26">
        <f t="shared" si="23"/>
        <v>1.666666666666667</v>
      </c>
      <c r="Q87" s="26">
        <f t="shared" si="23"/>
        <v>1.666666666666667</v>
      </c>
      <c r="R87" s="26">
        <f t="shared" si="23"/>
        <v>1.666666666666667</v>
      </c>
      <c r="S87" s="26">
        <f t="shared" si="23"/>
        <v>1.666666666666667</v>
      </c>
      <c r="T87" s="26">
        <f t="shared" si="23"/>
        <v>1.666666666666667</v>
      </c>
      <c r="U87" s="26">
        <f t="shared" si="23"/>
        <v>1.666666666666667</v>
      </c>
      <c r="V87" s="26">
        <f t="shared" si="23"/>
        <v>1.666666666666667</v>
      </c>
      <c r="W87" s="26">
        <f t="shared" si="23"/>
        <v>1.666666666666667</v>
      </c>
      <c r="X87" s="26">
        <f t="shared" si="23"/>
        <v>1.666666666666667</v>
      </c>
      <c r="Y87" s="26">
        <f t="shared" si="23"/>
        <v>1.666666666666667</v>
      </c>
      <c r="Z87" s="26">
        <f t="shared" si="23"/>
        <v>1.666666666666667</v>
      </c>
      <c r="AA87" s="26">
        <f t="shared" si="23"/>
        <v>1.666666666666667</v>
      </c>
      <c r="AB87" s="26">
        <f t="shared" si="23"/>
        <v>0</v>
      </c>
      <c r="AC87" s="26">
        <f t="shared" si="23"/>
        <v>0</v>
      </c>
      <c r="AD87" s="26">
        <f t="shared" si="23"/>
        <v>0</v>
      </c>
      <c r="AE87" s="26">
        <f t="shared" si="23"/>
        <v>0</v>
      </c>
      <c r="AF87" s="26">
        <f t="shared" si="23"/>
        <v>0</v>
      </c>
      <c r="AG87" s="26">
        <f t="shared" si="23"/>
        <v>0</v>
      </c>
      <c r="AH87" s="26">
        <f t="shared" si="23"/>
        <v>0</v>
      </c>
      <c r="AI87" s="26">
        <f t="shared" si="23"/>
        <v>0</v>
      </c>
      <c r="AJ87" s="26">
        <f t="shared" si="23"/>
        <v>0</v>
      </c>
      <c r="AK87" s="26">
        <f t="shared" si="23"/>
        <v>0</v>
      </c>
      <c r="AL87" s="26">
        <f t="shared" si="23"/>
        <v>0</v>
      </c>
    </row>
    <row r="88" spans="1:38" ht="21" hidden="1" customHeight="1" outlineLevel="1" thickBot="1" x14ac:dyDescent="0.4">
      <c r="A88" s="8">
        <f t="shared" si="24"/>
        <v>0</v>
      </c>
      <c r="B88" s="8">
        <f t="shared" si="24"/>
        <v>0</v>
      </c>
      <c r="C88" s="8">
        <f t="shared" si="24"/>
        <v>1</v>
      </c>
      <c r="D88" s="8">
        <f t="shared" si="24"/>
        <v>0</v>
      </c>
      <c r="E88" s="9" t="str">
        <f t="shared" si="20"/>
        <v>*Ge[c]</v>
      </c>
      <c r="F88" s="26">
        <f t="shared" si="23"/>
        <v>0</v>
      </c>
      <c r="G88" s="26">
        <f t="shared" si="23"/>
        <v>0</v>
      </c>
      <c r="H88" s="26">
        <f t="shared" si="23"/>
        <v>0</v>
      </c>
      <c r="I88" s="26">
        <f t="shared" si="23"/>
        <v>2.0295833333333334E-23</v>
      </c>
      <c r="J88" s="26">
        <f t="shared" si="23"/>
        <v>8.2242500000000018E-15</v>
      </c>
      <c r="K88" s="26">
        <f t="shared" si="23"/>
        <v>1.6101666666666666E-10</v>
      </c>
      <c r="L88" s="26">
        <f t="shared" si="23"/>
        <v>3.8133333333333337E-8</v>
      </c>
      <c r="M88" s="26">
        <f t="shared" si="23"/>
        <v>0.5</v>
      </c>
      <c r="N88" s="26">
        <f t="shared" si="23"/>
        <v>0.5</v>
      </c>
      <c r="O88" s="26">
        <f t="shared" si="23"/>
        <v>0.5</v>
      </c>
      <c r="P88" s="26">
        <f t="shared" si="23"/>
        <v>0.5</v>
      </c>
      <c r="Q88" s="26">
        <f t="shared" si="23"/>
        <v>0.5</v>
      </c>
      <c r="R88" s="26">
        <f t="shared" si="23"/>
        <v>0.5</v>
      </c>
      <c r="S88" s="26">
        <f t="shared" si="23"/>
        <v>0.5</v>
      </c>
      <c r="T88" s="26">
        <f t="shared" si="23"/>
        <v>0.5</v>
      </c>
      <c r="U88" s="26">
        <f t="shared" si="23"/>
        <v>0.5</v>
      </c>
      <c r="V88" s="26">
        <f t="shared" si="23"/>
        <v>4.9101666666666671E-5</v>
      </c>
      <c r="W88" s="26">
        <f t="shared" si="23"/>
        <v>1.6452500000000003E-7</v>
      </c>
      <c r="X88" s="26">
        <f t="shared" si="23"/>
        <v>1.2127500000000001E-7</v>
      </c>
      <c r="Y88" s="26">
        <f t="shared" si="23"/>
        <v>6.8465833333333341E-8</v>
      </c>
      <c r="Z88" s="26">
        <f t="shared" si="23"/>
        <v>6.5566666666666665E-8</v>
      </c>
      <c r="AA88" s="26">
        <f t="shared" si="23"/>
        <v>5.0708333333333342E-8</v>
      </c>
      <c r="AB88" s="26">
        <f t="shared" si="23"/>
        <v>0</v>
      </c>
      <c r="AC88" s="26">
        <f t="shared" si="23"/>
        <v>0</v>
      </c>
      <c r="AD88" s="26">
        <f t="shared" si="23"/>
        <v>0</v>
      </c>
      <c r="AE88" s="26">
        <f t="shared" si="23"/>
        <v>0</v>
      </c>
      <c r="AF88" s="26">
        <f t="shared" si="23"/>
        <v>0</v>
      </c>
      <c r="AG88" s="26">
        <f t="shared" si="23"/>
        <v>0</v>
      </c>
      <c r="AH88" s="26">
        <f t="shared" si="23"/>
        <v>0</v>
      </c>
      <c r="AI88" s="26">
        <f t="shared" si="23"/>
        <v>0</v>
      </c>
      <c r="AJ88" s="26">
        <f t="shared" si="23"/>
        <v>0</v>
      </c>
      <c r="AK88" s="26">
        <f t="shared" si="23"/>
        <v>0</v>
      </c>
      <c r="AL88" s="26">
        <f t="shared" si="23"/>
        <v>0</v>
      </c>
    </row>
    <row r="89" spans="1:38" ht="21" hidden="1" customHeight="1" outlineLevel="1" thickBot="1" x14ac:dyDescent="0.4">
      <c r="A89" s="8">
        <f t="shared" si="24"/>
        <v>0</v>
      </c>
      <c r="B89" s="8">
        <f t="shared" si="24"/>
        <v>1</v>
      </c>
      <c r="C89" s="8">
        <f t="shared" si="24"/>
        <v>0</v>
      </c>
      <c r="D89" s="8">
        <f t="shared" si="24"/>
        <v>0</v>
      </c>
      <c r="E89" s="9" t="str">
        <f t="shared" si="20"/>
        <v>*Se[m]</v>
      </c>
      <c r="F89" s="26">
        <f t="shared" si="23"/>
        <v>7.2607500000000001E-14</v>
      </c>
      <c r="G89" s="26">
        <f t="shared" si="23"/>
        <v>8.212166666666667E-8</v>
      </c>
      <c r="H89" s="26">
        <f t="shared" si="23"/>
        <v>0.5</v>
      </c>
      <c r="I89" s="26">
        <f t="shared" si="23"/>
        <v>0.5</v>
      </c>
      <c r="J89" s="26">
        <f t="shared" si="23"/>
        <v>0.5</v>
      </c>
      <c r="K89" s="26">
        <f t="shared" si="23"/>
        <v>0.5</v>
      </c>
      <c r="L89" s="26">
        <f t="shared" si="23"/>
        <v>0.5</v>
      </c>
      <c r="M89" s="26">
        <f t="shared" si="23"/>
        <v>3.4391666666666669</v>
      </c>
      <c r="N89" s="26">
        <f t="shared" si="23"/>
        <v>3.999916666666667</v>
      </c>
      <c r="O89" s="26">
        <f t="shared" si="23"/>
        <v>4</v>
      </c>
      <c r="P89" s="26">
        <f t="shared" si="23"/>
        <v>4</v>
      </c>
      <c r="Q89" s="26">
        <f t="shared" si="23"/>
        <v>4</v>
      </c>
      <c r="R89" s="26">
        <f t="shared" si="23"/>
        <v>4</v>
      </c>
      <c r="S89" s="26">
        <f t="shared" si="23"/>
        <v>4</v>
      </c>
      <c r="T89" s="26">
        <f t="shared" si="23"/>
        <v>4</v>
      </c>
      <c r="U89" s="26">
        <f t="shared" si="23"/>
        <v>4</v>
      </c>
      <c r="V89" s="26">
        <f t="shared" si="23"/>
        <v>4</v>
      </c>
      <c r="W89" s="26">
        <f t="shared" si="23"/>
        <v>4</v>
      </c>
      <c r="X89" s="26">
        <f t="shared" si="23"/>
        <v>4</v>
      </c>
      <c r="Y89" s="26">
        <f t="shared" si="23"/>
        <v>4</v>
      </c>
      <c r="Z89" s="26">
        <f t="shared" si="23"/>
        <v>4</v>
      </c>
      <c r="AA89" s="26">
        <f t="shared" si="23"/>
        <v>4</v>
      </c>
      <c r="AB89" s="26">
        <f t="shared" si="23"/>
        <v>0</v>
      </c>
      <c r="AC89" s="26">
        <f t="shared" si="23"/>
        <v>0</v>
      </c>
      <c r="AD89" s="26">
        <f t="shared" si="23"/>
        <v>0</v>
      </c>
      <c r="AE89" s="26">
        <f t="shared" si="23"/>
        <v>0</v>
      </c>
      <c r="AF89" s="26">
        <f t="shared" si="23"/>
        <v>0</v>
      </c>
      <c r="AG89" s="26">
        <f t="shared" si="23"/>
        <v>0</v>
      </c>
      <c r="AH89" s="26">
        <f t="shared" si="23"/>
        <v>0</v>
      </c>
      <c r="AI89" s="26">
        <f t="shared" si="23"/>
        <v>0</v>
      </c>
      <c r="AJ89" s="26">
        <f t="shared" si="23"/>
        <v>0</v>
      </c>
      <c r="AK89" s="26">
        <f t="shared" si="23"/>
        <v>0</v>
      </c>
      <c r="AL89" s="26">
        <f t="shared" si="23"/>
        <v>0</v>
      </c>
    </row>
    <row r="90" spans="1:38" ht="21" hidden="1" customHeight="1" outlineLevel="1" thickBot="1" x14ac:dyDescent="0.4">
      <c r="A90" s="8">
        <f t="shared" si="24"/>
        <v>0</v>
      </c>
      <c r="B90" s="8">
        <f t="shared" si="24"/>
        <v>2</v>
      </c>
      <c r="C90" s="8">
        <f t="shared" si="24"/>
        <v>1</v>
      </c>
      <c r="D90" s="8">
        <f t="shared" si="24"/>
        <v>0</v>
      </c>
      <c r="E90" s="9" t="str">
        <f t="shared" si="20"/>
        <v>*GeSe2</v>
      </c>
      <c r="F90" s="26">
        <f t="shared" si="23"/>
        <v>0.5</v>
      </c>
      <c r="G90" s="26">
        <f t="shared" si="23"/>
        <v>0.5</v>
      </c>
      <c r="H90" s="26">
        <f t="shared" si="23"/>
        <v>3.0980000000000003E-9</v>
      </c>
      <c r="I90" s="26">
        <f t="shared" si="23"/>
        <v>3.0569166666666668E-11</v>
      </c>
      <c r="J90" s="26">
        <f t="shared" si="23"/>
        <v>1.8156666666666669E-16</v>
      </c>
      <c r="K90" s="26">
        <f t="shared" si="23"/>
        <v>1.6450000000000002E-28</v>
      </c>
      <c r="L90" s="26">
        <f t="shared" si="23"/>
        <v>0</v>
      </c>
      <c r="M90" s="26">
        <f t="shared" si="23"/>
        <v>0</v>
      </c>
      <c r="N90" s="26">
        <f t="shared" si="23"/>
        <v>0</v>
      </c>
      <c r="O90" s="26">
        <f t="shared" si="23"/>
        <v>0</v>
      </c>
      <c r="P90" s="26">
        <f t="shared" si="23"/>
        <v>0</v>
      </c>
      <c r="Q90" s="26">
        <f t="shared" si="23"/>
        <v>0</v>
      </c>
      <c r="R90" s="26">
        <f t="shared" si="23"/>
        <v>0</v>
      </c>
      <c r="S90" s="26">
        <f t="shared" si="23"/>
        <v>0</v>
      </c>
      <c r="T90" s="26">
        <f t="shared" si="23"/>
        <v>0</v>
      </c>
      <c r="U90" s="26">
        <f t="shared" si="23"/>
        <v>0</v>
      </c>
      <c r="V90" s="26">
        <f t="shared" si="23"/>
        <v>0</v>
      </c>
      <c r="W90" s="26">
        <f t="shared" si="23"/>
        <v>0</v>
      </c>
      <c r="X90" s="26">
        <f t="shared" si="23"/>
        <v>0</v>
      </c>
      <c r="Y90" s="26">
        <f t="shared" si="23"/>
        <v>0</v>
      </c>
      <c r="Z90" s="26">
        <f t="shared" si="23"/>
        <v>0</v>
      </c>
      <c r="AA90" s="26">
        <f t="shared" si="23"/>
        <v>0</v>
      </c>
      <c r="AB90" s="26">
        <f t="shared" si="23"/>
        <v>0</v>
      </c>
      <c r="AC90" s="26">
        <f t="shared" si="23"/>
        <v>0</v>
      </c>
      <c r="AD90" s="26">
        <f t="shared" si="23"/>
        <v>0</v>
      </c>
      <c r="AE90" s="26">
        <f t="shared" si="23"/>
        <v>0</v>
      </c>
      <c r="AF90" s="26">
        <f t="shared" si="23"/>
        <v>0</v>
      </c>
      <c r="AG90" s="26">
        <f t="shared" si="23"/>
        <v>0</v>
      </c>
      <c r="AH90" s="26">
        <f t="shared" si="23"/>
        <v>0</v>
      </c>
      <c r="AI90" s="26">
        <f t="shared" si="23"/>
        <v>0</v>
      </c>
      <c r="AJ90" s="26">
        <f t="shared" si="23"/>
        <v>0</v>
      </c>
      <c r="AK90" s="26">
        <f t="shared" si="23"/>
        <v>0</v>
      </c>
      <c r="AL90" s="26">
        <f t="shared" si="23"/>
        <v>0</v>
      </c>
    </row>
    <row r="91" spans="1:38" ht="21" hidden="1" customHeight="1" outlineLevel="1" thickBot="1" x14ac:dyDescent="0.4">
      <c r="A91" s="8">
        <f t="shared" si="24"/>
        <v>0</v>
      </c>
      <c r="B91" s="8">
        <f t="shared" si="24"/>
        <v>3</v>
      </c>
      <c r="C91" s="8">
        <f t="shared" si="24"/>
        <v>0</v>
      </c>
      <c r="D91" s="8">
        <f t="shared" si="24"/>
        <v>2</v>
      </c>
      <c r="E91" s="9" t="str">
        <f t="shared" si="20"/>
        <v>*Ga2Se3</v>
      </c>
      <c r="F91" s="26">
        <f t="shared" si="23"/>
        <v>0.83333333333333348</v>
      </c>
      <c r="G91" s="26">
        <f t="shared" si="23"/>
        <v>0.83333333333333348</v>
      </c>
      <c r="H91" s="26">
        <f t="shared" si="23"/>
        <v>0.83333333333333348</v>
      </c>
      <c r="I91" s="26">
        <f t="shared" si="23"/>
        <v>0.83333333333333348</v>
      </c>
      <c r="J91" s="26">
        <f t="shared" si="23"/>
        <v>0.83333333333333348</v>
      </c>
      <c r="K91" s="26">
        <f t="shared" si="23"/>
        <v>0.83333333333333348</v>
      </c>
      <c r="L91" s="26">
        <f t="shared" si="23"/>
        <v>0.83333333333333348</v>
      </c>
      <c r="M91" s="26">
        <f t="shared" si="23"/>
        <v>0.1869416666666667</v>
      </c>
      <c r="N91" s="26">
        <f t="shared" si="23"/>
        <v>1.6968333333333335E-5</v>
      </c>
      <c r="O91" s="26">
        <f t="shared" si="23"/>
        <v>6.4800833333333341E-19</v>
      </c>
      <c r="P91" s="26">
        <f t="shared" si="23"/>
        <v>2.0922500000000002E-29</v>
      </c>
      <c r="Q91" s="26">
        <f t="shared" si="23"/>
        <v>0</v>
      </c>
      <c r="R91" s="26">
        <f t="shared" si="23"/>
        <v>0</v>
      </c>
      <c r="S91" s="26">
        <f t="shared" si="23"/>
        <v>0</v>
      </c>
      <c r="T91" s="26">
        <f t="shared" si="23"/>
        <v>0</v>
      </c>
      <c r="U91" s="26">
        <f t="shared" si="23"/>
        <v>0</v>
      </c>
      <c r="V91" s="26">
        <f t="shared" si="23"/>
        <v>0</v>
      </c>
      <c r="W91" s="26">
        <f t="shared" si="23"/>
        <v>0</v>
      </c>
      <c r="X91" s="26">
        <f t="shared" si="23"/>
        <v>0</v>
      </c>
      <c r="Y91" s="26">
        <f t="shared" si="23"/>
        <v>0</v>
      </c>
      <c r="Z91" s="26">
        <f t="shared" si="23"/>
        <v>0</v>
      </c>
      <c r="AA91" s="26">
        <f t="shared" si="23"/>
        <v>0</v>
      </c>
      <c r="AB91" s="26">
        <f t="shared" si="23"/>
        <v>0</v>
      </c>
      <c r="AC91" s="26">
        <f t="shared" si="23"/>
        <v>0</v>
      </c>
      <c r="AD91" s="26">
        <f t="shared" ref="AD91:AL91" si="25">AD11*$C$82</f>
        <v>0</v>
      </c>
      <c r="AE91" s="26">
        <f t="shared" si="25"/>
        <v>0</v>
      </c>
      <c r="AF91" s="26">
        <f t="shared" si="25"/>
        <v>0</v>
      </c>
      <c r="AG91" s="26">
        <f t="shared" si="25"/>
        <v>0</v>
      </c>
      <c r="AH91" s="26">
        <f t="shared" si="25"/>
        <v>0</v>
      </c>
      <c r="AI91" s="26">
        <f t="shared" si="25"/>
        <v>0</v>
      </c>
      <c r="AJ91" s="26">
        <f t="shared" si="25"/>
        <v>0</v>
      </c>
      <c r="AK91" s="26">
        <f t="shared" si="25"/>
        <v>0</v>
      </c>
      <c r="AL91" s="26">
        <f t="shared" si="25"/>
        <v>0</v>
      </c>
    </row>
    <row r="92" spans="1:38" ht="21" hidden="1" customHeight="1" outlineLevel="1" thickBot="1" x14ac:dyDescent="0.4">
      <c r="A92" s="8">
        <f t="shared" si="24"/>
        <v>0</v>
      </c>
      <c r="B92" s="8">
        <f t="shared" si="24"/>
        <v>0</v>
      </c>
      <c r="C92" s="8">
        <f t="shared" si="24"/>
        <v>2</v>
      </c>
      <c r="D92" s="8">
        <f t="shared" si="24"/>
        <v>0</v>
      </c>
      <c r="E92" s="9" t="str">
        <f t="shared" si="20"/>
        <v>Ge2</v>
      </c>
      <c r="F92" s="26">
        <f t="shared" ref="F92:AL99" si="26">F12*$C$82</f>
        <v>0</v>
      </c>
      <c r="G92" s="26">
        <f t="shared" si="26"/>
        <v>0</v>
      </c>
      <c r="H92" s="26">
        <f t="shared" si="26"/>
        <v>0</v>
      </c>
      <c r="I92" s="26">
        <f t="shared" si="26"/>
        <v>0</v>
      </c>
      <c r="J92" s="26">
        <f t="shared" si="26"/>
        <v>0</v>
      </c>
      <c r="K92" s="26">
        <f t="shared" si="26"/>
        <v>0</v>
      </c>
      <c r="L92" s="26">
        <f t="shared" si="26"/>
        <v>0</v>
      </c>
      <c r="M92" s="26">
        <f t="shared" si="26"/>
        <v>0</v>
      </c>
      <c r="N92" s="26">
        <f t="shared" si="26"/>
        <v>3.4659166666666666E-35</v>
      </c>
      <c r="O92" s="26">
        <f t="shared" si="26"/>
        <v>1.1382500000000001E-26</v>
      </c>
      <c r="P92" s="26">
        <f t="shared" si="26"/>
        <v>6.6835833333333341E-21</v>
      </c>
      <c r="Q92" s="26">
        <f t="shared" si="26"/>
        <v>9.6708333333333335E-17</v>
      </c>
      <c r="R92" s="26">
        <f t="shared" si="26"/>
        <v>7.0775833333333342E-16</v>
      </c>
      <c r="S92" s="26">
        <f t="shared" si="26"/>
        <v>4.5462500000000001E-15</v>
      </c>
      <c r="T92" s="26">
        <f t="shared" si="26"/>
        <v>2.5948333333333333E-14</v>
      </c>
      <c r="U92" s="26">
        <f t="shared" si="26"/>
        <v>1.3302500000000001E-13</v>
      </c>
      <c r="V92" s="26">
        <f t="shared" si="26"/>
        <v>3.2892499999999998E-11</v>
      </c>
      <c r="W92" s="26">
        <f t="shared" si="26"/>
        <v>1.4873333333333334E-9</v>
      </c>
      <c r="X92" s="26">
        <f t="shared" si="26"/>
        <v>3.4333333333333339E-9</v>
      </c>
      <c r="Y92" s="26">
        <f t="shared" si="26"/>
        <v>7.6145833333333341E-9</v>
      </c>
      <c r="Z92" s="26">
        <f t="shared" si="26"/>
        <v>1.6270833333333336E-8</v>
      </c>
      <c r="AA92" s="26">
        <f t="shared" si="26"/>
        <v>3.3580000000000007E-8</v>
      </c>
      <c r="AB92" s="26">
        <f t="shared" si="26"/>
        <v>0</v>
      </c>
      <c r="AC92" s="26">
        <f t="shared" si="26"/>
        <v>0</v>
      </c>
      <c r="AD92" s="26">
        <f t="shared" si="26"/>
        <v>0</v>
      </c>
      <c r="AE92" s="26">
        <f t="shared" si="26"/>
        <v>0</v>
      </c>
      <c r="AF92" s="26">
        <f t="shared" si="26"/>
        <v>0</v>
      </c>
      <c r="AG92" s="26">
        <f t="shared" si="26"/>
        <v>0</v>
      </c>
      <c r="AH92" s="26">
        <f t="shared" si="26"/>
        <v>0</v>
      </c>
      <c r="AI92" s="26">
        <f t="shared" si="26"/>
        <v>0</v>
      </c>
      <c r="AJ92" s="26">
        <f t="shared" si="26"/>
        <v>0</v>
      </c>
      <c r="AK92" s="26">
        <f t="shared" si="26"/>
        <v>0</v>
      </c>
      <c r="AL92" s="26">
        <f t="shared" si="26"/>
        <v>0</v>
      </c>
    </row>
    <row r="93" spans="1:38" ht="21" hidden="1" customHeight="1" outlineLevel="1" thickBot="1" x14ac:dyDescent="0.4">
      <c r="A93" s="8">
        <f t="shared" si="24"/>
        <v>0</v>
      </c>
      <c r="B93" s="8">
        <f t="shared" si="24"/>
        <v>0</v>
      </c>
      <c r="C93" s="8">
        <f t="shared" si="24"/>
        <v>1</v>
      </c>
      <c r="D93" s="8">
        <f t="shared" si="24"/>
        <v>0</v>
      </c>
      <c r="E93" s="9" t="str">
        <f t="shared" si="20"/>
        <v>Ge</v>
      </c>
      <c r="F93" s="26">
        <f t="shared" si="26"/>
        <v>0</v>
      </c>
      <c r="G93" s="26">
        <f t="shared" si="26"/>
        <v>0</v>
      </c>
      <c r="H93" s="26">
        <f t="shared" si="26"/>
        <v>0</v>
      </c>
      <c r="I93" s="26">
        <f t="shared" si="26"/>
        <v>0</v>
      </c>
      <c r="J93" s="26">
        <f t="shared" si="26"/>
        <v>0</v>
      </c>
      <c r="K93" s="26">
        <f t="shared" si="26"/>
        <v>0</v>
      </c>
      <c r="L93" s="26">
        <f t="shared" si="26"/>
        <v>2.1125000000000003E-32</v>
      </c>
      <c r="M93" s="26">
        <f t="shared" si="26"/>
        <v>8.7649999999999997E-30</v>
      </c>
      <c r="N93" s="26">
        <f t="shared" si="26"/>
        <v>1.1552500000000001E-27</v>
      </c>
      <c r="O93" s="26">
        <f t="shared" si="26"/>
        <v>4.5978333333333336E-21</v>
      </c>
      <c r="P93" s="26">
        <f t="shared" si="26"/>
        <v>1.4071666666666667E-16</v>
      </c>
      <c r="Q93" s="26">
        <f t="shared" si="26"/>
        <v>2.4789166666666669E-13</v>
      </c>
      <c r="R93" s="26">
        <f t="shared" si="26"/>
        <v>1.1750000000000001E-12</v>
      </c>
      <c r="S93" s="26">
        <f t="shared" si="26"/>
        <v>5.0355833333333335E-12</v>
      </c>
      <c r="T93" s="26">
        <f t="shared" si="26"/>
        <v>1.9695833333333336E-11</v>
      </c>
      <c r="U93" s="26">
        <f t="shared" si="26"/>
        <v>7.0894166666666668E-11</v>
      </c>
      <c r="V93" s="26">
        <f t="shared" si="26"/>
        <v>5.5629166666666676E-9</v>
      </c>
      <c r="W93" s="26">
        <f t="shared" si="26"/>
        <v>1.3705000000000003E-7</v>
      </c>
      <c r="X93" s="26">
        <f t="shared" si="26"/>
        <v>2.7732500000000003E-7</v>
      </c>
      <c r="Y93" s="26">
        <f t="shared" si="26"/>
        <v>5.4290833333333338E-7</v>
      </c>
      <c r="Z93" s="26">
        <f t="shared" si="26"/>
        <v>1.0305833333333334E-6</v>
      </c>
      <c r="AA93" s="26">
        <f t="shared" si="26"/>
        <v>1.9006666666666667E-6</v>
      </c>
      <c r="AB93" s="26">
        <f t="shared" si="26"/>
        <v>0</v>
      </c>
      <c r="AC93" s="26">
        <f t="shared" si="26"/>
        <v>0</v>
      </c>
      <c r="AD93" s="26">
        <f t="shared" si="26"/>
        <v>0</v>
      </c>
      <c r="AE93" s="26">
        <f t="shared" si="26"/>
        <v>0</v>
      </c>
      <c r="AF93" s="26">
        <f t="shared" si="26"/>
        <v>0</v>
      </c>
      <c r="AG93" s="26">
        <f t="shared" si="26"/>
        <v>0</v>
      </c>
      <c r="AH93" s="26">
        <f t="shared" si="26"/>
        <v>0</v>
      </c>
      <c r="AI93" s="26">
        <f t="shared" si="26"/>
        <v>0</v>
      </c>
      <c r="AJ93" s="26">
        <f t="shared" si="26"/>
        <v>0</v>
      </c>
      <c r="AK93" s="26">
        <f t="shared" si="26"/>
        <v>0</v>
      </c>
      <c r="AL93" s="26">
        <f t="shared" si="26"/>
        <v>0</v>
      </c>
    </row>
    <row r="94" spans="1:38" ht="21" hidden="1" customHeight="1" outlineLevel="1" thickBot="1" x14ac:dyDescent="0.4">
      <c r="A94" s="8">
        <f t="shared" si="24"/>
        <v>1</v>
      </c>
      <c r="B94" s="8">
        <f t="shared" si="24"/>
        <v>0</v>
      </c>
      <c r="C94" s="8">
        <f t="shared" si="24"/>
        <v>0</v>
      </c>
      <c r="D94" s="8">
        <f t="shared" si="24"/>
        <v>0</v>
      </c>
      <c r="E94" s="9" t="str">
        <f t="shared" si="20"/>
        <v>Ar</v>
      </c>
      <c r="F94" s="26">
        <f t="shared" si="26"/>
        <v>1.666666666666667</v>
      </c>
      <c r="G94" s="26">
        <f t="shared" si="26"/>
        <v>1.666666666666667</v>
      </c>
      <c r="H94" s="26">
        <f t="shared" si="26"/>
        <v>1.666666666666667</v>
      </c>
      <c r="I94" s="26">
        <f t="shared" si="26"/>
        <v>1.666666666666667</v>
      </c>
      <c r="J94" s="26">
        <f t="shared" si="26"/>
        <v>1.666666666666667</v>
      </c>
      <c r="K94" s="26">
        <f t="shared" si="26"/>
        <v>1.666666666666667</v>
      </c>
      <c r="L94" s="26">
        <f t="shared" si="26"/>
        <v>1.666666666666667</v>
      </c>
      <c r="M94" s="26">
        <f t="shared" si="26"/>
        <v>1.666666666666667</v>
      </c>
      <c r="N94" s="26">
        <f t="shared" si="26"/>
        <v>1.666666666666667</v>
      </c>
      <c r="O94" s="26">
        <f t="shared" si="26"/>
        <v>1.666666666666667</v>
      </c>
      <c r="P94" s="26">
        <f t="shared" si="26"/>
        <v>1.666666666666667</v>
      </c>
      <c r="Q94" s="26">
        <f t="shared" si="26"/>
        <v>1.666666666666667</v>
      </c>
      <c r="R94" s="26">
        <f t="shared" si="26"/>
        <v>1.666666666666667</v>
      </c>
      <c r="S94" s="26">
        <f t="shared" si="26"/>
        <v>1.666666666666667</v>
      </c>
      <c r="T94" s="26">
        <f t="shared" si="26"/>
        <v>1.666666666666667</v>
      </c>
      <c r="U94" s="26">
        <f t="shared" si="26"/>
        <v>1.666666666666667</v>
      </c>
      <c r="V94" s="26">
        <f t="shared" si="26"/>
        <v>1.666666666666667</v>
      </c>
      <c r="W94" s="26">
        <f t="shared" si="26"/>
        <v>1.666666666666667</v>
      </c>
      <c r="X94" s="26">
        <f t="shared" si="26"/>
        <v>1.666666666666667</v>
      </c>
      <c r="Y94" s="26">
        <f t="shared" si="26"/>
        <v>1.666666666666667</v>
      </c>
      <c r="Z94" s="26">
        <f t="shared" si="26"/>
        <v>1.666666666666667</v>
      </c>
      <c r="AA94" s="26">
        <f t="shared" si="26"/>
        <v>1.666666666666667</v>
      </c>
      <c r="AB94" s="26">
        <f t="shared" si="26"/>
        <v>0</v>
      </c>
      <c r="AC94" s="26">
        <f t="shared" si="26"/>
        <v>0</v>
      </c>
      <c r="AD94" s="26">
        <f t="shared" si="26"/>
        <v>0</v>
      </c>
      <c r="AE94" s="26">
        <f t="shared" si="26"/>
        <v>0</v>
      </c>
      <c r="AF94" s="26">
        <f t="shared" si="26"/>
        <v>0</v>
      </c>
      <c r="AG94" s="26">
        <f t="shared" si="26"/>
        <v>0</v>
      </c>
      <c r="AH94" s="26">
        <f t="shared" si="26"/>
        <v>0</v>
      </c>
      <c r="AI94" s="26">
        <f t="shared" si="26"/>
        <v>0</v>
      </c>
      <c r="AJ94" s="26">
        <f t="shared" si="26"/>
        <v>0</v>
      </c>
      <c r="AK94" s="26">
        <f t="shared" si="26"/>
        <v>0</v>
      </c>
      <c r="AL94" s="26">
        <f t="shared" si="26"/>
        <v>0</v>
      </c>
    </row>
    <row r="95" spans="1:38" ht="21" hidden="1" customHeight="1" outlineLevel="1" thickBot="1" x14ac:dyDescent="0.4">
      <c r="A95" s="8">
        <f t="shared" si="24"/>
        <v>0</v>
      </c>
      <c r="B95" s="8">
        <f t="shared" si="24"/>
        <v>0</v>
      </c>
      <c r="C95" s="8">
        <f t="shared" si="24"/>
        <v>1</v>
      </c>
      <c r="D95" s="8">
        <f t="shared" si="24"/>
        <v>0</v>
      </c>
      <c r="E95" s="9" t="str">
        <f t="shared" si="20"/>
        <v>(l)Ge[l]</v>
      </c>
      <c r="F95" s="26">
        <f t="shared" si="26"/>
        <v>0</v>
      </c>
      <c r="G95" s="26">
        <f t="shared" si="26"/>
        <v>0</v>
      </c>
      <c r="H95" s="26">
        <f t="shared" si="26"/>
        <v>0</v>
      </c>
      <c r="I95" s="26">
        <f t="shared" si="26"/>
        <v>0</v>
      </c>
      <c r="J95" s="26">
        <f t="shared" si="26"/>
        <v>0</v>
      </c>
      <c r="K95" s="26">
        <f t="shared" si="26"/>
        <v>0</v>
      </c>
      <c r="L95" s="26">
        <f t="shared" si="26"/>
        <v>0</v>
      </c>
      <c r="M95" s="26">
        <f t="shared" si="26"/>
        <v>0</v>
      </c>
      <c r="N95" s="26">
        <f t="shared" si="26"/>
        <v>1.6715000000000003E-21</v>
      </c>
      <c r="O95" s="26">
        <f t="shared" si="26"/>
        <v>6.3442499999999998E-11</v>
      </c>
      <c r="P95" s="26">
        <f t="shared" si="26"/>
        <v>4.3445000000000004E-10</v>
      </c>
      <c r="Q95" s="26">
        <f t="shared" si="26"/>
        <v>1.1971666666666667E-8</v>
      </c>
      <c r="R95" s="26">
        <f t="shared" si="26"/>
        <v>2.0710833333333335E-8</v>
      </c>
      <c r="S95" s="26">
        <f t="shared" si="26"/>
        <v>3.7360833333333335E-8</v>
      </c>
      <c r="T95" s="26">
        <f t="shared" si="26"/>
        <v>9.8875000000000017E-8</v>
      </c>
      <c r="U95" s="26">
        <f t="shared" si="26"/>
        <v>2.4500833333333334E-7</v>
      </c>
      <c r="V95" s="26">
        <f t="shared" si="26"/>
        <v>0.49995000000000001</v>
      </c>
      <c r="W95" s="26">
        <f t="shared" si="26"/>
        <v>0.5</v>
      </c>
      <c r="X95" s="26">
        <f t="shared" si="26"/>
        <v>0.5</v>
      </c>
      <c r="Y95" s="26">
        <f t="shared" si="26"/>
        <v>0.5</v>
      </c>
      <c r="Z95" s="26">
        <f t="shared" si="26"/>
        <v>0.5</v>
      </c>
      <c r="AA95" s="26">
        <f t="shared" si="26"/>
        <v>0.5</v>
      </c>
      <c r="AB95" s="26">
        <f t="shared" si="26"/>
        <v>0</v>
      </c>
      <c r="AC95" s="26">
        <f t="shared" si="26"/>
        <v>0</v>
      </c>
      <c r="AD95" s="26">
        <f t="shared" si="26"/>
        <v>0</v>
      </c>
      <c r="AE95" s="26">
        <f t="shared" si="26"/>
        <v>0</v>
      </c>
      <c r="AF95" s="26">
        <f t="shared" si="26"/>
        <v>0</v>
      </c>
      <c r="AG95" s="26">
        <f t="shared" si="26"/>
        <v>0</v>
      </c>
      <c r="AH95" s="26">
        <f t="shared" si="26"/>
        <v>0</v>
      </c>
      <c r="AI95" s="26">
        <f t="shared" si="26"/>
        <v>0</v>
      </c>
      <c r="AJ95" s="26">
        <f t="shared" si="26"/>
        <v>0</v>
      </c>
      <c r="AK95" s="26">
        <f t="shared" si="26"/>
        <v>0</v>
      </c>
      <c r="AL95" s="26">
        <f t="shared" si="26"/>
        <v>0</v>
      </c>
    </row>
    <row r="96" spans="1:38" ht="21" hidden="1" customHeight="1" outlineLevel="1" thickBot="1" x14ac:dyDescent="0.4">
      <c r="A96" s="8">
        <f t="shared" si="24"/>
        <v>1</v>
      </c>
      <c r="B96" s="8">
        <f t="shared" si="24"/>
        <v>0</v>
      </c>
      <c r="C96" s="8">
        <f t="shared" si="24"/>
        <v>0</v>
      </c>
      <c r="D96" s="8">
        <f t="shared" si="24"/>
        <v>0</v>
      </c>
      <c r="E96" s="9" t="str">
        <f t="shared" si="20"/>
        <v>H (Ar)</v>
      </c>
      <c r="F96" s="26">
        <f t="shared" si="26"/>
        <v>-158.5</v>
      </c>
      <c r="G96" s="26">
        <f t="shared" si="26"/>
        <v>-158.58333333333334</v>
      </c>
      <c r="H96" s="26">
        <f t="shared" si="26"/>
        <v>-158.83333333333334</v>
      </c>
      <c r="I96" s="26">
        <f t="shared" si="26"/>
        <v>-159.25</v>
      </c>
      <c r="J96" s="26">
        <f t="shared" si="26"/>
        <v>-159.75000000000003</v>
      </c>
      <c r="K96" s="26">
        <f t="shared" si="26"/>
        <v>-160.25000000000003</v>
      </c>
      <c r="L96" s="26">
        <f t="shared" si="26"/>
        <v>-160.83333333333334</v>
      </c>
      <c r="M96" s="26">
        <f t="shared" si="26"/>
        <v>-158.91666666666669</v>
      </c>
      <c r="N96" s="26">
        <f t="shared" si="26"/>
        <v>-158.58333333333334</v>
      </c>
      <c r="O96" s="26">
        <f t="shared" si="26"/>
        <v>-160.91666666666666</v>
      </c>
      <c r="P96" s="26">
        <f t="shared" si="26"/>
        <v>-163.08333333333334</v>
      </c>
      <c r="Q96" s="26">
        <f t="shared" si="26"/>
        <v>-165.16666666666669</v>
      </c>
      <c r="R96" s="26">
        <f t="shared" si="26"/>
        <v>-165.66666666666666</v>
      </c>
      <c r="S96" s="26">
        <f t="shared" si="26"/>
        <v>-166.16666666666669</v>
      </c>
      <c r="T96" s="26">
        <f t="shared" si="26"/>
        <v>-166.66666666666669</v>
      </c>
      <c r="U96" s="26">
        <f t="shared" si="26"/>
        <v>-167.08333333333334</v>
      </c>
      <c r="V96" s="26">
        <f t="shared" si="26"/>
        <v>-168.83333333333337</v>
      </c>
      <c r="W96" s="26">
        <f t="shared" si="26"/>
        <v>-170.50000000000003</v>
      </c>
      <c r="X96" s="26">
        <f t="shared" si="26"/>
        <v>-170.91666666666669</v>
      </c>
      <c r="Y96" s="26">
        <f t="shared" si="26"/>
        <v>-171.33333333333334</v>
      </c>
      <c r="Z96" s="26">
        <f t="shared" si="26"/>
        <v>-171.66666666666669</v>
      </c>
      <c r="AA96" s="26">
        <f t="shared" si="26"/>
        <v>-172.08333333333334</v>
      </c>
      <c r="AB96" s="26">
        <f t="shared" si="26"/>
        <v>0</v>
      </c>
      <c r="AC96" s="26">
        <f t="shared" si="26"/>
        <v>0</v>
      </c>
      <c r="AD96" s="26">
        <f t="shared" si="26"/>
        <v>0</v>
      </c>
      <c r="AE96" s="26">
        <f t="shared" si="26"/>
        <v>0</v>
      </c>
      <c r="AF96" s="26">
        <f t="shared" si="26"/>
        <v>0</v>
      </c>
      <c r="AG96" s="26">
        <f t="shared" si="26"/>
        <v>0</v>
      </c>
      <c r="AH96" s="26">
        <f t="shared" si="26"/>
        <v>0</v>
      </c>
      <c r="AI96" s="26">
        <f t="shared" si="26"/>
        <v>0</v>
      </c>
      <c r="AJ96" s="26">
        <f t="shared" si="26"/>
        <v>0</v>
      </c>
      <c r="AK96" s="26">
        <f t="shared" si="26"/>
        <v>0</v>
      </c>
      <c r="AL96" s="26">
        <f t="shared" si="26"/>
        <v>0</v>
      </c>
    </row>
    <row r="97" spans="1:38" ht="21" hidden="1" customHeight="1" outlineLevel="1" thickBot="1" x14ac:dyDescent="0.4">
      <c r="A97" s="8">
        <f t="shared" si="24"/>
        <v>0</v>
      </c>
      <c r="B97" s="8">
        <f t="shared" si="24"/>
        <v>0</v>
      </c>
      <c r="C97" s="8">
        <f t="shared" si="24"/>
        <v>0</v>
      </c>
      <c r="D97" s="8">
        <f t="shared" si="24"/>
        <v>1</v>
      </c>
      <c r="E97" s="9" t="str">
        <f t="shared" si="20"/>
        <v>H (Ga)</v>
      </c>
      <c r="F97" s="26">
        <f t="shared" si="26"/>
        <v>-508.25000000000006</v>
      </c>
      <c r="G97" s="26">
        <f t="shared" si="26"/>
        <v>-461.58333333333337</v>
      </c>
      <c r="H97" s="26">
        <f t="shared" si="26"/>
        <v>-407.66666666666669</v>
      </c>
      <c r="I97" s="26">
        <f t="shared" si="26"/>
        <v>-355.5</v>
      </c>
      <c r="J97" s="26">
        <f t="shared" si="26"/>
        <v>-310.66666666666669</v>
      </c>
      <c r="K97" s="26">
        <f t="shared" si="26"/>
        <v>-271.66666666666669</v>
      </c>
      <c r="L97" s="26">
        <f t="shared" si="26"/>
        <v>-237.33333333333334</v>
      </c>
      <c r="M97" s="26">
        <f t="shared" si="26"/>
        <v>-211.75000000000003</v>
      </c>
      <c r="N97" s="26">
        <f t="shared" si="26"/>
        <v>-222.75000000000003</v>
      </c>
      <c r="O97" s="26">
        <f t="shared" si="26"/>
        <v>-264.83333333333337</v>
      </c>
      <c r="P97" s="26">
        <f t="shared" si="26"/>
        <v>-302.33333333333337</v>
      </c>
      <c r="Q97" s="26">
        <f t="shared" si="26"/>
        <v>-333.75</v>
      </c>
      <c r="R97" s="26">
        <f t="shared" si="26"/>
        <v>-340.5</v>
      </c>
      <c r="S97" s="26">
        <f t="shared" si="26"/>
        <v>-346.75</v>
      </c>
      <c r="T97" s="26">
        <f t="shared" si="26"/>
        <v>-352.58333333333337</v>
      </c>
      <c r="U97" s="26">
        <f t="shared" si="26"/>
        <v>-357.83333333333331</v>
      </c>
      <c r="V97" s="26">
        <f t="shared" si="26"/>
        <v>-373.83333333333337</v>
      </c>
      <c r="W97" s="26">
        <f t="shared" si="26"/>
        <v>-381</v>
      </c>
      <c r="X97" s="26">
        <f t="shared" si="26"/>
        <v>-381.33333333333337</v>
      </c>
      <c r="Y97" s="26">
        <f t="shared" si="26"/>
        <v>-381.16666666666669</v>
      </c>
      <c r="Z97" s="26">
        <f t="shared" si="26"/>
        <v>-380.33333333333337</v>
      </c>
      <c r="AA97" s="26">
        <f t="shared" si="26"/>
        <v>-378.91666666666669</v>
      </c>
      <c r="AB97" s="26">
        <f t="shared" si="26"/>
        <v>0</v>
      </c>
      <c r="AC97" s="26">
        <f t="shared" si="26"/>
        <v>0</v>
      </c>
      <c r="AD97" s="26">
        <f t="shared" si="26"/>
        <v>0</v>
      </c>
      <c r="AE97" s="26">
        <f t="shared" si="26"/>
        <v>0</v>
      </c>
      <c r="AF97" s="26">
        <f t="shared" si="26"/>
        <v>0</v>
      </c>
      <c r="AG97" s="26">
        <f t="shared" si="26"/>
        <v>0</v>
      </c>
      <c r="AH97" s="26">
        <f t="shared" si="26"/>
        <v>0</v>
      </c>
      <c r="AI97" s="26">
        <f t="shared" si="26"/>
        <v>0</v>
      </c>
      <c r="AJ97" s="26">
        <f t="shared" si="26"/>
        <v>0</v>
      </c>
      <c r="AK97" s="26">
        <f t="shared" si="26"/>
        <v>0</v>
      </c>
      <c r="AL97" s="26">
        <f t="shared" si="26"/>
        <v>0</v>
      </c>
    </row>
    <row r="98" spans="1:38" ht="21" hidden="1" customHeight="1" outlineLevel="1" thickBot="1" x14ac:dyDescent="0.4">
      <c r="A98" s="8">
        <f t="shared" si="24"/>
        <v>0</v>
      </c>
      <c r="B98" s="8">
        <f t="shared" si="24"/>
        <v>0</v>
      </c>
      <c r="C98" s="8">
        <f t="shared" si="24"/>
        <v>1</v>
      </c>
      <c r="D98" s="8">
        <f t="shared" si="24"/>
        <v>0</v>
      </c>
      <c r="E98" s="9" t="str">
        <f t="shared" si="20"/>
        <v>H (Ge)</v>
      </c>
      <c r="F98" s="26">
        <f t="shared" si="26"/>
        <v>-127.91666666666667</v>
      </c>
      <c r="G98" s="26">
        <f t="shared" si="26"/>
        <v>-119.66666666666667</v>
      </c>
      <c r="H98" s="26">
        <f t="shared" si="26"/>
        <v>-102.50000000000001</v>
      </c>
      <c r="I98" s="26">
        <f t="shared" si="26"/>
        <v>-83.416666666666671</v>
      </c>
      <c r="J98" s="26">
        <f t="shared" si="26"/>
        <v>-66.841666666666683</v>
      </c>
      <c r="K98" s="26">
        <f t="shared" si="26"/>
        <v>-52.333333333333336</v>
      </c>
      <c r="L98" s="26">
        <f t="shared" si="26"/>
        <v>-39.466666666666669</v>
      </c>
      <c r="M98" s="26">
        <f t="shared" si="26"/>
        <v>-34.508333333333333</v>
      </c>
      <c r="N98" s="26">
        <f t="shared" si="26"/>
        <v>-35.19166666666667</v>
      </c>
      <c r="O98" s="26">
        <f t="shared" si="26"/>
        <v>-37.94166666666667</v>
      </c>
      <c r="P98" s="26">
        <f t="shared" si="26"/>
        <v>-40.608333333333341</v>
      </c>
      <c r="Q98" s="26">
        <f t="shared" si="26"/>
        <v>-43.125</v>
      </c>
      <c r="R98" s="26">
        <f t="shared" si="26"/>
        <v>-43.725000000000001</v>
      </c>
      <c r="S98" s="26">
        <f t="shared" si="26"/>
        <v>-44.31666666666667</v>
      </c>
      <c r="T98" s="26">
        <f t="shared" si="26"/>
        <v>-44.908333333333339</v>
      </c>
      <c r="U98" s="26">
        <f t="shared" si="26"/>
        <v>-45.483333333333341</v>
      </c>
      <c r="V98" s="26">
        <f t="shared" si="26"/>
        <v>-48.225000000000001</v>
      </c>
      <c r="W98" s="26">
        <f t="shared" si="26"/>
        <v>-53.233333333333334</v>
      </c>
      <c r="X98" s="26">
        <f t="shared" si="26"/>
        <v>-54.375000000000007</v>
      </c>
      <c r="Y98" s="26">
        <f t="shared" si="26"/>
        <v>-55.483333333333341</v>
      </c>
      <c r="Z98" s="26">
        <f t="shared" si="26"/>
        <v>-56.558333333333337</v>
      </c>
      <c r="AA98" s="26">
        <f t="shared" si="26"/>
        <v>-57.591666666666669</v>
      </c>
      <c r="AB98" s="26">
        <f t="shared" si="26"/>
        <v>0</v>
      </c>
      <c r="AC98" s="26">
        <f t="shared" si="26"/>
        <v>0</v>
      </c>
      <c r="AD98" s="26">
        <f t="shared" si="26"/>
        <v>0</v>
      </c>
      <c r="AE98" s="26">
        <f t="shared" si="26"/>
        <v>0</v>
      </c>
      <c r="AF98" s="26">
        <f t="shared" si="26"/>
        <v>0</v>
      </c>
      <c r="AG98" s="26">
        <f t="shared" si="26"/>
        <v>0</v>
      </c>
      <c r="AH98" s="26">
        <f t="shared" si="26"/>
        <v>0</v>
      </c>
      <c r="AI98" s="26">
        <f t="shared" si="26"/>
        <v>0</v>
      </c>
      <c r="AJ98" s="26">
        <f t="shared" si="26"/>
        <v>0</v>
      </c>
      <c r="AK98" s="26">
        <f t="shared" si="26"/>
        <v>0</v>
      </c>
      <c r="AL98" s="26">
        <f t="shared" si="26"/>
        <v>0</v>
      </c>
    </row>
    <row r="99" spans="1:38" ht="21" hidden="1" customHeight="1" outlineLevel="1" thickBot="1" x14ac:dyDescent="0.4">
      <c r="A99" s="8">
        <f t="shared" si="24"/>
        <v>0</v>
      </c>
      <c r="B99" s="8">
        <f t="shared" si="24"/>
        <v>1</v>
      </c>
      <c r="C99" s="8">
        <f t="shared" si="24"/>
        <v>0</v>
      </c>
      <c r="D99" s="8">
        <f t="shared" si="24"/>
        <v>0</v>
      </c>
      <c r="E99" s="9" t="str">
        <f t="shared" si="20"/>
        <v>H (Se)</v>
      </c>
      <c r="F99" s="26">
        <f t="shared" si="26"/>
        <v>-182.41666666666669</v>
      </c>
      <c r="G99" s="26">
        <f t="shared" si="26"/>
        <v>-167.58333333333334</v>
      </c>
      <c r="H99" s="26">
        <f t="shared" si="26"/>
        <v>-166.41666666666666</v>
      </c>
      <c r="I99" s="26">
        <f t="shared" si="26"/>
        <v>-170.58333333333334</v>
      </c>
      <c r="J99" s="26">
        <f t="shared" si="26"/>
        <v>-174.83333333333334</v>
      </c>
      <c r="K99" s="26">
        <f t="shared" si="26"/>
        <v>-179.08333333333334</v>
      </c>
      <c r="L99" s="26">
        <f t="shared" si="26"/>
        <v>-183.41666666666669</v>
      </c>
      <c r="M99" s="26">
        <f t="shared" si="26"/>
        <v>-187.58333333333337</v>
      </c>
      <c r="N99" s="26">
        <f t="shared" si="26"/>
        <v>-191.83333333333334</v>
      </c>
      <c r="O99" s="26">
        <f t="shared" si="26"/>
        <v>-208.00000000000003</v>
      </c>
      <c r="P99" s="26">
        <f t="shared" si="26"/>
        <v>-223.08333333333334</v>
      </c>
      <c r="Q99" s="26">
        <f t="shared" si="26"/>
        <v>-237.41666666666666</v>
      </c>
      <c r="R99" s="26">
        <f t="shared" si="26"/>
        <v>-240.83333333333334</v>
      </c>
      <c r="S99" s="26">
        <f t="shared" si="26"/>
        <v>-244.25</v>
      </c>
      <c r="T99" s="26">
        <f t="shared" si="26"/>
        <v>-247.66666666666669</v>
      </c>
      <c r="U99" s="26">
        <f t="shared" si="26"/>
        <v>-251.00000000000003</v>
      </c>
      <c r="V99" s="26">
        <f t="shared" si="26"/>
        <v>-264.08333333333337</v>
      </c>
      <c r="W99" s="26">
        <f t="shared" si="26"/>
        <v>-276.83333333333337</v>
      </c>
      <c r="X99" s="26">
        <f t="shared" si="26"/>
        <v>-279.91666666666674</v>
      </c>
      <c r="Y99" s="26">
        <f t="shared" si="26"/>
        <v>-283.08333333333337</v>
      </c>
      <c r="Z99" s="26">
        <f t="shared" si="26"/>
        <v>-286.16666666666674</v>
      </c>
      <c r="AA99" s="26">
        <f t="shared" si="26"/>
        <v>-289.25</v>
      </c>
      <c r="AB99" s="26">
        <f t="shared" si="26"/>
        <v>0</v>
      </c>
      <c r="AC99" s="26">
        <f t="shared" si="26"/>
        <v>0</v>
      </c>
      <c r="AD99" s="26">
        <f t="shared" ref="AD99:AL99" si="27">AD19*$C$82</f>
        <v>0</v>
      </c>
      <c r="AE99" s="26">
        <f t="shared" si="27"/>
        <v>0</v>
      </c>
      <c r="AF99" s="26">
        <f t="shared" si="27"/>
        <v>0</v>
      </c>
      <c r="AG99" s="26">
        <f t="shared" si="27"/>
        <v>0</v>
      </c>
      <c r="AH99" s="26">
        <f t="shared" si="27"/>
        <v>0</v>
      </c>
      <c r="AI99" s="26">
        <f t="shared" si="27"/>
        <v>0</v>
      </c>
      <c r="AJ99" s="26">
        <f t="shared" si="27"/>
        <v>0</v>
      </c>
      <c r="AK99" s="26">
        <f t="shared" si="27"/>
        <v>0</v>
      </c>
      <c r="AL99" s="26">
        <f t="shared" si="27"/>
        <v>0</v>
      </c>
    </row>
    <row r="100" spans="1:38" ht="21" hidden="1" customHeight="1" outlineLevel="1" thickBot="1" x14ac:dyDescent="0.4">
      <c r="A100" s="8">
        <f t="shared" si="24"/>
        <v>0</v>
      </c>
      <c r="B100" s="8">
        <f t="shared" si="24"/>
        <v>0</v>
      </c>
      <c r="C100" s="8">
        <f t="shared" si="24"/>
        <v>0</v>
      </c>
      <c r="D100" s="8">
        <f t="shared" si="24"/>
        <v>0</v>
      </c>
      <c r="E100" s="9">
        <f t="shared" si="20"/>
        <v>0</v>
      </c>
      <c r="F100" s="26">
        <f t="shared" ref="F100:AL107" si="28">F20*$C$82</f>
        <v>0</v>
      </c>
      <c r="G100" s="26">
        <f t="shared" si="28"/>
        <v>0</v>
      </c>
      <c r="H100" s="26">
        <f t="shared" si="28"/>
        <v>0</v>
      </c>
      <c r="I100" s="26">
        <f t="shared" si="28"/>
        <v>0</v>
      </c>
      <c r="J100" s="26">
        <f t="shared" si="28"/>
        <v>0</v>
      </c>
      <c r="K100" s="26">
        <f t="shared" si="28"/>
        <v>0</v>
      </c>
      <c r="L100" s="26">
        <f t="shared" si="28"/>
        <v>0</v>
      </c>
      <c r="M100" s="26">
        <f t="shared" si="28"/>
        <v>0</v>
      </c>
      <c r="N100" s="26">
        <f t="shared" si="28"/>
        <v>0</v>
      </c>
      <c r="O100" s="26">
        <f t="shared" si="28"/>
        <v>0</v>
      </c>
      <c r="P100" s="26">
        <f t="shared" si="28"/>
        <v>0</v>
      </c>
      <c r="Q100" s="26">
        <f t="shared" si="28"/>
        <v>0</v>
      </c>
      <c r="R100" s="26">
        <f t="shared" si="28"/>
        <v>0</v>
      </c>
      <c r="S100" s="26">
        <f t="shared" si="28"/>
        <v>0</v>
      </c>
      <c r="T100" s="26">
        <f t="shared" si="28"/>
        <v>0</v>
      </c>
      <c r="U100" s="26">
        <f t="shared" si="28"/>
        <v>0</v>
      </c>
      <c r="V100" s="26">
        <f t="shared" si="28"/>
        <v>0</v>
      </c>
      <c r="W100" s="26">
        <f t="shared" si="28"/>
        <v>0</v>
      </c>
      <c r="X100" s="26">
        <f t="shared" si="28"/>
        <v>0</v>
      </c>
      <c r="Y100" s="26">
        <f t="shared" si="28"/>
        <v>0</v>
      </c>
      <c r="Z100" s="26">
        <f t="shared" si="28"/>
        <v>0</v>
      </c>
      <c r="AA100" s="26">
        <f t="shared" si="28"/>
        <v>0</v>
      </c>
      <c r="AB100" s="26">
        <f t="shared" si="28"/>
        <v>0</v>
      </c>
      <c r="AC100" s="26">
        <f t="shared" si="28"/>
        <v>0</v>
      </c>
      <c r="AD100" s="26">
        <f t="shared" si="28"/>
        <v>0</v>
      </c>
      <c r="AE100" s="26">
        <f t="shared" si="28"/>
        <v>0</v>
      </c>
      <c r="AF100" s="26">
        <f t="shared" si="28"/>
        <v>0</v>
      </c>
      <c r="AG100" s="26">
        <f t="shared" si="28"/>
        <v>0</v>
      </c>
      <c r="AH100" s="26">
        <f t="shared" si="28"/>
        <v>0</v>
      </c>
      <c r="AI100" s="26">
        <f t="shared" si="28"/>
        <v>0</v>
      </c>
      <c r="AJ100" s="26">
        <f t="shared" si="28"/>
        <v>0</v>
      </c>
      <c r="AK100" s="26">
        <f t="shared" si="28"/>
        <v>0</v>
      </c>
      <c r="AL100" s="26">
        <f t="shared" si="28"/>
        <v>0</v>
      </c>
    </row>
    <row r="101" spans="1:38" ht="21" hidden="1" customHeight="1" outlineLevel="1" thickBot="1" x14ac:dyDescent="0.4">
      <c r="A101" s="8">
        <f t="shared" ref="A101:D113" si="29">A67</f>
        <v>0</v>
      </c>
      <c r="B101" s="8">
        <f t="shared" si="29"/>
        <v>0</v>
      </c>
      <c r="C101" s="8">
        <f t="shared" si="29"/>
        <v>0</v>
      </c>
      <c r="D101" s="8">
        <f t="shared" si="29"/>
        <v>0</v>
      </c>
      <c r="E101" s="9">
        <f t="shared" si="20"/>
        <v>0</v>
      </c>
      <c r="F101" s="26">
        <f t="shared" si="28"/>
        <v>0</v>
      </c>
      <c r="G101" s="26">
        <f t="shared" si="28"/>
        <v>0</v>
      </c>
      <c r="H101" s="26">
        <f t="shared" si="28"/>
        <v>0</v>
      </c>
      <c r="I101" s="26">
        <f t="shared" si="28"/>
        <v>0</v>
      </c>
      <c r="J101" s="26">
        <f t="shared" si="28"/>
        <v>0</v>
      </c>
      <c r="K101" s="26">
        <f t="shared" si="28"/>
        <v>0</v>
      </c>
      <c r="L101" s="26">
        <f t="shared" si="28"/>
        <v>0</v>
      </c>
      <c r="M101" s="26">
        <f t="shared" si="28"/>
        <v>0</v>
      </c>
      <c r="N101" s="26">
        <f t="shared" si="28"/>
        <v>0</v>
      </c>
      <c r="O101" s="26">
        <f t="shared" si="28"/>
        <v>0</v>
      </c>
      <c r="P101" s="26">
        <f t="shared" si="28"/>
        <v>0</v>
      </c>
      <c r="Q101" s="26">
        <f t="shared" si="28"/>
        <v>0</v>
      </c>
      <c r="R101" s="26">
        <f t="shared" si="28"/>
        <v>0</v>
      </c>
      <c r="S101" s="26">
        <f t="shared" si="28"/>
        <v>0</v>
      </c>
      <c r="T101" s="26">
        <f t="shared" si="28"/>
        <v>0</v>
      </c>
      <c r="U101" s="26">
        <f t="shared" si="28"/>
        <v>0</v>
      </c>
      <c r="V101" s="26">
        <f t="shared" si="28"/>
        <v>0</v>
      </c>
      <c r="W101" s="26">
        <f t="shared" si="28"/>
        <v>0</v>
      </c>
      <c r="X101" s="26">
        <f t="shared" si="28"/>
        <v>0</v>
      </c>
      <c r="Y101" s="26">
        <f t="shared" si="28"/>
        <v>0</v>
      </c>
      <c r="Z101" s="26">
        <f t="shared" si="28"/>
        <v>0</v>
      </c>
      <c r="AA101" s="26">
        <f t="shared" si="28"/>
        <v>0</v>
      </c>
      <c r="AB101" s="26">
        <f t="shared" si="28"/>
        <v>0</v>
      </c>
      <c r="AC101" s="26">
        <f t="shared" si="28"/>
        <v>0</v>
      </c>
      <c r="AD101" s="26">
        <f t="shared" si="28"/>
        <v>0</v>
      </c>
      <c r="AE101" s="26">
        <f t="shared" si="28"/>
        <v>0</v>
      </c>
      <c r="AF101" s="26">
        <f t="shared" si="28"/>
        <v>0</v>
      </c>
      <c r="AG101" s="26">
        <f t="shared" si="28"/>
        <v>0</v>
      </c>
      <c r="AH101" s="26">
        <f t="shared" si="28"/>
        <v>0</v>
      </c>
      <c r="AI101" s="26">
        <f t="shared" si="28"/>
        <v>0</v>
      </c>
      <c r="AJ101" s="26">
        <f t="shared" si="28"/>
        <v>0</v>
      </c>
      <c r="AK101" s="26">
        <f t="shared" si="28"/>
        <v>0</v>
      </c>
      <c r="AL101" s="26">
        <f t="shared" si="28"/>
        <v>0</v>
      </c>
    </row>
    <row r="102" spans="1:38" ht="21" hidden="1" customHeight="1" outlineLevel="1" thickBot="1" x14ac:dyDescent="0.4">
      <c r="A102" s="8">
        <f t="shared" si="29"/>
        <v>0</v>
      </c>
      <c r="B102" s="8">
        <f t="shared" si="29"/>
        <v>0</v>
      </c>
      <c r="C102" s="8">
        <f t="shared" si="29"/>
        <v>0</v>
      </c>
      <c r="D102" s="8">
        <f t="shared" si="29"/>
        <v>0</v>
      </c>
      <c r="E102" s="9">
        <f t="shared" si="20"/>
        <v>0</v>
      </c>
      <c r="F102" s="26">
        <f t="shared" si="28"/>
        <v>0</v>
      </c>
      <c r="G102" s="26">
        <f t="shared" si="28"/>
        <v>0</v>
      </c>
      <c r="H102" s="26">
        <f t="shared" si="28"/>
        <v>0</v>
      </c>
      <c r="I102" s="26">
        <f t="shared" si="28"/>
        <v>0</v>
      </c>
      <c r="J102" s="26">
        <f t="shared" si="28"/>
        <v>0</v>
      </c>
      <c r="K102" s="26">
        <f t="shared" si="28"/>
        <v>0</v>
      </c>
      <c r="L102" s="26">
        <f t="shared" si="28"/>
        <v>0</v>
      </c>
      <c r="M102" s="26">
        <f t="shared" si="28"/>
        <v>0</v>
      </c>
      <c r="N102" s="26">
        <f t="shared" si="28"/>
        <v>0</v>
      </c>
      <c r="O102" s="26">
        <f t="shared" si="28"/>
        <v>0</v>
      </c>
      <c r="P102" s="26">
        <f t="shared" si="28"/>
        <v>0</v>
      </c>
      <c r="Q102" s="26">
        <f t="shared" si="28"/>
        <v>0</v>
      </c>
      <c r="R102" s="26">
        <f t="shared" si="28"/>
        <v>0</v>
      </c>
      <c r="S102" s="26">
        <f t="shared" si="28"/>
        <v>0</v>
      </c>
      <c r="T102" s="26">
        <f t="shared" si="28"/>
        <v>0</v>
      </c>
      <c r="U102" s="26">
        <f t="shared" si="28"/>
        <v>0</v>
      </c>
      <c r="V102" s="26">
        <f t="shared" si="28"/>
        <v>0</v>
      </c>
      <c r="W102" s="26">
        <f t="shared" si="28"/>
        <v>0</v>
      </c>
      <c r="X102" s="26">
        <f t="shared" si="28"/>
        <v>0</v>
      </c>
      <c r="Y102" s="26">
        <f t="shared" si="28"/>
        <v>0</v>
      </c>
      <c r="Z102" s="26">
        <f t="shared" si="28"/>
        <v>0</v>
      </c>
      <c r="AA102" s="26">
        <f t="shared" si="28"/>
        <v>0</v>
      </c>
      <c r="AB102" s="26">
        <f t="shared" si="28"/>
        <v>0</v>
      </c>
      <c r="AC102" s="26">
        <f t="shared" si="28"/>
        <v>0</v>
      </c>
      <c r="AD102" s="26">
        <f t="shared" si="28"/>
        <v>0</v>
      </c>
      <c r="AE102" s="26">
        <f t="shared" si="28"/>
        <v>0</v>
      </c>
      <c r="AF102" s="26">
        <f t="shared" si="28"/>
        <v>0</v>
      </c>
      <c r="AG102" s="26">
        <f t="shared" si="28"/>
        <v>0</v>
      </c>
      <c r="AH102" s="26">
        <f t="shared" si="28"/>
        <v>0</v>
      </c>
      <c r="AI102" s="26">
        <f t="shared" si="28"/>
        <v>0</v>
      </c>
      <c r="AJ102" s="26">
        <f t="shared" si="28"/>
        <v>0</v>
      </c>
      <c r="AK102" s="26">
        <f t="shared" si="28"/>
        <v>0</v>
      </c>
      <c r="AL102" s="26">
        <f t="shared" si="28"/>
        <v>0</v>
      </c>
    </row>
    <row r="103" spans="1:38" ht="21" hidden="1" customHeight="1" outlineLevel="1" thickBot="1" x14ac:dyDescent="0.4">
      <c r="A103" s="8">
        <f t="shared" si="29"/>
        <v>0</v>
      </c>
      <c r="B103" s="8">
        <f t="shared" si="29"/>
        <v>0</v>
      </c>
      <c r="C103" s="8">
        <f t="shared" si="29"/>
        <v>0</v>
      </c>
      <c r="D103" s="8">
        <f t="shared" si="29"/>
        <v>0</v>
      </c>
      <c r="E103" s="9">
        <f t="shared" si="20"/>
        <v>0</v>
      </c>
      <c r="F103" s="26">
        <f t="shared" si="28"/>
        <v>0</v>
      </c>
      <c r="G103" s="26">
        <f t="shared" si="28"/>
        <v>0</v>
      </c>
      <c r="H103" s="26">
        <f t="shared" si="28"/>
        <v>0</v>
      </c>
      <c r="I103" s="26">
        <f t="shared" si="28"/>
        <v>0</v>
      </c>
      <c r="J103" s="26">
        <f t="shared" si="28"/>
        <v>0</v>
      </c>
      <c r="K103" s="26">
        <f t="shared" si="28"/>
        <v>0</v>
      </c>
      <c r="L103" s="26">
        <f t="shared" si="28"/>
        <v>0</v>
      </c>
      <c r="M103" s="26">
        <f t="shared" si="28"/>
        <v>0</v>
      </c>
      <c r="N103" s="26">
        <f t="shared" si="28"/>
        <v>0</v>
      </c>
      <c r="O103" s="26">
        <f t="shared" si="28"/>
        <v>0</v>
      </c>
      <c r="P103" s="26">
        <f t="shared" si="28"/>
        <v>0</v>
      </c>
      <c r="Q103" s="26">
        <f t="shared" si="28"/>
        <v>0</v>
      </c>
      <c r="R103" s="26">
        <f t="shared" si="28"/>
        <v>0</v>
      </c>
      <c r="S103" s="26">
        <f t="shared" si="28"/>
        <v>0</v>
      </c>
      <c r="T103" s="26">
        <f t="shared" si="28"/>
        <v>0</v>
      </c>
      <c r="U103" s="26">
        <f t="shared" si="28"/>
        <v>0</v>
      </c>
      <c r="V103" s="26">
        <f t="shared" si="28"/>
        <v>0</v>
      </c>
      <c r="W103" s="26">
        <f t="shared" si="28"/>
        <v>0</v>
      </c>
      <c r="X103" s="26">
        <f t="shared" si="28"/>
        <v>0</v>
      </c>
      <c r="Y103" s="26">
        <f t="shared" si="28"/>
        <v>0</v>
      </c>
      <c r="Z103" s="26">
        <f t="shared" si="28"/>
        <v>0</v>
      </c>
      <c r="AA103" s="26">
        <f t="shared" si="28"/>
        <v>0</v>
      </c>
      <c r="AB103" s="26">
        <f t="shared" si="28"/>
        <v>0</v>
      </c>
      <c r="AC103" s="26">
        <f t="shared" si="28"/>
        <v>0</v>
      </c>
      <c r="AD103" s="26">
        <f t="shared" si="28"/>
        <v>0</v>
      </c>
      <c r="AE103" s="26">
        <f t="shared" si="28"/>
        <v>0</v>
      </c>
      <c r="AF103" s="26">
        <f t="shared" si="28"/>
        <v>0</v>
      </c>
      <c r="AG103" s="26">
        <f t="shared" si="28"/>
        <v>0</v>
      </c>
      <c r="AH103" s="26">
        <f t="shared" si="28"/>
        <v>0</v>
      </c>
      <c r="AI103" s="26">
        <f t="shared" si="28"/>
        <v>0</v>
      </c>
      <c r="AJ103" s="26">
        <f t="shared" si="28"/>
        <v>0</v>
      </c>
      <c r="AK103" s="26">
        <f t="shared" si="28"/>
        <v>0</v>
      </c>
      <c r="AL103" s="26">
        <f t="shared" si="28"/>
        <v>0</v>
      </c>
    </row>
    <row r="104" spans="1:38" ht="21" hidden="1" customHeight="1" outlineLevel="1" thickBot="1" x14ac:dyDescent="0.4">
      <c r="A104" s="8">
        <f t="shared" si="29"/>
        <v>0</v>
      </c>
      <c r="B104" s="8">
        <f t="shared" si="29"/>
        <v>0</v>
      </c>
      <c r="C104" s="8">
        <f t="shared" si="29"/>
        <v>0</v>
      </c>
      <c r="D104" s="8">
        <f t="shared" si="29"/>
        <v>0</v>
      </c>
      <c r="E104" s="9">
        <f t="shared" si="20"/>
        <v>0</v>
      </c>
      <c r="F104" s="26">
        <f t="shared" si="28"/>
        <v>0</v>
      </c>
      <c r="G104" s="26">
        <f t="shared" si="28"/>
        <v>0</v>
      </c>
      <c r="H104" s="26">
        <f t="shared" si="28"/>
        <v>0</v>
      </c>
      <c r="I104" s="26">
        <f t="shared" si="28"/>
        <v>0</v>
      </c>
      <c r="J104" s="26">
        <f t="shared" si="28"/>
        <v>0</v>
      </c>
      <c r="K104" s="26">
        <f t="shared" si="28"/>
        <v>0</v>
      </c>
      <c r="L104" s="26">
        <f t="shared" si="28"/>
        <v>0</v>
      </c>
      <c r="M104" s="26">
        <f t="shared" si="28"/>
        <v>0</v>
      </c>
      <c r="N104" s="26">
        <f t="shared" si="28"/>
        <v>0</v>
      </c>
      <c r="O104" s="26">
        <f t="shared" si="28"/>
        <v>0</v>
      </c>
      <c r="P104" s="26">
        <f t="shared" si="28"/>
        <v>0</v>
      </c>
      <c r="Q104" s="26">
        <f t="shared" si="28"/>
        <v>0</v>
      </c>
      <c r="R104" s="26">
        <f t="shared" si="28"/>
        <v>0</v>
      </c>
      <c r="S104" s="26">
        <f t="shared" si="28"/>
        <v>0</v>
      </c>
      <c r="T104" s="26">
        <f t="shared" si="28"/>
        <v>0</v>
      </c>
      <c r="U104" s="26">
        <f t="shared" si="28"/>
        <v>0</v>
      </c>
      <c r="V104" s="26">
        <f t="shared" si="28"/>
        <v>0</v>
      </c>
      <c r="W104" s="26">
        <f t="shared" si="28"/>
        <v>0</v>
      </c>
      <c r="X104" s="26">
        <f t="shared" si="28"/>
        <v>0</v>
      </c>
      <c r="Y104" s="26">
        <f t="shared" si="28"/>
        <v>0</v>
      </c>
      <c r="Z104" s="26">
        <f t="shared" si="28"/>
        <v>0</v>
      </c>
      <c r="AA104" s="26">
        <f t="shared" si="28"/>
        <v>0</v>
      </c>
      <c r="AB104" s="26">
        <f t="shared" si="28"/>
        <v>0</v>
      </c>
      <c r="AC104" s="26">
        <f t="shared" si="28"/>
        <v>0</v>
      </c>
      <c r="AD104" s="26">
        <f t="shared" si="28"/>
        <v>0</v>
      </c>
      <c r="AE104" s="26">
        <f t="shared" si="28"/>
        <v>0</v>
      </c>
      <c r="AF104" s="26">
        <f t="shared" si="28"/>
        <v>0</v>
      </c>
      <c r="AG104" s="26">
        <f t="shared" si="28"/>
        <v>0</v>
      </c>
      <c r="AH104" s="26">
        <f t="shared" si="28"/>
        <v>0</v>
      </c>
      <c r="AI104" s="26">
        <f t="shared" si="28"/>
        <v>0</v>
      </c>
      <c r="AJ104" s="26">
        <f t="shared" si="28"/>
        <v>0</v>
      </c>
      <c r="AK104" s="26">
        <f t="shared" si="28"/>
        <v>0</v>
      </c>
      <c r="AL104" s="26">
        <f t="shared" si="28"/>
        <v>0</v>
      </c>
    </row>
    <row r="105" spans="1:38" ht="21" hidden="1" customHeight="1" outlineLevel="1" thickBot="1" x14ac:dyDescent="0.4">
      <c r="A105" s="8">
        <f t="shared" si="29"/>
        <v>0</v>
      </c>
      <c r="B105" s="8">
        <f t="shared" si="29"/>
        <v>0</v>
      </c>
      <c r="C105" s="8">
        <f t="shared" si="29"/>
        <v>0</v>
      </c>
      <c r="D105" s="8">
        <f t="shared" si="29"/>
        <v>0</v>
      </c>
      <c r="E105" s="9">
        <f t="shared" si="20"/>
        <v>0</v>
      </c>
      <c r="F105" s="26">
        <f t="shared" si="28"/>
        <v>0</v>
      </c>
      <c r="G105" s="26">
        <f t="shared" si="28"/>
        <v>0</v>
      </c>
      <c r="H105" s="26">
        <f t="shared" si="28"/>
        <v>0</v>
      </c>
      <c r="I105" s="26">
        <f t="shared" si="28"/>
        <v>0</v>
      </c>
      <c r="J105" s="26">
        <f t="shared" si="28"/>
        <v>0</v>
      </c>
      <c r="K105" s="26">
        <f t="shared" si="28"/>
        <v>0</v>
      </c>
      <c r="L105" s="26">
        <f t="shared" si="28"/>
        <v>0</v>
      </c>
      <c r="M105" s="26">
        <f t="shared" si="28"/>
        <v>0</v>
      </c>
      <c r="N105" s="26">
        <f t="shared" si="28"/>
        <v>0</v>
      </c>
      <c r="O105" s="26">
        <f t="shared" si="28"/>
        <v>0</v>
      </c>
      <c r="P105" s="26">
        <f t="shared" si="28"/>
        <v>0</v>
      </c>
      <c r="Q105" s="26">
        <f t="shared" si="28"/>
        <v>0</v>
      </c>
      <c r="R105" s="26">
        <f t="shared" si="28"/>
        <v>0</v>
      </c>
      <c r="S105" s="26">
        <f t="shared" si="28"/>
        <v>0</v>
      </c>
      <c r="T105" s="26">
        <f t="shared" si="28"/>
        <v>0</v>
      </c>
      <c r="U105" s="26">
        <f t="shared" si="28"/>
        <v>0</v>
      </c>
      <c r="V105" s="26">
        <f t="shared" si="28"/>
        <v>0</v>
      </c>
      <c r="W105" s="26">
        <f t="shared" si="28"/>
        <v>0</v>
      </c>
      <c r="X105" s="26">
        <f t="shared" si="28"/>
        <v>0</v>
      </c>
      <c r="Y105" s="26">
        <f t="shared" si="28"/>
        <v>0</v>
      </c>
      <c r="Z105" s="26">
        <f t="shared" si="28"/>
        <v>0</v>
      </c>
      <c r="AA105" s="26">
        <f t="shared" si="28"/>
        <v>0</v>
      </c>
      <c r="AB105" s="26">
        <f t="shared" si="28"/>
        <v>0</v>
      </c>
      <c r="AC105" s="26">
        <f t="shared" si="28"/>
        <v>0</v>
      </c>
      <c r="AD105" s="26">
        <f t="shared" si="28"/>
        <v>0</v>
      </c>
      <c r="AE105" s="26">
        <f t="shared" si="28"/>
        <v>0</v>
      </c>
      <c r="AF105" s="26">
        <f t="shared" si="28"/>
        <v>0</v>
      </c>
      <c r="AG105" s="26">
        <f t="shared" si="28"/>
        <v>0</v>
      </c>
      <c r="AH105" s="26">
        <f t="shared" si="28"/>
        <v>0</v>
      </c>
      <c r="AI105" s="26">
        <f t="shared" si="28"/>
        <v>0</v>
      </c>
      <c r="AJ105" s="26">
        <f t="shared" si="28"/>
        <v>0</v>
      </c>
      <c r="AK105" s="26">
        <f t="shared" si="28"/>
        <v>0</v>
      </c>
      <c r="AL105" s="26">
        <f t="shared" si="28"/>
        <v>0</v>
      </c>
    </row>
    <row r="106" spans="1:38" ht="21" hidden="1" customHeight="1" outlineLevel="1" thickBot="1" x14ac:dyDescent="0.4">
      <c r="A106" s="8">
        <f t="shared" si="29"/>
        <v>0</v>
      </c>
      <c r="B106" s="8">
        <f t="shared" si="29"/>
        <v>0</v>
      </c>
      <c r="C106" s="8">
        <f t="shared" si="29"/>
        <v>0</v>
      </c>
      <c r="D106" s="8">
        <f t="shared" si="29"/>
        <v>0</v>
      </c>
      <c r="E106" s="9">
        <f t="shared" si="20"/>
        <v>0</v>
      </c>
      <c r="F106" s="26">
        <f t="shared" si="28"/>
        <v>0</v>
      </c>
      <c r="G106" s="26">
        <f t="shared" si="28"/>
        <v>0</v>
      </c>
      <c r="H106" s="26">
        <f t="shared" si="28"/>
        <v>0</v>
      </c>
      <c r="I106" s="26">
        <f t="shared" si="28"/>
        <v>0</v>
      </c>
      <c r="J106" s="26">
        <f t="shared" si="28"/>
        <v>0</v>
      </c>
      <c r="K106" s="26">
        <f t="shared" si="28"/>
        <v>0</v>
      </c>
      <c r="L106" s="26">
        <f t="shared" si="28"/>
        <v>0</v>
      </c>
      <c r="M106" s="26">
        <f t="shared" si="28"/>
        <v>0</v>
      </c>
      <c r="N106" s="26">
        <f t="shared" si="28"/>
        <v>0</v>
      </c>
      <c r="O106" s="26">
        <f t="shared" si="28"/>
        <v>0</v>
      </c>
      <c r="P106" s="26">
        <f t="shared" si="28"/>
        <v>0</v>
      </c>
      <c r="Q106" s="26">
        <f t="shared" si="28"/>
        <v>0</v>
      </c>
      <c r="R106" s="26">
        <f t="shared" si="28"/>
        <v>0</v>
      </c>
      <c r="S106" s="26">
        <f t="shared" si="28"/>
        <v>0</v>
      </c>
      <c r="T106" s="26">
        <f t="shared" si="28"/>
        <v>0</v>
      </c>
      <c r="U106" s="26">
        <f t="shared" si="28"/>
        <v>0</v>
      </c>
      <c r="V106" s="26">
        <f t="shared" si="28"/>
        <v>0</v>
      </c>
      <c r="W106" s="26">
        <f t="shared" si="28"/>
        <v>0</v>
      </c>
      <c r="X106" s="26">
        <f t="shared" si="28"/>
        <v>0</v>
      </c>
      <c r="Y106" s="26">
        <f t="shared" si="28"/>
        <v>0</v>
      </c>
      <c r="Z106" s="26">
        <f t="shared" si="28"/>
        <v>0</v>
      </c>
      <c r="AA106" s="26">
        <f t="shared" si="28"/>
        <v>0</v>
      </c>
      <c r="AB106" s="26">
        <f t="shared" si="28"/>
        <v>0</v>
      </c>
      <c r="AC106" s="26">
        <f t="shared" si="28"/>
        <v>0</v>
      </c>
      <c r="AD106" s="26">
        <f t="shared" si="28"/>
        <v>0</v>
      </c>
      <c r="AE106" s="26">
        <f t="shared" si="28"/>
        <v>0</v>
      </c>
      <c r="AF106" s="26">
        <f t="shared" si="28"/>
        <v>0</v>
      </c>
      <c r="AG106" s="26">
        <f t="shared" si="28"/>
        <v>0</v>
      </c>
      <c r="AH106" s="26">
        <f t="shared" si="28"/>
        <v>0</v>
      </c>
      <c r="AI106" s="26">
        <f t="shared" si="28"/>
        <v>0</v>
      </c>
      <c r="AJ106" s="26">
        <f t="shared" si="28"/>
        <v>0</v>
      </c>
      <c r="AK106" s="26">
        <f t="shared" si="28"/>
        <v>0</v>
      </c>
      <c r="AL106" s="26">
        <f t="shared" si="28"/>
        <v>0</v>
      </c>
    </row>
    <row r="107" spans="1:38" ht="21" hidden="1" customHeight="1" outlineLevel="1" thickBot="1" x14ac:dyDescent="0.4">
      <c r="A107" s="8">
        <f t="shared" si="29"/>
        <v>0</v>
      </c>
      <c r="B107" s="8">
        <f t="shared" si="29"/>
        <v>0</v>
      </c>
      <c r="C107" s="8">
        <f t="shared" si="29"/>
        <v>0</v>
      </c>
      <c r="D107" s="8">
        <f t="shared" si="29"/>
        <v>0</v>
      </c>
      <c r="E107" s="9">
        <f t="shared" si="20"/>
        <v>0</v>
      </c>
      <c r="F107" s="26">
        <f t="shared" si="28"/>
        <v>0</v>
      </c>
      <c r="G107" s="26">
        <f t="shared" si="28"/>
        <v>0</v>
      </c>
      <c r="H107" s="26">
        <f t="shared" si="28"/>
        <v>0</v>
      </c>
      <c r="I107" s="26">
        <f t="shared" si="28"/>
        <v>0</v>
      </c>
      <c r="J107" s="26">
        <f t="shared" si="28"/>
        <v>0</v>
      </c>
      <c r="K107" s="26">
        <f t="shared" si="28"/>
        <v>0</v>
      </c>
      <c r="L107" s="26">
        <f t="shared" si="28"/>
        <v>0</v>
      </c>
      <c r="M107" s="26">
        <f t="shared" si="28"/>
        <v>0</v>
      </c>
      <c r="N107" s="26">
        <f t="shared" si="28"/>
        <v>0</v>
      </c>
      <c r="O107" s="26">
        <f t="shared" si="28"/>
        <v>0</v>
      </c>
      <c r="P107" s="26">
        <f t="shared" si="28"/>
        <v>0</v>
      </c>
      <c r="Q107" s="26">
        <f t="shared" si="28"/>
        <v>0</v>
      </c>
      <c r="R107" s="26">
        <f t="shared" si="28"/>
        <v>0</v>
      </c>
      <c r="S107" s="26">
        <f t="shared" si="28"/>
        <v>0</v>
      </c>
      <c r="T107" s="26">
        <f t="shared" si="28"/>
        <v>0</v>
      </c>
      <c r="U107" s="26">
        <f t="shared" si="28"/>
        <v>0</v>
      </c>
      <c r="V107" s="26">
        <f t="shared" si="28"/>
        <v>0</v>
      </c>
      <c r="W107" s="26">
        <f t="shared" si="28"/>
        <v>0</v>
      </c>
      <c r="X107" s="26">
        <f t="shared" si="28"/>
        <v>0</v>
      </c>
      <c r="Y107" s="26">
        <f t="shared" si="28"/>
        <v>0</v>
      </c>
      <c r="Z107" s="26">
        <f t="shared" si="28"/>
        <v>0</v>
      </c>
      <c r="AA107" s="26">
        <f t="shared" si="28"/>
        <v>0</v>
      </c>
      <c r="AB107" s="26">
        <f t="shared" si="28"/>
        <v>0</v>
      </c>
      <c r="AC107" s="26">
        <f t="shared" si="28"/>
        <v>0</v>
      </c>
      <c r="AD107" s="26">
        <f t="shared" ref="AD107:AL107" si="30">AD27*$C$82</f>
        <v>0</v>
      </c>
      <c r="AE107" s="26">
        <f t="shared" si="30"/>
        <v>0</v>
      </c>
      <c r="AF107" s="26">
        <f t="shared" si="30"/>
        <v>0</v>
      </c>
      <c r="AG107" s="26">
        <f t="shared" si="30"/>
        <v>0</v>
      </c>
      <c r="AH107" s="26">
        <f t="shared" si="30"/>
        <v>0</v>
      </c>
      <c r="AI107" s="26">
        <f t="shared" si="30"/>
        <v>0</v>
      </c>
      <c r="AJ107" s="26">
        <f t="shared" si="30"/>
        <v>0</v>
      </c>
      <c r="AK107" s="26">
        <f t="shared" si="30"/>
        <v>0</v>
      </c>
      <c r="AL107" s="26">
        <f t="shared" si="30"/>
        <v>0</v>
      </c>
    </row>
    <row r="108" spans="1:38" ht="21" hidden="1" customHeight="1" outlineLevel="1" thickBot="1" x14ac:dyDescent="0.4">
      <c r="A108" s="8">
        <f t="shared" si="29"/>
        <v>0</v>
      </c>
      <c r="B108" s="8">
        <f t="shared" si="29"/>
        <v>0</v>
      </c>
      <c r="C108" s="8">
        <f t="shared" si="29"/>
        <v>0</v>
      </c>
      <c r="D108" s="8">
        <f t="shared" si="29"/>
        <v>0</v>
      </c>
      <c r="E108" s="9">
        <f t="shared" si="20"/>
        <v>0</v>
      </c>
      <c r="F108" s="26">
        <f t="shared" ref="F108:AL112" si="31">F28*$C$82</f>
        <v>0</v>
      </c>
      <c r="G108" s="26">
        <f t="shared" si="31"/>
        <v>0</v>
      </c>
      <c r="H108" s="26">
        <f t="shared" si="31"/>
        <v>0</v>
      </c>
      <c r="I108" s="26">
        <f t="shared" si="31"/>
        <v>0</v>
      </c>
      <c r="J108" s="26">
        <f t="shared" si="31"/>
        <v>0</v>
      </c>
      <c r="K108" s="26">
        <f t="shared" si="31"/>
        <v>0</v>
      </c>
      <c r="L108" s="26">
        <f t="shared" si="31"/>
        <v>0</v>
      </c>
      <c r="M108" s="26">
        <f t="shared" si="31"/>
        <v>0</v>
      </c>
      <c r="N108" s="26">
        <f t="shared" si="31"/>
        <v>0</v>
      </c>
      <c r="O108" s="26">
        <f t="shared" si="31"/>
        <v>0</v>
      </c>
      <c r="P108" s="26">
        <f t="shared" si="31"/>
        <v>0</v>
      </c>
      <c r="Q108" s="26">
        <f t="shared" si="31"/>
        <v>0</v>
      </c>
      <c r="R108" s="26">
        <f t="shared" si="31"/>
        <v>0</v>
      </c>
      <c r="S108" s="26">
        <f t="shared" si="31"/>
        <v>0</v>
      </c>
      <c r="T108" s="26">
        <f t="shared" si="31"/>
        <v>0</v>
      </c>
      <c r="U108" s="26">
        <f t="shared" si="31"/>
        <v>0</v>
      </c>
      <c r="V108" s="26">
        <f t="shared" si="31"/>
        <v>0</v>
      </c>
      <c r="W108" s="26">
        <f t="shared" si="31"/>
        <v>0</v>
      </c>
      <c r="X108" s="26">
        <f t="shared" si="31"/>
        <v>0</v>
      </c>
      <c r="Y108" s="26">
        <f t="shared" si="31"/>
        <v>0</v>
      </c>
      <c r="Z108" s="26">
        <f t="shared" si="31"/>
        <v>0</v>
      </c>
      <c r="AA108" s="26">
        <f t="shared" si="31"/>
        <v>0</v>
      </c>
      <c r="AB108" s="26">
        <f t="shared" si="31"/>
        <v>0</v>
      </c>
      <c r="AC108" s="26">
        <f t="shared" si="31"/>
        <v>0</v>
      </c>
      <c r="AD108" s="26">
        <f t="shared" si="31"/>
        <v>0</v>
      </c>
      <c r="AE108" s="26">
        <f t="shared" si="31"/>
        <v>0</v>
      </c>
      <c r="AF108" s="26">
        <f t="shared" si="31"/>
        <v>0</v>
      </c>
      <c r="AG108" s="26">
        <f t="shared" si="31"/>
        <v>0</v>
      </c>
      <c r="AH108" s="26">
        <f t="shared" si="31"/>
        <v>0</v>
      </c>
      <c r="AI108" s="26">
        <f t="shared" si="31"/>
        <v>0</v>
      </c>
      <c r="AJ108" s="26">
        <f t="shared" si="31"/>
        <v>0</v>
      </c>
      <c r="AK108" s="26">
        <f t="shared" si="31"/>
        <v>0</v>
      </c>
      <c r="AL108" s="26">
        <f t="shared" si="31"/>
        <v>0</v>
      </c>
    </row>
    <row r="109" spans="1:38" ht="21" hidden="1" customHeight="1" outlineLevel="1" thickBot="1" x14ac:dyDescent="0.4">
      <c r="A109" s="8">
        <f t="shared" si="29"/>
        <v>0</v>
      </c>
      <c r="B109" s="8">
        <f t="shared" si="29"/>
        <v>0</v>
      </c>
      <c r="C109" s="8">
        <f t="shared" si="29"/>
        <v>0</v>
      </c>
      <c r="D109" s="8">
        <f t="shared" si="29"/>
        <v>0</v>
      </c>
      <c r="E109" s="9">
        <f t="shared" si="20"/>
        <v>0</v>
      </c>
      <c r="F109" s="26">
        <f t="shared" si="31"/>
        <v>0</v>
      </c>
      <c r="G109" s="26">
        <f t="shared" si="31"/>
        <v>0</v>
      </c>
      <c r="H109" s="26">
        <f t="shared" si="31"/>
        <v>0</v>
      </c>
      <c r="I109" s="26">
        <f t="shared" si="31"/>
        <v>0</v>
      </c>
      <c r="J109" s="26">
        <f t="shared" si="31"/>
        <v>0</v>
      </c>
      <c r="K109" s="26">
        <f t="shared" si="31"/>
        <v>0</v>
      </c>
      <c r="L109" s="26">
        <f t="shared" si="31"/>
        <v>0</v>
      </c>
      <c r="M109" s="26">
        <f t="shared" si="31"/>
        <v>0</v>
      </c>
      <c r="N109" s="26">
        <f t="shared" si="31"/>
        <v>0</v>
      </c>
      <c r="O109" s="26">
        <f t="shared" si="31"/>
        <v>0</v>
      </c>
      <c r="P109" s="26">
        <f t="shared" si="31"/>
        <v>0</v>
      </c>
      <c r="Q109" s="26">
        <f t="shared" si="31"/>
        <v>0</v>
      </c>
      <c r="R109" s="26">
        <f t="shared" si="31"/>
        <v>0</v>
      </c>
      <c r="S109" s="26">
        <f t="shared" si="31"/>
        <v>0</v>
      </c>
      <c r="T109" s="26">
        <f t="shared" si="31"/>
        <v>0</v>
      </c>
      <c r="U109" s="26">
        <f t="shared" si="31"/>
        <v>0</v>
      </c>
      <c r="V109" s="26">
        <f t="shared" si="31"/>
        <v>0</v>
      </c>
      <c r="W109" s="26">
        <f t="shared" si="31"/>
        <v>0</v>
      </c>
      <c r="X109" s="26">
        <f t="shared" si="31"/>
        <v>0</v>
      </c>
      <c r="Y109" s="26">
        <f t="shared" si="31"/>
        <v>0</v>
      </c>
      <c r="Z109" s="26">
        <f t="shared" si="31"/>
        <v>0</v>
      </c>
      <c r="AA109" s="26">
        <f t="shared" si="31"/>
        <v>0</v>
      </c>
      <c r="AB109" s="26">
        <f t="shared" si="31"/>
        <v>0</v>
      </c>
      <c r="AC109" s="26">
        <f t="shared" si="31"/>
        <v>0</v>
      </c>
      <c r="AD109" s="26">
        <f t="shared" si="31"/>
        <v>0</v>
      </c>
      <c r="AE109" s="26">
        <f t="shared" si="31"/>
        <v>0</v>
      </c>
      <c r="AF109" s="26">
        <f t="shared" si="31"/>
        <v>0</v>
      </c>
      <c r="AG109" s="26">
        <f t="shared" si="31"/>
        <v>0</v>
      </c>
      <c r="AH109" s="26">
        <f t="shared" si="31"/>
        <v>0</v>
      </c>
      <c r="AI109" s="26">
        <f t="shared" si="31"/>
        <v>0</v>
      </c>
      <c r="AJ109" s="26">
        <f t="shared" si="31"/>
        <v>0</v>
      </c>
      <c r="AK109" s="26">
        <f t="shared" si="31"/>
        <v>0</v>
      </c>
      <c r="AL109" s="26">
        <f t="shared" si="31"/>
        <v>0</v>
      </c>
    </row>
    <row r="110" spans="1:38" ht="21" hidden="1" customHeight="1" outlineLevel="1" thickBot="1" x14ac:dyDescent="0.4">
      <c r="A110" s="8">
        <f t="shared" si="29"/>
        <v>0</v>
      </c>
      <c r="B110" s="8">
        <f t="shared" si="29"/>
        <v>0</v>
      </c>
      <c r="C110" s="8">
        <f t="shared" si="29"/>
        <v>0</v>
      </c>
      <c r="D110" s="8">
        <f t="shared" si="29"/>
        <v>0</v>
      </c>
      <c r="E110" s="9">
        <f t="shared" si="20"/>
        <v>0</v>
      </c>
      <c r="F110" s="26">
        <f t="shared" si="31"/>
        <v>0</v>
      </c>
      <c r="G110" s="26">
        <f t="shared" si="31"/>
        <v>0</v>
      </c>
      <c r="H110" s="26">
        <f t="shared" si="31"/>
        <v>0</v>
      </c>
      <c r="I110" s="26">
        <f t="shared" si="31"/>
        <v>0</v>
      </c>
      <c r="J110" s="26">
        <f t="shared" si="31"/>
        <v>0</v>
      </c>
      <c r="K110" s="26">
        <f t="shared" si="31"/>
        <v>0</v>
      </c>
      <c r="L110" s="26">
        <f t="shared" si="31"/>
        <v>0</v>
      </c>
      <c r="M110" s="26">
        <f t="shared" si="31"/>
        <v>0</v>
      </c>
      <c r="N110" s="26">
        <f t="shared" si="31"/>
        <v>0</v>
      </c>
      <c r="O110" s="26">
        <f t="shared" si="31"/>
        <v>0</v>
      </c>
      <c r="P110" s="26">
        <f t="shared" si="31"/>
        <v>0</v>
      </c>
      <c r="Q110" s="26">
        <f t="shared" si="31"/>
        <v>0</v>
      </c>
      <c r="R110" s="26">
        <f t="shared" si="31"/>
        <v>0</v>
      </c>
      <c r="S110" s="26">
        <f t="shared" si="31"/>
        <v>0</v>
      </c>
      <c r="T110" s="26">
        <f t="shared" si="31"/>
        <v>0</v>
      </c>
      <c r="U110" s="26">
        <f t="shared" si="31"/>
        <v>0</v>
      </c>
      <c r="V110" s="26">
        <f t="shared" si="31"/>
        <v>0</v>
      </c>
      <c r="W110" s="26">
        <f t="shared" si="31"/>
        <v>0</v>
      </c>
      <c r="X110" s="26">
        <f t="shared" si="31"/>
        <v>0</v>
      </c>
      <c r="Y110" s="26">
        <f t="shared" si="31"/>
        <v>0</v>
      </c>
      <c r="Z110" s="26">
        <f t="shared" si="31"/>
        <v>0</v>
      </c>
      <c r="AA110" s="26">
        <f t="shared" si="31"/>
        <v>0</v>
      </c>
      <c r="AB110" s="26">
        <f t="shared" si="31"/>
        <v>0</v>
      </c>
      <c r="AC110" s="26">
        <f t="shared" si="31"/>
        <v>0</v>
      </c>
      <c r="AD110" s="26">
        <f t="shared" si="31"/>
        <v>0</v>
      </c>
      <c r="AE110" s="26">
        <f t="shared" si="31"/>
        <v>0</v>
      </c>
      <c r="AF110" s="26">
        <f t="shared" si="31"/>
        <v>0</v>
      </c>
      <c r="AG110" s="26">
        <f t="shared" si="31"/>
        <v>0</v>
      </c>
      <c r="AH110" s="26">
        <f t="shared" si="31"/>
        <v>0</v>
      </c>
      <c r="AI110" s="26">
        <f t="shared" si="31"/>
        <v>0</v>
      </c>
      <c r="AJ110" s="26">
        <f t="shared" si="31"/>
        <v>0</v>
      </c>
      <c r="AK110" s="26">
        <f t="shared" si="31"/>
        <v>0</v>
      </c>
      <c r="AL110" s="26">
        <f t="shared" si="31"/>
        <v>0</v>
      </c>
    </row>
    <row r="111" spans="1:38" ht="21" hidden="1" customHeight="1" outlineLevel="1" thickBot="1" x14ac:dyDescent="0.4">
      <c r="A111" s="8">
        <f t="shared" si="29"/>
        <v>0</v>
      </c>
      <c r="B111" s="8">
        <f t="shared" si="29"/>
        <v>0</v>
      </c>
      <c r="C111" s="8">
        <f t="shared" si="29"/>
        <v>0</v>
      </c>
      <c r="D111" s="8">
        <f t="shared" si="29"/>
        <v>0</v>
      </c>
      <c r="E111" s="9">
        <f t="shared" si="20"/>
        <v>0</v>
      </c>
      <c r="F111" s="26">
        <f t="shared" si="31"/>
        <v>0</v>
      </c>
      <c r="G111" s="26">
        <f t="shared" si="31"/>
        <v>0</v>
      </c>
      <c r="H111" s="26">
        <f t="shared" si="31"/>
        <v>0</v>
      </c>
      <c r="I111" s="26">
        <f t="shared" si="31"/>
        <v>0</v>
      </c>
      <c r="J111" s="26">
        <f t="shared" si="31"/>
        <v>0</v>
      </c>
      <c r="K111" s="26">
        <f t="shared" si="31"/>
        <v>0</v>
      </c>
      <c r="L111" s="26">
        <f t="shared" si="31"/>
        <v>0</v>
      </c>
      <c r="M111" s="26">
        <f t="shared" si="31"/>
        <v>0</v>
      </c>
      <c r="N111" s="26">
        <f t="shared" si="31"/>
        <v>0</v>
      </c>
      <c r="O111" s="26">
        <f t="shared" si="31"/>
        <v>0</v>
      </c>
      <c r="P111" s="26">
        <f t="shared" si="31"/>
        <v>0</v>
      </c>
      <c r="Q111" s="26">
        <f t="shared" si="31"/>
        <v>0</v>
      </c>
      <c r="R111" s="26">
        <f t="shared" si="31"/>
        <v>0</v>
      </c>
      <c r="S111" s="26">
        <f t="shared" si="31"/>
        <v>0</v>
      </c>
      <c r="T111" s="26">
        <f t="shared" si="31"/>
        <v>0</v>
      </c>
      <c r="U111" s="26">
        <f t="shared" si="31"/>
        <v>0</v>
      </c>
      <c r="V111" s="26">
        <f t="shared" si="31"/>
        <v>0</v>
      </c>
      <c r="W111" s="26">
        <f t="shared" si="31"/>
        <v>0</v>
      </c>
      <c r="X111" s="26">
        <f t="shared" si="31"/>
        <v>0</v>
      </c>
      <c r="Y111" s="26">
        <f t="shared" si="31"/>
        <v>0</v>
      </c>
      <c r="Z111" s="26">
        <f t="shared" si="31"/>
        <v>0</v>
      </c>
      <c r="AA111" s="26">
        <f t="shared" si="31"/>
        <v>0</v>
      </c>
      <c r="AB111" s="26">
        <f t="shared" si="31"/>
        <v>0</v>
      </c>
      <c r="AC111" s="26">
        <f t="shared" si="31"/>
        <v>0</v>
      </c>
      <c r="AD111" s="26">
        <f t="shared" si="31"/>
        <v>0</v>
      </c>
      <c r="AE111" s="26">
        <f t="shared" si="31"/>
        <v>0</v>
      </c>
      <c r="AF111" s="26">
        <f t="shared" si="31"/>
        <v>0</v>
      </c>
      <c r="AG111" s="26">
        <f t="shared" si="31"/>
        <v>0</v>
      </c>
      <c r="AH111" s="26">
        <f t="shared" si="31"/>
        <v>0</v>
      </c>
      <c r="AI111" s="26">
        <f t="shared" si="31"/>
        <v>0</v>
      </c>
      <c r="AJ111" s="26">
        <f t="shared" si="31"/>
        <v>0</v>
      </c>
      <c r="AK111" s="26">
        <f t="shared" si="31"/>
        <v>0</v>
      </c>
      <c r="AL111" s="26">
        <f t="shared" si="31"/>
        <v>0</v>
      </c>
    </row>
    <row r="112" spans="1:38" ht="21" hidden="1" customHeight="1" outlineLevel="1" thickBot="1" x14ac:dyDescent="0.4">
      <c r="A112" s="8">
        <f t="shared" si="29"/>
        <v>0</v>
      </c>
      <c r="B112" s="8">
        <f t="shared" si="29"/>
        <v>0</v>
      </c>
      <c r="C112" s="8">
        <f t="shared" si="29"/>
        <v>0</v>
      </c>
      <c r="D112" s="8">
        <f t="shared" si="29"/>
        <v>0</v>
      </c>
      <c r="E112" s="9">
        <f t="shared" si="20"/>
        <v>0</v>
      </c>
      <c r="F112" s="26">
        <f t="shared" si="31"/>
        <v>0</v>
      </c>
      <c r="G112" s="26">
        <f t="shared" si="31"/>
        <v>0</v>
      </c>
      <c r="H112" s="26">
        <f t="shared" si="31"/>
        <v>0</v>
      </c>
      <c r="I112" s="26">
        <f t="shared" si="31"/>
        <v>0</v>
      </c>
      <c r="J112" s="26">
        <f t="shared" si="31"/>
        <v>0</v>
      </c>
      <c r="K112" s="26">
        <f t="shared" si="31"/>
        <v>0</v>
      </c>
      <c r="L112" s="26">
        <f t="shared" si="31"/>
        <v>0</v>
      </c>
      <c r="M112" s="26">
        <f t="shared" si="31"/>
        <v>0</v>
      </c>
      <c r="N112" s="26">
        <f t="shared" si="31"/>
        <v>0</v>
      </c>
      <c r="O112" s="26">
        <f t="shared" si="31"/>
        <v>0</v>
      </c>
      <c r="P112" s="26">
        <f t="shared" si="31"/>
        <v>0</v>
      </c>
      <c r="Q112" s="26">
        <f t="shared" si="31"/>
        <v>0</v>
      </c>
      <c r="R112" s="26">
        <f t="shared" si="31"/>
        <v>0</v>
      </c>
      <c r="S112" s="26">
        <f t="shared" si="31"/>
        <v>0</v>
      </c>
      <c r="T112" s="26">
        <f t="shared" si="31"/>
        <v>0</v>
      </c>
      <c r="U112" s="26">
        <f t="shared" si="31"/>
        <v>0</v>
      </c>
      <c r="V112" s="26">
        <f t="shared" si="31"/>
        <v>0</v>
      </c>
      <c r="W112" s="26">
        <f t="shared" si="31"/>
        <v>0</v>
      </c>
      <c r="X112" s="26">
        <f t="shared" si="31"/>
        <v>0</v>
      </c>
      <c r="Y112" s="26">
        <f t="shared" si="31"/>
        <v>0</v>
      </c>
      <c r="Z112" s="26">
        <f t="shared" si="31"/>
        <v>0</v>
      </c>
      <c r="AA112" s="26">
        <f t="shared" si="31"/>
        <v>0</v>
      </c>
      <c r="AB112" s="26">
        <f t="shared" si="31"/>
        <v>0</v>
      </c>
      <c r="AC112" s="26">
        <f t="shared" si="31"/>
        <v>0</v>
      </c>
      <c r="AD112" s="26">
        <f t="shared" si="31"/>
        <v>0</v>
      </c>
      <c r="AE112" s="26">
        <f t="shared" si="31"/>
        <v>0</v>
      </c>
      <c r="AF112" s="26">
        <f t="shared" si="31"/>
        <v>0</v>
      </c>
      <c r="AG112" s="26">
        <f t="shared" si="31"/>
        <v>0</v>
      </c>
      <c r="AH112" s="26">
        <f t="shared" si="31"/>
        <v>0</v>
      </c>
      <c r="AI112" s="26">
        <f t="shared" si="31"/>
        <v>0</v>
      </c>
      <c r="AJ112" s="26">
        <f t="shared" si="31"/>
        <v>0</v>
      </c>
      <c r="AK112" s="26">
        <f t="shared" si="31"/>
        <v>0</v>
      </c>
      <c r="AL112" s="26">
        <f t="shared" si="31"/>
        <v>0</v>
      </c>
    </row>
    <row r="113" spans="1:38" ht="21" hidden="1" customHeight="1" outlineLevel="1" thickBot="1" x14ac:dyDescent="0.4">
      <c r="A113" s="8">
        <f t="shared" si="29"/>
        <v>0</v>
      </c>
      <c r="B113" s="8">
        <f t="shared" si="29"/>
        <v>0</v>
      </c>
      <c r="C113" s="8">
        <f t="shared" si="29"/>
        <v>0</v>
      </c>
      <c r="D113" s="8">
        <f t="shared" si="29"/>
        <v>0</v>
      </c>
      <c r="E113" s="9">
        <f t="shared" si="20"/>
        <v>1</v>
      </c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</row>
    <row r="114" spans="1:38" ht="21" hidden="1" customHeight="1" outlineLevel="1" x14ac:dyDescent="0.35"/>
    <row r="115" spans="1:38" ht="21" customHeight="1" collapsed="1" thickBot="1" x14ac:dyDescent="0.4"/>
    <row r="116" spans="1:38" ht="21" customHeight="1" thickTop="1" thickBot="1" x14ac:dyDescent="0.45">
      <c r="A116" s="1"/>
      <c r="B116" s="1"/>
      <c r="C116" s="1"/>
      <c r="D116" s="1"/>
      <c r="E116" s="2" t="s">
        <v>32</v>
      </c>
      <c r="F116" s="3"/>
      <c r="G116" s="2"/>
      <c r="H116" s="2"/>
      <c r="I116" s="2"/>
      <c r="J116" s="2"/>
      <c r="K116" s="2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</row>
    <row r="117" spans="1:38" ht="21" customHeight="1" outlineLevel="1" thickTop="1" thickBot="1" x14ac:dyDescent="0.4">
      <c r="A117" s="90" t="s">
        <v>11</v>
      </c>
      <c r="B117" s="91"/>
      <c r="C117" s="44" t="s">
        <v>12</v>
      </c>
      <c r="D117" s="27" t="s">
        <v>13</v>
      </c>
      <c r="E117" s="27"/>
      <c r="F117" s="7">
        <f t="shared" ref="F117:AL117" si="32">F3</f>
        <v>298.2</v>
      </c>
      <c r="G117" s="7">
        <f t="shared" si="32"/>
        <v>331.5</v>
      </c>
      <c r="H117" s="7">
        <f t="shared" si="32"/>
        <v>364.9</v>
      </c>
      <c r="I117" s="7">
        <f t="shared" si="32"/>
        <v>398.3</v>
      </c>
      <c r="J117" s="7">
        <f t="shared" si="32"/>
        <v>431.7</v>
      </c>
      <c r="K117" s="7">
        <f t="shared" si="32"/>
        <v>465.1</v>
      </c>
      <c r="L117" s="7">
        <f t="shared" si="32"/>
        <v>498.5</v>
      </c>
      <c r="M117" s="7">
        <f t="shared" si="32"/>
        <v>531.79999999999995</v>
      </c>
      <c r="N117" s="7">
        <f t="shared" si="32"/>
        <v>565.20000000000005</v>
      </c>
      <c r="O117" s="7">
        <f t="shared" si="32"/>
        <v>698.8</v>
      </c>
      <c r="P117" s="7">
        <f t="shared" si="32"/>
        <v>832.3</v>
      </c>
      <c r="Q117" s="7">
        <f t="shared" si="32"/>
        <v>965.8</v>
      </c>
      <c r="R117" s="7">
        <f t="shared" si="32"/>
        <v>999.2</v>
      </c>
      <c r="S117" s="7">
        <f t="shared" si="32"/>
        <v>1033</v>
      </c>
      <c r="T117" s="7">
        <f t="shared" si="32"/>
        <v>1066</v>
      </c>
      <c r="U117" s="7">
        <f t="shared" si="32"/>
        <v>1099</v>
      </c>
      <c r="V117" s="7">
        <f t="shared" si="32"/>
        <v>1233</v>
      </c>
      <c r="W117" s="7">
        <f t="shared" si="32"/>
        <v>1366</v>
      </c>
      <c r="X117" s="7">
        <f t="shared" si="32"/>
        <v>1400</v>
      </c>
      <c r="Y117" s="7">
        <f t="shared" si="32"/>
        <v>1433</v>
      </c>
      <c r="Z117" s="7">
        <f t="shared" si="32"/>
        <v>1467</v>
      </c>
      <c r="AA117" s="7">
        <f t="shared" si="32"/>
        <v>1500</v>
      </c>
      <c r="AB117" s="7">
        <f t="shared" si="32"/>
        <v>0</v>
      </c>
      <c r="AC117" s="7">
        <f t="shared" si="32"/>
        <v>0</v>
      </c>
      <c r="AD117" s="7">
        <f t="shared" si="32"/>
        <v>0</v>
      </c>
      <c r="AE117" s="7">
        <f t="shared" si="32"/>
        <v>0</v>
      </c>
      <c r="AF117" s="7">
        <f t="shared" si="32"/>
        <v>0</v>
      </c>
      <c r="AG117" s="7">
        <f t="shared" si="32"/>
        <v>0</v>
      </c>
      <c r="AH117" s="7">
        <f t="shared" si="32"/>
        <v>0</v>
      </c>
      <c r="AI117" s="7">
        <f t="shared" si="32"/>
        <v>0</v>
      </c>
      <c r="AJ117" s="7">
        <f t="shared" si="32"/>
        <v>0</v>
      </c>
      <c r="AK117" s="7">
        <f t="shared" si="32"/>
        <v>0</v>
      </c>
      <c r="AL117" s="7">
        <f t="shared" si="32"/>
        <v>0</v>
      </c>
    </row>
    <row r="118" spans="1:38" ht="21" customHeight="1" outlineLevel="1" thickTop="1" thickBot="1" x14ac:dyDescent="0.4">
      <c r="A118" s="42">
        <f>$A$2</f>
        <v>731</v>
      </c>
      <c r="B118" s="83">
        <f ca="1">MIN(MIN(F118:AL121),MIN(F41:AL41))</f>
        <v>-2762.92082175</v>
      </c>
      <c r="C118" s="45">
        <f>COUNTA(E118:E125)+1</f>
        <v>5</v>
      </c>
      <c r="E118" s="29" t="s">
        <v>71</v>
      </c>
      <c r="F118" s="26">
        <f ca="1">F$117*$B$2*SUMPRODUCT(F$95,F$61)/1000</f>
        <v>0</v>
      </c>
      <c r="G118" s="26">
        <f t="shared" ref="G118:AL118" ca="1" si="33">G$117*$B$2*SUMPRODUCT(G$95,G$61)/1000</f>
        <v>0</v>
      </c>
      <c r="H118" s="26">
        <f t="shared" ca="1" si="33"/>
        <v>0</v>
      </c>
      <c r="I118" s="26">
        <f t="shared" ca="1" si="33"/>
        <v>0</v>
      </c>
      <c r="J118" s="26">
        <f t="shared" ca="1" si="33"/>
        <v>0</v>
      </c>
      <c r="K118" s="26">
        <f t="shared" ca="1" si="33"/>
        <v>0</v>
      </c>
      <c r="L118" s="26">
        <f t="shared" ca="1" si="33"/>
        <v>0</v>
      </c>
      <c r="M118" s="26">
        <f t="shared" ca="1" si="33"/>
        <v>0</v>
      </c>
      <c r="N118" s="26">
        <f t="shared" ca="1" si="33"/>
        <v>-3.3171549083295307E-20</v>
      </c>
      <c r="O118" s="26">
        <f t="shared" ca="1" si="33"/>
        <v>-1.6782898676740513E-9</v>
      </c>
      <c r="P118" s="26">
        <f t="shared" ca="1" si="33"/>
        <v>-1.4650493200802501E-8</v>
      </c>
      <c r="Q118" s="26">
        <f t="shared" ca="1" si="33"/>
        <v>-4.9749452873133752E-7</v>
      </c>
      <c r="R118" s="26">
        <f t="shared" ca="1" si="33"/>
        <v>-9.028117463570371E-7</v>
      </c>
      <c r="S118" s="26">
        <f t="shared" ca="1" si="33"/>
        <v>-1.7064805660882326E-6</v>
      </c>
      <c r="T118" s="26">
        <f t="shared" ca="1" si="33"/>
        <v>-4.7226745938303771E-6</v>
      </c>
      <c r="U118" s="26">
        <f t="shared" ca="1" si="33"/>
        <v>-1.2219353177076327E-5</v>
      </c>
      <c r="V118" s="26">
        <f t="shared" ca="1" si="33"/>
        <v>-29.660554737641025</v>
      </c>
      <c r="W118" s="26">
        <f t="shared" ca="1" si="33"/>
        <v>-36.276196758000005</v>
      </c>
      <c r="X118" s="26">
        <f t="shared" ca="1" si="33"/>
        <v>-37.976478750000005</v>
      </c>
      <c r="Y118" s="26">
        <f t="shared" ca="1" si="33"/>
        <v>-39.663964726500012</v>
      </c>
      <c r="Z118" s="26">
        <f t="shared" ca="1" si="33"/>
        <v>-41.391780185250006</v>
      </c>
      <c r="AA118" s="26">
        <f t="shared" ca="1" si="33"/>
        <v>-43.096132125000004</v>
      </c>
      <c r="AB118" s="26">
        <f t="shared" ca="1" si="33"/>
        <v>0</v>
      </c>
      <c r="AC118" s="26">
        <f t="shared" ca="1" si="33"/>
        <v>0</v>
      </c>
      <c r="AD118" s="26">
        <f t="shared" ca="1" si="33"/>
        <v>0</v>
      </c>
      <c r="AE118" s="26">
        <f t="shared" ca="1" si="33"/>
        <v>0</v>
      </c>
      <c r="AF118" s="26">
        <f t="shared" ca="1" si="33"/>
        <v>0</v>
      </c>
      <c r="AG118" s="26">
        <f t="shared" ca="1" si="33"/>
        <v>0</v>
      </c>
      <c r="AH118" s="26">
        <f t="shared" ca="1" si="33"/>
        <v>0</v>
      </c>
      <c r="AI118" s="26">
        <f t="shared" ca="1" si="33"/>
        <v>0</v>
      </c>
      <c r="AJ118" s="26">
        <f t="shared" ca="1" si="33"/>
        <v>0</v>
      </c>
      <c r="AK118" s="26">
        <f t="shared" ca="1" si="33"/>
        <v>0</v>
      </c>
      <c r="AL118" s="26">
        <f t="shared" ca="1" si="33"/>
        <v>0</v>
      </c>
    </row>
    <row r="119" spans="1:38" ht="21" customHeight="1" outlineLevel="1" thickBot="1" x14ac:dyDescent="0.4">
      <c r="A119" s="43">
        <f>$A$118</f>
        <v>731</v>
      </c>
      <c r="B119" s="84">
        <f ca="1">MAX(MAX(F118:AL121),MAX(F41:AL41))</f>
        <v>0</v>
      </c>
      <c r="C119" s="46">
        <f xml:space="preserve"> COUNTIF(F117:AL117,"&lt;&gt;"&amp;0)</f>
        <v>22</v>
      </c>
      <c r="E119" s="29" t="s">
        <v>15</v>
      </c>
      <c r="F119" s="26">
        <f ca="1">F$117*$B$2*SUMPRODUCT(F$91:F$93,F$57:F$59)/1000</f>
        <v>-387.7136573625001</v>
      </c>
      <c r="G119" s="26">
        <f t="shared" ref="G119:AL119" ca="1" si="34">G$117*$B$2*SUMPRODUCT(G$91:G$93,G$57:G$59)/1000</f>
        <v>-393.01924374375011</v>
      </c>
      <c r="H119" s="26">
        <f t="shared" ca="1" si="34"/>
        <v>-398.83946303124998</v>
      </c>
      <c r="I119" s="26">
        <f t="shared" ca="1" si="34"/>
        <v>-404.93388067125011</v>
      </c>
      <c r="J119" s="26">
        <f t="shared" ca="1" si="34"/>
        <v>-411.2819390625001</v>
      </c>
      <c r="K119" s="26">
        <f t="shared" ca="1" si="34"/>
        <v>-417.86956591375014</v>
      </c>
      <c r="L119" s="26">
        <f t="shared" ca="1" si="34"/>
        <v>-424.80523080625011</v>
      </c>
      <c r="M119" s="26">
        <f t="shared" ca="1" si="34"/>
        <v>-97.82702426331339</v>
      </c>
      <c r="N119" s="26">
        <f t="shared" ca="1" si="34"/>
        <v>-9.7697728422550829E-3</v>
      </c>
      <c r="O119" s="26">
        <f t="shared" ca="1" si="34"/>
        <v>-5.2135380437530261E-16</v>
      </c>
      <c r="P119" s="26">
        <f t="shared" ca="1" si="34"/>
        <v>-4.74568858058136E-15</v>
      </c>
      <c r="Q119" s="26">
        <f t="shared" ca="1" si="34"/>
        <v>-1.0309422660575631E-11</v>
      </c>
      <c r="R119" s="26">
        <f t="shared" ca="1" si="34"/>
        <v>-5.1281458836036665E-11</v>
      </c>
      <c r="S119" s="26">
        <f t="shared" ca="1" si="34"/>
        <v>-2.3041887730372607E-10</v>
      </c>
      <c r="T119" s="26">
        <f t="shared" ca="1" si="34"/>
        <v>-9.4323239197797161E-10</v>
      </c>
      <c r="U119" s="26">
        <f t="shared" ca="1" si="34"/>
        <v>-3.5489887538815944E-9</v>
      </c>
      <c r="V119" s="26">
        <f t="shared" ca="1" si="34"/>
        <v>-3.3393422119415529E-7</v>
      </c>
      <c r="W119" s="26">
        <f t="shared" ca="1" si="34"/>
        <v>-1.0159124717946732E-5</v>
      </c>
      <c r="X119" s="26">
        <f t="shared" ca="1" si="34"/>
        <v>-2.1585197580187506E-5</v>
      </c>
      <c r="Y119" s="26">
        <f t="shared" ca="1" si="34"/>
        <v>-4.4275892225073797E-5</v>
      </c>
      <c r="Z119" s="26">
        <f t="shared" ca="1" si="34"/>
        <v>-8.8009272618887836E-5</v>
      </c>
      <c r="AA119" s="26">
        <f t="shared" ca="1" si="34"/>
        <v>-1.6961143605152999E-4</v>
      </c>
      <c r="AB119" s="26">
        <f t="shared" ca="1" si="34"/>
        <v>0</v>
      </c>
      <c r="AC119" s="26">
        <f t="shared" ca="1" si="34"/>
        <v>0</v>
      </c>
      <c r="AD119" s="26">
        <f t="shared" ca="1" si="34"/>
        <v>0</v>
      </c>
      <c r="AE119" s="26">
        <f t="shared" ca="1" si="34"/>
        <v>0</v>
      </c>
      <c r="AF119" s="26">
        <f t="shared" ca="1" si="34"/>
        <v>0</v>
      </c>
      <c r="AG119" s="26">
        <f t="shared" ca="1" si="34"/>
        <v>0</v>
      </c>
      <c r="AH119" s="26">
        <f t="shared" ca="1" si="34"/>
        <v>0</v>
      </c>
      <c r="AI119" s="26">
        <f t="shared" ca="1" si="34"/>
        <v>0</v>
      </c>
      <c r="AJ119" s="26">
        <f t="shared" ca="1" si="34"/>
        <v>0</v>
      </c>
      <c r="AK119" s="26">
        <f t="shared" ca="1" si="34"/>
        <v>0</v>
      </c>
      <c r="AL119" s="26">
        <f t="shared" ca="1" si="34"/>
        <v>0</v>
      </c>
    </row>
    <row r="120" spans="1:38" ht="21" customHeight="1" outlineLevel="1" thickBot="1" x14ac:dyDescent="0.4">
      <c r="E120" s="29" t="s">
        <v>16</v>
      </c>
      <c r="F120" s="26">
        <f ca="1">F$117*$B$2*SUMPRODUCT(F$91:F$94,F$57:F$60)/1000</f>
        <v>-466.31012699250016</v>
      </c>
      <c r="G120" s="26">
        <f t="shared" ref="G120:AL120" ca="1" si="35">G$117*$B$2*SUMPRODUCT(G$91:G$94,G$57:G$60)/1000</f>
        <v>-480.43852033125012</v>
      </c>
      <c r="H120" s="26">
        <f t="shared" ca="1" si="35"/>
        <v>-495.21829238625003</v>
      </c>
      <c r="I120" s="26">
        <f t="shared" ca="1" si="35"/>
        <v>-510.41042206875011</v>
      </c>
      <c r="J120" s="26">
        <f t="shared" ca="1" si="35"/>
        <v>-525.9622993800001</v>
      </c>
      <c r="K120" s="26">
        <f t="shared" ca="1" si="35"/>
        <v>-541.80928601125026</v>
      </c>
      <c r="L120" s="26">
        <f t="shared" ca="1" si="35"/>
        <v>-558.1289311812501</v>
      </c>
      <c r="M120" s="26">
        <f t="shared" ca="1" si="35"/>
        <v>-238.3618350583134</v>
      </c>
      <c r="N120" s="26">
        <f t="shared" ca="1" si="35"/>
        <v>-149.05765854284232</v>
      </c>
      <c r="O120" s="26">
        <f t="shared" ca="1" si="35"/>
        <v>-186.99072151000004</v>
      </c>
      <c r="P120" s="26">
        <f t="shared" ca="1" si="35"/>
        <v>-225.71249818250007</v>
      </c>
      <c r="Q120" s="26">
        <f t="shared" ca="1" si="35"/>
        <v>-265.26242677001039</v>
      </c>
      <c r="R120" s="26">
        <f t="shared" ca="1" si="35"/>
        <v>-275.26671032005135</v>
      </c>
      <c r="S120" s="26">
        <f t="shared" ca="1" si="35"/>
        <v>-285.43706215023053</v>
      </c>
      <c r="T120" s="26">
        <f t="shared" ca="1" si="35"/>
        <v>-295.44190000094335</v>
      </c>
      <c r="U120" s="26">
        <f t="shared" ca="1" si="35"/>
        <v>-305.34931962854904</v>
      </c>
      <c r="V120" s="26">
        <f t="shared" ca="1" si="35"/>
        <v>-346.16838768393433</v>
      </c>
      <c r="W120" s="26">
        <f t="shared" ca="1" si="35"/>
        <v>-387.29440885912487</v>
      </c>
      <c r="X120" s="26">
        <f t="shared" ca="1" si="35"/>
        <v>-397.90427658519769</v>
      </c>
      <c r="Y120" s="26">
        <f t="shared" ca="1" si="35"/>
        <v>-408.27636087589241</v>
      </c>
      <c r="Z120" s="26">
        <f t="shared" ca="1" si="35"/>
        <v>-418.77650950927284</v>
      </c>
      <c r="AA120" s="26">
        <f t="shared" ca="1" si="35"/>
        <v>-429.23623211143621</v>
      </c>
      <c r="AB120" s="26">
        <f t="shared" ca="1" si="35"/>
        <v>0</v>
      </c>
      <c r="AC120" s="26">
        <f t="shared" ca="1" si="35"/>
        <v>0</v>
      </c>
      <c r="AD120" s="26">
        <f t="shared" ca="1" si="35"/>
        <v>0</v>
      </c>
      <c r="AE120" s="26">
        <f t="shared" ca="1" si="35"/>
        <v>0</v>
      </c>
      <c r="AF120" s="26">
        <f t="shared" ca="1" si="35"/>
        <v>0</v>
      </c>
      <c r="AG120" s="26">
        <f t="shared" ca="1" si="35"/>
        <v>0</v>
      </c>
      <c r="AH120" s="26">
        <f t="shared" ca="1" si="35"/>
        <v>0</v>
      </c>
      <c r="AI120" s="26">
        <f t="shared" ca="1" si="35"/>
        <v>0</v>
      </c>
      <c r="AJ120" s="26">
        <f t="shared" ca="1" si="35"/>
        <v>0</v>
      </c>
      <c r="AK120" s="26">
        <f t="shared" ca="1" si="35"/>
        <v>0</v>
      </c>
      <c r="AL120" s="26">
        <f t="shared" ca="1" si="35"/>
        <v>0</v>
      </c>
    </row>
    <row r="121" spans="1:38" ht="21" customHeight="1" outlineLevel="1" thickBot="1" x14ac:dyDescent="0.4">
      <c r="E121" s="29" t="s">
        <v>72</v>
      </c>
      <c r="F121" s="26">
        <f t="shared" ref="F121:AL121" ca="1" si="36">F119+F118</f>
        <v>-387.7136573625001</v>
      </c>
      <c r="G121" s="26">
        <f t="shared" ca="1" si="36"/>
        <v>-393.01924374375011</v>
      </c>
      <c r="H121" s="26">
        <f t="shared" ca="1" si="36"/>
        <v>-398.83946303124998</v>
      </c>
      <c r="I121" s="26">
        <f t="shared" ca="1" si="36"/>
        <v>-404.93388067125011</v>
      </c>
      <c r="J121" s="26">
        <f t="shared" ca="1" si="36"/>
        <v>-411.2819390625001</v>
      </c>
      <c r="K121" s="26">
        <f t="shared" ca="1" si="36"/>
        <v>-417.86956591375014</v>
      </c>
      <c r="L121" s="26">
        <f t="shared" ca="1" si="36"/>
        <v>-424.80523080625011</v>
      </c>
      <c r="M121" s="26">
        <f t="shared" ca="1" si="36"/>
        <v>-97.82702426331339</v>
      </c>
      <c r="N121" s="26">
        <f t="shared" ca="1" si="36"/>
        <v>-9.7697728422550829E-3</v>
      </c>
      <c r="O121" s="26">
        <f t="shared" ca="1" si="36"/>
        <v>-1.6782903890278557E-9</v>
      </c>
      <c r="P121" s="26">
        <f t="shared" ca="1" si="36"/>
        <v>-1.4650497946491081E-8</v>
      </c>
      <c r="Q121" s="26">
        <f t="shared" ca="1" si="36"/>
        <v>-4.9750483815399808E-7</v>
      </c>
      <c r="R121" s="26">
        <f t="shared" ca="1" si="36"/>
        <v>-9.0286302781587314E-7</v>
      </c>
      <c r="S121" s="26">
        <f t="shared" ca="1" si="36"/>
        <v>-1.7067109849655364E-6</v>
      </c>
      <c r="T121" s="26">
        <f t="shared" ca="1" si="36"/>
        <v>-4.7236178262223547E-6</v>
      </c>
      <c r="U121" s="26">
        <f t="shared" ca="1" si="36"/>
        <v>-1.2222902165830208E-5</v>
      </c>
      <c r="V121" s="26">
        <f t="shared" ca="1" si="36"/>
        <v>-29.660555071575246</v>
      </c>
      <c r="W121" s="26">
        <f t="shared" ca="1" si="36"/>
        <v>-36.276206917124725</v>
      </c>
      <c r="X121" s="26">
        <f t="shared" ca="1" si="36"/>
        <v>-37.976500335197585</v>
      </c>
      <c r="Y121" s="26">
        <f t="shared" ca="1" si="36"/>
        <v>-39.664009002392234</v>
      </c>
      <c r="Z121" s="26">
        <f t="shared" ca="1" si="36"/>
        <v>-41.391868194522623</v>
      </c>
      <c r="AA121" s="26">
        <f t="shared" ca="1" si="36"/>
        <v>-43.096301736436054</v>
      </c>
      <c r="AB121" s="26">
        <f t="shared" ca="1" si="36"/>
        <v>0</v>
      </c>
      <c r="AC121" s="26">
        <f t="shared" ca="1" si="36"/>
        <v>0</v>
      </c>
      <c r="AD121" s="26">
        <f t="shared" ca="1" si="36"/>
        <v>0</v>
      </c>
      <c r="AE121" s="26">
        <f t="shared" ca="1" si="36"/>
        <v>0</v>
      </c>
      <c r="AF121" s="26">
        <f t="shared" ca="1" si="36"/>
        <v>0</v>
      </c>
      <c r="AG121" s="26">
        <f t="shared" ca="1" si="36"/>
        <v>0</v>
      </c>
      <c r="AH121" s="26">
        <f t="shared" ca="1" si="36"/>
        <v>0</v>
      </c>
      <c r="AI121" s="26">
        <f t="shared" ca="1" si="36"/>
        <v>0</v>
      </c>
      <c r="AJ121" s="26">
        <f t="shared" ca="1" si="36"/>
        <v>0</v>
      </c>
      <c r="AK121" s="26">
        <f t="shared" ca="1" si="36"/>
        <v>0</v>
      </c>
      <c r="AL121" s="26">
        <f t="shared" ca="1" si="36"/>
        <v>0</v>
      </c>
    </row>
    <row r="122" spans="1:38" ht="21" customHeight="1" outlineLevel="1" thickBot="1" x14ac:dyDescent="0.4">
      <c r="E122" s="30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</row>
    <row r="123" spans="1:38" ht="21" customHeight="1" outlineLevel="1" thickBot="1" x14ac:dyDescent="0.4">
      <c r="E123" s="29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</row>
    <row r="124" spans="1:38" ht="21" customHeight="1" outlineLevel="1" thickBot="1" x14ac:dyDescent="0.4">
      <c r="E124" s="30"/>
      <c r="L124" s="61">
        <v>5</v>
      </c>
    </row>
    <row r="125" spans="1:38" ht="21" customHeight="1" outlineLevel="1" thickBot="1" x14ac:dyDescent="0.4">
      <c r="E125" s="30"/>
      <c r="L125" s="61">
        <v>3</v>
      </c>
    </row>
    <row r="126" spans="1:38" ht="21" customHeight="1" outlineLevel="1" thickTop="1" thickBot="1" x14ac:dyDescent="0.4">
      <c r="E126" s="7">
        <f t="array" aca="1" ref="E126:AL139" ca="1">OFFSET(E117,0,0,C118,C119+1)</f>
        <v>0</v>
      </c>
      <c r="F126" s="7">
        <f ca="1"/>
        <v>298.2</v>
      </c>
      <c r="G126" s="7">
        <f ca="1"/>
        <v>331.5</v>
      </c>
      <c r="H126" s="7">
        <f ca="1"/>
        <v>364.9</v>
      </c>
      <c r="I126" s="7">
        <f ca="1"/>
        <v>398.3</v>
      </c>
      <c r="J126" s="7">
        <f ca="1"/>
        <v>431.7</v>
      </c>
      <c r="K126" s="7">
        <f ca="1"/>
        <v>465.1</v>
      </c>
      <c r="L126" s="7">
        <f ca="1"/>
        <v>498.5</v>
      </c>
      <c r="M126" s="7">
        <f ca="1"/>
        <v>531.79999999999995</v>
      </c>
      <c r="N126" s="7">
        <f ca="1"/>
        <v>565.20000000000005</v>
      </c>
      <c r="O126" s="7">
        <f ca="1"/>
        <v>698.8</v>
      </c>
      <c r="P126" s="7">
        <f ca="1"/>
        <v>832.3</v>
      </c>
      <c r="Q126" s="7">
        <f ca="1"/>
        <v>965.8</v>
      </c>
      <c r="R126" s="7">
        <f ca="1"/>
        <v>999.2</v>
      </c>
      <c r="S126" s="7">
        <f ca="1"/>
        <v>1033</v>
      </c>
      <c r="T126" s="7">
        <f ca="1"/>
        <v>1066</v>
      </c>
      <c r="U126" s="7">
        <f ca="1"/>
        <v>1099</v>
      </c>
      <c r="V126" s="7">
        <f ca="1"/>
        <v>1233</v>
      </c>
      <c r="W126" s="7">
        <f ca="1"/>
        <v>1366</v>
      </c>
      <c r="X126" s="7">
        <f ca="1"/>
        <v>1400</v>
      </c>
      <c r="Y126" s="7">
        <f ca="1"/>
        <v>1433</v>
      </c>
      <c r="Z126" s="7">
        <f ca="1"/>
        <v>1467</v>
      </c>
      <c r="AA126" s="7">
        <f ca="1"/>
        <v>1500</v>
      </c>
      <c r="AB126" s="7" t="e">
        <f ca="1"/>
        <v>#N/A</v>
      </c>
      <c r="AC126" s="7" t="e">
        <f ca="1"/>
        <v>#N/A</v>
      </c>
      <c r="AD126" s="7" t="e">
        <f ca="1"/>
        <v>#N/A</v>
      </c>
      <c r="AE126" s="7" t="e">
        <f ca="1"/>
        <v>#N/A</v>
      </c>
      <c r="AF126" s="7" t="e">
        <f ca="1"/>
        <v>#N/A</v>
      </c>
      <c r="AG126" s="7" t="e">
        <f ca="1"/>
        <v>#N/A</v>
      </c>
      <c r="AH126" s="7" t="e">
        <f ca="1"/>
        <v>#N/A</v>
      </c>
      <c r="AI126" s="7" t="e">
        <f ca="1"/>
        <v>#N/A</v>
      </c>
      <c r="AJ126" s="7" t="e">
        <f ca="1"/>
        <v>#N/A</v>
      </c>
      <c r="AK126" s="7" t="e">
        <f ca="1"/>
        <v>#N/A</v>
      </c>
      <c r="AL126" s="7" t="e">
        <f ca="1"/>
        <v>#N/A</v>
      </c>
    </row>
    <row r="127" spans="1:38" ht="21" customHeight="1" outlineLevel="1" thickTop="1" thickBot="1" x14ac:dyDescent="0.4">
      <c r="E127" s="29" t="str">
        <f ca="1"/>
        <v xml:space="preserve">Расвор: </v>
      </c>
      <c r="F127" s="61">
        <f ca="1"/>
        <v>0</v>
      </c>
      <c r="G127" s="61">
        <f ca="1"/>
        <v>0</v>
      </c>
      <c r="H127" s="61">
        <f ca="1"/>
        <v>0</v>
      </c>
      <c r="I127" s="61">
        <f ca="1"/>
        <v>0</v>
      </c>
      <c r="J127" s="61">
        <f ca="1"/>
        <v>0</v>
      </c>
      <c r="K127" s="61">
        <f ca="1"/>
        <v>0</v>
      </c>
      <c r="L127" s="61">
        <f ca="1"/>
        <v>0</v>
      </c>
      <c r="M127" s="61">
        <f ca="1"/>
        <v>0</v>
      </c>
      <c r="N127" s="61">
        <f ca="1"/>
        <v>-3.3171549083295307E-20</v>
      </c>
      <c r="O127" s="61">
        <f ca="1"/>
        <v>-1.6782898676740513E-9</v>
      </c>
      <c r="P127" s="61">
        <f ca="1"/>
        <v>-1.4650493200802501E-8</v>
      </c>
      <c r="Q127" s="61">
        <f ca="1"/>
        <v>-4.9749452873133752E-7</v>
      </c>
      <c r="R127" s="61">
        <f ca="1"/>
        <v>-9.028117463570371E-7</v>
      </c>
      <c r="S127" s="61">
        <f ca="1"/>
        <v>-1.7064805660882326E-6</v>
      </c>
      <c r="T127" s="61">
        <f ca="1"/>
        <v>-4.7226745938303771E-6</v>
      </c>
      <c r="U127" s="61">
        <f ca="1"/>
        <v>-1.2219353177076327E-5</v>
      </c>
      <c r="V127" s="61">
        <f ca="1"/>
        <v>-29.660554737641025</v>
      </c>
      <c r="W127" s="61">
        <f ca="1"/>
        <v>-36.276196758000005</v>
      </c>
      <c r="X127" s="61">
        <f ca="1"/>
        <v>-37.976478750000005</v>
      </c>
      <c r="Y127" s="61">
        <f ca="1"/>
        <v>-39.663964726500012</v>
      </c>
      <c r="Z127" s="61">
        <f ca="1"/>
        <v>-41.391780185250006</v>
      </c>
      <c r="AA127" s="61">
        <f ca="1"/>
        <v>-43.096132125000004</v>
      </c>
      <c r="AB127" s="61" t="e">
        <f ca="1"/>
        <v>#N/A</v>
      </c>
      <c r="AC127" s="61" t="e">
        <f ca="1"/>
        <v>#N/A</v>
      </c>
      <c r="AD127" s="61" t="e">
        <f ca="1"/>
        <v>#N/A</v>
      </c>
      <c r="AE127" s="61" t="e">
        <f ca="1"/>
        <v>#N/A</v>
      </c>
      <c r="AF127" s="61" t="e">
        <f ca="1"/>
        <v>#N/A</v>
      </c>
      <c r="AG127" s="61" t="e">
        <f ca="1"/>
        <v>#N/A</v>
      </c>
      <c r="AH127" s="61" t="e">
        <f ca="1"/>
        <v>#N/A</v>
      </c>
      <c r="AI127" s="61" t="e">
        <f ca="1"/>
        <v>#N/A</v>
      </c>
      <c r="AJ127" s="61" t="e">
        <f ca="1"/>
        <v>#N/A</v>
      </c>
      <c r="AK127" s="61" t="e">
        <f ca="1"/>
        <v>#N/A</v>
      </c>
      <c r="AL127" s="61" t="e">
        <f ca="1"/>
        <v>#N/A</v>
      </c>
    </row>
    <row r="128" spans="1:38" ht="21" customHeight="1" outlineLevel="1" thickBot="1" x14ac:dyDescent="0.4">
      <c r="E128" s="29" t="str">
        <f ca="1"/>
        <v xml:space="preserve">Газовая без Ar: </v>
      </c>
      <c r="F128" s="61">
        <f ca="1"/>
        <v>-387.7136573625001</v>
      </c>
      <c r="G128" s="61">
        <f ca="1"/>
        <v>-393.01924374375011</v>
      </c>
      <c r="H128" s="61">
        <f ca="1"/>
        <v>-398.83946303124998</v>
      </c>
      <c r="I128" s="61">
        <f ca="1"/>
        <v>-404.93388067125011</v>
      </c>
      <c r="J128" s="61">
        <f ca="1"/>
        <v>-411.2819390625001</v>
      </c>
      <c r="K128" s="61">
        <f ca="1"/>
        <v>-417.86956591375014</v>
      </c>
      <c r="L128" s="61">
        <f ca="1"/>
        <v>-424.80523080625011</v>
      </c>
      <c r="M128" s="61">
        <f ca="1"/>
        <v>-97.82702426331339</v>
      </c>
      <c r="N128" s="61">
        <f ca="1"/>
        <v>-9.7697728422550829E-3</v>
      </c>
      <c r="O128" s="61">
        <f ca="1"/>
        <v>-5.2135380437530261E-16</v>
      </c>
      <c r="P128" s="61">
        <f ca="1"/>
        <v>-4.74568858058136E-15</v>
      </c>
      <c r="Q128" s="61">
        <f ca="1"/>
        <v>-1.0309422660575631E-11</v>
      </c>
      <c r="R128" s="61">
        <f ca="1"/>
        <v>-5.1281458836036665E-11</v>
      </c>
      <c r="S128" s="61">
        <f ca="1"/>
        <v>-2.3041887730372607E-10</v>
      </c>
      <c r="T128" s="61">
        <f ca="1"/>
        <v>-9.4323239197797161E-10</v>
      </c>
      <c r="U128" s="61">
        <f ca="1"/>
        <v>-3.5489887538815944E-9</v>
      </c>
      <c r="V128" s="61">
        <f ca="1"/>
        <v>-3.3393422119415529E-7</v>
      </c>
      <c r="W128" s="61">
        <f ca="1"/>
        <v>-1.0159124717946732E-5</v>
      </c>
      <c r="X128" s="61">
        <f ca="1"/>
        <v>-2.1585197580187506E-5</v>
      </c>
      <c r="Y128" s="61">
        <f ca="1"/>
        <v>-4.4275892225073797E-5</v>
      </c>
      <c r="Z128" s="61">
        <f ca="1"/>
        <v>-8.8009272618887836E-5</v>
      </c>
      <c r="AA128" s="61">
        <f ca="1"/>
        <v>-1.6961143605152999E-4</v>
      </c>
      <c r="AB128" s="61" t="e">
        <f ca="1"/>
        <v>#N/A</v>
      </c>
      <c r="AC128" s="61" t="e">
        <f ca="1"/>
        <v>#N/A</v>
      </c>
      <c r="AD128" s="61" t="e">
        <f ca="1"/>
        <v>#N/A</v>
      </c>
      <c r="AE128" s="61" t="e">
        <f ca="1"/>
        <v>#N/A</v>
      </c>
      <c r="AF128" s="61" t="e">
        <f ca="1"/>
        <v>#N/A</v>
      </c>
      <c r="AG128" s="61" t="e">
        <f ca="1"/>
        <v>#N/A</v>
      </c>
      <c r="AH128" s="61" t="e">
        <f ca="1"/>
        <v>#N/A</v>
      </c>
      <c r="AI128" s="61" t="e">
        <f ca="1"/>
        <v>#N/A</v>
      </c>
      <c r="AJ128" s="61" t="e">
        <f ca="1"/>
        <v>#N/A</v>
      </c>
      <c r="AK128" s="61" t="e">
        <f ca="1"/>
        <v>#N/A</v>
      </c>
      <c r="AL128" s="61" t="e">
        <f ca="1"/>
        <v>#N/A</v>
      </c>
    </row>
    <row r="129" spans="1:38" ht="21" customHeight="1" outlineLevel="1" thickBot="1" x14ac:dyDescent="0.4">
      <c r="E129" s="29" t="str">
        <f ca="1"/>
        <v xml:space="preserve">Газовая: </v>
      </c>
      <c r="F129" s="61">
        <f ca="1"/>
        <v>-466.31012699250016</v>
      </c>
      <c r="G129" s="61">
        <f ca="1"/>
        <v>-480.43852033125012</v>
      </c>
      <c r="H129" s="61">
        <f ca="1"/>
        <v>-495.21829238625003</v>
      </c>
      <c r="I129" s="61">
        <f ca="1"/>
        <v>-510.41042206875011</v>
      </c>
      <c r="J129" s="61">
        <f ca="1"/>
        <v>-525.9622993800001</v>
      </c>
      <c r="K129" s="61">
        <f ca="1"/>
        <v>-541.80928601125026</v>
      </c>
      <c r="L129" s="61">
        <f ca="1"/>
        <v>-558.1289311812501</v>
      </c>
      <c r="M129" s="61">
        <f ca="1"/>
        <v>-238.3618350583134</v>
      </c>
      <c r="N129" s="61">
        <f ca="1"/>
        <v>-149.05765854284232</v>
      </c>
      <c r="O129" s="61">
        <f ca="1"/>
        <v>-186.99072151000004</v>
      </c>
      <c r="P129" s="61">
        <f ca="1"/>
        <v>-225.71249818250007</v>
      </c>
      <c r="Q129" s="61">
        <f ca="1"/>
        <v>-265.26242677001039</v>
      </c>
      <c r="R129" s="61">
        <f ca="1"/>
        <v>-275.26671032005135</v>
      </c>
      <c r="S129" s="61">
        <f ca="1"/>
        <v>-285.43706215023053</v>
      </c>
      <c r="T129" s="61">
        <f ca="1"/>
        <v>-295.44190000094335</v>
      </c>
      <c r="U129" s="61">
        <f ca="1"/>
        <v>-305.34931962854904</v>
      </c>
      <c r="V129" s="61">
        <f ca="1"/>
        <v>-346.16838768393433</v>
      </c>
      <c r="W129" s="61">
        <f ca="1"/>
        <v>-387.29440885912487</v>
      </c>
      <c r="X129" s="61">
        <f ca="1"/>
        <v>-397.90427658519769</v>
      </c>
      <c r="Y129" s="61">
        <f ca="1"/>
        <v>-408.27636087589241</v>
      </c>
      <c r="Z129" s="61">
        <f ca="1"/>
        <v>-418.77650950927284</v>
      </c>
      <c r="AA129" s="61">
        <f ca="1"/>
        <v>-429.23623211143621</v>
      </c>
      <c r="AB129" s="61" t="e">
        <f ca="1"/>
        <v>#N/A</v>
      </c>
      <c r="AC129" s="61" t="e">
        <f ca="1"/>
        <v>#N/A</v>
      </c>
      <c r="AD129" s="61" t="e">
        <f ca="1"/>
        <v>#N/A</v>
      </c>
      <c r="AE129" s="61" t="e">
        <f ca="1"/>
        <v>#N/A</v>
      </c>
      <c r="AF129" s="61" t="e">
        <f ca="1"/>
        <v>#N/A</v>
      </c>
      <c r="AG129" s="61" t="e">
        <f ca="1"/>
        <v>#N/A</v>
      </c>
      <c r="AH129" s="61" t="e">
        <f ca="1"/>
        <v>#N/A</v>
      </c>
      <c r="AI129" s="61" t="e">
        <f ca="1"/>
        <v>#N/A</v>
      </c>
      <c r="AJ129" s="61" t="e">
        <f ca="1"/>
        <v>#N/A</v>
      </c>
      <c r="AK129" s="61" t="e">
        <f ca="1"/>
        <v>#N/A</v>
      </c>
      <c r="AL129" s="61" t="e">
        <f ca="1"/>
        <v>#N/A</v>
      </c>
    </row>
    <row r="130" spans="1:38" ht="21" customHeight="1" outlineLevel="1" thickBot="1" x14ac:dyDescent="0.4">
      <c r="E130" s="29" t="str">
        <f ca="1"/>
        <v>Раствор + газовая без Ar</v>
      </c>
      <c r="F130" s="61">
        <f ca="1"/>
        <v>-387.7136573625001</v>
      </c>
      <c r="G130" s="61">
        <f ca="1"/>
        <v>-393.01924374375011</v>
      </c>
      <c r="H130" s="61">
        <f ca="1"/>
        <v>-398.83946303124998</v>
      </c>
      <c r="I130" s="61">
        <f ca="1"/>
        <v>-404.93388067125011</v>
      </c>
      <c r="J130" s="61">
        <f ca="1"/>
        <v>-411.2819390625001</v>
      </c>
      <c r="K130" s="61">
        <f ca="1"/>
        <v>-417.86956591375014</v>
      </c>
      <c r="L130" s="61">
        <f ca="1"/>
        <v>-424.80523080625011</v>
      </c>
      <c r="M130" s="61">
        <f ca="1"/>
        <v>-97.82702426331339</v>
      </c>
      <c r="N130" s="61">
        <f ca="1"/>
        <v>-9.7697728422550829E-3</v>
      </c>
      <c r="O130" s="61">
        <f ca="1"/>
        <v>-1.6782903890278557E-9</v>
      </c>
      <c r="P130" s="61">
        <f ca="1"/>
        <v>-1.4650497946491081E-8</v>
      </c>
      <c r="Q130" s="61">
        <f ca="1"/>
        <v>-4.9750483815399808E-7</v>
      </c>
      <c r="R130" s="61">
        <f ca="1"/>
        <v>-9.0286302781587314E-7</v>
      </c>
      <c r="S130" s="61">
        <f ca="1"/>
        <v>-1.7067109849655364E-6</v>
      </c>
      <c r="T130" s="61">
        <f ca="1"/>
        <v>-4.7236178262223547E-6</v>
      </c>
      <c r="U130" s="61">
        <f ca="1"/>
        <v>-1.2222902165830208E-5</v>
      </c>
      <c r="V130" s="61">
        <f ca="1"/>
        <v>-29.660555071575246</v>
      </c>
      <c r="W130" s="61">
        <f ca="1"/>
        <v>-36.276206917124725</v>
      </c>
      <c r="X130" s="61">
        <f ca="1"/>
        <v>-37.976500335197585</v>
      </c>
      <c r="Y130" s="61">
        <f ca="1"/>
        <v>-39.664009002392234</v>
      </c>
      <c r="Z130" s="61">
        <f ca="1"/>
        <v>-41.391868194522623</v>
      </c>
      <c r="AA130" s="61">
        <f ca="1"/>
        <v>-43.096301736436054</v>
      </c>
      <c r="AB130" s="61" t="e">
        <f ca="1"/>
        <v>#N/A</v>
      </c>
      <c r="AC130" s="61" t="e">
        <f ca="1"/>
        <v>#N/A</v>
      </c>
      <c r="AD130" s="61" t="e">
        <f ca="1"/>
        <v>#N/A</v>
      </c>
      <c r="AE130" s="61" t="e">
        <f ca="1"/>
        <v>#N/A</v>
      </c>
      <c r="AF130" s="61" t="e">
        <f ca="1"/>
        <v>#N/A</v>
      </c>
      <c r="AG130" s="61" t="e">
        <f ca="1"/>
        <v>#N/A</v>
      </c>
      <c r="AH130" s="61" t="e">
        <f ca="1"/>
        <v>#N/A</v>
      </c>
      <c r="AI130" s="61" t="e">
        <f ca="1"/>
        <v>#N/A</v>
      </c>
      <c r="AJ130" s="61" t="e">
        <f ca="1"/>
        <v>#N/A</v>
      </c>
      <c r="AK130" s="61" t="e">
        <f ca="1"/>
        <v>#N/A</v>
      </c>
      <c r="AL130" s="61" t="e">
        <f ca="1"/>
        <v>#N/A</v>
      </c>
    </row>
    <row r="131" spans="1:38" ht="21" customHeight="1" outlineLevel="1" thickBot="1" x14ac:dyDescent="0.4">
      <c r="E131" s="29" t="e">
        <f ca="1"/>
        <v>#N/A</v>
      </c>
      <c r="F131" s="61" t="e">
        <f ca="1"/>
        <v>#N/A</v>
      </c>
      <c r="G131" s="61" t="e">
        <f ca="1"/>
        <v>#N/A</v>
      </c>
      <c r="H131" s="61" t="e">
        <f ca="1"/>
        <v>#N/A</v>
      </c>
      <c r="I131" s="61" t="e">
        <f ca="1"/>
        <v>#N/A</v>
      </c>
      <c r="J131" s="61" t="e">
        <f ca="1"/>
        <v>#N/A</v>
      </c>
      <c r="K131" s="61" t="e">
        <f ca="1"/>
        <v>#N/A</v>
      </c>
      <c r="L131" s="61" t="e">
        <f ca="1"/>
        <v>#N/A</v>
      </c>
      <c r="M131" s="61" t="e">
        <f ca="1"/>
        <v>#N/A</v>
      </c>
      <c r="N131" s="61" t="e">
        <f ca="1"/>
        <v>#N/A</v>
      </c>
      <c r="O131" s="61" t="e">
        <f ca="1"/>
        <v>#N/A</v>
      </c>
      <c r="P131" s="61" t="e">
        <f ca="1"/>
        <v>#N/A</v>
      </c>
      <c r="Q131" s="61" t="e">
        <f ca="1"/>
        <v>#N/A</v>
      </c>
      <c r="R131" s="61" t="e">
        <f ca="1"/>
        <v>#N/A</v>
      </c>
      <c r="S131" s="61" t="e">
        <f ca="1"/>
        <v>#N/A</v>
      </c>
      <c r="T131" s="61" t="e">
        <f ca="1"/>
        <v>#N/A</v>
      </c>
      <c r="U131" s="61" t="e">
        <f ca="1"/>
        <v>#N/A</v>
      </c>
      <c r="V131" s="61" t="e">
        <f ca="1"/>
        <v>#N/A</v>
      </c>
      <c r="W131" s="61" t="e">
        <f ca="1"/>
        <v>#N/A</v>
      </c>
      <c r="X131" s="61" t="e">
        <f ca="1"/>
        <v>#N/A</v>
      </c>
      <c r="Y131" s="61" t="e">
        <f ca="1"/>
        <v>#N/A</v>
      </c>
      <c r="Z131" s="61" t="e">
        <f ca="1"/>
        <v>#N/A</v>
      </c>
      <c r="AA131" s="61" t="e">
        <f ca="1"/>
        <v>#N/A</v>
      </c>
      <c r="AB131" s="61" t="e">
        <f ca="1"/>
        <v>#N/A</v>
      </c>
      <c r="AC131" s="61" t="e">
        <f ca="1"/>
        <v>#N/A</v>
      </c>
      <c r="AD131" s="61" t="e">
        <f ca="1"/>
        <v>#N/A</v>
      </c>
      <c r="AE131" s="61" t="e">
        <f ca="1"/>
        <v>#N/A</v>
      </c>
      <c r="AF131" s="61" t="e">
        <f ca="1"/>
        <v>#N/A</v>
      </c>
      <c r="AG131" s="61" t="e">
        <f ca="1"/>
        <v>#N/A</v>
      </c>
      <c r="AH131" s="61" t="e">
        <f ca="1"/>
        <v>#N/A</v>
      </c>
      <c r="AI131" s="61" t="e">
        <f ca="1"/>
        <v>#N/A</v>
      </c>
      <c r="AJ131" s="61" t="e">
        <f ca="1"/>
        <v>#N/A</v>
      </c>
      <c r="AK131" s="61" t="e">
        <f ca="1"/>
        <v>#N/A</v>
      </c>
      <c r="AL131" s="61" t="e">
        <f ca="1"/>
        <v>#N/A</v>
      </c>
    </row>
    <row r="132" spans="1:38" ht="21" customHeight="1" outlineLevel="1" thickBot="1" x14ac:dyDescent="0.4">
      <c r="E132" s="29" t="e">
        <f ca="1"/>
        <v>#N/A</v>
      </c>
      <c r="F132" s="61" t="e">
        <f ca="1"/>
        <v>#N/A</v>
      </c>
      <c r="G132" s="61" t="e">
        <f ca="1"/>
        <v>#N/A</v>
      </c>
      <c r="H132" s="61" t="e">
        <f ca="1"/>
        <v>#N/A</v>
      </c>
      <c r="I132" s="61" t="e">
        <f ca="1"/>
        <v>#N/A</v>
      </c>
      <c r="J132" s="61" t="e">
        <f ca="1"/>
        <v>#N/A</v>
      </c>
      <c r="K132" s="61" t="e">
        <f ca="1"/>
        <v>#N/A</v>
      </c>
      <c r="L132" s="61" t="e">
        <f ca="1"/>
        <v>#N/A</v>
      </c>
      <c r="M132" s="61" t="e">
        <f ca="1"/>
        <v>#N/A</v>
      </c>
      <c r="N132" s="61" t="e">
        <f ca="1"/>
        <v>#N/A</v>
      </c>
      <c r="O132" s="61" t="e">
        <f ca="1"/>
        <v>#N/A</v>
      </c>
      <c r="P132" s="61" t="e">
        <f ca="1"/>
        <v>#N/A</v>
      </c>
      <c r="Q132" s="61" t="e">
        <f ca="1"/>
        <v>#N/A</v>
      </c>
      <c r="R132" s="61" t="e">
        <f ca="1"/>
        <v>#N/A</v>
      </c>
      <c r="S132" s="61" t="e">
        <f ca="1"/>
        <v>#N/A</v>
      </c>
      <c r="T132" s="61" t="e">
        <f ca="1"/>
        <v>#N/A</v>
      </c>
      <c r="U132" s="61" t="e">
        <f ca="1"/>
        <v>#N/A</v>
      </c>
      <c r="V132" s="61" t="e">
        <f ca="1"/>
        <v>#N/A</v>
      </c>
      <c r="W132" s="61" t="e">
        <f ca="1"/>
        <v>#N/A</v>
      </c>
      <c r="X132" s="61" t="e">
        <f ca="1"/>
        <v>#N/A</v>
      </c>
      <c r="Y132" s="61" t="e">
        <f ca="1"/>
        <v>#N/A</v>
      </c>
      <c r="Z132" s="61" t="e">
        <f ca="1"/>
        <v>#N/A</v>
      </c>
      <c r="AA132" s="61" t="e">
        <f ca="1"/>
        <v>#N/A</v>
      </c>
      <c r="AB132" s="61" t="e">
        <f ca="1"/>
        <v>#N/A</v>
      </c>
      <c r="AC132" s="61" t="e">
        <f ca="1"/>
        <v>#N/A</v>
      </c>
      <c r="AD132" s="61" t="e">
        <f ca="1"/>
        <v>#N/A</v>
      </c>
      <c r="AE132" s="61" t="e">
        <f ca="1"/>
        <v>#N/A</v>
      </c>
      <c r="AF132" s="61" t="e">
        <f ca="1"/>
        <v>#N/A</v>
      </c>
      <c r="AG132" s="61" t="e">
        <f ca="1"/>
        <v>#N/A</v>
      </c>
      <c r="AH132" s="61" t="e">
        <f ca="1"/>
        <v>#N/A</v>
      </c>
      <c r="AI132" s="61" t="e">
        <f ca="1"/>
        <v>#N/A</v>
      </c>
      <c r="AJ132" s="61" t="e">
        <f ca="1"/>
        <v>#N/A</v>
      </c>
      <c r="AK132" s="61" t="e">
        <f ca="1"/>
        <v>#N/A</v>
      </c>
      <c r="AL132" s="61" t="e">
        <f ca="1"/>
        <v>#N/A</v>
      </c>
    </row>
    <row r="133" spans="1:38" ht="21" customHeight="1" outlineLevel="1" thickBot="1" x14ac:dyDescent="0.4">
      <c r="E133" s="29" t="e">
        <f ca="1"/>
        <v>#N/A</v>
      </c>
      <c r="F133" s="61" t="e">
        <f ca="1"/>
        <v>#N/A</v>
      </c>
      <c r="G133" s="61" t="e">
        <f ca="1"/>
        <v>#N/A</v>
      </c>
      <c r="H133" s="61" t="e">
        <f ca="1"/>
        <v>#N/A</v>
      </c>
      <c r="I133" s="61" t="e">
        <f ca="1"/>
        <v>#N/A</v>
      </c>
      <c r="J133" s="61" t="e">
        <f ca="1"/>
        <v>#N/A</v>
      </c>
      <c r="K133" s="61" t="e">
        <f ca="1"/>
        <v>#N/A</v>
      </c>
      <c r="L133" s="61" t="e">
        <f ca="1"/>
        <v>#N/A</v>
      </c>
      <c r="M133" s="61" t="e">
        <f ca="1"/>
        <v>#N/A</v>
      </c>
      <c r="N133" s="61" t="e">
        <f ca="1"/>
        <v>#N/A</v>
      </c>
      <c r="O133" s="61" t="e">
        <f ca="1"/>
        <v>#N/A</v>
      </c>
      <c r="P133" s="61" t="e">
        <f ca="1"/>
        <v>#N/A</v>
      </c>
      <c r="Q133" s="61" t="e">
        <f ca="1"/>
        <v>#N/A</v>
      </c>
      <c r="R133" s="61" t="e">
        <f ca="1"/>
        <v>#N/A</v>
      </c>
      <c r="S133" s="61" t="e">
        <f ca="1"/>
        <v>#N/A</v>
      </c>
      <c r="T133" s="61" t="e">
        <f ca="1"/>
        <v>#N/A</v>
      </c>
      <c r="U133" s="61" t="e">
        <f ca="1"/>
        <v>#N/A</v>
      </c>
      <c r="V133" s="61" t="e">
        <f ca="1"/>
        <v>#N/A</v>
      </c>
      <c r="W133" s="61" t="e">
        <f ca="1"/>
        <v>#N/A</v>
      </c>
      <c r="X133" s="61" t="e">
        <f ca="1"/>
        <v>#N/A</v>
      </c>
      <c r="Y133" s="61" t="e">
        <f ca="1"/>
        <v>#N/A</v>
      </c>
      <c r="Z133" s="61" t="e">
        <f ca="1"/>
        <v>#N/A</v>
      </c>
      <c r="AA133" s="61" t="e">
        <f ca="1"/>
        <v>#N/A</v>
      </c>
      <c r="AB133" s="61" t="e">
        <f ca="1"/>
        <v>#N/A</v>
      </c>
      <c r="AC133" s="61" t="e">
        <f ca="1"/>
        <v>#N/A</v>
      </c>
      <c r="AD133" s="61" t="e">
        <f ca="1"/>
        <v>#N/A</v>
      </c>
      <c r="AE133" s="61" t="e">
        <f ca="1"/>
        <v>#N/A</v>
      </c>
      <c r="AF133" s="61" t="e">
        <f ca="1"/>
        <v>#N/A</v>
      </c>
      <c r="AG133" s="61" t="e">
        <f ca="1"/>
        <v>#N/A</v>
      </c>
      <c r="AH133" s="61" t="e">
        <f ca="1"/>
        <v>#N/A</v>
      </c>
      <c r="AI133" s="61" t="e">
        <f ca="1"/>
        <v>#N/A</v>
      </c>
      <c r="AJ133" s="61" t="e">
        <f ca="1"/>
        <v>#N/A</v>
      </c>
      <c r="AK133" s="61" t="e">
        <f ca="1"/>
        <v>#N/A</v>
      </c>
      <c r="AL133" s="61" t="e">
        <f ca="1"/>
        <v>#N/A</v>
      </c>
    </row>
    <row r="134" spans="1:38" ht="21" customHeight="1" outlineLevel="1" thickBot="1" x14ac:dyDescent="0.4">
      <c r="E134" s="29" t="e">
        <f ca="1"/>
        <v>#N/A</v>
      </c>
      <c r="F134" s="61" t="e">
        <f ca="1"/>
        <v>#N/A</v>
      </c>
      <c r="G134" s="61" t="e">
        <f ca="1"/>
        <v>#N/A</v>
      </c>
      <c r="H134" s="61" t="e">
        <f ca="1"/>
        <v>#N/A</v>
      </c>
      <c r="I134" s="61" t="e">
        <f ca="1"/>
        <v>#N/A</v>
      </c>
      <c r="J134" s="61" t="e">
        <f ca="1"/>
        <v>#N/A</v>
      </c>
      <c r="K134" s="61" t="e">
        <f ca="1"/>
        <v>#N/A</v>
      </c>
      <c r="L134" s="61" t="e">
        <f ca="1"/>
        <v>#N/A</v>
      </c>
      <c r="M134" s="61" t="e">
        <f ca="1"/>
        <v>#N/A</v>
      </c>
      <c r="N134" s="61" t="e">
        <f ca="1"/>
        <v>#N/A</v>
      </c>
      <c r="O134" s="61" t="e">
        <f ca="1"/>
        <v>#N/A</v>
      </c>
      <c r="P134" s="61" t="e">
        <f ca="1"/>
        <v>#N/A</v>
      </c>
      <c r="Q134" s="61" t="e">
        <f ca="1"/>
        <v>#N/A</v>
      </c>
      <c r="R134" s="61" t="e">
        <f ca="1"/>
        <v>#N/A</v>
      </c>
      <c r="S134" s="61" t="e">
        <f ca="1"/>
        <v>#N/A</v>
      </c>
      <c r="T134" s="61" t="e">
        <f ca="1"/>
        <v>#N/A</v>
      </c>
      <c r="U134" s="61" t="e">
        <f ca="1"/>
        <v>#N/A</v>
      </c>
      <c r="V134" s="61" t="e">
        <f ca="1"/>
        <v>#N/A</v>
      </c>
      <c r="W134" s="61" t="e">
        <f ca="1"/>
        <v>#N/A</v>
      </c>
      <c r="X134" s="61" t="e">
        <f ca="1"/>
        <v>#N/A</v>
      </c>
      <c r="Y134" s="61" t="e">
        <f ca="1"/>
        <v>#N/A</v>
      </c>
      <c r="Z134" s="61" t="e">
        <f ca="1"/>
        <v>#N/A</v>
      </c>
      <c r="AA134" s="61" t="e">
        <f ca="1"/>
        <v>#N/A</v>
      </c>
      <c r="AB134" s="61" t="e">
        <f ca="1"/>
        <v>#N/A</v>
      </c>
      <c r="AC134" s="61" t="e">
        <f ca="1"/>
        <v>#N/A</v>
      </c>
      <c r="AD134" s="61" t="e">
        <f ca="1"/>
        <v>#N/A</v>
      </c>
      <c r="AE134" s="61" t="e">
        <f ca="1"/>
        <v>#N/A</v>
      </c>
      <c r="AF134" s="61" t="e">
        <f ca="1"/>
        <v>#N/A</v>
      </c>
      <c r="AG134" s="61" t="e">
        <f ca="1"/>
        <v>#N/A</v>
      </c>
      <c r="AH134" s="61" t="e">
        <f ca="1"/>
        <v>#N/A</v>
      </c>
      <c r="AI134" s="61" t="e">
        <f ca="1"/>
        <v>#N/A</v>
      </c>
      <c r="AJ134" s="61" t="e">
        <f ca="1"/>
        <v>#N/A</v>
      </c>
      <c r="AK134" s="61" t="e">
        <f ca="1"/>
        <v>#N/A</v>
      </c>
      <c r="AL134" s="61" t="e">
        <f ca="1"/>
        <v>#N/A</v>
      </c>
    </row>
    <row r="135" spans="1:38" ht="21" customHeight="1" outlineLevel="1" thickBot="1" x14ac:dyDescent="0.4">
      <c r="E135" s="29" t="e">
        <f ca="1"/>
        <v>#N/A</v>
      </c>
      <c r="F135" s="61" t="e">
        <f ca="1"/>
        <v>#N/A</v>
      </c>
      <c r="G135" s="61" t="e">
        <f ca="1"/>
        <v>#N/A</v>
      </c>
      <c r="H135" s="61" t="e">
        <f ca="1"/>
        <v>#N/A</v>
      </c>
      <c r="I135" s="61" t="e">
        <f ca="1"/>
        <v>#N/A</v>
      </c>
      <c r="J135" s="61" t="e">
        <f ca="1"/>
        <v>#N/A</v>
      </c>
      <c r="K135" s="61" t="e">
        <f ca="1"/>
        <v>#N/A</v>
      </c>
      <c r="L135" s="61" t="e">
        <f ca="1"/>
        <v>#N/A</v>
      </c>
      <c r="M135" s="61" t="e">
        <f ca="1"/>
        <v>#N/A</v>
      </c>
      <c r="N135" s="61" t="e">
        <f ca="1"/>
        <v>#N/A</v>
      </c>
      <c r="O135" s="61" t="e">
        <f ca="1"/>
        <v>#N/A</v>
      </c>
      <c r="P135" s="61" t="e">
        <f ca="1"/>
        <v>#N/A</v>
      </c>
      <c r="Q135" s="61" t="e">
        <f ca="1"/>
        <v>#N/A</v>
      </c>
      <c r="R135" s="61" t="e">
        <f ca="1"/>
        <v>#N/A</v>
      </c>
      <c r="S135" s="61" t="e">
        <f ca="1"/>
        <v>#N/A</v>
      </c>
      <c r="T135" s="61" t="e">
        <f ca="1"/>
        <v>#N/A</v>
      </c>
      <c r="U135" s="61" t="e">
        <f ca="1"/>
        <v>#N/A</v>
      </c>
      <c r="V135" s="61" t="e">
        <f ca="1"/>
        <v>#N/A</v>
      </c>
      <c r="W135" s="61" t="e">
        <f ca="1"/>
        <v>#N/A</v>
      </c>
      <c r="X135" s="61" t="e">
        <f ca="1"/>
        <v>#N/A</v>
      </c>
      <c r="Y135" s="61" t="e">
        <f ca="1"/>
        <v>#N/A</v>
      </c>
      <c r="Z135" s="61" t="e">
        <f ca="1"/>
        <v>#N/A</v>
      </c>
      <c r="AA135" s="61" t="e">
        <f ca="1"/>
        <v>#N/A</v>
      </c>
      <c r="AB135" s="61" t="e">
        <f ca="1"/>
        <v>#N/A</v>
      </c>
      <c r="AC135" s="61" t="e">
        <f ca="1"/>
        <v>#N/A</v>
      </c>
      <c r="AD135" s="61" t="e">
        <f ca="1"/>
        <v>#N/A</v>
      </c>
      <c r="AE135" s="61" t="e">
        <f ca="1"/>
        <v>#N/A</v>
      </c>
      <c r="AF135" s="61" t="e">
        <f ca="1"/>
        <v>#N/A</v>
      </c>
      <c r="AG135" s="61" t="e">
        <f ca="1"/>
        <v>#N/A</v>
      </c>
      <c r="AH135" s="61" t="e">
        <f ca="1"/>
        <v>#N/A</v>
      </c>
      <c r="AI135" s="61" t="e">
        <f ca="1"/>
        <v>#N/A</v>
      </c>
      <c r="AJ135" s="61" t="e">
        <f ca="1"/>
        <v>#N/A</v>
      </c>
      <c r="AK135" s="61" t="e">
        <f ca="1"/>
        <v>#N/A</v>
      </c>
      <c r="AL135" s="61" t="e">
        <f ca="1"/>
        <v>#N/A</v>
      </c>
    </row>
    <row r="136" spans="1:38" ht="21" customHeight="1" outlineLevel="1" thickBot="1" x14ac:dyDescent="0.4">
      <c r="E136" s="29" t="e">
        <f ca="1"/>
        <v>#N/A</v>
      </c>
      <c r="F136" s="61" t="e">
        <f ca="1"/>
        <v>#N/A</v>
      </c>
      <c r="G136" s="61" t="e">
        <f ca="1"/>
        <v>#N/A</v>
      </c>
      <c r="H136" s="61" t="e">
        <f ca="1"/>
        <v>#N/A</v>
      </c>
      <c r="I136" s="61" t="e">
        <f ca="1"/>
        <v>#N/A</v>
      </c>
      <c r="J136" s="61" t="e">
        <f ca="1"/>
        <v>#N/A</v>
      </c>
      <c r="K136" s="61" t="e">
        <f ca="1"/>
        <v>#N/A</v>
      </c>
      <c r="L136" s="61" t="e">
        <f ca="1"/>
        <v>#N/A</v>
      </c>
      <c r="M136" s="61" t="e">
        <f ca="1"/>
        <v>#N/A</v>
      </c>
      <c r="N136" s="61" t="e">
        <f ca="1"/>
        <v>#N/A</v>
      </c>
      <c r="O136" s="61" t="e">
        <f ca="1"/>
        <v>#N/A</v>
      </c>
      <c r="P136" s="61" t="e">
        <f ca="1"/>
        <v>#N/A</v>
      </c>
      <c r="Q136" s="61" t="e">
        <f ca="1"/>
        <v>#N/A</v>
      </c>
      <c r="R136" s="61" t="e">
        <f ca="1"/>
        <v>#N/A</v>
      </c>
      <c r="S136" s="61" t="e">
        <f ca="1"/>
        <v>#N/A</v>
      </c>
      <c r="T136" s="61" t="e">
        <f ca="1"/>
        <v>#N/A</v>
      </c>
      <c r="U136" s="61" t="e">
        <f ca="1"/>
        <v>#N/A</v>
      </c>
      <c r="V136" s="61" t="e">
        <f ca="1"/>
        <v>#N/A</v>
      </c>
      <c r="W136" s="61" t="e">
        <f ca="1"/>
        <v>#N/A</v>
      </c>
      <c r="X136" s="61" t="e">
        <f ca="1"/>
        <v>#N/A</v>
      </c>
      <c r="Y136" s="61" t="e">
        <f ca="1"/>
        <v>#N/A</v>
      </c>
      <c r="Z136" s="61" t="e">
        <f ca="1"/>
        <v>#N/A</v>
      </c>
      <c r="AA136" s="61" t="e">
        <f ca="1"/>
        <v>#N/A</v>
      </c>
      <c r="AB136" s="61" t="e">
        <f ca="1"/>
        <v>#N/A</v>
      </c>
      <c r="AC136" s="61" t="e">
        <f ca="1"/>
        <v>#N/A</v>
      </c>
      <c r="AD136" s="61" t="e">
        <f ca="1"/>
        <v>#N/A</v>
      </c>
      <c r="AE136" s="61" t="e">
        <f ca="1"/>
        <v>#N/A</v>
      </c>
      <c r="AF136" s="61" t="e">
        <f ca="1"/>
        <v>#N/A</v>
      </c>
      <c r="AG136" s="61" t="e">
        <f ca="1"/>
        <v>#N/A</v>
      </c>
      <c r="AH136" s="61" t="e">
        <f ca="1"/>
        <v>#N/A</v>
      </c>
      <c r="AI136" s="61" t="e">
        <f ca="1"/>
        <v>#N/A</v>
      </c>
      <c r="AJ136" s="61" t="e">
        <f ca="1"/>
        <v>#N/A</v>
      </c>
      <c r="AK136" s="61" t="e">
        <f ca="1"/>
        <v>#N/A</v>
      </c>
      <c r="AL136" s="61" t="e">
        <f ca="1"/>
        <v>#N/A</v>
      </c>
    </row>
    <row r="137" spans="1:38" ht="21" customHeight="1" outlineLevel="1" thickBot="1" x14ac:dyDescent="0.4">
      <c r="E137" s="29" t="e">
        <f ca="1"/>
        <v>#N/A</v>
      </c>
      <c r="F137" s="61" t="e">
        <f ca="1"/>
        <v>#N/A</v>
      </c>
      <c r="G137" s="61" t="e">
        <f ca="1"/>
        <v>#N/A</v>
      </c>
      <c r="H137" s="61" t="e">
        <f ca="1"/>
        <v>#N/A</v>
      </c>
      <c r="I137" s="61" t="e">
        <f ca="1"/>
        <v>#N/A</v>
      </c>
      <c r="J137" s="61" t="e">
        <f ca="1"/>
        <v>#N/A</v>
      </c>
      <c r="K137" s="61" t="e">
        <f ca="1"/>
        <v>#N/A</v>
      </c>
      <c r="L137" s="61" t="e">
        <f ca="1"/>
        <v>#N/A</v>
      </c>
      <c r="M137" s="61" t="e">
        <f ca="1"/>
        <v>#N/A</v>
      </c>
      <c r="N137" s="61" t="e">
        <f ca="1"/>
        <v>#N/A</v>
      </c>
      <c r="O137" s="61" t="e">
        <f ca="1"/>
        <v>#N/A</v>
      </c>
      <c r="P137" s="61" t="e">
        <f ca="1"/>
        <v>#N/A</v>
      </c>
      <c r="Q137" s="61" t="e">
        <f ca="1"/>
        <v>#N/A</v>
      </c>
      <c r="R137" s="61" t="e">
        <f ca="1"/>
        <v>#N/A</v>
      </c>
      <c r="S137" s="61" t="e">
        <f ca="1"/>
        <v>#N/A</v>
      </c>
      <c r="T137" s="61" t="e">
        <f ca="1"/>
        <v>#N/A</v>
      </c>
      <c r="U137" s="61" t="e">
        <f ca="1"/>
        <v>#N/A</v>
      </c>
      <c r="V137" s="61" t="e">
        <f ca="1"/>
        <v>#N/A</v>
      </c>
      <c r="W137" s="61" t="e">
        <f ca="1"/>
        <v>#N/A</v>
      </c>
      <c r="X137" s="61" t="e">
        <f ca="1"/>
        <v>#N/A</v>
      </c>
      <c r="Y137" s="61" t="e">
        <f ca="1"/>
        <v>#N/A</v>
      </c>
      <c r="Z137" s="61" t="e">
        <f ca="1"/>
        <v>#N/A</v>
      </c>
      <c r="AA137" s="61" t="e">
        <f ca="1"/>
        <v>#N/A</v>
      </c>
      <c r="AB137" s="61" t="e">
        <f ca="1"/>
        <v>#N/A</v>
      </c>
      <c r="AC137" s="61" t="e">
        <f ca="1"/>
        <v>#N/A</v>
      </c>
      <c r="AD137" s="61" t="e">
        <f ca="1"/>
        <v>#N/A</v>
      </c>
      <c r="AE137" s="61" t="e">
        <f ca="1"/>
        <v>#N/A</v>
      </c>
      <c r="AF137" s="61" t="e">
        <f ca="1"/>
        <v>#N/A</v>
      </c>
      <c r="AG137" s="61" t="e">
        <f ca="1"/>
        <v>#N/A</v>
      </c>
      <c r="AH137" s="61" t="e">
        <f ca="1"/>
        <v>#N/A</v>
      </c>
      <c r="AI137" s="61" t="e">
        <f ca="1"/>
        <v>#N/A</v>
      </c>
      <c r="AJ137" s="61" t="e">
        <f ca="1"/>
        <v>#N/A</v>
      </c>
      <c r="AK137" s="61" t="e">
        <f ca="1"/>
        <v>#N/A</v>
      </c>
      <c r="AL137" s="61" t="e">
        <f ca="1"/>
        <v>#N/A</v>
      </c>
    </row>
    <row r="138" spans="1:38" ht="21" customHeight="1" outlineLevel="1" thickBot="1" x14ac:dyDescent="0.4">
      <c r="E138" s="29" t="e">
        <f ca="1"/>
        <v>#N/A</v>
      </c>
      <c r="F138" s="61" t="e">
        <f ca="1"/>
        <v>#N/A</v>
      </c>
      <c r="G138" s="61" t="e">
        <f ca="1"/>
        <v>#N/A</v>
      </c>
      <c r="H138" s="61" t="e">
        <f ca="1"/>
        <v>#N/A</v>
      </c>
      <c r="I138" s="61" t="e">
        <f ca="1"/>
        <v>#N/A</v>
      </c>
      <c r="J138" s="61" t="e">
        <f ca="1"/>
        <v>#N/A</v>
      </c>
      <c r="K138" s="61" t="e">
        <f ca="1"/>
        <v>#N/A</v>
      </c>
      <c r="L138" s="61" t="e">
        <f ca="1"/>
        <v>#N/A</v>
      </c>
      <c r="M138" s="61" t="e">
        <f ca="1"/>
        <v>#N/A</v>
      </c>
      <c r="N138" s="61" t="e">
        <f ca="1"/>
        <v>#N/A</v>
      </c>
      <c r="O138" s="61" t="e">
        <f ca="1"/>
        <v>#N/A</v>
      </c>
      <c r="P138" s="61" t="e">
        <f ca="1"/>
        <v>#N/A</v>
      </c>
      <c r="Q138" s="61" t="e">
        <f ca="1"/>
        <v>#N/A</v>
      </c>
      <c r="R138" s="61" t="e">
        <f ca="1"/>
        <v>#N/A</v>
      </c>
      <c r="S138" s="61" t="e">
        <f ca="1"/>
        <v>#N/A</v>
      </c>
      <c r="T138" s="61" t="e">
        <f ca="1"/>
        <v>#N/A</v>
      </c>
      <c r="U138" s="61" t="e">
        <f ca="1"/>
        <v>#N/A</v>
      </c>
      <c r="V138" s="61" t="e">
        <f ca="1"/>
        <v>#N/A</v>
      </c>
      <c r="W138" s="61" t="e">
        <f ca="1"/>
        <v>#N/A</v>
      </c>
      <c r="X138" s="61" t="e">
        <f ca="1"/>
        <v>#N/A</v>
      </c>
      <c r="Y138" s="61" t="e">
        <f ca="1"/>
        <v>#N/A</v>
      </c>
      <c r="Z138" s="61" t="e">
        <f ca="1"/>
        <v>#N/A</v>
      </c>
      <c r="AA138" s="61" t="e">
        <f ca="1"/>
        <v>#N/A</v>
      </c>
      <c r="AB138" s="61" t="e">
        <f ca="1"/>
        <v>#N/A</v>
      </c>
      <c r="AC138" s="61" t="e">
        <f ca="1"/>
        <v>#N/A</v>
      </c>
      <c r="AD138" s="61" t="e">
        <f ca="1"/>
        <v>#N/A</v>
      </c>
      <c r="AE138" s="61" t="e">
        <f ca="1"/>
        <v>#N/A</v>
      </c>
      <c r="AF138" s="61" t="e">
        <f ca="1"/>
        <v>#N/A</v>
      </c>
      <c r="AG138" s="61" t="e">
        <f ca="1"/>
        <v>#N/A</v>
      </c>
      <c r="AH138" s="61" t="e">
        <f ca="1"/>
        <v>#N/A</v>
      </c>
      <c r="AI138" s="61" t="e">
        <f ca="1"/>
        <v>#N/A</v>
      </c>
      <c r="AJ138" s="61" t="e">
        <f ca="1"/>
        <v>#N/A</v>
      </c>
      <c r="AK138" s="61" t="e">
        <f ca="1"/>
        <v>#N/A</v>
      </c>
      <c r="AL138" s="61" t="e">
        <f ca="1"/>
        <v>#N/A</v>
      </c>
    </row>
    <row r="139" spans="1:38" ht="21" customHeight="1" outlineLevel="1" thickBot="1" x14ac:dyDescent="0.4">
      <c r="E139" s="29" t="e">
        <f ca="1"/>
        <v>#N/A</v>
      </c>
      <c r="F139" s="61" t="e">
        <f ca="1"/>
        <v>#N/A</v>
      </c>
      <c r="G139" s="61" t="e">
        <f ca="1"/>
        <v>#N/A</v>
      </c>
      <c r="H139" s="61" t="e">
        <f ca="1"/>
        <v>#N/A</v>
      </c>
      <c r="I139" s="61" t="e">
        <f ca="1"/>
        <v>#N/A</v>
      </c>
      <c r="J139" s="61" t="e">
        <f ca="1"/>
        <v>#N/A</v>
      </c>
      <c r="K139" s="61" t="e">
        <f ca="1"/>
        <v>#N/A</v>
      </c>
      <c r="L139" s="61" t="e">
        <f ca="1"/>
        <v>#N/A</v>
      </c>
      <c r="M139" s="61" t="e">
        <f ca="1"/>
        <v>#N/A</v>
      </c>
      <c r="N139" s="61" t="e">
        <f ca="1"/>
        <v>#N/A</v>
      </c>
      <c r="O139" s="61" t="e">
        <f ca="1"/>
        <v>#N/A</v>
      </c>
      <c r="P139" s="61" t="e">
        <f ca="1"/>
        <v>#N/A</v>
      </c>
      <c r="Q139" s="61" t="e">
        <f ca="1"/>
        <v>#N/A</v>
      </c>
      <c r="R139" s="61" t="e">
        <f ca="1"/>
        <v>#N/A</v>
      </c>
      <c r="S139" s="61" t="e">
        <f ca="1"/>
        <v>#N/A</v>
      </c>
      <c r="T139" s="61" t="e">
        <f ca="1"/>
        <v>#N/A</v>
      </c>
      <c r="U139" s="61" t="e">
        <f ca="1"/>
        <v>#N/A</v>
      </c>
      <c r="V139" s="61" t="e">
        <f ca="1"/>
        <v>#N/A</v>
      </c>
      <c r="W139" s="61" t="e">
        <f ca="1"/>
        <v>#N/A</v>
      </c>
      <c r="X139" s="61" t="e">
        <f ca="1"/>
        <v>#N/A</v>
      </c>
      <c r="Y139" s="61" t="e">
        <f ca="1"/>
        <v>#N/A</v>
      </c>
      <c r="Z139" s="61" t="e">
        <f ca="1"/>
        <v>#N/A</v>
      </c>
      <c r="AA139" s="61" t="e">
        <f ca="1"/>
        <v>#N/A</v>
      </c>
      <c r="AB139" s="61" t="e">
        <f ca="1"/>
        <v>#N/A</v>
      </c>
      <c r="AC139" s="61" t="e">
        <f ca="1"/>
        <v>#N/A</v>
      </c>
      <c r="AD139" s="61" t="e">
        <f ca="1"/>
        <v>#N/A</v>
      </c>
      <c r="AE139" s="61" t="e">
        <f ca="1"/>
        <v>#N/A</v>
      </c>
      <c r="AF139" s="61" t="e">
        <f ca="1"/>
        <v>#N/A</v>
      </c>
      <c r="AG139" s="61" t="e">
        <f ca="1"/>
        <v>#N/A</v>
      </c>
      <c r="AH139" s="61" t="e">
        <f ca="1"/>
        <v>#N/A</v>
      </c>
      <c r="AI139" s="61" t="e">
        <f ca="1"/>
        <v>#N/A</v>
      </c>
      <c r="AJ139" s="61" t="e">
        <f ca="1"/>
        <v>#N/A</v>
      </c>
      <c r="AK139" s="61" t="e">
        <f ca="1"/>
        <v>#N/A</v>
      </c>
      <c r="AL139" s="61" t="e">
        <f ca="1"/>
        <v>#N/A</v>
      </c>
    </row>
    <row r="140" spans="1:38" ht="21" customHeight="1" outlineLevel="1" thickBot="1" x14ac:dyDescent="0.4">
      <c r="E140" s="30"/>
    </row>
    <row r="141" spans="1:38" ht="21" customHeight="1" thickBot="1" x14ac:dyDescent="0.4"/>
    <row r="142" spans="1:38" ht="21" customHeight="1" thickBot="1" x14ac:dyDescent="0.45">
      <c r="A142" s="1"/>
      <c r="B142" s="1"/>
      <c r="C142" s="1"/>
      <c r="D142" s="1"/>
      <c r="E142" s="2" t="s">
        <v>19</v>
      </c>
      <c r="F142" s="3"/>
      <c r="G142" s="2"/>
      <c r="H142" s="2"/>
      <c r="I142" s="2"/>
      <c r="J142" s="2"/>
      <c r="K142" s="31"/>
      <c r="L142" s="31"/>
      <c r="M142" s="31"/>
      <c r="N142" s="31"/>
      <c r="O142" s="31"/>
      <c r="P142" s="31"/>
      <c r="Q142" s="31"/>
      <c r="R142" s="31"/>
      <c r="S142" s="32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ht="21" hidden="1" customHeight="1" outlineLevel="1" thickBot="1" x14ac:dyDescent="0.4">
      <c r="A143" s="33" t="s">
        <v>20</v>
      </c>
      <c r="B143" s="34" t="s">
        <v>21</v>
      </c>
      <c r="C143" s="61">
        <v>298.14999999999998</v>
      </c>
    </row>
    <row r="144" spans="1:38" ht="21" hidden="1" customHeight="1" outlineLevel="1" x14ac:dyDescent="0.35">
      <c r="A144" s="61">
        <v>8</v>
      </c>
      <c r="B144" s="35" t="s">
        <v>22</v>
      </c>
      <c r="C144" s="61">
        <v>5</v>
      </c>
    </row>
    <row r="145" spans="2:19" ht="21" hidden="1" customHeight="1" outlineLevel="1" x14ac:dyDescent="0.35">
      <c r="B145" s="36" t="s">
        <v>23</v>
      </c>
      <c r="C145" s="37">
        <f>C144-$C$144</f>
        <v>0</v>
      </c>
      <c r="D145" s="37">
        <f>D144-$C$144</f>
        <v>-5</v>
      </c>
      <c r="E145" s="37">
        <f t="shared" ref="E145:F145" si="37">E144-$C$144</f>
        <v>-5</v>
      </c>
      <c r="F145" s="37">
        <f t="shared" si="37"/>
        <v>-5</v>
      </c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</row>
    <row r="146" spans="2:19" ht="21" hidden="1" customHeight="1" outlineLevel="1" thickBot="1" x14ac:dyDescent="0.4">
      <c r="B146" s="34" t="s">
        <v>24</v>
      </c>
      <c r="C146" s="37">
        <f>C145+$A$144</f>
        <v>8</v>
      </c>
      <c r="D146" s="37">
        <f t="shared" ref="D146:F146" si="38">D145+$A$144</f>
        <v>3</v>
      </c>
      <c r="E146" s="37">
        <f t="shared" si="38"/>
        <v>3</v>
      </c>
      <c r="F146" s="37">
        <f t="shared" si="38"/>
        <v>3</v>
      </c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</row>
    <row r="147" spans="2:19" ht="21" hidden="1" customHeight="1" outlineLevel="1" x14ac:dyDescent="0.35"/>
    <row r="148" spans="2:19" ht="21" customHeight="1" collapsed="1" x14ac:dyDescent="0.35"/>
  </sheetData>
  <mergeCells count="2">
    <mergeCell ref="A1:BB1"/>
    <mergeCell ref="A117:B117"/>
  </mergeCells>
  <conditionalFormatting sqref="A4:D33">
    <cfRule type="cellIs" dxfId="3" priority="3" operator="equal">
      <formula>0</formula>
    </cfRule>
  </conditionalFormatting>
  <conditionalFormatting sqref="A50:D80">
    <cfRule type="cellIs" dxfId="2" priority="2" operator="equal">
      <formula>0</formula>
    </cfRule>
  </conditionalFormatting>
  <conditionalFormatting sqref="A84:D113">
    <cfRule type="cellIs" dxfId="1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theme="2" tint="-0.499984740745262"/>
  </sheetPr>
  <dimension ref="A1:CP154"/>
  <sheetViews>
    <sheetView zoomScale="115" zoomScaleNormal="115" workbookViewId="0">
      <pane ySplit="1" topLeftCell="A97" activePane="bottomLeft" state="frozen"/>
      <selection pane="bottomLeft" activeCell="CQ116" sqref="CQ116"/>
    </sheetView>
  </sheetViews>
  <sheetFormatPr defaultRowHeight="21" outlineLevelRow="1" x14ac:dyDescent="0.35"/>
  <cols>
    <col min="1" max="1" width="13.81640625" bestFit="1" customWidth="1"/>
    <col min="2" max="3" width="4.26953125" style="62" customWidth="1"/>
    <col min="4" max="5" width="4.26953125" customWidth="1"/>
    <col min="6" max="94" width="4.26953125" hidden="1" customWidth="1"/>
    <col min="95" max="16384" width="8.7265625" style="61"/>
  </cols>
  <sheetData>
    <row r="1" spans="1:35" ht="37.5" customHeight="1" thickBot="1" x14ac:dyDescent="0.4">
      <c r="A1" s="56" t="s">
        <v>26</v>
      </c>
      <c r="B1" s="63">
        <v>290</v>
      </c>
      <c r="C1" s="64">
        <v>1500</v>
      </c>
      <c r="D1" s="57" t="s">
        <v>27</v>
      </c>
      <c r="E1" s="58">
        <v>90</v>
      </c>
      <c r="F1" s="61"/>
      <c r="G1" s="61"/>
      <c r="H1" s="61"/>
      <c r="I1" s="61"/>
      <c r="J1" s="61"/>
    </row>
    <row r="2" spans="1:35" ht="23.25" customHeight="1" thickTop="1" thickBot="1" x14ac:dyDescent="0.4">
      <c r="A2" s="7" t="s">
        <v>37</v>
      </c>
      <c r="B2" s="7">
        <f>FLUID!F49</f>
        <v>298.2</v>
      </c>
      <c r="C2" s="7">
        <f>FLUID!G49</f>
        <v>431.7</v>
      </c>
      <c r="D2" s="7">
        <f>FLUID!H49</f>
        <v>465.1</v>
      </c>
      <c r="E2" s="7">
        <f>FLUID!I49</f>
        <v>498.5</v>
      </c>
      <c r="F2" s="7">
        <f>FLUID!J49</f>
        <v>531.79999999999995</v>
      </c>
      <c r="G2" s="7">
        <f>FLUID!K49</f>
        <v>565.20000000000005</v>
      </c>
      <c r="H2" s="7">
        <f>FLUID!L49</f>
        <v>698.8</v>
      </c>
      <c r="I2" s="7">
        <f>FLUID!M49</f>
        <v>732.2</v>
      </c>
      <c r="J2" s="7">
        <f>FLUID!N49</f>
        <v>765.5</v>
      </c>
      <c r="K2" s="7">
        <f>FLUID!O49</f>
        <v>798.9</v>
      </c>
      <c r="L2" s="7">
        <f>FLUID!P49</f>
        <v>832.3</v>
      </c>
      <c r="M2" s="7">
        <f>FLUID!Q49</f>
        <v>965.8</v>
      </c>
      <c r="N2" s="7">
        <f>FLUID!R49</f>
        <v>999.2</v>
      </c>
      <c r="O2" s="7">
        <f>FLUID!S49</f>
        <v>1033</v>
      </c>
      <c r="P2" s="7">
        <f>FLUID!T49</f>
        <v>1066</v>
      </c>
      <c r="Q2" s="7">
        <f>FLUID!U49</f>
        <v>1099</v>
      </c>
      <c r="R2" s="7">
        <f>FLUID!V49</f>
        <v>1233</v>
      </c>
      <c r="S2" s="7">
        <f>FLUID!W49</f>
        <v>1366</v>
      </c>
      <c r="T2" s="7">
        <f>FLUID!X49</f>
        <v>1500</v>
      </c>
      <c r="U2" s="7">
        <f>FLUID!Y49</f>
        <v>0</v>
      </c>
      <c r="V2" s="7">
        <f>FLUID!Z49</f>
        <v>0</v>
      </c>
      <c r="W2" s="7">
        <f>FLUID!AA49</f>
        <v>0</v>
      </c>
      <c r="X2" s="7">
        <f>FLUID!AB49</f>
        <v>0</v>
      </c>
      <c r="Y2" s="7">
        <f>FLUID!AC49</f>
        <v>0</v>
      </c>
      <c r="Z2" s="7">
        <f>FLUID!AD49</f>
        <v>0</v>
      </c>
      <c r="AA2" s="7">
        <f>FLUID!AE49</f>
        <v>0</v>
      </c>
      <c r="AB2" s="7">
        <f>FLUID!AF49</f>
        <v>0</v>
      </c>
      <c r="AC2" s="7">
        <f>FLUID!AG49</f>
        <v>0</v>
      </c>
      <c r="AD2" s="7">
        <f>FLUID!AH49</f>
        <v>0</v>
      </c>
      <c r="AE2" s="7">
        <f>FLUID!AI49</f>
        <v>0</v>
      </c>
      <c r="AF2" s="7">
        <f>FLUID!AJ49</f>
        <v>0</v>
      </c>
      <c r="AG2" s="7">
        <f>FLUID!AK49</f>
        <v>0</v>
      </c>
      <c r="AH2" s="7">
        <f>FLUID!AL49</f>
        <v>0</v>
      </c>
      <c r="AI2" s="7">
        <f>FLUID!AM49</f>
        <v>0</v>
      </c>
    </row>
    <row r="3" spans="1:35" ht="22.5" hidden="1" outlineLevel="1" thickTop="1" thickBot="1" x14ac:dyDescent="0.4">
      <c r="A3" s="76" t="str">
        <f>FLUID!E50</f>
        <v>Se3</v>
      </c>
      <c r="B3" s="26">
        <f ca="1">FLUID!F50</f>
        <v>-14.472</v>
      </c>
      <c r="C3" s="26">
        <f ca="1">FLUID!G50</f>
        <v>-16.785</v>
      </c>
      <c r="D3" s="26">
        <f ca="1">FLUID!H50</f>
        <v>-17.364000000000001</v>
      </c>
      <c r="E3" s="26">
        <f ca="1">FLUID!I50</f>
        <v>-17.924999999999997</v>
      </c>
      <c r="F3" s="26">
        <f ca="1">FLUID!J50</f>
        <v>-18.465</v>
      </c>
      <c r="G3" s="26">
        <f ca="1">FLUID!K50</f>
        <v>-18.977999999999998</v>
      </c>
      <c r="H3" s="26">
        <f ca="1">FLUID!L50</f>
        <v>-20.646000000000001</v>
      </c>
      <c r="I3" s="26">
        <f ca="1">FLUID!M50</f>
        <v>-21.018000000000001</v>
      </c>
      <c r="J3" s="26">
        <f ca="1">FLUID!N50</f>
        <v>-21.396000000000001</v>
      </c>
      <c r="K3" s="26">
        <f ca="1">FLUID!O50</f>
        <v>-21.783000000000001</v>
      </c>
      <c r="L3" s="26">
        <f ca="1">FLUID!P50</f>
        <v>-22.182000000000002</v>
      </c>
      <c r="M3" s="26">
        <f ca="1">FLUID!Q50</f>
        <v>-24.123000000000001</v>
      </c>
      <c r="N3" s="26">
        <f ca="1">FLUID!R50</f>
        <v>-24.756</v>
      </c>
      <c r="O3" s="26">
        <f ca="1">FLUID!S50</f>
        <v>-25.445999999999998</v>
      </c>
      <c r="P3" s="26">
        <f ca="1">FLUID!T50</f>
        <v>-26.183999999999997</v>
      </c>
      <c r="Q3" s="26">
        <f ca="1">FLUID!U50</f>
        <v>-26.945999999999998</v>
      </c>
      <c r="R3" s="26">
        <f ca="1">FLUID!V50</f>
        <v>-29.904</v>
      </c>
      <c r="S3" s="26">
        <f ca="1">FLUID!W50</f>
        <v>-32.49</v>
      </c>
      <c r="T3" s="26">
        <f ca="1">FLUID!X50</f>
        <v>-34.68</v>
      </c>
      <c r="U3" s="26">
        <f ca="1">FLUID!Y50</f>
        <v>0</v>
      </c>
      <c r="V3" s="26">
        <f ca="1">FLUID!Z50</f>
        <v>0</v>
      </c>
      <c r="W3" s="26">
        <f ca="1">FLUID!AA50</f>
        <v>0</v>
      </c>
      <c r="X3" s="26">
        <f ca="1">FLUID!AB50</f>
        <v>0</v>
      </c>
      <c r="Y3" s="26">
        <f ca="1">FLUID!AC50</f>
        <v>0</v>
      </c>
      <c r="Z3" s="26">
        <f ca="1">FLUID!AD50</f>
        <v>0</v>
      </c>
      <c r="AA3" s="26">
        <f ca="1">FLUID!AE50</f>
        <v>0</v>
      </c>
      <c r="AB3" s="26">
        <f ca="1">FLUID!AF50</f>
        <v>0</v>
      </c>
      <c r="AC3" s="26">
        <f ca="1">FLUID!AG50</f>
        <v>0</v>
      </c>
      <c r="AD3" s="26">
        <f ca="1">FLUID!AH50</f>
        <v>0</v>
      </c>
      <c r="AE3" s="26">
        <f ca="1">FLUID!AI50</f>
        <v>0</v>
      </c>
      <c r="AF3" s="26">
        <f ca="1">FLUID!AJ50</f>
        <v>0</v>
      </c>
      <c r="AG3" s="26">
        <f ca="1">FLUID!AK50</f>
        <v>0</v>
      </c>
      <c r="AH3" s="26">
        <f ca="1">FLUID!AL50</f>
        <v>0</v>
      </c>
      <c r="AI3" s="26">
        <f>FLUID!AM50</f>
        <v>0</v>
      </c>
    </row>
    <row r="4" spans="1:35" ht="21.75" hidden="1" outlineLevel="1" thickBot="1" x14ac:dyDescent="0.4">
      <c r="A4" s="60" t="str">
        <f>FLUID!E51</f>
        <v>Se4</v>
      </c>
      <c r="B4" s="26">
        <f ca="1">FLUID!F51</f>
        <v>-19.295999999999999</v>
      </c>
      <c r="C4" s="26">
        <f ca="1">FLUID!G51</f>
        <v>-22.38</v>
      </c>
      <c r="D4" s="26">
        <f ca="1">FLUID!H51</f>
        <v>-23.152000000000001</v>
      </c>
      <c r="E4" s="26">
        <f ca="1">FLUID!I51</f>
        <v>-23.9</v>
      </c>
      <c r="F4" s="26">
        <f ca="1">FLUID!J51</f>
        <v>-24.62</v>
      </c>
      <c r="G4" s="26">
        <f ca="1">FLUID!K51</f>
        <v>-25.303999999999998</v>
      </c>
      <c r="H4" s="26">
        <f ca="1">FLUID!L51</f>
        <v>-27.527999999999999</v>
      </c>
      <c r="I4" s="26">
        <f ca="1">FLUID!M51</f>
        <v>-28.024000000000001</v>
      </c>
      <c r="J4" s="26">
        <f ca="1">FLUID!N51</f>
        <v>-28.527999999999999</v>
      </c>
      <c r="K4" s="26">
        <f ca="1">FLUID!O51</f>
        <v>-29.044</v>
      </c>
      <c r="L4" s="26">
        <f ca="1">FLUID!P51</f>
        <v>-29.576000000000001</v>
      </c>
      <c r="M4" s="26">
        <f ca="1">FLUID!Q51</f>
        <v>-32.164000000000001</v>
      </c>
      <c r="N4" s="26">
        <f ca="1">FLUID!R51</f>
        <v>-33.008000000000003</v>
      </c>
      <c r="O4" s="26">
        <f ca="1">FLUID!S51</f>
        <v>-33.927999999999997</v>
      </c>
      <c r="P4" s="26">
        <f ca="1">FLUID!T51</f>
        <v>-34.911999999999999</v>
      </c>
      <c r="Q4" s="26">
        <f ca="1">FLUID!U51</f>
        <v>-35.927999999999997</v>
      </c>
      <c r="R4" s="26">
        <f ca="1">FLUID!V51</f>
        <v>-39.872</v>
      </c>
      <c r="S4" s="26">
        <f ca="1">FLUID!W51</f>
        <v>-43.32</v>
      </c>
      <c r="T4" s="26">
        <f ca="1">FLUID!X51</f>
        <v>-46.24</v>
      </c>
      <c r="U4" s="26">
        <f ca="1">FLUID!Y51</f>
        <v>0</v>
      </c>
      <c r="V4" s="26">
        <f ca="1">FLUID!Z51</f>
        <v>0</v>
      </c>
      <c r="W4" s="26">
        <f ca="1">FLUID!AA51</f>
        <v>0</v>
      </c>
      <c r="X4" s="26">
        <f ca="1">FLUID!AB51</f>
        <v>0</v>
      </c>
      <c r="Y4" s="26">
        <f ca="1">FLUID!AC51</f>
        <v>0</v>
      </c>
      <c r="Z4" s="26">
        <f ca="1">FLUID!AD51</f>
        <v>0</v>
      </c>
      <c r="AA4" s="26">
        <f ca="1">FLUID!AE51</f>
        <v>0</v>
      </c>
      <c r="AB4" s="26">
        <f ca="1">FLUID!AF51</f>
        <v>0</v>
      </c>
      <c r="AC4" s="26">
        <f ca="1">FLUID!AG51</f>
        <v>0</v>
      </c>
      <c r="AD4" s="26">
        <f ca="1">FLUID!AH51</f>
        <v>0</v>
      </c>
      <c r="AE4" s="26">
        <f ca="1">FLUID!AI51</f>
        <v>0</v>
      </c>
      <c r="AF4" s="26">
        <f ca="1">FLUID!AJ51</f>
        <v>0</v>
      </c>
      <c r="AG4" s="26">
        <f ca="1">FLUID!AK51</f>
        <v>0</v>
      </c>
      <c r="AH4" s="26">
        <f ca="1">FLUID!AL51</f>
        <v>0</v>
      </c>
      <c r="AI4" s="26">
        <f>FLUID!AM51</f>
        <v>0</v>
      </c>
    </row>
    <row r="5" spans="1:35" ht="21.75" hidden="1" outlineLevel="1" thickBot="1" x14ac:dyDescent="0.4">
      <c r="A5" s="60" t="str">
        <f>FLUID!E52</f>
        <v>Se5</v>
      </c>
      <c r="B5" s="26">
        <f ca="1">FLUID!F52</f>
        <v>-24.119999999999997</v>
      </c>
      <c r="C5" s="26">
        <f ca="1">FLUID!G52</f>
        <v>-27.974999999999998</v>
      </c>
      <c r="D5" s="26">
        <f ca="1">FLUID!H52</f>
        <v>-28.94</v>
      </c>
      <c r="E5" s="26">
        <f ca="1">FLUID!I52</f>
        <v>-29.875</v>
      </c>
      <c r="F5" s="26">
        <f ca="1">FLUID!J52</f>
        <v>-30.775000000000002</v>
      </c>
      <c r="G5" s="26">
        <f ca="1">FLUID!K52</f>
        <v>-31.63</v>
      </c>
      <c r="H5" s="26">
        <f ca="1">FLUID!L52</f>
        <v>-34.409999999999997</v>
      </c>
      <c r="I5" s="26">
        <f ca="1">FLUID!M52</f>
        <v>-35.03</v>
      </c>
      <c r="J5" s="26">
        <f ca="1">FLUID!N52</f>
        <v>-35.659999999999997</v>
      </c>
      <c r="K5" s="26">
        <f ca="1">FLUID!O52</f>
        <v>-36.305</v>
      </c>
      <c r="L5" s="26">
        <f ca="1">FLUID!P52</f>
        <v>-36.97</v>
      </c>
      <c r="M5" s="26">
        <f ca="1">FLUID!Q52</f>
        <v>-40.204999999999998</v>
      </c>
      <c r="N5" s="26">
        <f ca="1">FLUID!R52</f>
        <v>-41.260000000000005</v>
      </c>
      <c r="O5" s="26">
        <f ca="1">FLUID!S52</f>
        <v>-42.41</v>
      </c>
      <c r="P5" s="26">
        <f ca="1">FLUID!T52</f>
        <v>-43.64</v>
      </c>
      <c r="Q5" s="26">
        <f ca="1">FLUID!U52</f>
        <v>-44.91</v>
      </c>
      <c r="R5" s="26">
        <f ca="1">FLUID!V52</f>
        <v>-49.84</v>
      </c>
      <c r="S5" s="26">
        <f ca="1">FLUID!W52</f>
        <v>-54.15</v>
      </c>
      <c r="T5" s="26">
        <f ca="1">FLUID!X52</f>
        <v>-57.800000000000004</v>
      </c>
      <c r="U5" s="26">
        <f ca="1">FLUID!Y52</f>
        <v>0</v>
      </c>
      <c r="V5" s="26">
        <f ca="1">FLUID!Z52</f>
        <v>0</v>
      </c>
      <c r="W5" s="26">
        <f ca="1">FLUID!AA52</f>
        <v>0</v>
      </c>
      <c r="X5" s="26">
        <f ca="1">FLUID!AB52</f>
        <v>0</v>
      </c>
      <c r="Y5" s="26">
        <f ca="1">FLUID!AC52</f>
        <v>0</v>
      </c>
      <c r="Z5" s="26">
        <f ca="1">FLUID!AD52</f>
        <v>0</v>
      </c>
      <c r="AA5" s="26">
        <f ca="1">FLUID!AE52</f>
        <v>0</v>
      </c>
      <c r="AB5" s="26">
        <f ca="1">FLUID!AF52</f>
        <v>0</v>
      </c>
      <c r="AC5" s="26">
        <f ca="1">FLUID!AG52</f>
        <v>0</v>
      </c>
      <c r="AD5" s="26">
        <f ca="1">FLUID!AH52</f>
        <v>0</v>
      </c>
      <c r="AE5" s="26">
        <f ca="1">FLUID!AI52</f>
        <v>0</v>
      </c>
      <c r="AF5" s="26">
        <f ca="1">FLUID!AJ52</f>
        <v>0</v>
      </c>
      <c r="AG5" s="26">
        <f ca="1">FLUID!AK52</f>
        <v>0</v>
      </c>
      <c r="AH5" s="26">
        <f ca="1">FLUID!AL52</f>
        <v>0</v>
      </c>
      <c r="AI5" s="26">
        <f>FLUID!AM52</f>
        <v>0</v>
      </c>
    </row>
    <row r="6" spans="1:35" ht="21.75" hidden="1" outlineLevel="1" thickBot="1" x14ac:dyDescent="0.4">
      <c r="A6" s="60" t="str">
        <f>FLUID!E53</f>
        <v>Se6</v>
      </c>
      <c r="B6" s="26">
        <f ca="1">FLUID!F53</f>
        <v>-28.943999999999999</v>
      </c>
      <c r="C6" s="26">
        <f ca="1">FLUID!G53</f>
        <v>-33.57</v>
      </c>
      <c r="D6" s="26">
        <f ca="1">FLUID!H53</f>
        <v>-34.728000000000002</v>
      </c>
      <c r="E6" s="26">
        <f ca="1">FLUID!I53</f>
        <v>-35.849999999999994</v>
      </c>
      <c r="F6" s="26">
        <f ca="1">FLUID!J53</f>
        <v>-36.93</v>
      </c>
      <c r="G6" s="26">
        <f ca="1">FLUID!K53</f>
        <v>-37.955999999999996</v>
      </c>
      <c r="H6" s="26">
        <f ca="1">FLUID!L53</f>
        <v>-41.292000000000002</v>
      </c>
      <c r="I6" s="26">
        <f ca="1">FLUID!M53</f>
        <v>-42.036000000000001</v>
      </c>
      <c r="J6" s="26">
        <f ca="1">FLUID!N53</f>
        <v>-42.792000000000002</v>
      </c>
      <c r="K6" s="26">
        <f ca="1">FLUID!O53</f>
        <v>-43.566000000000003</v>
      </c>
      <c r="L6" s="26">
        <f ca="1">FLUID!P53</f>
        <v>-44.364000000000004</v>
      </c>
      <c r="M6" s="26">
        <f ca="1">FLUID!Q53</f>
        <v>-48.246000000000002</v>
      </c>
      <c r="N6" s="26">
        <f ca="1">FLUID!R53</f>
        <v>-49.512</v>
      </c>
      <c r="O6" s="26">
        <f ca="1">FLUID!S53</f>
        <v>-50.891999999999996</v>
      </c>
      <c r="P6" s="26">
        <f ca="1">FLUID!T53</f>
        <v>-52.367999999999995</v>
      </c>
      <c r="Q6" s="26">
        <f ca="1">FLUID!U53</f>
        <v>-53.891999999999996</v>
      </c>
      <c r="R6" s="26">
        <f ca="1">FLUID!V53</f>
        <v>-59.808</v>
      </c>
      <c r="S6" s="26">
        <f ca="1">FLUID!W53</f>
        <v>-64.98</v>
      </c>
      <c r="T6" s="26">
        <f ca="1">FLUID!X53</f>
        <v>-69.36</v>
      </c>
      <c r="U6" s="26">
        <f ca="1">FLUID!Y53</f>
        <v>0</v>
      </c>
      <c r="V6" s="26">
        <f ca="1">FLUID!Z53</f>
        <v>0</v>
      </c>
      <c r="W6" s="26">
        <f ca="1">FLUID!AA53</f>
        <v>0</v>
      </c>
      <c r="X6" s="26">
        <f ca="1">FLUID!AB53</f>
        <v>0</v>
      </c>
      <c r="Y6" s="26">
        <f ca="1">FLUID!AC53</f>
        <v>0</v>
      </c>
      <c r="Z6" s="26">
        <f ca="1">FLUID!AD53</f>
        <v>0</v>
      </c>
      <c r="AA6" s="26">
        <f ca="1">FLUID!AE53</f>
        <v>0</v>
      </c>
      <c r="AB6" s="26">
        <f ca="1">FLUID!AF53</f>
        <v>0</v>
      </c>
      <c r="AC6" s="26">
        <f ca="1">FLUID!AG53</f>
        <v>0</v>
      </c>
      <c r="AD6" s="26">
        <f ca="1">FLUID!AH53</f>
        <v>0</v>
      </c>
      <c r="AE6" s="26">
        <f ca="1">FLUID!AI53</f>
        <v>0</v>
      </c>
      <c r="AF6" s="26">
        <f ca="1">FLUID!AJ53</f>
        <v>0</v>
      </c>
      <c r="AG6" s="26">
        <f ca="1">FLUID!AK53</f>
        <v>0</v>
      </c>
      <c r="AH6" s="26">
        <f ca="1">FLUID!AL53</f>
        <v>0</v>
      </c>
      <c r="AI6" s="26">
        <f>FLUID!AM53</f>
        <v>0</v>
      </c>
    </row>
    <row r="7" spans="1:35" ht="21.75" hidden="1" outlineLevel="1" thickBot="1" x14ac:dyDescent="0.4">
      <c r="A7" s="60" t="str">
        <f>FLUID!E54</f>
        <v>Se7</v>
      </c>
      <c r="B7" s="26">
        <f ca="1">FLUID!F54</f>
        <v>-33.768000000000001</v>
      </c>
      <c r="C7" s="26">
        <f ca="1">FLUID!G54</f>
        <v>-39.164999999999999</v>
      </c>
      <c r="D7" s="26">
        <f ca="1">FLUID!H54</f>
        <v>-40.516000000000005</v>
      </c>
      <c r="E7" s="26">
        <f ca="1">FLUID!I54</f>
        <v>-41.824999999999996</v>
      </c>
      <c r="F7" s="26">
        <f ca="1">FLUID!J54</f>
        <v>-43.085000000000001</v>
      </c>
      <c r="G7" s="26">
        <f ca="1">FLUID!K54</f>
        <v>-44.281999999999996</v>
      </c>
      <c r="H7" s="26">
        <f ca="1">FLUID!L54</f>
        <v>-48.173999999999999</v>
      </c>
      <c r="I7" s="26">
        <f ca="1">FLUID!M54</f>
        <v>-49.042000000000002</v>
      </c>
      <c r="J7" s="26">
        <f ca="1">FLUID!N54</f>
        <v>-49.923999999999999</v>
      </c>
      <c r="K7" s="26">
        <f ca="1">FLUID!O54</f>
        <v>-50.826999999999998</v>
      </c>
      <c r="L7" s="26">
        <f ca="1">FLUID!P54</f>
        <v>-51.758000000000003</v>
      </c>
      <c r="M7" s="26">
        <f ca="1">FLUID!Q54</f>
        <v>-56.287000000000006</v>
      </c>
      <c r="N7" s="26">
        <f ca="1">FLUID!R54</f>
        <v>-57.764000000000003</v>
      </c>
      <c r="O7" s="26">
        <f ca="1">FLUID!S54</f>
        <v>-59.373999999999995</v>
      </c>
      <c r="P7" s="26">
        <f ca="1">FLUID!T54</f>
        <v>-61.095999999999997</v>
      </c>
      <c r="Q7" s="26">
        <f ca="1">FLUID!U54</f>
        <v>-62.873999999999995</v>
      </c>
      <c r="R7" s="26">
        <f ca="1">FLUID!V54</f>
        <v>-69.775999999999996</v>
      </c>
      <c r="S7" s="26">
        <f ca="1">FLUID!W54</f>
        <v>-75.81</v>
      </c>
      <c r="T7" s="26">
        <f ca="1">FLUID!X54</f>
        <v>-80.92</v>
      </c>
      <c r="U7" s="26">
        <f ca="1">FLUID!Y54</f>
        <v>0</v>
      </c>
      <c r="V7" s="26">
        <f ca="1">FLUID!Z54</f>
        <v>0</v>
      </c>
      <c r="W7" s="26">
        <f ca="1">FLUID!AA54</f>
        <v>0</v>
      </c>
      <c r="X7" s="26">
        <f ca="1">FLUID!AB54</f>
        <v>0</v>
      </c>
      <c r="Y7" s="26">
        <f ca="1">FLUID!AC54</f>
        <v>0</v>
      </c>
      <c r="Z7" s="26">
        <f ca="1">FLUID!AD54</f>
        <v>0</v>
      </c>
      <c r="AA7" s="26">
        <f ca="1">FLUID!AE54</f>
        <v>0</v>
      </c>
      <c r="AB7" s="26">
        <f ca="1">FLUID!AF54</f>
        <v>0</v>
      </c>
      <c r="AC7" s="26">
        <f ca="1">FLUID!AG54</f>
        <v>0</v>
      </c>
      <c r="AD7" s="26">
        <f ca="1">FLUID!AH54</f>
        <v>0</v>
      </c>
      <c r="AE7" s="26">
        <f ca="1">FLUID!AI54</f>
        <v>0</v>
      </c>
      <c r="AF7" s="26">
        <f ca="1">FLUID!AJ54</f>
        <v>0</v>
      </c>
      <c r="AG7" s="26">
        <f ca="1">FLUID!AK54</f>
        <v>0</v>
      </c>
      <c r="AH7" s="26">
        <f ca="1">FLUID!AL54</f>
        <v>0</v>
      </c>
      <c r="AI7" s="26">
        <f>FLUID!AM54</f>
        <v>0</v>
      </c>
    </row>
    <row r="8" spans="1:35" ht="21.75" hidden="1" outlineLevel="1" thickBot="1" x14ac:dyDescent="0.4">
      <c r="A8" s="60" t="str">
        <f>FLUID!E55</f>
        <v>Se8</v>
      </c>
      <c r="B8" s="26">
        <f ca="1">FLUID!F55</f>
        <v>-38.591999999999999</v>
      </c>
      <c r="C8" s="26">
        <f ca="1">FLUID!G55</f>
        <v>-44.76</v>
      </c>
      <c r="D8" s="26">
        <f ca="1">FLUID!H55</f>
        <v>-46.304000000000002</v>
      </c>
      <c r="E8" s="26">
        <f ca="1">FLUID!I55</f>
        <v>-47.8</v>
      </c>
      <c r="F8" s="26">
        <f ca="1">FLUID!J55</f>
        <v>-49.24</v>
      </c>
      <c r="G8" s="26">
        <f ca="1">FLUID!K55</f>
        <v>-50.607999999999997</v>
      </c>
      <c r="H8" s="26">
        <f ca="1">FLUID!L55</f>
        <v>-55.055999999999997</v>
      </c>
      <c r="I8" s="26">
        <f ca="1">FLUID!M55</f>
        <v>-56.048000000000002</v>
      </c>
      <c r="J8" s="26">
        <f ca="1">FLUID!N55</f>
        <v>-57.055999999999997</v>
      </c>
      <c r="K8" s="26">
        <f ca="1">FLUID!O55</f>
        <v>-58.088000000000001</v>
      </c>
      <c r="L8" s="26">
        <f ca="1">FLUID!P55</f>
        <v>-59.152000000000001</v>
      </c>
      <c r="M8" s="26">
        <f ca="1">FLUID!Q55</f>
        <v>-64.328000000000003</v>
      </c>
      <c r="N8" s="26">
        <f ca="1">FLUID!R55</f>
        <v>-66.016000000000005</v>
      </c>
      <c r="O8" s="26">
        <f ca="1">FLUID!S55</f>
        <v>-67.855999999999995</v>
      </c>
      <c r="P8" s="26">
        <f ca="1">FLUID!T55</f>
        <v>-69.823999999999998</v>
      </c>
      <c r="Q8" s="26">
        <f ca="1">FLUID!U55</f>
        <v>-71.855999999999995</v>
      </c>
      <c r="R8" s="26">
        <f ca="1">FLUID!V55</f>
        <v>-79.744</v>
      </c>
      <c r="S8" s="26">
        <f ca="1">FLUID!W55</f>
        <v>-86.64</v>
      </c>
      <c r="T8" s="26">
        <f ca="1">FLUID!X55</f>
        <v>-92.48</v>
      </c>
      <c r="U8" s="26">
        <f ca="1">FLUID!Y55</f>
        <v>0</v>
      </c>
      <c r="V8" s="26">
        <f ca="1">FLUID!Z55</f>
        <v>0</v>
      </c>
      <c r="W8" s="26">
        <f ca="1">FLUID!AA55</f>
        <v>0</v>
      </c>
      <c r="X8" s="26">
        <f ca="1">FLUID!AB55</f>
        <v>0</v>
      </c>
      <c r="Y8" s="26">
        <f ca="1">FLUID!AC55</f>
        <v>0</v>
      </c>
      <c r="Z8" s="26">
        <f ca="1">FLUID!AD55</f>
        <v>0</v>
      </c>
      <c r="AA8" s="26">
        <f ca="1">FLUID!AE55</f>
        <v>0</v>
      </c>
      <c r="AB8" s="26">
        <f ca="1">FLUID!AF55</f>
        <v>0</v>
      </c>
      <c r="AC8" s="26">
        <f ca="1">FLUID!AG55</f>
        <v>0</v>
      </c>
      <c r="AD8" s="26">
        <f ca="1">FLUID!AH55</f>
        <v>0</v>
      </c>
      <c r="AE8" s="26">
        <f ca="1">FLUID!AI55</f>
        <v>0</v>
      </c>
      <c r="AF8" s="26">
        <f ca="1">FLUID!AJ55</f>
        <v>0</v>
      </c>
      <c r="AG8" s="26">
        <f ca="1">FLUID!AK55</f>
        <v>0</v>
      </c>
      <c r="AH8" s="26">
        <f ca="1">FLUID!AL55</f>
        <v>0</v>
      </c>
      <c r="AI8" s="26">
        <f>FLUID!AM55</f>
        <v>0</v>
      </c>
    </row>
    <row r="9" spans="1:35" ht="21.75" hidden="1" outlineLevel="1" thickBot="1" x14ac:dyDescent="0.4">
      <c r="A9" s="60" t="str">
        <f>FLUID!E56</f>
        <v>Se2</v>
      </c>
      <c r="B9" s="26">
        <f ca="1">FLUID!F56</f>
        <v>-9.6479999999999997</v>
      </c>
      <c r="C9" s="26">
        <f ca="1">FLUID!G56</f>
        <v>-11.19</v>
      </c>
      <c r="D9" s="26">
        <f ca="1">FLUID!H56</f>
        <v>-11.576000000000001</v>
      </c>
      <c r="E9" s="26">
        <f ca="1">FLUID!I56</f>
        <v>-11.95</v>
      </c>
      <c r="F9" s="26">
        <f ca="1">FLUID!J56</f>
        <v>-12.31</v>
      </c>
      <c r="G9" s="26">
        <f ca="1">FLUID!K56</f>
        <v>-12.651999999999999</v>
      </c>
      <c r="H9" s="26">
        <f ca="1">FLUID!L56</f>
        <v>-13.763999999999999</v>
      </c>
      <c r="I9" s="26">
        <f ca="1">FLUID!M56</f>
        <v>-14.012</v>
      </c>
      <c r="J9" s="26">
        <f ca="1">FLUID!N56</f>
        <v>-14.263999999999999</v>
      </c>
      <c r="K9" s="26">
        <f ca="1">FLUID!O56</f>
        <v>-14.522</v>
      </c>
      <c r="L9" s="26">
        <f ca="1">FLUID!P56</f>
        <v>-14.788</v>
      </c>
      <c r="M9" s="26">
        <f ca="1">FLUID!Q56</f>
        <v>-16.082000000000001</v>
      </c>
      <c r="N9" s="26">
        <f ca="1">FLUID!R56</f>
        <v>-16.504000000000001</v>
      </c>
      <c r="O9" s="26">
        <f ca="1">FLUID!S56</f>
        <v>-16.963999999999999</v>
      </c>
      <c r="P9" s="26">
        <f ca="1">FLUID!T56</f>
        <v>-17.456</v>
      </c>
      <c r="Q9" s="26">
        <f ca="1">FLUID!U56</f>
        <v>-17.963999999999999</v>
      </c>
      <c r="R9" s="26">
        <f ca="1">FLUID!V56</f>
        <v>-19.936</v>
      </c>
      <c r="S9" s="26">
        <f ca="1">FLUID!W56</f>
        <v>-21.66</v>
      </c>
      <c r="T9" s="26">
        <f ca="1">FLUID!X56</f>
        <v>-23.12</v>
      </c>
      <c r="U9" s="26">
        <f ca="1">FLUID!Y56</f>
        <v>0</v>
      </c>
      <c r="V9" s="26">
        <f ca="1">FLUID!Z56</f>
        <v>0</v>
      </c>
      <c r="W9" s="26">
        <f ca="1">FLUID!AA56</f>
        <v>0</v>
      </c>
      <c r="X9" s="26">
        <f ca="1">FLUID!AB56</f>
        <v>0</v>
      </c>
      <c r="Y9" s="26">
        <f ca="1">FLUID!AC56</f>
        <v>0</v>
      </c>
      <c r="Z9" s="26">
        <f ca="1">FLUID!AD56</f>
        <v>0</v>
      </c>
      <c r="AA9" s="26">
        <f ca="1">FLUID!AE56</f>
        <v>0</v>
      </c>
      <c r="AB9" s="26">
        <f ca="1">FLUID!AF56</f>
        <v>0</v>
      </c>
      <c r="AC9" s="26">
        <f ca="1">FLUID!AG56</f>
        <v>0</v>
      </c>
      <c r="AD9" s="26">
        <f ca="1">FLUID!AH56</f>
        <v>0</v>
      </c>
      <c r="AE9" s="26">
        <f ca="1">FLUID!AI56</f>
        <v>0</v>
      </c>
      <c r="AF9" s="26">
        <f ca="1">FLUID!AJ56</f>
        <v>0</v>
      </c>
      <c r="AG9" s="26">
        <f ca="1">FLUID!AK56</f>
        <v>0</v>
      </c>
      <c r="AH9" s="26">
        <f ca="1">FLUID!AL56</f>
        <v>0</v>
      </c>
      <c r="AI9" s="26">
        <f>FLUID!AM56</f>
        <v>0</v>
      </c>
    </row>
    <row r="10" spans="1:35" ht="21.75" hidden="1" outlineLevel="1" thickBot="1" x14ac:dyDescent="0.4">
      <c r="A10" s="60" t="str">
        <f>FLUID!E57</f>
        <v>Se</v>
      </c>
      <c r="B10" s="26">
        <f ca="1">FLUID!F57</f>
        <v>-4.8239999999999998</v>
      </c>
      <c r="C10" s="26">
        <f ca="1">FLUID!G57</f>
        <v>-5.5949999999999998</v>
      </c>
      <c r="D10" s="26">
        <f ca="1">FLUID!H57</f>
        <v>-5.7880000000000003</v>
      </c>
      <c r="E10" s="26">
        <f ca="1">FLUID!I57</f>
        <v>-5.9749999999999996</v>
      </c>
      <c r="F10" s="26">
        <f ca="1">FLUID!J57</f>
        <v>-6.1550000000000002</v>
      </c>
      <c r="G10" s="26">
        <f ca="1">FLUID!K57</f>
        <v>-6.3259999999999996</v>
      </c>
      <c r="H10" s="26">
        <f ca="1">FLUID!L57</f>
        <v>-6.8819999999999997</v>
      </c>
      <c r="I10" s="26">
        <f ca="1">FLUID!M57</f>
        <v>-7.0060000000000002</v>
      </c>
      <c r="J10" s="26">
        <f ca="1">FLUID!N57</f>
        <v>-7.1319999999999997</v>
      </c>
      <c r="K10" s="26">
        <f ca="1">FLUID!O57</f>
        <v>-7.2610000000000001</v>
      </c>
      <c r="L10" s="26">
        <f ca="1">FLUID!P57</f>
        <v>-7.3940000000000001</v>
      </c>
      <c r="M10" s="26">
        <f ca="1">FLUID!Q57</f>
        <v>-8.0410000000000004</v>
      </c>
      <c r="N10" s="26">
        <f ca="1">FLUID!R57</f>
        <v>-8.2520000000000007</v>
      </c>
      <c r="O10" s="26">
        <f ca="1">FLUID!S57</f>
        <v>-8.4819999999999993</v>
      </c>
      <c r="P10" s="26">
        <f ca="1">FLUID!T57</f>
        <v>-8.7279999999999998</v>
      </c>
      <c r="Q10" s="26">
        <f ca="1">FLUID!U57</f>
        <v>-8.9819999999999993</v>
      </c>
      <c r="R10" s="26">
        <f ca="1">FLUID!V57</f>
        <v>-9.968</v>
      </c>
      <c r="S10" s="26">
        <f ca="1">FLUID!W57</f>
        <v>-10.83</v>
      </c>
      <c r="T10" s="26">
        <f ca="1">FLUID!X57</f>
        <v>-11.56</v>
      </c>
      <c r="U10" s="26">
        <f ca="1">FLUID!Y57</f>
        <v>0</v>
      </c>
      <c r="V10" s="26">
        <f ca="1">FLUID!Z57</f>
        <v>0</v>
      </c>
      <c r="W10" s="26">
        <f ca="1">FLUID!AA57</f>
        <v>0</v>
      </c>
      <c r="X10" s="26">
        <f ca="1">FLUID!AB57</f>
        <v>0</v>
      </c>
      <c r="Y10" s="26">
        <f ca="1">FLUID!AC57</f>
        <v>0</v>
      </c>
      <c r="Z10" s="26">
        <f ca="1">FLUID!AD57</f>
        <v>0</v>
      </c>
      <c r="AA10" s="26">
        <f ca="1">FLUID!AE57</f>
        <v>0</v>
      </c>
      <c r="AB10" s="26">
        <f ca="1">FLUID!AF57</f>
        <v>0</v>
      </c>
      <c r="AC10" s="26">
        <f ca="1">FLUID!AG57</f>
        <v>0</v>
      </c>
      <c r="AD10" s="26">
        <f ca="1">FLUID!AH57</f>
        <v>0</v>
      </c>
      <c r="AE10" s="26">
        <f ca="1">FLUID!AI57</f>
        <v>0</v>
      </c>
      <c r="AF10" s="26">
        <f ca="1">FLUID!AJ57</f>
        <v>0</v>
      </c>
      <c r="AG10" s="26">
        <f ca="1">FLUID!AK57</f>
        <v>0</v>
      </c>
      <c r="AH10" s="26">
        <f ca="1">FLUID!AL57</f>
        <v>0</v>
      </c>
      <c r="AI10" s="26">
        <f>FLUID!AM57</f>
        <v>0</v>
      </c>
    </row>
    <row r="11" spans="1:35" ht="21.75" hidden="1" outlineLevel="1" thickBot="1" x14ac:dyDescent="0.4">
      <c r="A11" s="60" t="str">
        <f>FLUID!E58</f>
        <v>Ga2Se</v>
      </c>
      <c r="B11" s="26">
        <f ca="1">FLUID!F58</f>
        <v>-17.316000000000003</v>
      </c>
      <c r="C11" s="26">
        <f ca="1">FLUID!G58</f>
        <v>-19.890999999999998</v>
      </c>
      <c r="D11" s="26">
        <f ca="1">FLUID!H58</f>
        <v>-20.475999999999999</v>
      </c>
      <c r="E11" s="26">
        <f ca="1">FLUID!I58</f>
        <v>-21.036999999999999</v>
      </c>
      <c r="F11" s="26">
        <f ca="1">FLUID!J58</f>
        <v>-21.587</v>
      </c>
      <c r="G11" s="26">
        <f ca="1">FLUID!K58</f>
        <v>-22.14</v>
      </c>
      <c r="H11" s="26">
        <f ca="1">FLUID!L58</f>
        <v>-24.841999999999999</v>
      </c>
      <c r="I11" s="26">
        <f ca="1">FLUID!M58</f>
        <v>-25.64</v>
      </c>
      <c r="J11" s="26">
        <f ca="1">FLUID!N58</f>
        <v>-26.426000000000002</v>
      </c>
      <c r="K11" s="26">
        <f ca="1">FLUID!O58</f>
        <v>-27.186999999999998</v>
      </c>
      <c r="L11" s="26">
        <f ca="1">FLUID!P58</f>
        <v>-27.914000000000001</v>
      </c>
      <c r="M11" s="26">
        <f ca="1">FLUID!Q58</f>
        <v>-30.600999999999999</v>
      </c>
      <c r="N11" s="26">
        <f ca="1">FLUID!R58</f>
        <v>-31.231999999999999</v>
      </c>
      <c r="O11" s="26">
        <f ca="1">FLUID!S58</f>
        <v>-31.802</v>
      </c>
      <c r="P11" s="26">
        <f ca="1">FLUID!T58</f>
        <v>-32.347999999999999</v>
      </c>
      <c r="Q11" s="26">
        <f ca="1">FLUID!U58</f>
        <v>-32.861999999999995</v>
      </c>
      <c r="R11" s="26">
        <f ca="1">FLUID!V58</f>
        <v>-34.647999999999996</v>
      </c>
      <c r="S11" s="26">
        <f ca="1">FLUID!W58</f>
        <v>-36.130000000000003</v>
      </c>
      <c r="T11" s="26">
        <f ca="1">FLUID!X58</f>
        <v>-37.4</v>
      </c>
      <c r="U11" s="26">
        <f ca="1">FLUID!Y58</f>
        <v>0</v>
      </c>
      <c r="V11" s="26">
        <f ca="1">FLUID!Z58</f>
        <v>0</v>
      </c>
      <c r="W11" s="26">
        <f ca="1">FLUID!AA58</f>
        <v>0</v>
      </c>
      <c r="X11" s="26">
        <f ca="1">FLUID!AB58</f>
        <v>0</v>
      </c>
      <c r="Y11" s="26">
        <f ca="1">FLUID!AC58</f>
        <v>0</v>
      </c>
      <c r="Z11" s="26">
        <f ca="1">FLUID!AD58</f>
        <v>0</v>
      </c>
      <c r="AA11" s="26">
        <f ca="1">FLUID!AE58</f>
        <v>0</v>
      </c>
      <c r="AB11" s="26">
        <f ca="1">FLUID!AF58</f>
        <v>0</v>
      </c>
      <c r="AC11" s="26">
        <f ca="1">FLUID!AG58</f>
        <v>0</v>
      </c>
      <c r="AD11" s="26">
        <f ca="1">FLUID!AH58</f>
        <v>0</v>
      </c>
      <c r="AE11" s="26">
        <f ca="1">FLUID!AI58</f>
        <v>0</v>
      </c>
      <c r="AF11" s="26">
        <f ca="1">FLUID!AJ58</f>
        <v>0</v>
      </c>
      <c r="AG11" s="26">
        <f ca="1">FLUID!AK58</f>
        <v>0</v>
      </c>
      <c r="AH11" s="26">
        <f ca="1">FLUID!AL58</f>
        <v>0</v>
      </c>
      <c r="AI11" s="26">
        <f>FLUID!AM58</f>
        <v>0</v>
      </c>
    </row>
    <row r="12" spans="1:35" ht="21.75" hidden="1" outlineLevel="1" thickBot="1" x14ac:dyDescent="0.4">
      <c r="A12" s="60" t="str">
        <f>FLUID!E59</f>
        <v>Ar</v>
      </c>
      <c r="B12" s="26">
        <f ca="1">FLUID!F59</f>
        <v>-18.61</v>
      </c>
      <c r="C12" s="26">
        <f ca="1">FLUID!G59</f>
        <v>-18.760000000000002</v>
      </c>
      <c r="D12" s="26">
        <f ca="1">FLUID!H59</f>
        <v>-18.829999999999998</v>
      </c>
      <c r="E12" s="26">
        <f ca="1">FLUID!I59</f>
        <v>-18.899999999999999</v>
      </c>
      <c r="F12" s="26">
        <f ca="1">FLUID!J59</f>
        <v>-18.97</v>
      </c>
      <c r="G12" s="26">
        <f ca="1">FLUID!K59</f>
        <v>-19.059999999999999</v>
      </c>
      <c r="H12" s="26">
        <f ca="1">FLUID!L59</f>
        <v>-19.54</v>
      </c>
      <c r="I12" s="26">
        <f ca="1">FLUID!M59</f>
        <v>-19.649999999999999</v>
      </c>
      <c r="J12" s="26">
        <f ca="1">FLUID!N59</f>
        <v>-19.760000000000002</v>
      </c>
      <c r="K12" s="26">
        <f ca="1">FLUID!O59</f>
        <v>-19.850000000000001</v>
      </c>
      <c r="L12" s="26">
        <f ca="1">FLUID!P59</f>
        <v>-19.95</v>
      </c>
      <c r="M12" s="26">
        <f ca="1">FLUID!Q59</f>
        <v>-20.420000000000002</v>
      </c>
      <c r="N12" s="26">
        <f ca="1">FLUID!R59</f>
        <v>-20.54</v>
      </c>
      <c r="O12" s="26">
        <f ca="1">FLUID!S59</f>
        <v>-20.66</v>
      </c>
      <c r="P12" s="26">
        <f ca="1">FLUID!T59</f>
        <v>-20.76</v>
      </c>
      <c r="Q12" s="26">
        <f ca="1">FLUID!U59</f>
        <v>-20.85</v>
      </c>
      <c r="R12" s="26">
        <f ca="1">FLUID!V59</f>
        <v>-21.12</v>
      </c>
      <c r="S12" s="26">
        <f ca="1">FLUID!W59</f>
        <v>-21.34</v>
      </c>
      <c r="T12" s="26">
        <f ca="1">FLUID!X59</f>
        <v>-21.53</v>
      </c>
      <c r="U12" s="26">
        <f ca="1">FLUID!Y59</f>
        <v>0</v>
      </c>
      <c r="V12" s="26">
        <f ca="1">FLUID!Z59</f>
        <v>0</v>
      </c>
      <c r="W12" s="26">
        <f ca="1">FLUID!AA59</f>
        <v>0</v>
      </c>
      <c r="X12" s="26">
        <f ca="1">FLUID!AB59</f>
        <v>0</v>
      </c>
      <c r="Y12" s="26">
        <f ca="1">FLUID!AC59</f>
        <v>0</v>
      </c>
      <c r="Z12" s="26">
        <f ca="1">FLUID!AD59</f>
        <v>0</v>
      </c>
      <c r="AA12" s="26">
        <f ca="1">FLUID!AE59</f>
        <v>0</v>
      </c>
      <c r="AB12" s="26">
        <f ca="1">FLUID!AF59</f>
        <v>0</v>
      </c>
      <c r="AC12" s="26">
        <f ca="1">FLUID!AG59</f>
        <v>0</v>
      </c>
      <c r="AD12" s="26">
        <f ca="1">FLUID!AH59</f>
        <v>0</v>
      </c>
      <c r="AE12" s="26">
        <f ca="1">FLUID!AI59</f>
        <v>0</v>
      </c>
      <c r="AF12" s="26">
        <f ca="1">FLUID!AJ59</f>
        <v>0</v>
      </c>
      <c r="AG12" s="26">
        <f ca="1">FLUID!AK59</f>
        <v>0</v>
      </c>
      <c r="AH12" s="26">
        <f ca="1">FLUID!AL59</f>
        <v>0</v>
      </c>
      <c r="AI12" s="26">
        <f>FLUID!AM59</f>
        <v>0</v>
      </c>
    </row>
    <row r="13" spans="1:35" ht="21.75" hidden="1" outlineLevel="1" thickBot="1" x14ac:dyDescent="0.4">
      <c r="A13" s="60" t="str">
        <f>FLUID!E60</f>
        <v>(l)Ga[l]</v>
      </c>
      <c r="B13" s="26">
        <f ca="1">FLUID!F60</f>
        <v>-6.2460000000000004</v>
      </c>
      <c r="C13" s="26">
        <f ca="1">FLUID!G60</f>
        <v>-7.1479999999999997</v>
      </c>
      <c r="D13" s="26">
        <f ca="1">FLUID!H60</f>
        <v>-7.3440000000000003</v>
      </c>
      <c r="E13" s="26">
        <f ca="1">FLUID!I60</f>
        <v>-7.5309999999999997</v>
      </c>
      <c r="F13" s="26">
        <f ca="1">FLUID!J60</f>
        <v>-7.7160000000000002</v>
      </c>
      <c r="G13" s="26">
        <f ca="1">FLUID!K60</f>
        <v>-7.907</v>
      </c>
      <c r="H13" s="26">
        <f ca="1">FLUID!L60</f>
        <v>-8.98</v>
      </c>
      <c r="I13" s="26">
        <f ca="1">FLUID!M60</f>
        <v>-9.3170000000000002</v>
      </c>
      <c r="J13" s="26">
        <f ca="1">FLUID!N60</f>
        <v>-9.6470000000000002</v>
      </c>
      <c r="K13" s="26">
        <f ca="1">FLUID!O60</f>
        <v>-9.9629999999999992</v>
      </c>
      <c r="L13" s="26">
        <f ca="1">FLUID!P60</f>
        <v>-10.26</v>
      </c>
      <c r="M13" s="26">
        <f ca="1">FLUID!Q60</f>
        <v>-11.28</v>
      </c>
      <c r="N13" s="26">
        <f ca="1">FLUID!R60</f>
        <v>-11.49</v>
      </c>
      <c r="O13" s="26">
        <f ca="1">FLUID!S60</f>
        <v>-11.66</v>
      </c>
      <c r="P13" s="26">
        <f ca="1">FLUID!T60</f>
        <v>-11.81</v>
      </c>
      <c r="Q13" s="26">
        <f ca="1">FLUID!U60</f>
        <v>-11.94</v>
      </c>
      <c r="R13" s="26">
        <f ca="1">FLUID!V60</f>
        <v>-12.34</v>
      </c>
      <c r="S13" s="26">
        <f ca="1">FLUID!W60</f>
        <v>-12.65</v>
      </c>
      <c r="T13" s="26">
        <f ca="1">FLUID!X60</f>
        <v>-12.92</v>
      </c>
      <c r="U13" s="26">
        <f ca="1">FLUID!Y60</f>
        <v>0</v>
      </c>
      <c r="V13" s="26">
        <f ca="1">FLUID!Z60</f>
        <v>0</v>
      </c>
      <c r="W13" s="26">
        <f ca="1">FLUID!AA60</f>
        <v>0</v>
      </c>
      <c r="X13" s="26">
        <f ca="1">FLUID!AB60</f>
        <v>0</v>
      </c>
      <c r="Y13" s="26">
        <f ca="1">FLUID!AC60</f>
        <v>0</v>
      </c>
      <c r="Z13" s="26">
        <f ca="1">FLUID!AD60</f>
        <v>0</v>
      </c>
      <c r="AA13" s="26">
        <f ca="1">FLUID!AE60</f>
        <v>0</v>
      </c>
      <c r="AB13" s="26">
        <f ca="1">FLUID!AF60</f>
        <v>0</v>
      </c>
      <c r="AC13" s="26">
        <f ca="1">FLUID!AG60</f>
        <v>0</v>
      </c>
      <c r="AD13" s="26">
        <f ca="1">FLUID!AH60</f>
        <v>0</v>
      </c>
      <c r="AE13" s="26">
        <f ca="1">FLUID!AI60</f>
        <v>0</v>
      </c>
      <c r="AF13" s="26">
        <f ca="1">FLUID!AJ60</f>
        <v>0</v>
      </c>
      <c r="AG13" s="26">
        <f ca="1">FLUID!AK60</f>
        <v>0</v>
      </c>
      <c r="AH13" s="26">
        <f ca="1">FLUID!AL60</f>
        <v>0</v>
      </c>
      <c r="AI13" s="26">
        <f>FLUID!AM60</f>
        <v>0</v>
      </c>
    </row>
    <row r="14" spans="1:35" ht="21.75" hidden="1" outlineLevel="1" thickBot="1" x14ac:dyDescent="0.4">
      <c r="A14" s="60" t="str">
        <f>FLUID!E61</f>
        <v>(l)Ge[l]</v>
      </c>
      <c r="B14" s="26">
        <f ca="1">FLUID!F61</f>
        <v>5.367</v>
      </c>
      <c r="C14" s="26">
        <f ca="1">FLUID!G61</f>
        <v>0.73660000000000003</v>
      </c>
      <c r="D14" s="26">
        <f ca="1">FLUID!H61</f>
        <v>-5.534E-2</v>
      </c>
      <c r="E14" s="26">
        <f ca="1">FLUID!I61</f>
        <v>-0.75560000000000005</v>
      </c>
      <c r="F14" s="26">
        <f ca="1">FLUID!J61</f>
        <v>-1.3779999999999999</v>
      </c>
      <c r="G14" s="26">
        <f ca="1">FLUID!K61</f>
        <v>-1.93</v>
      </c>
      <c r="H14" s="26">
        <f ca="1">FLUID!L61</f>
        <v>-3.5449999999999999</v>
      </c>
      <c r="I14" s="26">
        <f ca="1">FLUID!M61</f>
        <v>-3.8580000000000001</v>
      </c>
      <c r="J14" s="26">
        <f ca="1">FLUID!N61</f>
        <v>-4.1520000000000001</v>
      </c>
      <c r="K14" s="26">
        <f ca="1">FLUID!O61</f>
        <v>-4.423</v>
      </c>
      <c r="L14" s="26">
        <f ca="1">FLUID!P61</f>
        <v>-4.6680000000000001</v>
      </c>
      <c r="M14" s="26">
        <f ca="1">FLUID!Q61</f>
        <v>-5.2690000000000001</v>
      </c>
      <c r="N14" s="26">
        <f ca="1">FLUID!R61</f>
        <v>-5.3449999999999998</v>
      </c>
      <c r="O14" s="26">
        <f ca="1">FLUID!S61</f>
        <v>-5.4130000000000003</v>
      </c>
      <c r="P14" s="26">
        <f ca="1">FLUID!T61</f>
        <v>-5.4939999999999998</v>
      </c>
      <c r="Q14" s="26">
        <f ca="1">FLUID!U61</f>
        <v>-5.5880000000000001</v>
      </c>
      <c r="R14" s="26">
        <f ca="1">FLUID!V61</f>
        <v>-6.0519999999999996</v>
      </c>
      <c r="S14" s="26">
        <f ca="1">FLUID!W61</f>
        <v>-6.5549999999999997</v>
      </c>
      <c r="T14" s="26">
        <f ca="1">FLUID!X61</f>
        <v>-7.0309999999999997</v>
      </c>
      <c r="U14" s="26">
        <f ca="1">FLUID!Y61</f>
        <v>0</v>
      </c>
      <c r="V14" s="26">
        <f ca="1">FLUID!Z61</f>
        <v>0</v>
      </c>
      <c r="W14" s="26">
        <f ca="1">FLUID!AA61</f>
        <v>0</v>
      </c>
      <c r="X14" s="26">
        <f ca="1">FLUID!AB61</f>
        <v>0</v>
      </c>
      <c r="Y14" s="26">
        <f ca="1">FLUID!AC61</f>
        <v>0</v>
      </c>
      <c r="Z14" s="26">
        <f ca="1">FLUID!AD61</f>
        <v>0</v>
      </c>
      <c r="AA14" s="26">
        <f ca="1">FLUID!AE61</f>
        <v>0</v>
      </c>
      <c r="AB14" s="26">
        <f ca="1">FLUID!AF61</f>
        <v>0</v>
      </c>
      <c r="AC14" s="26">
        <f ca="1">FLUID!AG61</f>
        <v>0</v>
      </c>
      <c r="AD14" s="26">
        <f ca="1">FLUID!AH61</f>
        <v>0</v>
      </c>
      <c r="AE14" s="26">
        <f ca="1">FLUID!AI61</f>
        <v>0</v>
      </c>
      <c r="AF14" s="26">
        <f ca="1">FLUID!AJ61</f>
        <v>0</v>
      </c>
      <c r="AG14" s="26">
        <f ca="1">FLUID!AK61</f>
        <v>0</v>
      </c>
      <c r="AH14" s="26">
        <f ca="1">FLUID!AL61</f>
        <v>0</v>
      </c>
      <c r="AI14" s="26">
        <f>FLUID!AM61</f>
        <v>0</v>
      </c>
    </row>
    <row r="15" spans="1:35" ht="21.75" hidden="1" outlineLevel="1" thickBot="1" x14ac:dyDescent="0.4">
      <c r="A15" s="60" t="str">
        <f>FLUID!E62</f>
        <v>(l)Se[l]</v>
      </c>
      <c r="B15" s="26">
        <f ca="1">FLUID!F62</f>
        <v>-4.8239999999999998</v>
      </c>
      <c r="C15" s="26">
        <f ca="1">FLUID!G62</f>
        <v>-5.5949999999999998</v>
      </c>
      <c r="D15" s="26">
        <f ca="1">FLUID!H62</f>
        <v>-5.7880000000000003</v>
      </c>
      <c r="E15" s="26">
        <f ca="1">FLUID!I62</f>
        <v>-5.9749999999999996</v>
      </c>
      <c r="F15" s="26">
        <f ca="1">FLUID!J62</f>
        <v>-6.1550000000000002</v>
      </c>
      <c r="G15" s="26">
        <f ca="1">FLUID!K62</f>
        <v>-6.3259999999999996</v>
      </c>
      <c r="H15" s="26">
        <f ca="1">FLUID!L62</f>
        <v>-6.8819999999999997</v>
      </c>
      <c r="I15" s="26">
        <f ca="1">FLUID!M62</f>
        <v>-7.0060000000000002</v>
      </c>
      <c r="J15" s="26">
        <f ca="1">FLUID!N62</f>
        <v>-7.1319999999999997</v>
      </c>
      <c r="K15" s="26">
        <f ca="1">FLUID!O62</f>
        <v>-7.2610000000000001</v>
      </c>
      <c r="L15" s="26">
        <f ca="1">FLUID!P62</f>
        <v>-7.3940000000000001</v>
      </c>
      <c r="M15" s="26">
        <f ca="1">FLUID!Q62</f>
        <v>-8.0410000000000004</v>
      </c>
      <c r="N15" s="26">
        <f ca="1">FLUID!R62</f>
        <v>-8.2520000000000007</v>
      </c>
      <c r="O15" s="26">
        <f ca="1">FLUID!S62</f>
        <v>-8.4819999999999993</v>
      </c>
      <c r="P15" s="26">
        <f ca="1">FLUID!T62</f>
        <v>-8.7279999999999998</v>
      </c>
      <c r="Q15" s="26">
        <f ca="1">FLUID!U62</f>
        <v>-8.9819999999999993</v>
      </c>
      <c r="R15" s="26">
        <f ca="1">FLUID!V62</f>
        <v>-9.968</v>
      </c>
      <c r="S15" s="26">
        <f ca="1">FLUID!W62</f>
        <v>-10.83</v>
      </c>
      <c r="T15" s="26">
        <f ca="1">FLUID!X62</f>
        <v>-11.56</v>
      </c>
      <c r="U15" s="26">
        <f ca="1">FLUID!Y62</f>
        <v>0</v>
      </c>
      <c r="V15" s="26">
        <f ca="1">FLUID!Z62</f>
        <v>0</v>
      </c>
      <c r="W15" s="26">
        <f ca="1">FLUID!AA62</f>
        <v>0</v>
      </c>
      <c r="X15" s="26">
        <f ca="1">FLUID!AB62</f>
        <v>0</v>
      </c>
      <c r="Y15" s="26">
        <f ca="1">FLUID!AC62</f>
        <v>0</v>
      </c>
      <c r="Z15" s="26">
        <f ca="1">FLUID!AD62</f>
        <v>0</v>
      </c>
      <c r="AA15" s="26">
        <f ca="1">FLUID!AE62</f>
        <v>0</v>
      </c>
      <c r="AB15" s="26">
        <f ca="1">FLUID!AF62</f>
        <v>0</v>
      </c>
      <c r="AC15" s="26">
        <f ca="1">FLUID!AG62</f>
        <v>0</v>
      </c>
      <c r="AD15" s="26">
        <f ca="1">FLUID!AH62</f>
        <v>0</v>
      </c>
      <c r="AE15" s="26">
        <f ca="1">FLUID!AI62</f>
        <v>0</v>
      </c>
      <c r="AF15" s="26">
        <f ca="1">FLUID!AJ62</f>
        <v>0</v>
      </c>
      <c r="AG15" s="26">
        <f ca="1">FLUID!AK62</f>
        <v>0</v>
      </c>
      <c r="AH15" s="26">
        <f ca="1">FLUID!AL62</f>
        <v>0</v>
      </c>
      <c r="AI15" s="26">
        <f>FLUID!AM62</f>
        <v>0</v>
      </c>
    </row>
    <row r="16" spans="1:35" ht="21.75" hidden="1" outlineLevel="1" thickBot="1" x14ac:dyDescent="0.4">
      <c r="A16" s="60" t="str">
        <f>FLUID!E63</f>
        <v>H (Аг)</v>
      </c>
      <c r="B16" s="26">
        <f ca="1">FLUID!F63</f>
        <v>0</v>
      </c>
      <c r="C16" s="26">
        <f ca="1">FLUID!G63</f>
        <v>0</v>
      </c>
      <c r="D16" s="26">
        <f ca="1">FLUID!H63</f>
        <v>0</v>
      </c>
      <c r="E16" s="26">
        <f ca="1">FLUID!I63</f>
        <v>0</v>
      </c>
      <c r="F16" s="26">
        <f ca="1">FLUID!J63</f>
        <v>0</v>
      </c>
      <c r="G16" s="26">
        <f ca="1">FLUID!K63</f>
        <v>0</v>
      </c>
      <c r="H16" s="26">
        <f ca="1">FLUID!L63</f>
        <v>0</v>
      </c>
      <c r="I16" s="26">
        <f ca="1">FLUID!M63</f>
        <v>0</v>
      </c>
      <c r="J16" s="26">
        <f ca="1">FLUID!N63</f>
        <v>0</v>
      </c>
      <c r="K16" s="26">
        <f ca="1">FLUID!O63</f>
        <v>0</v>
      </c>
      <c r="L16" s="26">
        <f ca="1">FLUID!P63</f>
        <v>0</v>
      </c>
      <c r="M16" s="26">
        <f ca="1">FLUID!Q63</f>
        <v>0</v>
      </c>
      <c r="N16" s="26">
        <f ca="1">FLUID!R63</f>
        <v>0</v>
      </c>
      <c r="O16" s="26">
        <f ca="1">FLUID!S63</f>
        <v>0</v>
      </c>
      <c r="P16" s="26">
        <f ca="1">FLUID!T63</f>
        <v>0</v>
      </c>
      <c r="Q16" s="26">
        <f ca="1">FLUID!U63</f>
        <v>0</v>
      </c>
      <c r="R16" s="26">
        <f ca="1">FLUID!V63</f>
        <v>0</v>
      </c>
      <c r="S16" s="26">
        <f ca="1">FLUID!W63</f>
        <v>0</v>
      </c>
      <c r="T16" s="26">
        <f ca="1">FLUID!X63</f>
        <v>0</v>
      </c>
      <c r="U16" s="26">
        <f ca="1">FLUID!Y63</f>
        <v>0</v>
      </c>
      <c r="V16" s="26">
        <f ca="1">FLUID!Z63</f>
        <v>0</v>
      </c>
      <c r="W16" s="26">
        <f ca="1">FLUID!AA63</f>
        <v>0</v>
      </c>
      <c r="X16" s="26">
        <f ca="1">FLUID!AB63</f>
        <v>0</v>
      </c>
      <c r="Y16" s="26">
        <f ca="1">FLUID!AC63</f>
        <v>0</v>
      </c>
      <c r="Z16" s="26">
        <f ca="1">FLUID!AD63</f>
        <v>0</v>
      </c>
      <c r="AA16" s="26">
        <f ca="1">FLUID!AE63</f>
        <v>0</v>
      </c>
      <c r="AB16" s="26">
        <f ca="1">FLUID!AF63</f>
        <v>0</v>
      </c>
      <c r="AC16" s="26">
        <f ca="1">FLUID!AG63</f>
        <v>0</v>
      </c>
      <c r="AD16" s="26">
        <f ca="1">FLUID!AH63</f>
        <v>0</v>
      </c>
      <c r="AE16" s="26">
        <f ca="1">FLUID!AI63</f>
        <v>0</v>
      </c>
      <c r="AF16" s="26">
        <f ca="1">FLUID!AJ63</f>
        <v>0</v>
      </c>
      <c r="AG16" s="26">
        <f ca="1">FLUID!AK63</f>
        <v>0</v>
      </c>
      <c r="AH16" s="26">
        <f ca="1">FLUID!AL63</f>
        <v>0</v>
      </c>
      <c r="AI16" s="26">
        <f>FLUID!AM63</f>
        <v>0</v>
      </c>
    </row>
    <row r="17" spans="1:35" ht="21.75" hidden="1" outlineLevel="1" thickBot="1" x14ac:dyDescent="0.4">
      <c r="A17" s="60" t="str">
        <f>FLUID!E64</f>
        <v>H (Ga)</v>
      </c>
      <c r="B17" s="26">
        <f ca="1">FLUID!F64</f>
        <v>-6.2460000000000004</v>
      </c>
      <c r="C17" s="26">
        <f ca="1">FLUID!G64</f>
        <v>-7.1479999999999997</v>
      </c>
      <c r="D17" s="26">
        <f ca="1">FLUID!H64</f>
        <v>-7.3440000000000003</v>
      </c>
      <c r="E17" s="26">
        <f ca="1">FLUID!I64</f>
        <v>-7.5309999999999997</v>
      </c>
      <c r="F17" s="26">
        <f ca="1">FLUID!J64</f>
        <v>-7.7160000000000002</v>
      </c>
      <c r="G17" s="26">
        <f ca="1">FLUID!K64</f>
        <v>-7.907</v>
      </c>
      <c r="H17" s="26">
        <f ca="1">FLUID!L64</f>
        <v>-8.98</v>
      </c>
      <c r="I17" s="26">
        <f ca="1">FLUID!M64</f>
        <v>-9.3170000000000002</v>
      </c>
      <c r="J17" s="26">
        <f ca="1">FLUID!N64</f>
        <v>-9.6470000000000002</v>
      </c>
      <c r="K17" s="26">
        <f ca="1">FLUID!O64</f>
        <v>-9.9629999999999992</v>
      </c>
      <c r="L17" s="26">
        <f ca="1">FLUID!P64</f>
        <v>-10.26</v>
      </c>
      <c r="M17" s="26">
        <f ca="1">FLUID!Q64</f>
        <v>-11.28</v>
      </c>
      <c r="N17" s="26">
        <f ca="1">FLUID!R64</f>
        <v>-11.49</v>
      </c>
      <c r="O17" s="26">
        <f ca="1">FLUID!S64</f>
        <v>-11.66</v>
      </c>
      <c r="P17" s="26">
        <f ca="1">FLUID!T64</f>
        <v>-11.81</v>
      </c>
      <c r="Q17" s="26">
        <f ca="1">FLUID!U64</f>
        <v>-11.94</v>
      </c>
      <c r="R17" s="26">
        <f ca="1">FLUID!V64</f>
        <v>-12.34</v>
      </c>
      <c r="S17" s="26">
        <f ca="1">FLUID!W64</f>
        <v>-12.65</v>
      </c>
      <c r="T17" s="26">
        <f ca="1">FLUID!X64</f>
        <v>-12.92</v>
      </c>
      <c r="U17" s="26">
        <f ca="1">FLUID!Y64</f>
        <v>0</v>
      </c>
      <c r="V17" s="26">
        <f ca="1">FLUID!Z64</f>
        <v>0</v>
      </c>
      <c r="W17" s="26">
        <f ca="1">FLUID!AA64</f>
        <v>0</v>
      </c>
      <c r="X17" s="26">
        <f ca="1">FLUID!AB64</f>
        <v>0</v>
      </c>
      <c r="Y17" s="26">
        <f ca="1">FLUID!AC64</f>
        <v>0</v>
      </c>
      <c r="Z17" s="26">
        <f ca="1">FLUID!AD64</f>
        <v>0</v>
      </c>
      <c r="AA17" s="26">
        <f ca="1">FLUID!AE64</f>
        <v>0</v>
      </c>
      <c r="AB17" s="26">
        <f ca="1">FLUID!AF64</f>
        <v>0</v>
      </c>
      <c r="AC17" s="26">
        <f ca="1">FLUID!AG64</f>
        <v>0</v>
      </c>
      <c r="AD17" s="26">
        <f ca="1">FLUID!AH64</f>
        <v>0</v>
      </c>
      <c r="AE17" s="26">
        <f ca="1">FLUID!AI64</f>
        <v>0</v>
      </c>
      <c r="AF17" s="26">
        <f ca="1">FLUID!AJ64</f>
        <v>0</v>
      </c>
      <c r="AG17" s="26">
        <f ca="1">FLUID!AK64</f>
        <v>0</v>
      </c>
      <c r="AH17" s="26">
        <f ca="1">FLUID!AL64</f>
        <v>0</v>
      </c>
      <c r="AI17" s="26">
        <f>FLUID!AM64</f>
        <v>0</v>
      </c>
    </row>
    <row r="18" spans="1:35" ht="21.75" hidden="1" outlineLevel="1" thickBot="1" x14ac:dyDescent="0.4">
      <c r="A18" s="60" t="str">
        <f>FLUID!E65</f>
        <v>H (Ge)</v>
      </c>
      <c r="B18" s="26">
        <f ca="1">FLUID!F65</f>
        <v>5.367</v>
      </c>
      <c r="C18" s="26">
        <f ca="1">FLUID!G65</f>
        <v>0.73660000000000003</v>
      </c>
      <c r="D18" s="26">
        <f ca="1">FLUID!H65</f>
        <v>-5.534E-2</v>
      </c>
      <c r="E18" s="26">
        <f ca="1">FLUID!I65</f>
        <v>-0.75560000000000005</v>
      </c>
      <c r="F18" s="26">
        <f ca="1">FLUID!J65</f>
        <v>-1.3779999999999999</v>
      </c>
      <c r="G18" s="26">
        <f ca="1">FLUID!K65</f>
        <v>-1.93</v>
      </c>
      <c r="H18" s="26">
        <f ca="1">FLUID!L65</f>
        <v>-3.5449999999999999</v>
      </c>
      <c r="I18" s="26">
        <f ca="1">FLUID!M65</f>
        <v>-3.8580000000000001</v>
      </c>
      <c r="J18" s="26">
        <f ca="1">FLUID!N65</f>
        <v>-4.1520000000000001</v>
      </c>
      <c r="K18" s="26">
        <f ca="1">FLUID!O65</f>
        <v>-4.423</v>
      </c>
      <c r="L18" s="26">
        <f ca="1">FLUID!P65</f>
        <v>-4.6680000000000001</v>
      </c>
      <c r="M18" s="26">
        <f ca="1">FLUID!Q65</f>
        <v>-5.2690000000000001</v>
      </c>
      <c r="N18" s="26">
        <f ca="1">FLUID!R65</f>
        <v>-5.3449999999999998</v>
      </c>
      <c r="O18" s="26">
        <f ca="1">FLUID!S65</f>
        <v>-5.4130000000000003</v>
      </c>
      <c r="P18" s="26">
        <f ca="1">FLUID!T65</f>
        <v>-5.4939999999999998</v>
      </c>
      <c r="Q18" s="26">
        <f ca="1">FLUID!U65</f>
        <v>-5.5880000000000001</v>
      </c>
      <c r="R18" s="26">
        <f ca="1">FLUID!V65</f>
        <v>-6.0519999999999996</v>
      </c>
      <c r="S18" s="26">
        <f ca="1">FLUID!W65</f>
        <v>-6.5549999999999997</v>
      </c>
      <c r="T18" s="26">
        <f ca="1">FLUID!X65</f>
        <v>-7.0309999999999997</v>
      </c>
      <c r="U18" s="26">
        <f ca="1">FLUID!Y65</f>
        <v>0</v>
      </c>
      <c r="V18" s="26">
        <f ca="1">FLUID!Z65</f>
        <v>0</v>
      </c>
      <c r="W18" s="26">
        <f ca="1">FLUID!AA65</f>
        <v>0</v>
      </c>
      <c r="X18" s="26">
        <f ca="1">FLUID!AB65</f>
        <v>0</v>
      </c>
      <c r="Y18" s="26">
        <f ca="1">FLUID!AC65</f>
        <v>0</v>
      </c>
      <c r="Z18" s="26">
        <f ca="1">FLUID!AD65</f>
        <v>0</v>
      </c>
      <c r="AA18" s="26">
        <f ca="1">FLUID!AE65</f>
        <v>0</v>
      </c>
      <c r="AB18" s="26">
        <f ca="1">FLUID!AF65</f>
        <v>0</v>
      </c>
      <c r="AC18" s="26">
        <f ca="1">FLUID!AG65</f>
        <v>0</v>
      </c>
      <c r="AD18" s="26">
        <f ca="1">FLUID!AH65</f>
        <v>0</v>
      </c>
      <c r="AE18" s="26">
        <f ca="1">FLUID!AI65</f>
        <v>0</v>
      </c>
      <c r="AF18" s="26">
        <f ca="1">FLUID!AJ65</f>
        <v>0</v>
      </c>
      <c r="AG18" s="26">
        <f ca="1">FLUID!AK65</f>
        <v>0</v>
      </c>
      <c r="AH18" s="26">
        <f ca="1">FLUID!AL65</f>
        <v>0</v>
      </c>
      <c r="AI18" s="26">
        <f>FLUID!AM65</f>
        <v>0</v>
      </c>
    </row>
    <row r="19" spans="1:35" ht="22.5" hidden="1" customHeight="1" outlineLevel="1" thickBot="1" x14ac:dyDescent="0.4">
      <c r="A19" s="60" t="str">
        <f>FLUID!E66</f>
        <v>H (Se)</v>
      </c>
      <c r="B19" s="26">
        <f ca="1">FLUID!F66</f>
        <v>-4.8239999999999998</v>
      </c>
      <c r="C19" s="26">
        <f ca="1">FLUID!G66</f>
        <v>-5.5949999999999998</v>
      </c>
      <c r="D19" s="26">
        <f ca="1">FLUID!H66</f>
        <v>-5.7880000000000003</v>
      </c>
      <c r="E19" s="26">
        <f ca="1">FLUID!I66</f>
        <v>-5.9749999999999996</v>
      </c>
      <c r="F19" s="26">
        <f ca="1">FLUID!J66</f>
        <v>-6.1550000000000002</v>
      </c>
      <c r="G19" s="26">
        <f ca="1">FLUID!K66</f>
        <v>-6.3259999999999996</v>
      </c>
      <c r="H19" s="26">
        <f ca="1">FLUID!L66</f>
        <v>-6.8819999999999997</v>
      </c>
      <c r="I19" s="26">
        <f ca="1">FLUID!M66</f>
        <v>-7.0060000000000002</v>
      </c>
      <c r="J19" s="26">
        <f ca="1">FLUID!N66</f>
        <v>-7.1319999999999997</v>
      </c>
      <c r="K19" s="26">
        <f ca="1">FLUID!O66</f>
        <v>-7.2610000000000001</v>
      </c>
      <c r="L19" s="26">
        <f ca="1">FLUID!P66</f>
        <v>-7.3940000000000001</v>
      </c>
      <c r="M19" s="26">
        <f ca="1">FLUID!Q66</f>
        <v>-8.0410000000000004</v>
      </c>
      <c r="N19" s="26">
        <f ca="1">FLUID!R66</f>
        <v>-8.2520000000000007</v>
      </c>
      <c r="O19" s="26">
        <f ca="1">FLUID!S66</f>
        <v>-8.4819999999999993</v>
      </c>
      <c r="P19" s="26">
        <f ca="1">FLUID!T66</f>
        <v>-8.7279999999999998</v>
      </c>
      <c r="Q19" s="26">
        <f ca="1">FLUID!U66</f>
        <v>-8.9819999999999993</v>
      </c>
      <c r="R19" s="26">
        <f ca="1">FLUID!V66</f>
        <v>-9.968</v>
      </c>
      <c r="S19" s="26">
        <f ca="1">FLUID!W66</f>
        <v>-10.83</v>
      </c>
      <c r="T19" s="26">
        <f ca="1">FLUID!X66</f>
        <v>-11.56</v>
      </c>
      <c r="U19" s="26">
        <f ca="1">FLUID!Y66</f>
        <v>0</v>
      </c>
      <c r="V19" s="26">
        <f ca="1">FLUID!Z66</f>
        <v>0</v>
      </c>
      <c r="W19" s="26">
        <f ca="1">FLUID!AA66</f>
        <v>0</v>
      </c>
      <c r="X19" s="26">
        <f ca="1">FLUID!AB66</f>
        <v>0</v>
      </c>
      <c r="Y19" s="26">
        <f ca="1">FLUID!AC66</f>
        <v>0</v>
      </c>
      <c r="Z19" s="26">
        <f ca="1">FLUID!AD66</f>
        <v>0</v>
      </c>
      <c r="AA19" s="26">
        <f ca="1">FLUID!AE66</f>
        <v>0</v>
      </c>
      <c r="AB19" s="26">
        <f ca="1">FLUID!AF66</f>
        <v>0</v>
      </c>
      <c r="AC19" s="26">
        <f ca="1">FLUID!AG66</f>
        <v>0</v>
      </c>
      <c r="AD19" s="26">
        <f ca="1">FLUID!AH66</f>
        <v>0</v>
      </c>
      <c r="AE19" s="26">
        <f ca="1">FLUID!AI66</f>
        <v>0</v>
      </c>
      <c r="AF19" s="26">
        <f ca="1">FLUID!AJ66</f>
        <v>0</v>
      </c>
      <c r="AG19" s="26">
        <f ca="1">FLUID!AK66</f>
        <v>0</v>
      </c>
      <c r="AH19" s="26">
        <f ca="1">FLUID!AL66</f>
        <v>0</v>
      </c>
      <c r="AI19" s="26">
        <f>FLUID!AM66</f>
        <v>0</v>
      </c>
    </row>
    <row r="20" spans="1:35" ht="22.5" hidden="1" customHeight="1" outlineLevel="1" thickBot="1" x14ac:dyDescent="0.4">
      <c r="A20" s="60">
        <f>FLUID!E67</f>
        <v>0</v>
      </c>
      <c r="B20" s="26">
        <f ca="1">FLUID!F67</f>
        <v>0</v>
      </c>
      <c r="C20" s="26">
        <f ca="1">FLUID!G67</f>
        <v>0</v>
      </c>
      <c r="D20" s="26">
        <f ca="1">FLUID!H67</f>
        <v>0</v>
      </c>
      <c r="E20" s="26">
        <f ca="1">FLUID!I67</f>
        <v>0</v>
      </c>
      <c r="F20" s="26">
        <f ca="1">FLUID!J67</f>
        <v>0</v>
      </c>
      <c r="G20" s="26">
        <f ca="1">FLUID!K67</f>
        <v>0</v>
      </c>
      <c r="H20" s="26">
        <f ca="1">FLUID!L67</f>
        <v>0</v>
      </c>
      <c r="I20" s="26">
        <f ca="1">FLUID!M67</f>
        <v>0</v>
      </c>
      <c r="J20" s="26">
        <f ca="1">FLUID!N67</f>
        <v>0</v>
      </c>
      <c r="K20" s="26">
        <f ca="1">FLUID!O67</f>
        <v>0</v>
      </c>
      <c r="L20" s="26">
        <f ca="1">FLUID!P67</f>
        <v>0</v>
      </c>
      <c r="M20" s="26">
        <f ca="1">FLUID!Q67</f>
        <v>0</v>
      </c>
      <c r="N20" s="26">
        <f ca="1">FLUID!R67</f>
        <v>0</v>
      </c>
      <c r="O20" s="26">
        <f ca="1">FLUID!S67</f>
        <v>0</v>
      </c>
      <c r="P20" s="26">
        <f ca="1">FLUID!T67</f>
        <v>0</v>
      </c>
      <c r="Q20" s="26">
        <f ca="1">FLUID!U67</f>
        <v>0</v>
      </c>
      <c r="R20" s="26">
        <f ca="1">FLUID!V67</f>
        <v>0</v>
      </c>
      <c r="S20" s="26">
        <f ca="1">FLUID!W67</f>
        <v>0</v>
      </c>
      <c r="T20" s="26">
        <f ca="1">FLUID!X67</f>
        <v>0</v>
      </c>
      <c r="U20" s="26">
        <f ca="1">FLUID!Y67</f>
        <v>0</v>
      </c>
      <c r="V20" s="26">
        <f ca="1">FLUID!Z67</f>
        <v>0</v>
      </c>
      <c r="W20" s="26">
        <f ca="1">FLUID!AA67</f>
        <v>0</v>
      </c>
      <c r="X20" s="26">
        <f ca="1">FLUID!AB67</f>
        <v>0</v>
      </c>
      <c r="Y20" s="26">
        <f ca="1">FLUID!AC67</f>
        <v>0</v>
      </c>
      <c r="Z20" s="26">
        <f ca="1">FLUID!AD67</f>
        <v>0</v>
      </c>
      <c r="AA20" s="26">
        <f ca="1">FLUID!AE67</f>
        <v>0</v>
      </c>
      <c r="AB20" s="26">
        <f ca="1">FLUID!AF67</f>
        <v>0</v>
      </c>
      <c r="AC20" s="26">
        <f ca="1">FLUID!AG67</f>
        <v>0</v>
      </c>
      <c r="AD20" s="26">
        <f ca="1">FLUID!AH67</f>
        <v>0</v>
      </c>
      <c r="AE20" s="26">
        <f ca="1">FLUID!AI67</f>
        <v>0</v>
      </c>
      <c r="AF20" s="26">
        <f ca="1">FLUID!AJ67</f>
        <v>0</v>
      </c>
      <c r="AG20" s="26">
        <f ca="1">FLUID!AK67</f>
        <v>0</v>
      </c>
      <c r="AH20" s="26">
        <f ca="1">FLUID!AL67</f>
        <v>0</v>
      </c>
      <c r="AI20" s="26">
        <f>FLUID!AM67</f>
        <v>0</v>
      </c>
    </row>
    <row r="21" spans="1:35" ht="22.5" hidden="1" customHeight="1" outlineLevel="1" thickBot="1" x14ac:dyDescent="0.4">
      <c r="A21" s="60">
        <f>FLUID!E68</f>
        <v>0</v>
      </c>
      <c r="B21" s="26">
        <f ca="1">FLUID!F68</f>
        <v>0</v>
      </c>
      <c r="C21" s="26">
        <f ca="1">FLUID!G68</f>
        <v>0</v>
      </c>
      <c r="D21" s="26">
        <f ca="1">FLUID!H68</f>
        <v>0</v>
      </c>
      <c r="E21" s="26">
        <f ca="1">FLUID!I68</f>
        <v>0</v>
      </c>
      <c r="F21" s="26">
        <f ca="1">FLUID!J68</f>
        <v>0</v>
      </c>
      <c r="G21" s="26">
        <f ca="1">FLUID!K68</f>
        <v>0</v>
      </c>
      <c r="H21" s="26">
        <f ca="1">FLUID!L68</f>
        <v>0</v>
      </c>
      <c r="I21" s="26">
        <f ca="1">FLUID!M68</f>
        <v>0</v>
      </c>
      <c r="J21" s="26">
        <f ca="1">FLUID!N68</f>
        <v>0</v>
      </c>
      <c r="K21" s="26">
        <f ca="1">FLUID!O68</f>
        <v>0</v>
      </c>
      <c r="L21" s="26">
        <f ca="1">FLUID!P68</f>
        <v>0</v>
      </c>
      <c r="M21" s="26">
        <f ca="1">FLUID!Q68</f>
        <v>0</v>
      </c>
      <c r="N21" s="26">
        <f ca="1">FLUID!R68</f>
        <v>0</v>
      </c>
      <c r="O21" s="26">
        <f ca="1">FLUID!S68</f>
        <v>0</v>
      </c>
      <c r="P21" s="26">
        <f ca="1">FLUID!T68</f>
        <v>0</v>
      </c>
      <c r="Q21" s="26">
        <f ca="1">FLUID!U68</f>
        <v>0</v>
      </c>
      <c r="R21" s="26">
        <f ca="1">FLUID!V68</f>
        <v>0</v>
      </c>
      <c r="S21" s="26">
        <f ca="1">FLUID!W68</f>
        <v>0</v>
      </c>
      <c r="T21" s="26">
        <f ca="1">FLUID!X68</f>
        <v>0</v>
      </c>
      <c r="U21" s="26">
        <f ca="1">FLUID!Y68</f>
        <v>0</v>
      </c>
      <c r="V21" s="26">
        <f ca="1">FLUID!Z68</f>
        <v>0</v>
      </c>
      <c r="W21" s="26">
        <f ca="1">FLUID!AA68</f>
        <v>0</v>
      </c>
      <c r="X21" s="26">
        <f ca="1">FLUID!AB68</f>
        <v>0</v>
      </c>
      <c r="Y21" s="26">
        <f ca="1">FLUID!AC68</f>
        <v>0</v>
      </c>
      <c r="Z21" s="26">
        <f ca="1">FLUID!AD68</f>
        <v>0</v>
      </c>
      <c r="AA21" s="26">
        <f ca="1">FLUID!AE68</f>
        <v>0</v>
      </c>
      <c r="AB21" s="26">
        <f ca="1">FLUID!AF68</f>
        <v>0</v>
      </c>
      <c r="AC21" s="26">
        <f ca="1">FLUID!AG68</f>
        <v>0</v>
      </c>
      <c r="AD21" s="26">
        <f ca="1">FLUID!AH68</f>
        <v>0</v>
      </c>
      <c r="AE21" s="26">
        <f ca="1">FLUID!AI68</f>
        <v>0</v>
      </c>
      <c r="AF21" s="26">
        <f ca="1">FLUID!AJ68</f>
        <v>0</v>
      </c>
      <c r="AG21" s="26">
        <f ca="1">FLUID!AK68</f>
        <v>0</v>
      </c>
      <c r="AH21" s="26">
        <f ca="1">FLUID!AL68</f>
        <v>0</v>
      </c>
      <c r="AI21" s="26">
        <f>FLUID!AM68</f>
        <v>0</v>
      </c>
    </row>
    <row r="22" spans="1:35" ht="22.5" hidden="1" customHeight="1" outlineLevel="1" thickBot="1" x14ac:dyDescent="0.4">
      <c r="A22" s="60">
        <f>FLUID!E69</f>
        <v>0</v>
      </c>
      <c r="B22" s="26">
        <f ca="1">FLUID!F69</f>
        <v>0</v>
      </c>
      <c r="C22" s="26">
        <f ca="1">FLUID!G69</f>
        <v>0</v>
      </c>
      <c r="D22" s="26">
        <f ca="1">FLUID!H69</f>
        <v>0</v>
      </c>
      <c r="E22" s="26">
        <f ca="1">FLUID!I69</f>
        <v>0</v>
      </c>
      <c r="F22" s="26">
        <f ca="1">FLUID!J69</f>
        <v>0</v>
      </c>
      <c r="G22" s="26">
        <f ca="1">FLUID!K69</f>
        <v>0</v>
      </c>
      <c r="H22" s="26">
        <f ca="1">FLUID!L69</f>
        <v>0</v>
      </c>
      <c r="I22" s="26">
        <f ca="1">FLUID!M69</f>
        <v>0</v>
      </c>
      <c r="J22" s="26">
        <f ca="1">FLUID!N69</f>
        <v>0</v>
      </c>
      <c r="K22" s="26">
        <f ca="1">FLUID!O69</f>
        <v>0</v>
      </c>
      <c r="L22" s="26">
        <f ca="1">FLUID!P69</f>
        <v>0</v>
      </c>
      <c r="M22" s="26">
        <f ca="1">FLUID!Q69</f>
        <v>0</v>
      </c>
      <c r="N22" s="26">
        <f ca="1">FLUID!R69</f>
        <v>0</v>
      </c>
      <c r="O22" s="26">
        <f ca="1">FLUID!S69</f>
        <v>0</v>
      </c>
      <c r="P22" s="26">
        <f ca="1">FLUID!T69</f>
        <v>0</v>
      </c>
      <c r="Q22" s="26">
        <f ca="1">FLUID!U69</f>
        <v>0</v>
      </c>
      <c r="R22" s="26">
        <f ca="1">FLUID!V69</f>
        <v>0</v>
      </c>
      <c r="S22" s="26">
        <f ca="1">FLUID!W69</f>
        <v>0</v>
      </c>
      <c r="T22" s="26">
        <f ca="1">FLUID!X69</f>
        <v>0</v>
      </c>
      <c r="U22" s="26">
        <f ca="1">FLUID!Y69</f>
        <v>0</v>
      </c>
      <c r="V22" s="26">
        <f ca="1">FLUID!Z69</f>
        <v>0</v>
      </c>
      <c r="W22" s="26">
        <f ca="1">FLUID!AA69</f>
        <v>0</v>
      </c>
      <c r="X22" s="26">
        <f ca="1">FLUID!AB69</f>
        <v>0</v>
      </c>
      <c r="Y22" s="26">
        <f ca="1">FLUID!AC69</f>
        <v>0</v>
      </c>
      <c r="Z22" s="26">
        <f ca="1">FLUID!AD69</f>
        <v>0</v>
      </c>
      <c r="AA22" s="26">
        <f ca="1">FLUID!AE69</f>
        <v>0</v>
      </c>
      <c r="AB22" s="26">
        <f ca="1">FLUID!AF69</f>
        <v>0</v>
      </c>
      <c r="AC22" s="26">
        <f ca="1">FLUID!AG69</f>
        <v>0</v>
      </c>
      <c r="AD22" s="26">
        <f ca="1">FLUID!AH69</f>
        <v>0</v>
      </c>
      <c r="AE22" s="26">
        <f ca="1">FLUID!AI69</f>
        <v>0</v>
      </c>
      <c r="AF22" s="26">
        <f ca="1">FLUID!AJ69</f>
        <v>0</v>
      </c>
      <c r="AG22" s="26">
        <f ca="1">FLUID!AK69</f>
        <v>0</v>
      </c>
      <c r="AH22" s="26">
        <f ca="1">FLUID!AL69</f>
        <v>0</v>
      </c>
      <c r="AI22" s="26">
        <f>FLUID!AM69</f>
        <v>0</v>
      </c>
    </row>
    <row r="23" spans="1:35" ht="22.5" hidden="1" customHeight="1" outlineLevel="1" thickBot="1" x14ac:dyDescent="0.4">
      <c r="A23" s="60">
        <f>FLUID!E70</f>
        <v>0</v>
      </c>
      <c r="B23" s="26">
        <f ca="1">FLUID!F70</f>
        <v>0</v>
      </c>
      <c r="C23" s="26">
        <f ca="1">FLUID!G70</f>
        <v>0</v>
      </c>
      <c r="D23" s="26">
        <f ca="1">FLUID!H70</f>
        <v>0</v>
      </c>
      <c r="E23" s="26">
        <f ca="1">FLUID!I70</f>
        <v>0</v>
      </c>
      <c r="F23" s="26">
        <f ca="1">FLUID!J70</f>
        <v>0</v>
      </c>
      <c r="G23" s="26">
        <f ca="1">FLUID!K70</f>
        <v>0</v>
      </c>
      <c r="H23" s="26">
        <f ca="1">FLUID!L70</f>
        <v>0</v>
      </c>
      <c r="I23" s="26">
        <f ca="1">FLUID!M70</f>
        <v>0</v>
      </c>
      <c r="J23" s="26">
        <f ca="1">FLUID!N70</f>
        <v>0</v>
      </c>
      <c r="K23" s="26">
        <f ca="1">FLUID!O70</f>
        <v>0</v>
      </c>
      <c r="L23" s="26">
        <f ca="1">FLUID!P70</f>
        <v>0</v>
      </c>
      <c r="M23" s="26">
        <f ca="1">FLUID!Q70</f>
        <v>0</v>
      </c>
      <c r="N23" s="26">
        <f ca="1">FLUID!R70</f>
        <v>0</v>
      </c>
      <c r="O23" s="26">
        <f ca="1">FLUID!S70</f>
        <v>0</v>
      </c>
      <c r="P23" s="26">
        <f ca="1">FLUID!T70</f>
        <v>0</v>
      </c>
      <c r="Q23" s="26">
        <f ca="1">FLUID!U70</f>
        <v>0</v>
      </c>
      <c r="R23" s="26">
        <f ca="1">FLUID!V70</f>
        <v>0</v>
      </c>
      <c r="S23" s="26">
        <f ca="1">FLUID!W70</f>
        <v>0</v>
      </c>
      <c r="T23" s="26">
        <f ca="1">FLUID!X70</f>
        <v>0</v>
      </c>
      <c r="U23" s="26">
        <f ca="1">FLUID!Y70</f>
        <v>0</v>
      </c>
      <c r="V23" s="26">
        <f ca="1">FLUID!Z70</f>
        <v>0</v>
      </c>
      <c r="W23" s="26">
        <f ca="1">FLUID!AA70</f>
        <v>0</v>
      </c>
      <c r="X23" s="26">
        <f ca="1">FLUID!AB70</f>
        <v>0</v>
      </c>
      <c r="Y23" s="26">
        <f ca="1">FLUID!AC70</f>
        <v>0</v>
      </c>
      <c r="Z23" s="26">
        <f ca="1">FLUID!AD70</f>
        <v>0</v>
      </c>
      <c r="AA23" s="26">
        <f ca="1">FLUID!AE70</f>
        <v>0</v>
      </c>
      <c r="AB23" s="26">
        <f ca="1">FLUID!AF70</f>
        <v>0</v>
      </c>
      <c r="AC23" s="26">
        <f ca="1">FLUID!AG70</f>
        <v>0</v>
      </c>
      <c r="AD23" s="26">
        <f ca="1">FLUID!AH70</f>
        <v>0</v>
      </c>
      <c r="AE23" s="26">
        <f ca="1">FLUID!AI70</f>
        <v>0</v>
      </c>
      <c r="AF23" s="26">
        <f ca="1">FLUID!AJ70</f>
        <v>0</v>
      </c>
      <c r="AG23" s="26">
        <f ca="1">FLUID!AK70</f>
        <v>0</v>
      </c>
      <c r="AH23" s="26">
        <f ca="1">FLUID!AL70</f>
        <v>0</v>
      </c>
      <c r="AI23" s="26">
        <f>FLUID!AM70</f>
        <v>0</v>
      </c>
    </row>
    <row r="24" spans="1:35" ht="22.5" hidden="1" customHeight="1" outlineLevel="1" thickBot="1" x14ac:dyDescent="0.4">
      <c r="A24" s="60">
        <f>FLUID!E71</f>
        <v>0</v>
      </c>
      <c r="B24" s="26">
        <f ca="1">FLUID!F71</f>
        <v>0</v>
      </c>
      <c r="C24" s="26">
        <f ca="1">FLUID!G71</f>
        <v>0</v>
      </c>
      <c r="D24" s="26">
        <f ca="1">FLUID!H71</f>
        <v>0</v>
      </c>
      <c r="E24" s="26">
        <f ca="1">FLUID!I71</f>
        <v>0</v>
      </c>
      <c r="F24" s="26">
        <f ca="1">FLUID!J71</f>
        <v>0</v>
      </c>
      <c r="G24" s="26">
        <f ca="1">FLUID!K71</f>
        <v>0</v>
      </c>
      <c r="H24" s="26">
        <f ca="1">FLUID!L71</f>
        <v>0</v>
      </c>
      <c r="I24" s="26">
        <f ca="1">FLUID!M71</f>
        <v>0</v>
      </c>
      <c r="J24" s="26">
        <f ca="1">FLUID!N71</f>
        <v>0</v>
      </c>
      <c r="K24" s="26">
        <f ca="1">FLUID!O71</f>
        <v>0</v>
      </c>
      <c r="L24" s="26">
        <f ca="1">FLUID!P71</f>
        <v>0</v>
      </c>
      <c r="M24" s="26">
        <f ca="1">FLUID!Q71</f>
        <v>0</v>
      </c>
      <c r="N24" s="26">
        <f ca="1">FLUID!R71</f>
        <v>0</v>
      </c>
      <c r="O24" s="26">
        <f ca="1">FLUID!S71</f>
        <v>0</v>
      </c>
      <c r="P24" s="26">
        <f ca="1">FLUID!T71</f>
        <v>0</v>
      </c>
      <c r="Q24" s="26">
        <f ca="1">FLUID!U71</f>
        <v>0</v>
      </c>
      <c r="R24" s="26">
        <f ca="1">FLUID!V71</f>
        <v>0</v>
      </c>
      <c r="S24" s="26">
        <f ca="1">FLUID!W71</f>
        <v>0</v>
      </c>
      <c r="T24" s="26">
        <f ca="1">FLUID!X71</f>
        <v>0</v>
      </c>
      <c r="U24" s="26">
        <f ca="1">FLUID!Y71</f>
        <v>0</v>
      </c>
      <c r="V24" s="26">
        <f ca="1">FLUID!Z71</f>
        <v>0</v>
      </c>
      <c r="W24" s="26">
        <f ca="1">FLUID!AA71</f>
        <v>0</v>
      </c>
      <c r="X24" s="26">
        <f ca="1">FLUID!AB71</f>
        <v>0</v>
      </c>
      <c r="Y24" s="26">
        <f ca="1">FLUID!AC71</f>
        <v>0</v>
      </c>
      <c r="Z24" s="26">
        <f ca="1">FLUID!AD71</f>
        <v>0</v>
      </c>
      <c r="AA24" s="26">
        <f ca="1">FLUID!AE71</f>
        <v>0</v>
      </c>
      <c r="AB24" s="26">
        <f ca="1">FLUID!AF71</f>
        <v>0</v>
      </c>
      <c r="AC24" s="26">
        <f ca="1">FLUID!AG71</f>
        <v>0</v>
      </c>
      <c r="AD24" s="26">
        <f ca="1">FLUID!AH71</f>
        <v>0</v>
      </c>
      <c r="AE24" s="26">
        <f ca="1">FLUID!AI71</f>
        <v>0</v>
      </c>
      <c r="AF24" s="26">
        <f ca="1">FLUID!AJ71</f>
        <v>0</v>
      </c>
      <c r="AG24" s="26">
        <f ca="1">FLUID!AK71</f>
        <v>0</v>
      </c>
      <c r="AH24" s="26">
        <f ca="1">FLUID!AL71</f>
        <v>0</v>
      </c>
      <c r="AI24" s="26">
        <f>FLUID!AM71</f>
        <v>0</v>
      </c>
    </row>
    <row r="25" spans="1:35" ht="22.5" hidden="1" customHeight="1" outlineLevel="1" thickBot="1" x14ac:dyDescent="0.4">
      <c r="A25" s="60">
        <f>FLUID!E72</f>
        <v>0</v>
      </c>
      <c r="B25" s="26">
        <f ca="1">FLUID!F72</f>
        <v>0</v>
      </c>
      <c r="C25" s="26">
        <f ca="1">FLUID!G72</f>
        <v>0</v>
      </c>
      <c r="D25" s="26">
        <f ca="1">FLUID!H72</f>
        <v>0</v>
      </c>
      <c r="E25" s="26">
        <f ca="1">FLUID!I72</f>
        <v>0</v>
      </c>
      <c r="F25" s="26">
        <f ca="1">FLUID!J72</f>
        <v>0</v>
      </c>
      <c r="G25" s="26">
        <f ca="1">FLUID!K72</f>
        <v>0</v>
      </c>
      <c r="H25" s="26">
        <f ca="1">FLUID!L72</f>
        <v>0</v>
      </c>
      <c r="I25" s="26">
        <f ca="1">FLUID!M72</f>
        <v>0</v>
      </c>
      <c r="J25" s="26">
        <f ca="1">FLUID!N72</f>
        <v>0</v>
      </c>
      <c r="K25" s="26">
        <f ca="1">FLUID!O72</f>
        <v>0</v>
      </c>
      <c r="L25" s="26">
        <f ca="1">FLUID!P72</f>
        <v>0</v>
      </c>
      <c r="M25" s="26">
        <f ca="1">FLUID!Q72</f>
        <v>0</v>
      </c>
      <c r="N25" s="26">
        <f ca="1">FLUID!R72</f>
        <v>0</v>
      </c>
      <c r="O25" s="26">
        <f ca="1">FLUID!S72</f>
        <v>0</v>
      </c>
      <c r="P25" s="26">
        <f ca="1">FLUID!T72</f>
        <v>0</v>
      </c>
      <c r="Q25" s="26">
        <f ca="1">FLUID!U72</f>
        <v>0</v>
      </c>
      <c r="R25" s="26">
        <f ca="1">FLUID!V72</f>
        <v>0</v>
      </c>
      <c r="S25" s="26">
        <f ca="1">FLUID!W72</f>
        <v>0</v>
      </c>
      <c r="T25" s="26">
        <f ca="1">FLUID!X72</f>
        <v>0</v>
      </c>
      <c r="U25" s="26">
        <f ca="1">FLUID!Y72</f>
        <v>0</v>
      </c>
      <c r="V25" s="26">
        <f ca="1">FLUID!Z72</f>
        <v>0</v>
      </c>
      <c r="W25" s="26">
        <f ca="1">FLUID!AA72</f>
        <v>0</v>
      </c>
      <c r="X25" s="26">
        <f ca="1">FLUID!AB72</f>
        <v>0</v>
      </c>
      <c r="Y25" s="26">
        <f ca="1">FLUID!AC72</f>
        <v>0</v>
      </c>
      <c r="Z25" s="26">
        <f ca="1">FLUID!AD72</f>
        <v>0</v>
      </c>
      <c r="AA25" s="26">
        <f ca="1">FLUID!AE72</f>
        <v>0</v>
      </c>
      <c r="AB25" s="26">
        <f ca="1">FLUID!AF72</f>
        <v>0</v>
      </c>
      <c r="AC25" s="26">
        <f ca="1">FLUID!AG72</f>
        <v>0</v>
      </c>
      <c r="AD25" s="26">
        <f ca="1">FLUID!AH72</f>
        <v>0</v>
      </c>
      <c r="AE25" s="26">
        <f ca="1">FLUID!AI72</f>
        <v>0</v>
      </c>
      <c r="AF25" s="26">
        <f ca="1">FLUID!AJ72</f>
        <v>0</v>
      </c>
      <c r="AG25" s="26">
        <f ca="1">FLUID!AK72</f>
        <v>0</v>
      </c>
      <c r="AH25" s="26">
        <f ca="1">FLUID!AL72</f>
        <v>0</v>
      </c>
      <c r="AI25" s="26">
        <f>FLUID!AM72</f>
        <v>0</v>
      </c>
    </row>
    <row r="26" spans="1:35" ht="22.5" hidden="1" customHeight="1" outlineLevel="1" thickBot="1" x14ac:dyDescent="0.4">
      <c r="A26" s="60">
        <f>FLUID!E73</f>
        <v>0</v>
      </c>
      <c r="B26" s="26">
        <f ca="1">FLUID!F73</f>
        <v>0</v>
      </c>
      <c r="C26" s="26">
        <f ca="1">FLUID!G73</f>
        <v>0</v>
      </c>
      <c r="D26" s="26">
        <f ca="1">FLUID!H73</f>
        <v>0</v>
      </c>
      <c r="E26" s="26">
        <f ca="1">FLUID!I73</f>
        <v>0</v>
      </c>
      <c r="F26" s="26">
        <f ca="1">FLUID!J73</f>
        <v>0</v>
      </c>
      <c r="G26" s="26">
        <f ca="1">FLUID!K73</f>
        <v>0</v>
      </c>
      <c r="H26" s="26">
        <f ca="1">FLUID!L73</f>
        <v>0</v>
      </c>
      <c r="I26" s="26">
        <f ca="1">FLUID!M73</f>
        <v>0</v>
      </c>
      <c r="J26" s="26">
        <f ca="1">FLUID!N73</f>
        <v>0</v>
      </c>
      <c r="K26" s="26">
        <f ca="1">FLUID!O73</f>
        <v>0</v>
      </c>
      <c r="L26" s="26">
        <f ca="1">FLUID!P73</f>
        <v>0</v>
      </c>
      <c r="M26" s="26">
        <f ca="1">FLUID!Q73</f>
        <v>0</v>
      </c>
      <c r="N26" s="26">
        <f ca="1">FLUID!R73</f>
        <v>0</v>
      </c>
      <c r="O26" s="26">
        <f ca="1">FLUID!S73</f>
        <v>0</v>
      </c>
      <c r="P26" s="26">
        <f ca="1">FLUID!T73</f>
        <v>0</v>
      </c>
      <c r="Q26" s="26">
        <f ca="1">FLUID!U73</f>
        <v>0</v>
      </c>
      <c r="R26" s="26">
        <f ca="1">FLUID!V73</f>
        <v>0</v>
      </c>
      <c r="S26" s="26">
        <f ca="1">FLUID!W73</f>
        <v>0</v>
      </c>
      <c r="T26" s="26">
        <f ca="1">FLUID!X73</f>
        <v>0</v>
      </c>
      <c r="U26" s="26">
        <f ca="1">FLUID!Y73</f>
        <v>0</v>
      </c>
      <c r="V26" s="26">
        <f ca="1">FLUID!Z73</f>
        <v>0</v>
      </c>
      <c r="W26" s="26">
        <f ca="1">FLUID!AA73</f>
        <v>0</v>
      </c>
      <c r="X26" s="26">
        <f ca="1">FLUID!AB73</f>
        <v>0</v>
      </c>
      <c r="Y26" s="26">
        <f ca="1">FLUID!AC73</f>
        <v>0</v>
      </c>
      <c r="Z26" s="26">
        <f ca="1">FLUID!AD73</f>
        <v>0</v>
      </c>
      <c r="AA26" s="26">
        <f ca="1">FLUID!AE73</f>
        <v>0</v>
      </c>
      <c r="AB26" s="26">
        <f ca="1">FLUID!AF73</f>
        <v>0</v>
      </c>
      <c r="AC26" s="26">
        <f ca="1">FLUID!AG73</f>
        <v>0</v>
      </c>
      <c r="AD26" s="26">
        <f ca="1">FLUID!AH73</f>
        <v>0</v>
      </c>
      <c r="AE26" s="26">
        <f ca="1">FLUID!AI73</f>
        <v>0</v>
      </c>
      <c r="AF26" s="26">
        <f ca="1">FLUID!AJ73</f>
        <v>0</v>
      </c>
      <c r="AG26" s="26">
        <f ca="1">FLUID!AK73</f>
        <v>0</v>
      </c>
      <c r="AH26" s="26">
        <f ca="1">FLUID!AL73</f>
        <v>0</v>
      </c>
      <c r="AI26" s="26">
        <f>FLUID!AM73</f>
        <v>0</v>
      </c>
    </row>
    <row r="27" spans="1:35" ht="22.5" hidden="1" customHeight="1" outlineLevel="1" thickBot="1" x14ac:dyDescent="0.4">
      <c r="A27" s="60">
        <f>FLUID!E74</f>
        <v>0</v>
      </c>
      <c r="B27" s="26">
        <f ca="1">FLUID!F74</f>
        <v>0</v>
      </c>
      <c r="C27" s="26">
        <f ca="1">FLUID!G74</f>
        <v>0</v>
      </c>
      <c r="D27" s="26">
        <f ca="1">FLUID!H74</f>
        <v>0</v>
      </c>
      <c r="E27" s="26">
        <f ca="1">FLUID!I74</f>
        <v>0</v>
      </c>
      <c r="F27" s="26">
        <f ca="1">FLUID!J74</f>
        <v>0</v>
      </c>
      <c r="G27" s="26">
        <f ca="1">FLUID!K74</f>
        <v>0</v>
      </c>
      <c r="H27" s="26">
        <f ca="1">FLUID!L74</f>
        <v>0</v>
      </c>
      <c r="I27" s="26">
        <f ca="1">FLUID!M74</f>
        <v>0</v>
      </c>
      <c r="J27" s="26">
        <f ca="1">FLUID!N74</f>
        <v>0</v>
      </c>
      <c r="K27" s="26">
        <f ca="1">FLUID!O74</f>
        <v>0</v>
      </c>
      <c r="L27" s="26">
        <f ca="1">FLUID!P74</f>
        <v>0</v>
      </c>
      <c r="M27" s="26">
        <f ca="1">FLUID!Q74</f>
        <v>0</v>
      </c>
      <c r="N27" s="26">
        <f ca="1">FLUID!R74</f>
        <v>0</v>
      </c>
      <c r="O27" s="26">
        <f ca="1">FLUID!S74</f>
        <v>0</v>
      </c>
      <c r="P27" s="26">
        <f ca="1">FLUID!T74</f>
        <v>0</v>
      </c>
      <c r="Q27" s="26">
        <f ca="1">FLUID!U74</f>
        <v>0</v>
      </c>
      <c r="R27" s="26">
        <f ca="1">FLUID!V74</f>
        <v>0</v>
      </c>
      <c r="S27" s="26">
        <f ca="1">FLUID!W74</f>
        <v>0</v>
      </c>
      <c r="T27" s="26">
        <f ca="1">FLUID!X74</f>
        <v>0</v>
      </c>
      <c r="U27" s="26">
        <f ca="1">FLUID!Y74</f>
        <v>0</v>
      </c>
      <c r="V27" s="26">
        <f ca="1">FLUID!Z74</f>
        <v>0</v>
      </c>
      <c r="W27" s="26">
        <f ca="1">FLUID!AA74</f>
        <v>0</v>
      </c>
      <c r="X27" s="26">
        <f ca="1">FLUID!AB74</f>
        <v>0</v>
      </c>
      <c r="Y27" s="26">
        <f ca="1">FLUID!AC74</f>
        <v>0</v>
      </c>
      <c r="Z27" s="26">
        <f ca="1">FLUID!AD74</f>
        <v>0</v>
      </c>
      <c r="AA27" s="26">
        <f ca="1">FLUID!AE74</f>
        <v>0</v>
      </c>
      <c r="AB27" s="26">
        <f ca="1">FLUID!AF74</f>
        <v>0</v>
      </c>
      <c r="AC27" s="26">
        <f ca="1">FLUID!AG74</f>
        <v>0</v>
      </c>
      <c r="AD27" s="26">
        <f ca="1">FLUID!AH74</f>
        <v>0</v>
      </c>
      <c r="AE27" s="26">
        <f ca="1">FLUID!AI74</f>
        <v>0</v>
      </c>
      <c r="AF27" s="26">
        <f ca="1">FLUID!AJ74</f>
        <v>0</v>
      </c>
      <c r="AG27" s="26">
        <f ca="1">FLUID!AK74</f>
        <v>0</v>
      </c>
      <c r="AH27" s="26">
        <f ca="1">FLUID!AL74</f>
        <v>0</v>
      </c>
      <c r="AI27" s="26">
        <f>FLUID!AM74</f>
        <v>0</v>
      </c>
    </row>
    <row r="28" spans="1:35" ht="22.5" hidden="1" customHeight="1" outlineLevel="1" thickBot="1" x14ac:dyDescent="0.4">
      <c r="A28" s="60">
        <f>FLUID!E75</f>
        <v>0</v>
      </c>
      <c r="B28" s="26">
        <f ca="1">FLUID!F75</f>
        <v>0</v>
      </c>
      <c r="C28" s="26">
        <f ca="1">FLUID!G75</f>
        <v>0</v>
      </c>
      <c r="D28" s="26">
        <f ca="1">FLUID!H75</f>
        <v>0</v>
      </c>
      <c r="E28" s="26">
        <f ca="1">FLUID!I75</f>
        <v>0</v>
      </c>
      <c r="F28" s="26">
        <f ca="1">FLUID!J75</f>
        <v>0</v>
      </c>
      <c r="G28" s="26">
        <f ca="1">FLUID!K75</f>
        <v>0</v>
      </c>
      <c r="H28" s="26">
        <f ca="1">FLUID!L75</f>
        <v>0</v>
      </c>
      <c r="I28" s="26">
        <f ca="1">FLUID!M75</f>
        <v>0</v>
      </c>
      <c r="J28" s="26">
        <f ca="1">FLUID!N75</f>
        <v>0</v>
      </c>
      <c r="K28" s="26">
        <f ca="1">FLUID!O75</f>
        <v>0</v>
      </c>
      <c r="L28" s="26">
        <f ca="1">FLUID!P75</f>
        <v>0</v>
      </c>
      <c r="M28" s="26">
        <f ca="1">FLUID!Q75</f>
        <v>0</v>
      </c>
      <c r="N28" s="26">
        <f ca="1">FLUID!R75</f>
        <v>0</v>
      </c>
      <c r="O28" s="26">
        <f ca="1">FLUID!S75</f>
        <v>0</v>
      </c>
      <c r="P28" s="26">
        <f ca="1">FLUID!T75</f>
        <v>0</v>
      </c>
      <c r="Q28" s="26">
        <f ca="1">FLUID!U75</f>
        <v>0</v>
      </c>
      <c r="R28" s="26">
        <f ca="1">FLUID!V75</f>
        <v>0</v>
      </c>
      <c r="S28" s="26">
        <f ca="1">FLUID!W75</f>
        <v>0</v>
      </c>
      <c r="T28" s="26">
        <f ca="1">FLUID!X75</f>
        <v>0</v>
      </c>
      <c r="U28" s="26">
        <f ca="1">FLUID!Y75</f>
        <v>0</v>
      </c>
      <c r="V28" s="26">
        <f ca="1">FLUID!Z75</f>
        <v>0</v>
      </c>
      <c r="W28" s="26">
        <f ca="1">FLUID!AA75</f>
        <v>0</v>
      </c>
      <c r="X28" s="26">
        <f ca="1">FLUID!AB75</f>
        <v>0</v>
      </c>
      <c r="Y28" s="26">
        <f ca="1">FLUID!AC75</f>
        <v>0</v>
      </c>
      <c r="Z28" s="26">
        <f ca="1">FLUID!AD75</f>
        <v>0</v>
      </c>
      <c r="AA28" s="26">
        <f ca="1">FLUID!AE75</f>
        <v>0</v>
      </c>
      <c r="AB28" s="26">
        <f ca="1">FLUID!AF75</f>
        <v>0</v>
      </c>
      <c r="AC28" s="26">
        <f ca="1">FLUID!AG75</f>
        <v>0</v>
      </c>
      <c r="AD28" s="26">
        <f ca="1">FLUID!AH75</f>
        <v>0</v>
      </c>
      <c r="AE28" s="26">
        <f ca="1">FLUID!AI75</f>
        <v>0</v>
      </c>
      <c r="AF28" s="26">
        <f ca="1">FLUID!AJ75</f>
        <v>0</v>
      </c>
      <c r="AG28" s="26">
        <f ca="1">FLUID!AK75</f>
        <v>0</v>
      </c>
      <c r="AH28" s="26">
        <f ca="1">FLUID!AL75</f>
        <v>0</v>
      </c>
      <c r="AI28" s="26">
        <f>FLUID!AM75</f>
        <v>0</v>
      </c>
    </row>
    <row r="29" spans="1:35" ht="22.5" hidden="1" customHeight="1" outlineLevel="1" thickBot="1" x14ac:dyDescent="0.4">
      <c r="A29" s="60">
        <f>FLUID!E76</f>
        <v>0</v>
      </c>
      <c r="B29" s="26">
        <f ca="1">FLUID!F76</f>
        <v>0</v>
      </c>
      <c r="C29" s="26">
        <f ca="1">FLUID!G76</f>
        <v>0</v>
      </c>
      <c r="D29" s="26">
        <f ca="1">FLUID!H76</f>
        <v>0</v>
      </c>
      <c r="E29" s="26">
        <f ca="1">FLUID!I76</f>
        <v>0</v>
      </c>
      <c r="F29" s="26">
        <f ca="1">FLUID!J76</f>
        <v>0</v>
      </c>
      <c r="G29" s="26">
        <f ca="1">FLUID!K76</f>
        <v>0</v>
      </c>
      <c r="H29" s="26">
        <f ca="1">FLUID!L76</f>
        <v>0</v>
      </c>
      <c r="I29" s="26">
        <f ca="1">FLUID!M76</f>
        <v>0</v>
      </c>
      <c r="J29" s="26">
        <f ca="1">FLUID!N76</f>
        <v>0</v>
      </c>
      <c r="K29" s="26">
        <f ca="1">FLUID!O76</f>
        <v>0</v>
      </c>
      <c r="L29" s="26">
        <f ca="1">FLUID!P76</f>
        <v>0</v>
      </c>
      <c r="M29" s="26">
        <f ca="1">FLUID!Q76</f>
        <v>0</v>
      </c>
      <c r="N29" s="26">
        <f ca="1">FLUID!R76</f>
        <v>0</v>
      </c>
      <c r="O29" s="26">
        <f ca="1">FLUID!S76</f>
        <v>0</v>
      </c>
      <c r="P29" s="26">
        <f ca="1">FLUID!T76</f>
        <v>0</v>
      </c>
      <c r="Q29" s="26">
        <f ca="1">FLUID!U76</f>
        <v>0</v>
      </c>
      <c r="R29" s="26">
        <f ca="1">FLUID!V76</f>
        <v>0</v>
      </c>
      <c r="S29" s="26">
        <f ca="1">FLUID!W76</f>
        <v>0</v>
      </c>
      <c r="T29" s="26">
        <f ca="1">FLUID!X76</f>
        <v>0</v>
      </c>
      <c r="U29" s="26">
        <f ca="1">FLUID!Y76</f>
        <v>0</v>
      </c>
      <c r="V29" s="26">
        <f ca="1">FLUID!Z76</f>
        <v>0</v>
      </c>
      <c r="W29" s="26">
        <f ca="1">FLUID!AA76</f>
        <v>0</v>
      </c>
      <c r="X29" s="26">
        <f ca="1">FLUID!AB76</f>
        <v>0</v>
      </c>
      <c r="Y29" s="26">
        <f ca="1">FLUID!AC76</f>
        <v>0</v>
      </c>
      <c r="Z29" s="26">
        <f ca="1">FLUID!AD76</f>
        <v>0</v>
      </c>
      <c r="AA29" s="26">
        <f ca="1">FLUID!AE76</f>
        <v>0</v>
      </c>
      <c r="AB29" s="26">
        <f ca="1">FLUID!AF76</f>
        <v>0</v>
      </c>
      <c r="AC29" s="26">
        <f ca="1">FLUID!AG76</f>
        <v>0</v>
      </c>
      <c r="AD29" s="26">
        <f ca="1">FLUID!AH76</f>
        <v>0</v>
      </c>
      <c r="AE29" s="26">
        <f ca="1">FLUID!AI76</f>
        <v>0</v>
      </c>
      <c r="AF29" s="26">
        <f ca="1">FLUID!AJ76</f>
        <v>0</v>
      </c>
      <c r="AG29" s="26">
        <f ca="1">FLUID!AK76</f>
        <v>0</v>
      </c>
      <c r="AH29" s="26">
        <f ca="1">FLUID!AL76</f>
        <v>0</v>
      </c>
      <c r="AI29" s="26">
        <f>FLUID!AM76</f>
        <v>0</v>
      </c>
    </row>
    <row r="30" spans="1:35" ht="22.5" hidden="1" customHeight="1" outlineLevel="1" thickBot="1" x14ac:dyDescent="0.4">
      <c r="A30" s="60">
        <f>FLUID!E77</f>
        <v>0</v>
      </c>
      <c r="B30" s="26">
        <f ca="1">FLUID!F77</f>
        <v>0</v>
      </c>
      <c r="C30" s="26">
        <f ca="1">FLUID!G77</f>
        <v>0</v>
      </c>
      <c r="D30" s="26">
        <f ca="1">FLUID!H77</f>
        <v>0</v>
      </c>
      <c r="E30" s="26">
        <f ca="1">FLUID!I77</f>
        <v>0</v>
      </c>
      <c r="F30" s="26">
        <f ca="1">FLUID!J77</f>
        <v>0</v>
      </c>
      <c r="G30" s="26">
        <f ca="1">FLUID!K77</f>
        <v>0</v>
      </c>
      <c r="H30" s="26">
        <f ca="1">FLUID!L77</f>
        <v>0</v>
      </c>
      <c r="I30" s="26">
        <f ca="1">FLUID!M77</f>
        <v>0</v>
      </c>
      <c r="J30" s="26">
        <f ca="1">FLUID!N77</f>
        <v>0</v>
      </c>
      <c r="K30" s="26">
        <f ca="1">FLUID!O77</f>
        <v>0</v>
      </c>
      <c r="L30" s="26">
        <f ca="1">FLUID!P77</f>
        <v>0</v>
      </c>
      <c r="M30" s="26">
        <f ca="1">FLUID!Q77</f>
        <v>0</v>
      </c>
      <c r="N30" s="26">
        <f ca="1">FLUID!R77</f>
        <v>0</v>
      </c>
      <c r="O30" s="26">
        <f ca="1">FLUID!S77</f>
        <v>0</v>
      </c>
      <c r="P30" s="26">
        <f ca="1">FLUID!T77</f>
        <v>0</v>
      </c>
      <c r="Q30" s="26">
        <f ca="1">FLUID!U77</f>
        <v>0</v>
      </c>
      <c r="R30" s="26">
        <f ca="1">FLUID!V77</f>
        <v>0</v>
      </c>
      <c r="S30" s="26">
        <f ca="1">FLUID!W77</f>
        <v>0</v>
      </c>
      <c r="T30" s="26">
        <f ca="1">FLUID!X77</f>
        <v>0</v>
      </c>
      <c r="U30" s="26">
        <f ca="1">FLUID!Y77</f>
        <v>0</v>
      </c>
      <c r="V30" s="26">
        <f ca="1">FLUID!Z77</f>
        <v>0</v>
      </c>
      <c r="W30" s="26">
        <f ca="1">FLUID!AA77</f>
        <v>0</v>
      </c>
      <c r="X30" s="26">
        <f ca="1">FLUID!AB77</f>
        <v>0</v>
      </c>
      <c r="Y30" s="26">
        <f ca="1">FLUID!AC77</f>
        <v>0</v>
      </c>
      <c r="Z30" s="26">
        <f ca="1">FLUID!AD77</f>
        <v>0</v>
      </c>
      <c r="AA30" s="26">
        <f ca="1">FLUID!AE77</f>
        <v>0</v>
      </c>
      <c r="AB30" s="26">
        <f ca="1">FLUID!AF77</f>
        <v>0</v>
      </c>
      <c r="AC30" s="26">
        <f ca="1">FLUID!AG77</f>
        <v>0</v>
      </c>
      <c r="AD30" s="26">
        <f ca="1">FLUID!AH77</f>
        <v>0</v>
      </c>
      <c r="AE30" s="26">
        <f ca="1">FLUID!AI77</f>
        <v>0</v>
      </c>
      <c r="AF30" s="26">
        <f ca="1">FLUID!AJ77</f>
        <v>0</v>
      </c>
      <c r="AG30" s="26">
        <f ca="1">FLUID!AK77</f>
        <v>0</v>
      </c>
      <c r="AH30" s="26">
        <f ca="1">FLUID!AL77</f>
        <v>0</v>
      </c>
      <c r="AI30" s="26">
        <f>FLUID!AM77</f>
        <v>0</v>
      </c>
    </row>
    <row r="31" spans="1:35" ht="22.5" hidden="1" customHeight="1" outlineLevel="1" thickBot="1" x14ac:dyDescent="0.4">
      <c r="A31" s="60">
        <f>FLUID!E78</f>
        <v>0</v>
      </c>
      <c r="B31" s="26">
        <f ca="1">FLUID!F78</f>
        <v>0</v>
      </c>
      <c r="C31" s="26">
        <f ca="1">FLUID!G78</f>
        <v>0</v>
      </c>
      <c r="D31" s="26">
        <f ca="1">FLUID!H78</f>
        <v>0</v>
      </c>
      <c r="E31" s="26">
        <f ca="1">FLUID!I78</f>
        <v>0</v>
      </c>
      <c r="F31" s="26">
        <f ca="1">FLUID!J78</f>
        <v>0</v>
      </c>
      <c r="G31" s="26">
        <f ca="1">FLUID!K78</f>
        <v>0</v>
      </c>
      <c r="H31" s="26">
        <f ca="1">FLUID!L78</f>
        <v>0</v>
      </c>
      <c r="I31" s="26">
        <f ca="1">FLUID!M78</f>
        <v>0</v>
      </c>
      <c r="J31" s="26">
        <f ca="1">FLUID!N78</f>
        <v>0</v>
      </c>
      <c r="K31" s="26">
        <f ca="1">FLUID!O78</f>
        <v>0</v>
      </c>
      <c r="L31" s="26">
        <f ca="1">FLUID!P78</f>
        <v>0</v>
      </c>
      <c r="M31" s="26">
        <f ca="1">FLUID!Q78</f>
        <v>0</v>
      </c>
      <c r="N31" s="26">
        <f ca="1">FLUID!R78</f>
        <v>0</v>
      </c>
      <c r="O31" s="26">
        <f ca="1">FLUID!S78</f>
        <v>0</v>
      </c>
      <c r="P31" s="26">
        <f ca="1">FLUID!T78</f>
        <v>0</v>
      </c>
      <c r="Q31" s="26">
        <f ca="1">FLUID!U78</f>
        <v>0</v>
      </c>
      <c r="R31" s="26">
        <f ca="1">FLUID!V78</f>
        <v>0</v>
      </c>
      <c r="S31" s="26">
        <f ca="1">FLUID!W78</f>
        <v>0</v>
      </c>
      <c r="T31" s="26">
        <f ca="1">FLUID!X78</f>
        <v>0</v>
      </c>
      <c r="U31" s="26">
        <f ca="1">FLUID!Y78</f>
        <v>0</v>
      </c>
      <c r="V31" s="26">
        <f ca="1">FLUID!Z78</f>
        <v>0</v>
      </c>
      <c r="W31" s="26">
        <f ca="1">FLUID!AA78</f>
        <v>0</v>
      </c>
      <c r="X31" s="26">
        <f ca="1">FLUID!AB78</f>
        <v>0</v>
      </c>
      <c r="Y31" s="26">
        <f ca="1">FLUID!AC78</f>
        <v>0</v>
      </c>
      <c r="Z31" s="26">
        <f ca="1">FLUID!AD78</f>
        <v>0</v>
      </c>
      <c r="AA31" s="26">
        <f ca="1">FLUID!AE78</f>
        <v>0</v>
      </c>
      <c r="AB31" s="26">
        <f ca="1">FLUID!AF78</f>
        <v>0</v>
      </c>
      <c r="AC31" s="26">
        <f ca="1">FLUID!AG78</f>
        <v>0</v>
      </c>
      <c r="AD31" s="26">
        <f ca="1">FLUID!AH78</f>
        <v>0</v>
      </c>
      <c r="AE31" s="26">
        <f ca="1">FLUID!AI78</f>
        <v>0</v>
      </c>
      <c r="AF31" s="26">
        <f ca="1">FLUID!AJ78</f>
        <v>0</v>
      </c>
      <c r="AG31" s="26">
        <f ca="1">FLUID!AK78</f>
        <v>0</v>
      </c>
      <c r="AH31" s="26">
        <f ca="1">FLUID!AL78</f>
        <v>0</v>
      </c>
      <c r="AI31" s="26">
        <f>FLUID!AM78</f>
        <v>0</v>
      </c>
    </row>
    <row r="32" spans="1:35" ht="22.5" hidden="1" customHeight="1" outlineLevel="1" thickBot="1" x14ac:dyDescent="0.4">
      <c r="A32" s="60">
        <f>FLUID!E79</f>
        <v>1</v>
      </c>
      <c r="B32" s="26">
        <f>FLUID!F79</f>
        <v>0</v>
      </c>
      <c r="C32" s="26">
        <f>FLUID!G79</f>
        <v>0</v>
      </c>
      <c r="D32" s="26">
        <f>FLUID!H79</f>
        <v>0</v>
      </c>
      <c r="E32" s="26">
        <f>FLUID!I79</f>
        <v>0</v>
      </c>
      <c r="F32" s="26">
        <f>FLUID!J79</f>
        <v>0</v>
      </c>
      <c r="G32" s="26">
        <f>FLUID!K79</f>
        <v>0</v>
      </c>
      <c r="H32" s="26">
        <f>FLUID!L79</f>
        <v>0</v>
      </c>
      <c r="I32" s="26">
        <f>FLUID!M79</f>
        <v>0</v>
      </c>
      <c r="J32" s="26">
        <f>FLUID!N79</f>
        <v>0</v>
      </c>
      <c r="K32" s="26">
        <f>FLUID!O79</f>
        <v>0</v>
      </c>
      <c r="L32" s="26">
        <f>FLUID!P79</f>
        <v>0</v>
      </c>
      <c r="M32" s="26">
        <f>FLUID!Q79</f>
        <v>0</v>
      </c>
      <c r="N32" s="26">
        <f>FLUID!R79</f>
        <v>0</v>
      </c>
      <c r="O32" s="26">
        <f>FLUID!S79</f>
        <v>0</v>
      </c>
      <c r="P32" s="26">
        <f>FLUID!T79</f>
        <v>0</v>
      </c>
      <c r="Q32" s="26">
        <f>FLUID!U79</f>
        <v>0</v>
      </c>
      <c r="R32" s="26">
        <f>FLUID!V79</f>
        <v>0</v>
      </c>
      <c r="S32" s="26">
        <f>FLUID!W79</f>
        <v>0</v>
      </c>
      <c r="T32" s="26">
        <f>FLUID!X79</f>
        <v>0</v>
      </c>
      <c r="U32" s="26">
        <f>FLUID!Y79</f>
        <v>0</v>
      </c>
      <c r="V32" s="26">
        <f>FLUID!Z79</f>
        <v>0</v>
      </c>
      <c r="W32" s="26">
        <f>FLUID!AA79</f>
        <v>0</v>
      </c>
      <c r="X32" s="26">
        <f>FLUID!AB79</f>
        <v>0</v>
      </c>
      <c r="Y32" s="26">
        <f>FLUID!AC79</f>
        <v>0</v>
      </c>
      <c r="Z32" s="26">
        <f>FLUID!AD79</f>
        <v>0</v>
      </c>
      <c r="AA32" s="26">
        <f>FLUID!AE79</f>
        <v>0</v>
      </c>
      <c r="AB32" s="26">
        <f>FLUID!AF79</f>
        <v>0</v>
      </c>
      <c r="AC32" s="26">
        <f>FLUID!AG79</f>
        <v>0</v>
      </c>
      <c r="AD32" s="26">
        <f>FLUID!AH79</f>
        <v>0</v>
      </c>
      <c r="AE32" s="26">
        <f>FLUID!AI79</f>
        <v>0</v>
      </c>
      <c r="AF32" s="26">
        <f>FLUID!AJ79</f>
        <v>0</v>
      </c>
      <c r="AG32" s="26">
        <f>FLUID!AK79</f>
        <v>0</v>
      </c>
      <c r="AH32" s="26">
        <f>FLUID!AL79</f>
        <v>0</v>
      </c>
      <c r="AI32" s="26">
        <f>FLUID!AM79</f>
        <v>0</v>
      </c>
    </row>
    <row r="33" spans="1:45" ht="22.5" collapsed="1" thickTop="1" thickBot="1" x14ac:dyDescent="0.4">
      <c r="A33" s="62"/>
    </row>
    <row r="34" spans="1:45" ht="22.5" thickTop="1" thickBot="1" x14ac:dyDescent="0.4">
      <c r="A34" s="7" t="s">
        <v>38</v>
      </c>
      <c r="B34" s="7">
        <f>SOLID!F49</f>
        <v>298.2</v>
      </c>
      <c r="C34" s="7">
        <f>SOLID!G49</f>
        <v>331.5</v>
      </c>
      <c r="D34" s="7">
        <f>SOLID!H49</f>
        <v>364.9</v>
      </c>
      <c r="E34" s="7">
        <f>SOLID!I49</f>
        <v>398.3</v>
      </c>
      <c r="F34" s="7">
        <f>SOLID!J49</f>
        <v>431.7</v>
      </c>
      <c r="G34" s="7">
        <f>SOLID!K49</f>
        <v>465.1</v>
      </c>
      <c r="H34" s="7">
        <f>SOLID!L49</f>
        <v>498.5</v>
      </c>
      <c r="I34" s="7">
        <f>SOLID!M49</f>
        <v>531.79999999999995</v>
      </c>
      <c r="J34" s="7">
        <f>SOLID!N49</f>
        <v>565.20000000000005</v>
      </c>
      <c r="K34" s="7">
        <f>SOLID!O49</f>
        <v>698.8</v>
      </c>
      <c r="L34" s="7">
        <f>SOLID!P49</f>
        <v>832.3</v>
      </c>
      <c r="M34" s="7">
        <f>SOLID!Q49</f>
        <v>965.8</v>
      </c>
      <c r="N34" s="7">
        <f>SOLID!R49</f>
        <v>999.2</v>
      </c>
      <c r="O34" s="7">
        <f>SOLID!S49</f>
        <v>1033</v>
      </c>
      <c r="P34" s="7">
        <f>SOLID!T49</f>
        <v>1066</v>
      </c>
      <c r="Q34" s="7">
        <f>SOLID!U49</f>
        <v>1099</v>
      </c>
      <c r="R34" s="7">
        <f>SOLID!V49</f>
        <v>1233</v>
      </c>
      <c r="S34" s="7">
        <f>SOLID!W49</f>
        <v>1366</v>
      </c>
      <c r="T34" s="7">
        <f>SOLID!X49</f>
        <v>1400</v>
      </c>
      <c r="U34" s="7">
        <f>SOLID!Y49</f>
        <v>1433</v>
      </c>
      <c r="V34" s="7">
        <f>SOLID!Z49</f>
        <v>1467</v>
      </c>
      <c r="W34" s="7">
        <f>SOLID!AA49</f>
        <v>1500</v>
      </c>
      <c r="X34" s="7">
        <f>SOLID!AB49</f>
        <v>0</v>
      </c>
      <c r="Y34" s="7">
        <f>SOLID!AC49</f>
        <v>0</v>
      </c>
      <c r="Z34" s="7">
        <f>SOLID!AD49</f>
        <v>0</v>
      </c>
      <c r="AA34" s="7">
        <f>SOLID!AE49</f>
        <v>0</v>
      </c>
      <c r="AB34" s="7">
        <f>SOLID!AF49</f>
        <v>0</v>
      </c>
      <c r="AC34" s="7">
        <f>SOLID!AG49</f>
        <v>0</v>
      </c>
      <c r="AD34" s="7">
        <f>SOLID!AH49</f>
        <v>0</v>
      </c>
      <c r="AE34" s="7">
        <f>SOLID!AI49</f>
        <v>0</v>
      </c>
      <c r="AF34" s="7">
        <f>SOLID!AJ49</f>
        <v>0</v>
      </c>
      <c r="AG34" s="7">
        <f>SOLID!AK49</f>
        <v>0</v>
      </c>
      <c r="AH34" s="7">
        <f>SOLID!AL49</f>
        <v>0</v>
      </c>
      <c r="AI34" s="7">
        <f>SOLID!AM49</f>
        <v>0</v>
      </c>
      <c r="AJ34" s="61"/>
      <c r="AK34" s="61"/>
      <c r="AL34" s="61"/>
      <c r="AM34" s="61"/>
      <c r="AN34" s="61"/>
      <c r="AO34" s="61"/>
      <c r="AP34" s="61"/>
      <c r="AQ34" s="61"/>
      <c r="AR34" s="61"/>
      <c r="AS34" s="61"/>
    </row>
    <row r="35" spans="1:45" ht="22.5" hidden="1" outlineLevel="1" thickTop="1" thickBot="1" x14ac:dyDescent="0.4">
      <c r="A35" s="59" t="str">
        <f>SOLID!E50</f>
        <v>*Ge[l]</v>
      </c>
      <c r="B35" s="26">
        <f ca="1">SOLID!F50</f>
        <v>-15.35</v>
      </c>
      <c r="C35" s="26">
        <f ca="1">SOLID!G50</f>
        <v>-14.36</v>
      </c>
      <c r="D35" s="26">
        <f ca="1">SOLID!H50</f>
        <v>-12.3</v>
      </c>
      <c r="E35" s="26">
        <f ca="1">SOLID!I50</f>
        <v>-10.01</v>
      </c>
      <c r="F35" s="26">
        <f ca="1">SOLID!J50</f>
        <v>-8.0210000000000008</v>
      </c>
      <c r="G35" s="26">
        <f ca="1">SOLID!K50</f>
        <v>-6.28</v>
      </c>
      <c r="H35" s="26">
        <f ca="1">SOLID!L50</f>
        <v>-4.7359999999999998</v>
      </c>
      <c r="I35" s="26">
        <f ca="1">SOLID!M50</f>
        <v>-4.141</v>
      </c>
      <c r="J35" s="26">
        <f ca="1">SOLID!N50</f>
        <v>-4.2229999999999999</v>
      </c>
      <c r="K35" s="26">
        <f ca="1">SOLID!O50</f>
        <v>-4.5529999999999999</v>
      </c>
      <c r="L35" s="26">
        <f ca="1">SOLID!P50</f>
        <v>-4.8730000000000002</v>
      </c>
      <c r="M35" s="26">
        <f ca="1">SOLID!Q50</f>
        <v>-5.1749999999999998</v>
      </c>
      <c r="N35" s="26">
        <f ca="1">SOLID!R50</f>
        <v>-5.2469999999999999</v>
      </c>
      <c r="O35" s="26">
        <f ca="1">SOLID!S50</f>
        <v>-5.3179999999999996</v>
      </c>
      <c r="P35" s="26">
        <f ca="1">SOLID!T50</f>
        <v>-5.3890000000000002</v>
      </c>
      <c r="Q35" s="26">
        <f ca="1">SOLID!U50</f>
        <v>-5.4580000000000002</v>
      </c>
      <c r="R35" s="26">
        <f ca="1">SOLID!V50</f>
        <v>-5.7869999999999999</v>
      </c>
      <c r="S35" s="26">
        <f ca="1">SOLID!W50</f>
        <v>-6.3879999999999999</v>
      </c>
      <c r="T35" s="26">
        <f ca="1">SOLID!X50</f>
        <v>-6.5250000000000004</v>
      </c>
      <c r="U35" s="26">
        <f ca="1">SOLID!Y50</f>
        <v>-6.6580000000000004</v>
      </c>
      <c r="V35" s="26">
        <f ca="1">SOLID!Z50</f>
        <v>-6.7869999999999999</v>
      </c>
      <c r="W35" s="26">
        <f ca="1">SOLID!AA50</f>
        <v>-6.9109999999999996</v>
      </c>
      <c r="X35" s="26">
        <f ca="1">SOLID!AB50</f>
        <v>0</v>
      </c>
      <c r="Y35" s="26">
        <f ca="1">SOLID!AC50</f>
        <v>0</v>
      </c>
      <c r="Z35" s="26">
        <f ca="1">SOLID!AD50</f>
        <v>0</v>
      </c>
      <c r="AA35" s="26">
        <f ca="1">SOLID!AE50</f>
        <v>0</v>
      </c>
      <c r="AB35" s="26">
        <f ca="1">SOLID!AF50</f>
        <v>0</v>
      </c>
      <c r="AC35" s="26">
        <f ca="1">SOLID!AG50</f>
        <v>0</v>
      </c>
      <c r="AD35" s="26">
        <f ca="1">SOLID!AH50</f>
        <v>0</v>
      </c>
      <c r="AE35" s="26">
        <f ca="1">SOLID!AI50</f>
        <v>0</v>
      </c>
      <c r="AF35" s="26">
        <f ca="1">SOLID!AJ50</f>
        <v>0</v>
      </c>
      <c r="AG35" s="26">
        <f ca="1">SOLID!AK50</f>
        <v>0</v>
      </c>
      <c r="AH35" s="26">
        <f ca="1">SOLID!AL50</f>
        <v>0</v>
      </c>
      <c r="AI35" s="26">
        <f>SOLID!AM50</f>
        <v>0</v>
      </c>
    </row>
    <row r="36" spans="1:45" ht="21.75" hidden="1" outlineLevel="1" thickBot="1" x14ac:dyDescent="0.4">
      <c r="A36" s="59" t="str">
        <f>SOLID!E51</f>
        <v>*Ge</v>
      </c>
      <c r="B36" s="26">
        <f ca="1">SOLID!F51</f>
        <v>-15.35</v>
      </c>
      <c r="C36" s="26">
        <f ca="1">SOLID!G51</f>
        <v>-14.36</v>
      </c>
      <c r="D36" s="26">
        <f ca="1">SOLID!H51</f>
        <v>-12.3</v>
      </c>
      <c r="E36" s="26">
        <f ca="1">SOLID!I51</f>
        <v>-10.01</v>
      </c>
      <c r="F36" s="26">
        <f ca="1">SOLID!J51</f>
        <v>-8.0210000000000008</v>
      </c>
      <c r="G36" s="26">
        <f ca="1">SOLID!K51</f>
        <v>-6.28</v>
      </c>
      <c r="H36" s="26">
        <f ca="1">SOLID!L51</f>
        <v>-4.7359999999999998</v>
      </c>
      <c r="I36" s="26">
        <f ca="1">SOLID!M51</f>
        <v>-4.141</v>
      </c>
      <c r="J36" s="26">
        <f ca="1">SOLID!N51</f>
        <v>-4.2229999999999999</v>
      </c>
      <c r="K36" s="26">
        <f ca="1">SOLID!O51</f>
        <v>-4.5529999999999999</v>
      </c>
      <c r="L36" s="26">
        <f ca="1">SOLID!P51</f>
        <v>-4.8730000000000002</v>
      </c>
      <c r="M36" s="26">
        <f ca="1">SOLID!Q51</f>
        <v>-5.1749999999999998</v>
      </c>
      <c r="N36" s="26">
        <f ca="1">SOLID!R51</f>
        <v>-5.2469999999999999</v>
      </c>
      <c r="O36" s="26">
        <f ca="1">SOLID!S51</f>
        <v>-5.3179999999999996</v>
      </c>
      <c r="P36" s="26">
        <f ca="1">SOLID!T51</f>
        <v>-5.3890000000000002</v>
      </c>
      <c r="Q36" s="26">
        <f ca="1">SOLID!U51</f>
        <v>-5.4580000000000002</v>
      </c>
      <c r="R36" s="26">
        <f ca="1">SOLID!V51</f>
        <v>-5.7869999999999999</v>
      </c>
      <c r="S36" s="26">
        <f ca="1">SOLID!W51</f>
        <v>-6.3879999999999999</v>
      </c>
      <c r="T36" s="26">
        <f ca="1">SOLID!X51</f>
        <v>-6.5250000000000004</v>
      </c>
      <c r="U36" s="26">
        <f ca="1">SOLID!Y51</f>
        <v>-6.6580000000000004</v>
      </c>
      <c r="V36" s="26">
        <f ca="1">SOLID!Z51</f>
        <v>-6.7869999999999999</v>
      </c>
      <c r="W36" s="26">
        <f ca="1">SOLID!AA51</f>
        <v>-6.9109999999999996</v>
      </c>
      <c r="X36" s="26">
        <f ca="1">SOLID!AB51</f>
        <v>0</v>
      </c>
      <c r="Y36" s="26">
        <f ca="1">SOLID!AC51</f>
        <v>0</v>
      </c>
      <c r="Z36" s="26">
        <f ca="1">SOLID!AD51</f>
        <v>0</v>
      </c>
      <c r="AA36" s="26">
        <f ca="1">SOLID!AE51</f>
        <v>0</v>
      </c>
      <c r="AB36" s="26">
        <f ca="1">SOLID!AF51</f>
        <v>0</v>
      </c>
      <c r="AC36" s="26">
        <f ca="1">SOLID!AG51</f>
        <v>0</v>
      </c>
      <c r="AD36" s="26">
        <f ca="1">SOLID!AH51</f>
        <v>0</v>
      </c>
      <c r="AE36" s="26">
        <f ca="1">SOLID!AI51</f>
        <v>0</v>
      </c>
      <c r="AF36" s="26">
        <f ca="1">SOLID!AJ51</f>
        <v>0</v>
      </c>
      <c r="AG36" s="26">
        <f ca="1">SOLID!AK51</f>
        <v>0</v>
      </c>
      <c r="AH36" s="26">
        <f ca="1">SOLID!AL51</f>
        <v>0</v>
      </c>
      <c r="AI36" s="26">
        <f>SOLID!AM51</f>
        <v>0</v>
      </c>
    </row>
    <row r="37" spans="1:45" ht="21.75" hidden="1" outlineLevel="1" thickBot="1" x14ac:dyDescent="0.4">
      <c r="A37" s="59" t="str">
        <f>SOLID!E52</f>
        <v>*GeSe</v>
      </c>
      <c r="B37" s="26">
        <f ca="1">SOLID!F52</f>
        <v>-37.24</v>
      </c>
      <c r="C37" s="26">
        <f ca="1">SOLID!G52</f>
        <v>-34.47</v>
      </c>
      <c r="D37" s="26">
        <f ca="1">SOLID!H52</f>
        <v>-32.269999999999996</v>
      </c>
      <c r="E37" s="26">
        <f ca="1">SOLID!I52</f>
        <v>-30.479999999999997</v>
      </c>
      <c r="F37" s="26">
        <f ca="1">SOLID!J52</f>
        <v>-29.001000000000001</v>
      </c>
      <c r="G37" s="26">
        <f ca="1">SOLID!K52</f>
        <v>-27.77</v>
      </c>
      <c r="H37" s="26">
        <f ca="1">SOLID!L52</f>
        <v>-26.746000000000002</v>
      </c>
      <c r="I37" s="26">
        <f ca="1">SOLID!M52</f>
        <v>-26.651000000000003</v>
      </c>
      <c r="J37" s="26">
        <f ca="1">SOLID!N52</f>
        <v>-27.242999999999999</v>
      </c>
      <c r="K37" s="26">
        <f ca="1">SOLID!O52</f>
        <v>-29.513000000000002</v>
      </c>
      <c r="L37" s="26">
        <f ca="1">SOLID!P52</f>
        <v>-31.643000000000001</v>
      </c>
      <c r="M37" s="26">
        <f ca="1">SOLID!Q52</f>
        <v>-33.664999999999999</v>
      </c>
      <c r="N37" s="26">
        <f ca="1">SOLID!R52</f>
        <v>-34.146999999999998</v>
      </c>
      <c r="O37" s="26">
        <f ca="1">SOLID!S52</f>
        <v>-34.628</v>
      </c>
      <c r="P37" s="26">
        <f ca="1">SOLID!T52</f>
        <v>-35.109000000000002</v>
      </c>
      <c r="Q37" s="26">
        <f ca="1">SOLID!U52</f>
        <v>-35.578000000000003</v>
      </c>
      <c r="R37" s="26">
        <f ca="1">SOLID!V52</f>
        <v>-37.477000000000004</v>
      </c>
      <c r="S37" s="26">
        <f ca="1">SOLID!W52</f>
        <v>-39.607999999999997</v>
      </c>
      <c r="T37" s="26">
        <f ca="1">SOLID!X52</f>
        <v>-40.115000000000002</v>
      </c>
      <c r="U37" s="26">
        <f ca="1">SOLID!Y52</f>
        <v>-40.628</v>
      </c>
      <c r="V37" s="26">
        <f ca="1">SOLID!Z52</f>
        <v>-41.127000000000002</v>
      </c>
      <c r="W37" s="26">
        <f ca="1">SOLID!AA52</f>
        <v>-41.621000000000002</v>
      </c>
      <c r="X37" s="26">
        <f ca="1">SOLID!AB52</f>
        <v>0</v>
      </c>
      <c r="Y37" s="26">
        <f ca="1">SOLID!AC52</f>
        <v>0</v>
      </c>
      <c r="Z37" s="26">
        <f ca="1">SOLID!AD52</f>
        <v>0</v>
      </c>
      <c r="AA37" s="26">
        <f ca="1">SOLID!AE52</f>
        <v>0</v>
      </c>
      <c r="AB37" s="26">
        <f ca="1">SOLID!AF52</f>
        <v>0</v>
      </c>
      <c r="AC37" s="26">
        <f ca="1">SOLID!AG52</f>
        <v>0</v>
      </c>
      <c r="AD37" s="26">
        <f ca="1">SOLID!AH52</f>
        <v>0</v>
      </c>
      <c r="AE37" s="26">
        <f ca="1">SOLID!AI52</f>
        <v>0</v>
      </c>
      <c r="AF37" s="26">
        <f ca="1">SOLID!AJ52</f>
        <v>0</v>
      </c>
      <c r="AG37" s="26">
        <f ca="1">SOLID!AK52</f>
        <v>0</v>
      </c>
      <c r="AH37" s="26">
        <f ca="1">SOLID!AL52</f>
        <v>0</v>
      </c>
      <c r="AI37" s="26">
        <f>SOLID!AM52</f>
        <v>0</v>
      </c>
    </row>
    <row r="38" spans="1:45" ht="21.75" hidden="1" outlineLevel="1" thickBot="1" x14ac:dyDescent="0.4">
      <c r="A38" s="59" t="str">
        <f>SOLID!E53</f>
        <v>*Ga</v>
      </c>
      <c r="B38" s="26">
        <f ca="1">SOLID!F53</f>
        <v>-60.99</v>
      </c>
      <c r="C38" s="26">
        <f ca="1">SOLID!G53</f>
        <v>-55.39</v>
      </c>
      <c r="D38" s="26">
        <f ca="1">SOLID!H53</f>
        <v>-48.92</v>
      </c>
      <c r="E38" s="26">
        <f ca="1">SOLID!I53</f>
        <v>-42.66</v>
      </c>
      <c r="F38" s="26">
        <f ca="1">SOLID!J53</f>
        <v>-37.28</v>
      </c>
      <c r="G38" s="26">
        <f ca="1">SOLID!K53</f>
        <v>-32.6</v>
      </c>
      <c r="H38" s="26">
        <f ca="1">SOLID!L53</f>
        <v>-28.48</v>
      </c>
      <c r="I38" s="26">
        <f ca="1">SOLID!M53</f>
        <v>-25.41</v>
      </c>
      <c r="J38" s="26">
        <f ca="1">SOLID!N53</f>
        <v>-26.73</v>
      </c>
      <c r="K38" s="26">
        <f ca="1">SOLID!O53</f>
        <v>-31.78</v>
      </c>
      <c r="L38" s="26">
        <f ca="1">SOLID!P53</f>
        <v>-36.28</v>
      </c>
      <c r="M38" s="26">
        <f ca="1">SOLID!Q53</f>
        <v>-40.049999999999997</v>
      </c>
      <c r="N38" s="26">
        <f ca="1">SOLID!R53</f>
        <v>-40.86</v>
      </c>
      <c r="O38" s="26">
        <f ca="1">SOLID!S53</f>
        <v>-41.61</v>
      </c>
      <c r="P38" s="26">
        <f ca="1">SOLID!T53</f>
        <v>-42.31</v>
      </c>
      <c r="Q38" s="26">
        <f ca="1">SOLID!U53</f>
        <v>-42.94</v>
      </c>
      <c r="R38" s="26">
        <f ca="1">SOLID!V53</f>
        <v>-44.86</v>
      </c>
      <c r="S38" s="26">
        <f ca="1">SOLID!W53</f>
        <v>-45.72</v>
      </c>
      <c r="T38" s="26">
        <f ca="1">SOLID!X53</f>
        <v>-45.76</v>
      </c>
      <c r="U38" s="26">
        <f ca="1">SOLID!Y53</f>
        <v>-45.74</v>
      </c>
      <c r="V38" s="26">
        <f ca="1">SOLID!Z53</f>
        <v>-45.64</v>
      </c>
      <c r="W38" s="26">
        <f ca="1">SOLID!AA53</f>
        <v>-45.47</v>
      </c>
      <c r="X38" s="26">
        <f ca="1">SOLID!AB53</f>
        <v>0</v>
      </c>
      <c r="Y38" s="26">
        <f ca="1">SOLID!AC53</f>
        <v>0</v>
      </c>
      <c r="Z38" s="26">
        <f ca="1">SOLID!AD53</f>
        <v>0</v>
      </c>
      <c r="AA38" s="26">
        <f ca="1">SOLID!AE53</f>
        <v>0</v>
      </c>
      <c r="AB38" s="26">
        <f ca="1">SOLID!AF53</f>
        <v>0</v>
      </c>
      <c r="AC38" s="26">
        <f ca="1">SOLID!AG53</f>
        <v>0</v>
      </c>
      <c r="AD38" s="26">
        <f ca="1">SOLID!AH53</f>
        <v>0</v>
      </c>
      <c r="AE38" s="26">
        <f ca="1">SOLID!AI53</f>
        <v>0</v>
      </c>
      <c r="AF38" s="26">
        <f ca="1">SOLID!AJ53</f>
        <v>0</v>
      </c>
      <c r="AG38" s="26">
        <f ca="1">SOLID!AK53</f>
        <v>0</v>
      </c>
      <c r="AH38" s="26">
        <f ca="1">SOLID!AL53</f>
        <v>0</v>
      </c>
      <c r="AI38" s="26">
        <f>SOLID!AM53</f>
        <v>0</v>
      </c>
    </row>
    <row r="39" spans="1:45" ht="21.75" hidden="1" outlineLevel="1" thickBot="1" x14ac:dyDescent="0.4">
      <c r="A39" s="59" t="str">
        <f>SOLID!E54</f>
        <v>*Ge[c]</v>
      </c>
      <c r="B39" s="26">
        <f ca="1">SOLID!F54</f>
        <v>-15.35</v>
      </c>
      <c r="C39" s="26">
        <f ca="1">SOLID!G54</f>
        <v>-14.36</v>
      </c>
      <c r="D39" s="26">
        <f ca="1">SOLID!H54</f>
        <v>-12.3</v>
      </c>
      <c r="E39" s="26">
        <f ca="1">SOLID!I54</f>
        <v>-10.01</v>
      </c>
      <c r="F39" s="26">
        <f ca="1">SOLID!J54</f>
        <v>-8.0210000000000008</v>
      </c>
      <c r="G39" s="26">
        <f ca="1">SOLID!K54</f>
        <v>-6.28</v>
      </c>
      <c r="H39" s="26">
        <f ca="1">SOLID!L54</f>
        <v>-4.7359999999999998</v>
      </c>
      <c r="I39" s="26">
        <f ca="1">SOLID!M54</f>
        <v>-4.141</v>
      </c>
      <c r="J39" s="26">
        <f ca="1">SOLID!N54</f>
        <v>-4.2229999999999999</v>
      </c>
      <c r="K39" s="26">
        <f ca="1">SOLID!O54</f>
        <v>-4.5529999999999999</v>
      </c>
      <c r="L39" s="26">
        <f ca="1">SOLID!P54</f>
        <v>-4.8730000000000002</v>
      </c>
      <c r="M39" s="26">
        <f ca="1">SOLID!Q54</f>
        <v>-5.1749999999999998</v>
      </c>
      <c r="N39" s="26">
        <f ca="1">SOLID!R54</f>
        <v>-5.2469999999999999</v>
      </c>
      <c r="O39" s="26">
        <f ca="1">SOLID!S54</f>
        <v>-5.3179999999999996</v>
      </c>
      <c r="P39" s="26">
        <f ca="1">SOLID!T54</f>
        <v>-5.3890000000000002</v>
      </c>
      <c r="Q39" s="26">
        <f ca="1">SOLID!U54</f>
        <v>-5.4580000000000002</v>
      </c>
      <c r="R39" s="26">
        <f ca="1">SOLID!V54</f>
        <v>-5.7869999999999999</v>
      </c>
      <c r="S39" s="26">
        <f ca="1">SOLID!W54</f>
        <v>-6.3879999999999999</v>
      </c>
      <c r="T39" s="26">
        <f ca="1">SOLID!X54</f>
        <v>-6.5250000000000004</v>
      </c>
      <c r="U39" s="26">
        <f ca="1">SOLID!Y54</f>
        <v>-6.6580000000000004</v>
      </c>
      <c r="V39" s="26">
        <f ca="1">SOLID!Z54</f>
        <v>-6.7869999999999999</v>
      </c>
      <c r="W39" s="26">
        <f ca="1">SOLID!AA54</f>
        <v>-6.9109999999999996</v>
      </c>
      <c r="X39" s="26">
        <f ca="1">SOLID!AB54</f>
        <v>0</v>
      </c>
      <c r="Y39" s="26">
        <f ca="1">SOLID!AC54</f>
        <v>0</v>
      </c>
      <c r="Z39" s="26">
        <f ca="1">SOLID!AD54</f>
        <v>0</v>
      </c>
      <c r="AA39" s="26">
        <f ca="1">SOLID!AE54</f>
        <v>0</v>
      </c>
      <c r="AB39" s="26">
        <f ca="1">SOLID!AF54</f>
        <v>0</v>
      </c>
      <c r="AC39" s="26">
        <f ca="1">SOLID!AG54</f>
        <v>0</v>
      </c>
      <c r="AD39" s="26">
        <f ca="1">SOLID!AH54</f>
        <v>0</v>
      </c>
      <c r="AE39" s="26">
        <f ca="1">SOLID!AI54</f>
        <v>0</v>
      </c>
      <c r="AF39" s="26">
        <f ca="1">SOLID!AJ54</f>
        <v>0</v>
      </c>
      <c r="AG39" s="26">
        <f ca="1">SOLID!AK54</f>
        <v>0</v>
      </c>
      <c r="AH39" s="26">
        <f ca="1">SOLID!AL54</f>
        <v>0</v>
      </c>
      <c r="AI39" s="26">
        <f>SOLID!AM54</f>
        <v>0</v>
      </c>
    </row>
    <row r="40" spans="1:45" ht="21.75" hidden="1" outlineLevel="1" thickBot="1" x14ac:dyDescent="0.4">
      <c r="A40" s="59" t="str">
        <f>SOLID!E55</f>
        <v>*Se[m]</v>
      </c>
      <c r="B40" s="26">
        <f ca="1">SOLID!F55</f>
        <v>-21.89</v>
      </c>
      <c r="C40" s="26">
        <f ca="1">SOLID!G55</f>
        <v>-20.11</v>
      </c>
      <c r="D40" s="26">
        <f ca="1">SOLID!H55</f>
        <v>-19.97</v>
      </c>
      <c r="E40" s="26">
        <f ca="1">SOLID!I55</f>
        <v>-20.47</v>
      </c>
      <c r="F40" s="26">
        <f ca="1">SOLID!J55</f>
        <v>-20.98</v>
      </c>
      <c r="G40" s="26">
        <f ca="1">SOLID!K55</f>
        <v>-21.49</v>
      </c>
      <c r="H40" s="26">
        <f ca="1">SOLID!L55</f>
        <v>-22.01</v>
      </c>
      <c r="I40" s="26">
        <f ca="1">SOLID!M55</f>
        <v>-22.51</v>
      </c>
      <c r="J40" s="26">
        <f ca="1">SOLID!N55</f>
        <v>-23.02</v>
      </c>
      <c r="K40" s="26">
        <f ca="1">SOLID!O55</f>
        <v>-24.96</v>
      </c>
      <c r="L40" s="26">
        <f ca="1">SOLID!P55</f>
        <v>-26.77</v>
      </c>
      <c r="M40" s="26">
        <f ca="1">SOLID!Q55</f>
        <v>-28.49</v>
      </c>
      <c r="N40" s="26">
        <f ca="1">SOLID!R55</f>
        <v>-28.9</v>
      </c>
      <c r="O40" s="26">
        <f ca="1">SOLID!S55</f>
        <v>-29.31</v>
      </c>
      <c r="P40" s="26">
        <f ca="1">SOLID!T55</f>
        <v>-29.72</v>
      </c>
      <c r="Q40" s="26">
        <f ca="1">SOLID!U55</f>
        <v>-30.12</v>
      </c>
      <c r="R40" s="26">
        <f ca="1">SOLID!V55</f>
        <v>-31.69</v>
      </c>
      <c r="S40" s="26">
        <f ca="1">SOLID!W55</f>
        <v>-33.22</v>
      </c>
      <c r="T40" s="26">
        <f ca="1">SOLID!X55</f>
        <v>-33.590000000000003</v>
      </c>
      <c r="U40" s="26">
        <f ca="1">SOLID!Y55</f>
        <v>-33.97</v>
      </c>
      <c r="V40" s="26">
        <f ca="1">SOLID!Z55</f>
        <v>-34.340000000000003</v>
      </c>
      <c r="W40" s="26">
        <f ca="1">SOLID!AA55</f>
        <v>-34.71</v>
      </c>
      <c r="X40" s="26">
        <f ca="1">SOLID!AB55</f>
        <v>0</v>
      </c>
      <c r="Y40" s="26">
        <f ca="1">SOLID!AC55</f>
        <v>0</v>
      </c>
      <c r="Z40" s="26">
        <f ca="1">SOLID!AD55</f>
        <v>0</v>
      </c>
      <c r="AA40" s="26">
        <f ca="1">SOLID!AE55</f>
        <v>0</v>
      </c>
      <c r="AB40" s="26">
        <f ca="1">SOLID!AF55</f>
        <v>0</v>
      </c>
      <c r="AC40" s="26">
        <f ca="1">SOLID!AG55</f>
        <v>0</v>
      </c>
      <c r="AD40" s="26">
        <f ca="1">SOLID!AH55</f>
        <v>0</v>
      </c>
      <c r="AE40" s="26">
        <f ca="1">SOLID!AI55</f>
        <v>0</v>
      </c>
      <c r="AF40" s="26">
        <f ca="1">SOLID!AJ55</f>
        <v>0</v>
      </c>
      <c r="AG40" s="26">
        <f ca="1">SOLID!AK55</f>
        <v>0</v>
      </c>
      <c r="AH40" s="26">
        <f ca="1">SOLID!AL55</f>
        <v>0</v>
      </c>
      <c r="AI40" s="26">
        <f>SOLID!AM55</f>
        <v>0</v>
      </c>
    </row>
    <row r="41" spans="1:45" ht="21.75" hidden="1" outlineLevel="1" thickBot="1" x14ac:dyDescent="0.4">
      <c r="A41" s="59" t="str">
        <f>SOLID!E56</f>
        <v>*GeSe2</v>
      </c>
      <c r="B41" s="26">
        <f ca="1">SOLID!F56</f>
        <v>-59.13</v>
      </c>
      <c r="C41" s="26">
        <f ca="1">SOLID!G56</f>
        <v>-54.58</v>
      </c>
      <c r="D41" s="26">
        <f ca="1">SOLID!H56</f>
        <v>-52.239999999999995</v>
      </c>
      <c r="E41" s="26">
        <f ca="1">SOLID!I56</f>
        <v>-50.949999999999996</v>
      </c>
      <c r="F41" s="26">
        <f ca="1">SOLID!J56</f>
        <v>-49.981000000000002</v>
      </c>
      <c r="G41" s="26">
        <f ca="1">SOLID!K56</f>
        <v>-49.26</v>
      </c>
      <c r="H41" s="26">
        <f ca="1">SOLID!L56</f>
        <v>-48.756</v>
      </c>
      <c r="I41" s="26">
        <f ca="1">SOLID!M56</f>
        <v>-49.161000000000001</v>
      </c>
      <c r="J41" s="26">
        <f ca="1">SOLID!N56</f>
        <v>-50.262999999999998</v>
      </c>
      <c r="K41" s="26">
        <f ca="1">SOLID!O56</f>
        <v>-54.472999999999999</v>
      </c>
      <c r="L41" s="26">
        <f ca="1">SOLID!P56</f>
        <v>-58.412999999999997</v>
      </c>
      <c r="M41" s="26">
        <f ca="1">SOLID!Q56</f>
        <v>-62.154999999999994</v>
      </c>
      <c r="N41" s="26">
        <f ca="1">SOLID!R56</f>
        <v>-63.046999999999997</v>
      </c>
      <c r="O41" s="26">
        <f ca="1">SOLID!S56</f>
        <v>-63.937999999999995</v>
      </c>
      <c r="P41" s="26">
        <f ca="1">SOLID!T56</f>
        <v>-64.828999999999994</v>
      </c>
      <c r="Q41" s="26">
        <f ca="1">SOLID!U56</f>
        <v>-65.698000000000008</v>
      </c>
      <c r="R41" s="26">
        <f ca="1">SOLID!V56</f>
        <v>-69.167000000000002</v>
      </c>
      <c r="S41" s="26">
        <f ca="1">SOLID!W56</f>
        <v>-72.828000000000003</v>
      </c>
      <c r="T41" s="26">
        <f ca="1">SOLID!X56</f>
        <v>-73.705000000000013</v>
      </c>
      <c r="U41" s="26">
        <f ca="1">SOLID!Y56</f>
        <v>-74.597999999999999</v>
      </c>
      <c r="V41" s="26">
        <f ca="1">SOLID!Z56</f>
        <v>-75.467000000000013</v>
      </c>
      <c r="W41" s="26">
        <f ca="1">SOLID!AA56</f>
        <v>-76.331000000000003</v>
      </c>
      <c r="X41" s="26">
        <f ca="1">SOLID!AB56</f>
        <v>0</v>
      </c>
      <c r="Y41" s="26">
        <f ca="1">SOLID!AC56</f>
        <v>0</v>
      </c>
      <c r="Z41" s="26">
        <f ca="1">SOLID!AD56</f>
        <v>0</v>
      </c>
      <c r="AA41" s="26">
        <f ca="1">SOLID!AE56</f>
        <v>0</v>
      </c>
      <c r="AB41" s="26">
        <f ca="1">SOLID!AF56</f>
        <v>0</v>
      </c>
      <c r="AC41" s="26">
        <f ca="1">SOLID!AG56</f>
        <v>0</v>
      </c>
      <c r="AD41" s="26">
        <f ca="1">SOLID!AH56</f>
        <v>0</v>
      </c>
      <c r="AE41" s="26">
        <f ca="1">SOLID!AI56</f>
        <v>0</v>
      </c>
      <c r="AF41" s="26">
        <f ca="1">SOLID!AJ56</f>
        <v>0</v>
      </c>
      <c r="AG41" s="26">
        <f ca="1">SOLID!AK56</f>
        <v>0</v>
      </c>
      <c r="AH41" s="26">
        <f ca="1">SOLID!AL56</f>
        <v>0</v>
      </c>
      <c r="AI41" s="26">
        <f>SOLID!AM56</f>
        <v>0</v>
      </c>
    </row>
    <row r="42" spans="1:45" ht="21.75" hidden="1" outlineLevel="1" thickBot="1" x14ac:dyDescent="0.4">
      <c r="A42" s="59" t="str">
        <f>SOLID!E57</f>
        <v>*Ga2Se3</v>
      </c>
      <c r="B42" s="26">
        <f ca="1">SOLID!F57</f>
        <v>-187.65</v>
      </c>
      <c r="C42" s="26">
        <f ca="1">SOLID!G57</f>
        <v>-171.11</v>
      </c>
      <c r="D42" s="26">
        <f ca="1">SOLID!H57</f>
        <v>-157.75</v>
      </c>
      <c r="E42" s="26">
        <f ca="1">SOLID!I57</f>
        <v>-146.72999999999999</v>
      </c>
      <c r="F42" s="26">
        <f ca="1">SOLID!J57</f>
        <v>-137.5</v>
      </c>
      <c r="G42" s="26">
        <f ca="1">SOLID!K57</f>
        <v>-129.67000000000002</v>
      </c>
      <c r="H42" s="26">
        <f ca="1">SOLID!L57</f>
        <v>-122.99000000000001</v>
      </c>
      <c r="I42" s="26">
        <f ca="1">SOLID!M57</f>
        <v>-118.35</v>
      </c>
      <c r="J42" s="26">
        <f ca="1">SOLID!N57</f>
        <v>-122.52000000000001</v>
      </c>
      <c r="K42" s="26">
        <f ca="1">SOLID!O57</f>
        <v>-138.44</v>
      </c>
      <c r="L42" s="26">
        <f ca="1">SOLID!P57</f>
        <v>-152.87</v>
      </c>
      <c r="M42" s="26">
        <f ca="1">SOLID!Q57</f>
        <v>-165.57</v>
      </c>
      <c r="N42" s="26">
        <f ca="1">SOLID!R57</f>
        <v>-168.42</v>
      </c>
      <c r="O42" s="26">
        <f ca="1">SOLID!S57</f>
        <v>-171.14999999999998</v>
      </c>
      <c r="P42" s="26">
        <f ca="1">SOLID!T57</f>
        <v>-173.78</v>
      </c>
      <c r="Q42" s="26">
        <f ca="1">SOLID!U57</f>
        <v>-176.24</v>
      </c>
      <c r="R42" s="26">
        <f ca="1">SOLID!V57</f>
        <v>-184.79000000000002</v>
      </c>
      <c r="S42" s="26">
        <f ca="1">SOLID!W57</f>
        <v>-191.1</v>
      </c>
      <c r="T42" s="26">
        <f ca="1">SOLID!X57</f>
        <v>-192.29000000000002</v>
      </c>
      <c r="U42" s="26">
        <f ca="1">SOLID!Y57</f>
        <v>-193.39</v>
      </c>
      <c r="V42" s="26">
        <f ca="1">SOLID!Z57</f>
        <v>-194.3</v>
      </c>
      <c r="W42" s="26">
        <f ca="1">SOLID!AA57</f>
        <v>-195.07</v>
      </c>
      <c r="X42" s="26">
        <f ca="1">SOLID!AB57</f>
        <v>0</v>
      </c>
      <c r="Y42" s="26">
        <f ca="1">SOLID!AC57</f>
        <v>0</v>
      </c>
      <c r="Z42" s="26">
        <f ca="1">SOLID!AD57</f>
        <v>0</v>
      </c>
      <c r="AA42" s="26">
        <f ca="1">SOLID!AE57</f>
        <v>0</v>
      </c>
      <c r="AB42" s="26">
        <f ca="1">SOLID!AF57</f>
        <v>0</v>
      </c>
      <c r="AC42" s="26">
        <f ca="1">SOLID!AG57</f>
        <v>0</v>
      </c>
      <c r="AD42" s="26">
        <f ca="1">SOLID!AH57</f>
        <v>0</v>
      </c>
      <c r="AE42" s="26">
        <f ca="1">SOLID!AI57</f>
        <v>0</v>
      </c>
      <c r="AF42" s="26">
        <f ca="1">SOLID!AJ57</f>
        <v>0</v>
      </c>
      <c r="AG42" s="26">
        <f ca="1">SOLID!AK57</f>
        <v>0</v>
      </c>
      <c r="AH42" s="26">
        <f ca="1">SOLID!AL57</f>
        <v>0</v>
      </c>
      <c r="AI42" s="26">
        <f>SOLID!AM57</f>
        <v>0</v>
      </c>
    </row>
    <row r="43" spans="1:45" ht="21.75" hidden="1" outlineLevel="1" thickBot="1" x14ac:dyDescent="0.4">
      <c r="A43" s="59" t="str">
        <f>SOLID!E58</f>
        <v>Ge2</v>
      </c>
      <c r="B43" s="26">
        <f ca="1">SOLID!F58</f>
        <v>-30.7</v>
      </c>
      <c r="C43" s="26">
        <f ca="1">SOLID!G58</f>
        <v>-28.72</v>
      </c>
      <c r="D43" s="26">
        <f ca="1">SOLID!H58</f>
        <v>-24.6</v>
      </c>
      <c r="E43" s="26">
        <f ca="1">SOLID!I58</f>
        <v>-20.02</v>
      </c>
      <c r="F43" s="26">
        <f ca="1">SOLID!J58</f>
        <v>-16.042000000000002</v>
      </c>
      <c r="G43" s="26">
        <f ca="1">SOLID!K58</f>
        <v>-12.56</v>
      </c>
      <c r="H43" s="26">
        <f ca="1">SOLID!L58</f>
        <v>-9.4719999999999995</v>
      </c>
      <c r="I43" s="26">
        <f ca="1">SOLID!M58</f>
        <v>-8.282</v>
      </c>
      <c r="J43" s="26">
        <f ca="1">SOLID!N58</f>
        <v>-8.4459999999999997</v>
      </c>
      <c r="K43" s="26">
        <f ca="1">SOLID!O58</f>
        <v>-9.1059999999999999</v>
      </c>
      <c r="L43" s="26">
        <f ca="1">SOLID!P58</f>
        <v>-9.7460000000000004</v>
      </c>
      <c r="M43" s="26">
        <f ca="1">SOLID!Q58</f>
        <v>-10.35</v>
      </c>
      <c r="N43" s="26">
        <f ca="1">SOLID!R58</f>
        <v>-10.494</v>
      </c>
      <c r="O43" s="26">
        <f ca="1">SOLID!S58</f>
        <v>-10.635999999999999</v>
      </c>
      <c r="P43" s="26">
        <f ca="1">SOLID!T58</f>
        <v>-10.778</v>
      </c>
      <c r="Q43" s="26">
        <f ca="1">SOLID!U58</f>
        <v>-10.916</v>
      </c>
      <c r="R43" s="26">
        <f ca="1">SOLID!V58</f>
        <v>-11.574</v>
      </c>
      <c r="S43" s="26">
        <f ca="1">SOLID!W58</f>
        <v>-12.776</v>
      </c>
      <c r="T43" s="26">
        <f ca="1">SOLID!X58</f>
        <v>-13.05</v>
      </c>
      <c r="U43" s="26">
        <f ca="1">SOLID!Y58</f>
        <v>-13.316000000000001</v>
      </c>
      <c r="V43" s="26">
        <f ca="1">SOLID!Z58</f>
        <v>-13.574</v>
      </c>
      <c r="W43" s="26">
        <f ca="1">SOLID!AA58</f>
        <v>-13.821999999999999</v>
      </c>
      <c r="X43" s="26">
        <f ca="1">SOLID!AB58</f>
        <v>0</v>
      </c>
      <c r="Y43" s="26">
        <f ca="1">SOLID!AC58</f>
        <v>0</v>
      </c>
      <c r="Z43" s="26">
        <f ca="1">SOLID!AD58</f>
        <v>0</v>
      </c>
      <c r="AA43" s="26">
        <f ca="1">SOLID!AE58</f>
        <v>0</v>
      </c>
      <c r="AB43" s="26">
        <f ca="1">SOLID!AF58</f>
        <v>0</v>
      </c>
      <c r="AC43" s="26">
        <f ca="1">SOLID!AG58</f>
        <v>0</v>
      </c>
      <c r="AD43" s="26">
        <f ca="1">SOLID!AH58</f>
        <v>0</v>
      </c>
      <c r="AE43" s="26">
        <f ca="1">SOLID!AI58</f>
        <v>0</v>
      </c>
      <c r="AF43" s="26">
        <f ca="1">SOLID!AJ58</f>
        <v>0</v>
      </c>
      <c r="AG43" s="26">
        <f ca="1">SOLID!AK58</f>
        <v>0</v>
      </c>
      <c r="AH43" s="26">
        <f ca="1">SOLID!AL58</f>
        <v>0</v>
      </c>
      <c r="AI43" s="26">
        <f>SOLID!AM58</f>
        <v>0</v>
      </c>
    </row>
    <row r="44" spans="1:45" ht="21.75" hidden="1" outlineLevel="1" thickBot="1" x14ac:dyDescent="0.4">
      <c r="A44" s="59" t="str">
        <f>SOLID!E59</f>
        <v>Ge</v>
      </c>
      <c r="B44" s="26">
        <f ca="1">SOLID!F59</f>
        <v>-15.35</v>
      </c>
      <c r="C44" s="26">
        <f ca="1">SOLID!G59</f>
        <v>-14.36</v>
      </c>
      <c r="D44" s="26">
        <f ca="1">SOLID!H59</f>
        <v>-12.3</v>
      </c>
      <c r="E44" s="26">
        <f ca="1">SOLID!I59</f>
        <v>-10.01</v>
      </c>
      <c r="F44" s="26">
        <f ca="1">SOLID!J59</f>
        <v>-8.0210000000000008</v>
      </c>
      <c r="G44" s="26">
        <f ca="1">SOLID!K59</f>
        <v>-6.28</v>
      </c>
      <c r="H44" s="26">
        <f ca="1">SOLID!L59</f>
        <v>-4.7359999999999998</v>
      </c>
      <c r="I44" s="26">
        <f ca="1">SOLID!M59</f>
        <v>-4.141</v>
      </c>
      <c r="J44" s="26">
        <f ca="1">SOLID!N59</f>
        <v>-4.2229999999999999</v>
      </c>
      <c r="K44" s="26">
        <f ca="1">SOLID!O59</f>
        <v>-4.5529999999999999</v>
      </c>
      <c r="L44" s="26">
        <f ca="1">SOLID!P59</f>
        <v>-4.8730000000000002</v>
      </c>
      <c r="M44" s="26">
        <f ca="1">SOLID!Q59</f>
        <v>-5.1749999999999998</v>
      </c>
      <c r="N44" s="26">
        <f ca="1">SOLID!R59</f>
        <v>-5.2469999999999999</v>
      </c>
      <c r="O44" s="26">
        <f ca="1">SOLID!S59</f>
        <v>-5.3179999999999996</v>
      </c>
      <c r="P44" s="26">
        <f ca="1">SOLID!T59</f>
        <v>-5.3890000000000002</v>
      </c>
      <c r="Q44" s="26">
        <f ca="1">SOLID!U59</f>
        <v>-5.4580000000000002</v>
      </c>
      <c r="R44" s="26">
        <f ca="1">SOLID!V59</f>
        <v>-5.7869999999999999</v>
      </c>
      <c r="S44" s="26">
        <f ca="1">SOLID!W59</f>
        <v>-6.3879999999999999</v>
      </c>
      <c r="T44" s="26">
        <f ca="1">SOLID!X59</f>
        <v>-6.5250000000000004</v>
      </c>
      <c r="U44" s="26">
        <f ca="1">SOLID!Y59</f>
        <v>-6.6580000000000004</v>
      </c>
      <c r="V44" s="26">
        <f ca="1">SOLID!Z59</f>
        <v>-6.7869999999999999</v>
      </c>
      <c r="W44" s="26">
        <f ca="1">SOLID!AA59</f>
        <v>-6.9109999999999996</v>
      </c>
      <c r="X44" s="26">
        <f ca="1">SOLID!AB59</f>
        <v>0</v>
      </c>
      <c r="Y44" s="26">
        <f ca="1">SOLID!AC59</f>
        <v>0</v>
      </c>
      <c r="Z44" s="26">
        <f ca="1">SOLID!AD59</f>
        <v>0</v>
      </c>
      <c r="AA44" s="26">
        <f ca="1">SOLID!AE59</f>
        <v>0</v>
      </c>
      <c r="AB44" s="26">
        <f ca="1">SOLID!AF59</f>
        <v>0</v>
      </c>
      <c r="AC44" s="26">
        <f ca="1">SOLID!AG59</f>
        <v>0</v>
      </c>
      <c r="AD44" s="26">
        <f ca="1">SOLID!AH59</f>
        <v>0</v>
      </c>
      <c r="AE44" s="26">
        <f ca="1">SOLID!AI59</f>
        <v>0</v>
      </c>
      <c r="AF44" s="26">
        <f ca="1">SOLID!AJ59</f>
        <v>0</v>
      </c>
      <c r="AG44" s="26">
        <f ca="1">SOLID!AK59</f>
        <v>0</v>
      </c>
      <c r="AH44" s="26">
        <f ca="1">SOLID!AL59</f>
        <v>0</v>
      </c>
      <c r="AI44" s="26">
        <f>SOLID!AM59</f>
        <v>0</v>
      </c>
    </row>
    <row r="45" spans="1:45" ht="21.75" hidden="1" outlineLevel="1" thickBot="1" x14ac:dyDescent="0.4">
      <c r="A45" s="59" t="str">
        <f>SOLID!E60</f>
        <v>Ar</v>
      </c>
      <c r="B45" s="26">
        <f ca="1">SOLID!F60</f>
        <v>-19.02</v>
      </c>
      <c r="C45" s="26">
        <f ca="1">SOLID!G60</f>
        <v>-19.03</v>
      </c>
      <c r="D45" s="26">
        <f ca="1">SOLID!H60</f>
        <v>-19.059999999999999</v>
      </c>
      <c r="E45" s="26">
        <f ca="1">SOLID!I60</f>
        <v>-19.11</v>
      </c>
      <c r="F45" s="26">
        <f ca="1">SOLID!J60</f>
        <v>-19.170000000000002</v>
      </c>
      <c r="G45" s="26">
        <f ca="1">SOLID!K60</f>
        <v>-19.23</v>
      </c>
      <c r="H45" s="26">
        <f ca="1">SOLID!L60</f>
        <v>-19.3</v>
      </c>
      <c r="I45" s="26">
        <f ca="1">SOLID!M60</f>
        <v>-19.07</v>
      </c>
      <c r="J45" s="26">
        <f ca="1">SOLID!N60</f>
        <v>-19.03</v>
      </c>
      <c r="K45" s="26">
        <f ca="1">SOLID!O60</f>
        <v>-19.309999999999999</v>
      </c>
      <c r="L45" s="26">
        <f ca="1">SOLID!P60</f>
        <v>-19.57</v>
      </c>
      <c r="M45" s="26">
        <f ca="1">SOLID!Q60</f>
        <v>-19.82</v>
      </c>
      <c r="N45" s="26">
        <f ca="1">SOLID!R60</f>
        <v>-19.88</v>
      </c>
      <c r="O45" s="26">
        <f ca="1">SOLID!S60</f>
        <v>-19.940000000000001</v>
      </c>
      <c r="P45" s="26">
        <f ca="1">SOLID!T60</f>
        <v>-20</v>
      </c>
      <c r="Q45" s="26">
        <f ca="1">SOLID!U60</f>
        <v>-20.05</v>
      </c>
      <c r="R45" s="26">
        <f ca="1">SOLID!V60</f>
        <v>-20.260000000000002</v>
      </c>
      <c r="S45" s="26">
        <f ca="1">SOLID!W60</f>
        <v>-20.46</v>
      </c>
      <c r="T45" s="26">
        <f ca="1">SOLID!X60</f>
        <v>-20.51</v>
      </c>
      <c r="U45" s="26">
        <f ca="1">SOLID!Y60</f>
        <v>-20.56</v>
      </c>
      <c r="V45" s="26">
        <f ca="1">SOLID!Z60</f>
        <v>-20.6</v>
      </c>
      <c r="W45" s="26">
        <f ca="1">SOLID!AA60</f>
        <v>-20.65</v>
      </c>
      <c r="X45" s="26">
        <f ca="1">SOLID!AB60</f>
        <v>0</v>
      </c>
      <c r="Y45" s="26">
        <f ca="1">SOLID!AC60</f>
        <v>0</v>
      </c>
      <c r="Z45" s="26">
        <f ca="1">SOLID!AD60</f>
        <v>0</v>
      </c>
      <c r="AA45" s="26">
        <f ca="1">SOLID!AE60</f>
        <v>0</v>
      </c>
      <c r="AB45" s="26">
        <f ca="1">SOLID!AF60</f>
        <v>0</v>
      </c>
      <c r="AC45" s="26">
        <f ca="1">SOLID!AG60</f>
        <v>0</v>
      </c>
      <c r="AD45" s="26">
        <f ca="1">SOLID!AH60</f>
        <v>0</v>
      </c>
      <c r="AE45" s="26">
        <f ca="1">SOLID!AI60</f>
        <v>0</v>
      </c>
      <c r="AF45" s="26">
        <f ca="1">SOLID!AJ60</f>
        <v>0</v>
      </c>
      <c r="AG45" s="26">
        <f ca="1">SOLID!AK60</f>
        <v>0</v>
      </c>
      <c r="AH45" s="26">
        <f ca="1">SOLID!AL60</f>
        <v>0</v>
      </c>
      <c r="AI45" s="26">
        <f>SOLID!AM60</f>
        <v>0</v>
      </c>
    </row>
    <row r="46" spans="1:45" ht="21.75" hidden="1" outlineLevel="1" thickBot="1" x14ac:dyDescent="0.4">
      <c r="A46" s="59" t="str">
        <f>SOLID!E61</f>
        <v>(l)Ge[l]</v>
      </c>
      <c r="B46" s="26">
        <f ca="1">SOLID!F61</f>
        <v>-15.35</v>
      </c>
      <c r="C46" s="26">
        <f ca="1">SOLID!G61</f>
        <v>-14.36</v>
      </c>
      <c r="D46" s="26">
        <f ca="1">SOLID!H61</f>
        <v>-12.3</v>
      </c>
      <c r="E46" s="26">
        <f ca="1">SOLID!I61</f>
        <v>-10.01</v>
      </c>
      <c r="F46" s="26">
        <f ca="1">SOLID!J61</f>
        <v>-8.0210000000000008</v>
      </c>
      <c r="G46" s="26">
        <f ca="1">SOLID!K61</f>
        <v>-6.28</v>
      </c>
      <c r="H46" s="26">
        <f ca="1">SOLID!L61</f>
        <v>-4.7359999999999998</v>
      </c>
      <c r="I46" s="26">
        <f ca="1">SOLID!M61</f>
        <v>-4.141</v>
      </c>
      <c r="J46" s="26">
        <f ca="1">SOLID!N61</f>
        <v>-4.2229999999999999</v>
      </c>
      <c r="K46" s="26">
        <f ca="1">SOLID!O61</f>
        <v>-4.5529999999999999</v>
      </c>
      <c r="L46" s="26">
        <f ca="1">SOLID!P61</f>
        <v>-4.8730000000000002</v>
      </c>
      <c r="M46" s="26">
        <f ca="1">SOLID!Q61</f>
        <v>-5.1749999999999998</v>
      </c>
      <c r="N46" s="26">
        <f ca="1">SOLID!R61</f>
        <v>-5.2469999999999999</v>
      </c>
      <c r="O46" s="26">
        <f ca="1">SOLID!S61</f>
        <v>-5.3179999999999996</v>
      </c>
      <c r="P46" s="26">
        <f ca="1">SOLID!T61</f>
        <v>-5.3890000000000002</v>
      </c>
      <c r="Q46" s="26">
        <f ca="1">SOLID!U61</f>
        <v>-5.4580000000000002</v>
      </c>
      <c r="R46" s="26">
        <f ca="1">SOLID!V61</f>
        <v>-5.7869999999999999</v>
      </c>
      <c r="S46" s="26">
        <f ca="1">SOLID!W61</f>
        <v>-6.3879999999999999</v>
      </c>
      <c r="T46" s="26">
        <f ca="1">SOLID!X61</f>
        <v>-6.5250000000000004</v>
      </c>
      <c r="U46" s="26">
        <f ca="1">SOLID!Y61</f>
        <v>-6.6580000000000004</v>
      </c>
      <c r="V46" s="26">
        <f ca="1">SOLID!Z61</f>
        <v>-6.7869999999999999</v>
      </c>
      <c r="W46" s="26">
        <f ca="1">SOLID!AA61</f>
        <v>-6.9109999999999996</v>
      </c>
      <c r="X46" s="26">
        <f ca="1">SOLID!AB61</f>
        <v>0</v>
      </c>
      <c r="Y46" s="26">
        <f ca="1">SOLID!AC61</f>
        <v>0</v>
      </c>
      <c r="Z46" s="26">
        <f ca="1">SOLID!AD61</f>
        <v>0</v>
      </c>
      <c r="AA46" s="26">
        <f ca="1">SOLID!AE61</f>
        <v>0</v>
      </c>
      <c r="AB46" s="26">
        <f ca="1">SOLID!AF61</f>
        <v>0</v>
      </c>
      <c r="AC46" s="26">
        <f ca="1">SOLID!AG61</f>
        <v>0</v>
      </c>
      <c r="AD46" s="26">
        <f ca="1">SOLID!AH61</f>
        <v>0</v>
      </c>
      <c r="AE46" s="26">
        <f ca="1">SOLID!AI61</f>
        <v>0</v>
      </c>
      <c r="AF46" s="26">
        <f ca="1">SOLID!AJ61</f>
        <v>0</v>
      </c>
      <c r="AG46" s="26">
        <f ca="1">SOLID!AK61</f>
        <v>0</v>
      </c>
      <c r="AH46" s="26">
        <f ca="1">SOLID!AL61</f>
        <v>0</v>
      </c>
      <c r="AI46" s="26">
        <f>SOLID!AM61</f>
        <v>0</v>
      </c>
    </row>
    <row r="47" spans="1:45" ht="21.75" hidden="1" outlineLevel="1" thickBot="1" x14ac:dyDescent="0.4">
      <c r="A47" s="59" t="str">
        <f>SOLID!E62</f>
        <v>H (Ar)</v>
      </c>
      <c r="B47" s="26">
        <f ca="1">SOLID!F62</f>
        <v>-19.02</v>
      </c>
      <c r="C47" s="26">
        <f ca="1">SOLID!G62</f>
        <v>-19.03</v>
      </c>
      <c r="D47" s="26">
        <f ca="1">SOLID!H62</f>
        <v>-19.059999999999999</v>
      </c>
      <c r="E47" s="26">
        <f ca="1">SOLID!I62</f>
        <v>-19.11</v>
      </c>
      <c r="F47" s="26">
        <f ca="1">SOLID!J62</f>
        <v>-19.170000000000002</v>
      </c>
      <c r="G47" s="26">
        <f ca="1">SOLID!K62</f>
        <v>-19.23</v>
      </c>
      <c r="H47" s="26">
        <f ca="1">SOLID!L62</f>
        <v>-19.3</v>
      </c>
      <c r="I47" s="26">
        <f ca="1">SOLID!M62</f>
        <v>-19.07</v>
      </c>
      <c r="J47" s="26">
        <f ca="1">SOLID!N62</f>
        <v>-19.03</v>
      </c>
      <c r="K47" s="26">
        <f ca="1">SOLID!O62</f>
        <v>-19.309999999999999</v>
      </c>
      <c r="L47" s="26">
        <f ca="1">SOLID!P62</f>
        <v>-19.57</v>
      </c>
      <c r="M47" s="26">
        <f ca="1">SOLID!Q62</f>
        <v>-19.82</v>
      </c>
      <c r="N47" s="26">
        <f ca="1">SOLID!R62</f>
        <v>-19.88</v>
      </c>
      <c r="O47" s="26">
        <f ca="1">SOLID!S62</f>
        <v>-19.940000000000001</v>
      </c>
      <c r="P47" s="26">
        <f ca="1">SOLID!T62</f>
        <v>-20</v>
      </c>
      <c r="Q47" s="26">
        <f ca="1">SOLID!U62</f>
        <v>-20.05</v>
      </c>
      <c r="R47" s="26">
        <f ca="1">SOLID!V62</f>
        <v>-20.260000000000002</v>
      </c>
      <c r="S47" s="26">
        <f ca="1">SOLID!W62</f>
        <v>-20.46</v>
      </c>
      <c r="T47" s="26">
        <f ca="1">SOLID!X62</f>
        <v>-20.51</v>
      </c>
      <c r="U47" s="26">
        <f ca="1">SOLID!Y62</f>
        <v>-20.56</v>
      </c>
      <c r="V47" s="26">
        <f ca="1">SOLID!Z62</f>
        <v>-20.6</v>
      </c>
      <c r="W47" s="26">
        <f ca="1">SOLID!AA62</f>
        <v>-20.65</v>
      </c>
      <c r="X47" s="26">
        <f ca="1">SOLID!AB62</f>
        <v>0</v>
      </c>
      <c r="Y47" s="26">
        <f ca="1">SOLID!AC62</f>
        <v>0</v>
      </c>
      <c r="Z47" s="26">
        <f ca="1">SOLID!AD62</f>
        <v>0</v>
      </c>
      <c r="AA47" s="26">
        <f ca="1">SOLID!AE62</f>
        <v>0</v>
      </c>
      <c r="AB47" s="26">
        <f ca="1">SOLID!AF62</f>
        <v>0</v>
      </c>
      <c r="AC47" s="26">
        <f ca="1">SOLID!AG62</f>
        <v>0</v>
      </c>
      <c r="AD47" s="26">
        <f ca="1">SOLID!AH62</f>
        <v>0</v>
      </c>
      <c r="AE47" s="26">
        <f ca="1">SOLID!AI62</f>
        <v>0</v>
      </c>
      <c r="AF47" s="26">
        <f ca="1">SOLID!AJ62</f>
        <v>0</v>
      </c>
      <c r="AG47" s="26">
        <f ca="1">SOLID!AK62</f>
        <v>0</v>
      </c>
      <c r="AH47" s="26">
        <f ca="1">SOLID!AL62</f>
        <v>0</v>
      </c>
      <c r="AI47" s="26">
        <f>SOLID!AM62</f>
        <v>0</v>
      </c>
    </row>
    <row r="48" spans="1:45" ht="21.75" hidden="1" outlineLevel="1" thickBot="1" x14ac:dyDescent="0.4">
      <c r="A48" s="59" t="str">
        <f>SOLID!E63</f>
        <v>H (Ga)</v>
      </c>
      <c r="B48" s="26">
        <f ca="1">SOLID!F63</f>
        <v>-60.99</v>
      </c>
      <c r="C48" s="26">
        <f ca="1">SOLID!G63</f>
        <v>-55.39</v>
      </c>
      <c r="D48" s="26">
        <f ca="1">SOLID!H63</f>
        <v>-48.92</v>
      </c>
      <c r="E48" s="26">
        <f ca="1">SOLID!I63</f>
        <v>-42.66</v>
      </c>
      <c r="F48" s="26">
        <f ca="1">SOLID!J63</f>
        <v>-37.28</v>
      </c>
      <c r="G48" s="26">
        <f ca="1">SOLID!K63</f>
        <v>-32.6</v>
      </c>
      <c r="H48" s="26">
        <f ca="1">SOLID!L63</f>
        <v>-28.48</v>
      </c>
      <c r="I48" s="26">
        <f ca="1">SOLID!M63</f>
        <v>-25.41</v>
      </c>
      <c r="J48" s="26">
        <f ca="1">SOLID!N63</f>
        <v>-26.73</v>
      </c>
      <c r="K48" s="26">
        <f ca="1">SOLID!O63</f>
        <v>-31.78</v>
      </c>
      <c r="L48" s="26">
        <f ca="1">SOLID!P63</f>
        <v>-36.28</v>
      </c>
      <c r="M48" s="26">
        <f ca="1">SOLID!Q63</f>
        <v>-40.049999999999997</v>
      </c>
      <c r="N48" s="26">
        <f ca="1">SOLID!R63</f>
        <v>-40.86</v>
      </c>
      <c r="O48" s="26">
        <f ca="1">SOLID!S63</f>
        <v>-41.61</v>
      </c>
      <c r="P48" s="26">
        <f ca="1">SOLID!T63</f>
        <v>-42.31</v>
      </c>
      <c r="Q48" s="26">
        <f ca="1">SOLID!U63</f>
        <v>-42.94</v>
      </c>
      <c r="R48" s="26">
        <f ca="1">SOLID!V63</f>
        <v>-44.86</v>
      </c>
      <c r="S48" s="26">
        <f ca="1">SOLID!W63</f>
        <v>-45.72</v>
      </c>
      <c r="T48" s="26">
        <f ca="1">SOLID!X63</f>
        <v>-45.76</v>
      </c>
      <c r="U48" s="26">
        <f ca="1">SOLID!Y63</f>
        <v>-45.74</v>
      </c>
      <c r="V48" s="26">
        <f ca="1">SOLID!Z63</f>
        <v>-45.64</v>
      </c>
      <c r="W48" s="26">
        <f ca="1">SOLID!AA63</f>
        <v>-45.47</v>
      </c>
      <c r="X48" s="26">
        <f ca="1">SOLID!AB63</f>
        <v>0</v>
      </c>
      <c r="Y48" s="26">
        <f ca="1">SOLID!AC63</f>
        <v>0</v>
      </c>
      <c r="Z48" s="26">
        <f ca="1">SOLID!AD63</f>
        <v>0</v>
      </c>
      <c r="AA48" s="26">
        <f ca="1">SOLID!AE63</f>
        <v>0</v>
      </c>
      <c r="AB48" s="26">
        <f ca="1">SOLID!AF63</f>
        <v>0</v>
      </c>
      <c r="AC48" s="26">
        <f ca="1">SOLID!AG63</f>
        <v>0</v>
      </c>
      <c r="AD48" s="26">
        <f ca="1">SOLID!AH63</f>
        <v>0</v>
      </c>
      <c r="AE48" s="26">
        <f ca="1">SOLID!AI63</f>
        <v>0</v>
      </c>
      <c r="AF48" s="26">
        <f ca="1">SOLID!AJ63</f>
        <v>0</v>
      </c>
      <c r="AG48" s="26">
        <f ca="1">SOLID!AK63</f>
        <v>0</v>
      </c>
      <c r="AH48" s="26">
        <f ca="1">SOLID!AL63</f>
        <v>0</v>
      </c>
      <c r="AI48" s="26">
        <f>SOLID!AM63</f>
        <v>0</v>
      </c>
    </row>
    <row r="49" spans="1:35" ht="21.75" hidden="1" outlineLevel="1" thickBot="1" x14ac:dyDescent="0.4">
      <c r="A49" s="59" t="str">
        <f>SOLID!E64</f>
        <v>H (Ge)</v>
      </c>
      <c r="B49" s="26">
        <f ca="1">SOLID!F64</f>
        <v>-15.35</v>
      </c>
      <c r="C49" s="26">
        <f ca="1">SOLID!G64</f>
        <v>-14.36</v>
      </c>
      <c r="D49" s="26">
        <f ca="1">SOLID!H64</f>
        <v>-12.3</v>
      </c>
      <c r="E49" s="26">
        <f ca="1">SOLID!I64</f>
        <v>-10.01</v>
      </c>
      <c r="F49" s="26">
        <f ca="1">SOLID!J64</f>
        <v>-8.0210000000000008</v>
      </c>
      <c r="G49" s="26">
        <f ca="1">SOLID!K64</f>
        <v>-6.28</v>
      </c>
      <c r="H49" s="26">
        <f ca="1">SOLID!L64</f>
        <v>-4.7359999999999998</v>
      </c>
      <c r="I49" s="26">
        <f ca="1">SOLID!M64</f>
        <v>-4.141</v>
      </c>
      <c r="J49" s="26">
        <f ca="1">SOLID!N64</f>
        <v>-4.2229999999999999</v>
      </c>
      <c r="K49" s="26">
        <f ca="1">SOLID!O64</f>
        <v>-4.5529999999999999</v>
      </c>
      <c r="L49" s="26">
        <f ca="1">SOLID!P64</f>
        <v>-4.8730000000000002</v>
      </c>
      <c r="M49" s="26">
        <f ca="1">SOLID!Q64</f>
        <v>-5.1749999999999998</v>
      </c>
      <c r="N49" s="26">
        <f ca="1">SOLID!R64</f>
        <v>-5.2469999999999999</v>
      </c>
      <c r="O49" s="26">
        <f ca="1">SOLID!S64</f>
        <v>-5.3179999999999996</v>
      </c>
      <c r="P49" s="26">
        <f ca="1">SOLID!T64</f>
        <v>-5.3890000000000002</v>
      </c>
      <c r="Q49" s="26">
        <f ca="1">SOLID!U64</f>
        <v>-5.4580000000000002</v>
      </c>
      <c r="R49" s="26">
        <f ca="1">SOLID!V64</f>
        <v>-5.7869999999999999</v>
      </c>
      <c r="S49" s="26">
        <f ca="1">SOLID!W64</f>
        <v>-6.3879999999999999</v>
      </c>
      <c r="T49" s="26">
        <f ca="1">SOLID!X64</f>
        <v>-6.5250000000000004</v>
      </c>
      <c r="U49" s="26">
        <f ca="1">SOLID!Y64</f>
        <v>-6.6580000000000004</v>
      </c>
      <c r="V49" s="26">
        <f ca="1">SOLID!Z64</f>
        <v>-6.7869999999999999</v>
      </c>
      <c r="W49" s="26">
        <f ca="1">SOLID!AA64</f>
        <v>-6.9109999999999996</v>
      </c>
      <c r="X49" s="26">
        <f ca="1">SOLID!AB64</f>
        <v>0</v>
      </c>
      <c r="Y49" s="26">
        <f ca="1">SOLID!AC64</f>
        <v>0</v>
      </c>
      <c r="Z49" s="26">
        <f ca="1">SOLID!AD64</f>
        <v>0</v>
      </c>
      <c r="AA49" s="26">
        <f ca="1">SOLID!AE64</f>
        <v>0</v>
      </c>
      <c r="AB49" s="26">
        <f ca="1">SOLID!AF64</f>
        <v>0</v>
      </c>
      <c r="AC49" s="26">
        <f ca="1">SOLID!AG64</f>
        <v>0</v>
      </c>
      <c r="AD49" s="26">
        <f ca="1">SOLID!AH64</f>
        <v>0</v>
      </c>
      <c r="AE49" s="26">
        <f ca="1">SOLID!AI64</f>
        <v>0</v>
      </c>
      <c r="AF49" s="26">
        <f ca="1">SOLID!AJ64</f>
        <v>0</v>
      </c>
      <c r="AG49" s="26">
        <f ca="1">SOLID!AK64</f>
        <v>0</v>
      </c>
      <c r="AH49" s="26">
        <f ca="1">SOLID!AL64</f>
        <v>0</v>
      </c>
      <c r="AI49" s="26">
        <f>SOLID!AM64</f>
        <v>0</v>
      </c>
    </row>
    <row r="50" spans="1:35" ht="21.75" hidden="1" outlineLevel="1" thickBot="1" x14ac:dyDescent="0.4">
      <c r="A50" s="59" t="str">
        <f>SOLID!E65</f>
        <v>H (Se)</v>
      </c>
      <c r="B50" s="26">
        <f ca="1">SOLID!F65</f>
        <v>-21.89</v>
      </c>
      <c r="C50" s="26">
        <f ca="1">SOLID!G65</f>
        <v>-20.11</v>
      </c>
      <c r="D50" s="26">
        <f ca="1">SOLID!H65</f>
        <v>-19.97</v>
      </c>
      <c r="E50" s="26">
        <f ca="1">SOLID!I65</f>
        <v>-20.47</v>
      </c>
      <c r="F50" s="26">
        <f ca="1">SOLID!J65</f>
        <v>-20.98</v>
      </c>
      <c r="G50" s="26">
        <f ca="1">SOLID!K65</f>
        <v>-21.49</v>
      </c>
      <c r="H50" s="26">
        <f ca="1">SOLID!L65</f>
        <v>-22.01</v>
      </c>
      <c r="I50" s="26">
        <f ca="1">SOLID!M65</f>
        <v>-22.51</v>
      </c>
      <c r="J50" s="26">
        <f ca="1">SOLID!N65</f>
        <v>-23.02</v>
      </c>
      <c r="K50" s="26">
        <f ca="1">SOLID!O65</f>
        <v>-24.96</v>
      </c>
      <c r="L50" s="26">
        <f ca="1">SOLID!P65</f>
        <v>-26.77</v>
      </c>
      <c r="M50" s="26">
        <f ca="1">SOLID!Q65</f>
        <v>-28.49</v>
      </c>
      <c r="N50" s="26">
        <f ca="1">SOLID!R65</f>
        <v>-28.9</v>
      </c>
      <c r="O50" s="26">
        <f ca="1">SOLID!S65</f>
        <v>-29.31</v>
      </c>
      <c r="P50" s="26">
        <f ca="1">SOLID!T65</f>
        <v>-29.72</v>
      </c>
      <c r="Q50" s="26">
        <f ca="1">SOLID!U65</f>
        <v>-30.12</v>
      </c>
      <c r="R50" s="26">
        <f ca="1">SOLID!V65</f>
        <v>-31.69</v>
      </c>
      <c r="S50" s="26">
        <f ca="1">SOLID!W65</f>
        <v>-33.22</v>
      </c>
      <c r="T50" s="26">
        <f ca="1">SOLID!X65</f>
        <v>-33.590000000000003</v>
      </c>
      <c r="U50" s="26">
        <f ca="1">SOLID!Y65</f>
        <v>-33.97</v>
      </c>
      <c r="V50" s="26">
        <f ca="1">SOLID!Z65</f>
        <v>-34.340000000000003</v>
      </c>
      <c r="W50" s="26">
        <f ca="1">SOLID!AA65</f>
        <v>-34.71</v>
      </c>
      <c r="X50" s="26">
        <f ca="1">SOLID!AB65</f>
        <v>0</v>
      </c>
      <c r="Y50" s="26">
        <f ca="1">SOLID!AC65</f>
        <v>0</v>
      </c>
      <c r="Z50" s="26">
        <f ca="1">SOLID!AD65</f>
        <v>0</v>
      </c>
      <c r="AA50" s="26">
        <f ca="1">SOLID!AE65</f>
        <v>0</v>
      </c>
      <c r="AB50" s="26">
        <f ca="1">SOLID!AF65</f>
        <v>0</v>
      </c>
      <c r="AC50" s="26">
        <f ca="1">SOLID!AG65</f>
        <v>0</v>
      </c>
      <c r="AD50" s="26">
        <f ca="1">SOLID!AH65</f>
        <v>0</v>
      </c>
      <c r="AE50" s="26">
        <f ca="1">SOLID!AI65</f>
        <v>0</v>
      </c>
      <c r="AF50" s="26">
        <f ca="1">SOLID!AJ65</f>
        <v>0</v>
      </c>
      <c r="AG50" s="26">
        <f ca="1">SOLID!AK65</f>
        <v>0</v>
      </c>
      <c r="AH50" s="26">
        <f ca="1">SOLID!AL65</f>
        <v>0</v>
      </c>
      <c r="AI50" s="26">
        <f>SOLID!AM65</f>
        <v>0</v>
      </c>
    </row>
    <row r="51" spans="1:35" ht="21.75" hidden="1" outlineLevel="1" thickBot="1" x14ac:dyDescent="0.4">
      <c r="A51" s="59">
        <f>SOLID!E66</f>
        <v>0</v>
      </c>
      <c r="B51" s="26">
        <f ca="1">SOLID!F66</f>
        <v>0</v>
      </c>
      <c r="C51" s="26">
        <f ca="1">SOLID!G66</f>
        <v>0</v>
      </c>
      <c r="D51" s="26">
        <f ca="1">SOLID!H66</f>
        <v>0</v>
      </c>
      <c r="E51" s="26">
        <f ca="1">SOLID!I66</f>
        <v>0</v>
      </c>
      <c r="F51" s="26">
        <f ca="1">SOLID!J66</f>
        <v>0</v>
      </c>
      <c r="G51" s="26">
        <f ca="1">SOLID!K66</f>
        <v>0</v>
      </c>
      <c r="H51" s="26">
        <f ca="1">SOLID!L66</f>
        <v>0</v>
      </c>
      <c r="I51" s="26">
        <f ca="1">SOLID!M66</f>
        <v>0</v>
      </c>
      <c r="J51" s="26">
        <f ca="1">SOLID!N66</f>
        <v>0</v>
      </c>
      <c r="K51" s="26">
        <f ca="1">SOLID!O66</f>
        <v>0</v>
      </c>
      <c r="L51" s="26">
        <f ca="1">SOLID!P66</f>
        <v>0</v>
      </c>
      <c r="M51" s="26">
        <f ca="1">SOLID!Q66</f>
        <v>0</v>
      </c>
      <c r="N51" s="26">
        <f ca="1">SOLID!R66</f>
        <v>0</v>
      </c>
      <c r="O51" s="26">
        <f ca="1">SOLID!S66</f>
        <v>0</v>
      </c>
      <c r="P51" s="26">
        <f ca="1">SOLID!T66</f>
        <v>0</v>
      </c>
      <c r="Q51" s="26">
        <f ca="1">SOLID!U66</f>
        <v>0</v>
      </c>
      <c r="R51" s="26">
        <f ca="1">SOLID!V66</f>
        <v>0</v>
      </c>
      <c r="S51" s="26">
        <f ca="1">SOLID!W66</f>
        <v>0</v>
      </c>
      <c r="T51" s="26">
        <f ca="1">SOLID!X66</f>
        <v>0</v>
      </c>
      <c r="U51" s="26">
        <f ca="1">SOLID!Y66</f>
        <v>0</v>
      </c>
      <c r="V51" s="26">
        <f ca="1">SOLID!Z66</f>
        <v>0</v>
      </c>
      <c r="W51" s="26">
        <f ca="1">SOLID!AA66</f>
        <v>0</v>
      </c>
      <c r="X51" s="26">
        <f ca="1">SOLID!AB66</f>
        <v>0</v>
      </c>
      <c r="Y51" s="26">
        <f ca="1">SOLID!AC66</f>
        <v>0</v>
      </c>
      <c r="Z51" s="26">
        <f ca="1">SOLID!AD66</f>
        <v>0</v>
      </c>
      <c r="AA51" s="26">
        <f ca="1">SOLID!AE66</f>
        <v>0</v>
      </c>
      <c r="AB51" s="26">
        <f ca="1">SOLID!AF66</f>
        <v>0</v>
      </c>
      <c r="AC51" s="26">
        <f ca="1">SOLID!AG66</f>
        <v>0</v>
      </c>
      <c r="AD51" s="26">
        <f ca="1">SOLID!AH66</f>
        <v>0</v>
      </c>
      <c r="AE51" s="26">
        <f ca="1">SOLID!AI66</f>
        <v>0</v>
      </c>
      <c r="AF51" s="26">
        <f ca="1">SOLID!AJ66</f>
        <v>0</v>
      </c>
      <c r="AG51" s="26">
        <f ca="1">SOLID!AK66</f>
        <v>0</v>
      </c>
      <c r="AH51" s="26">
        <f ca="1">SOLID!AL66</f>
        <v>0</v>
      </c>
      <c r="AI51" s="26">
        <f>SOLID!AM66</f>
        <v>0</v>
      </c>
    </row>
    <row r="52" spans="1:35" ht="21.75" hidden="1" outlineLevel="1" thickBot="1" x14ac:dyDescent="0.4">
      <c r="A52" s="59">
        <f>SOLID!E67</f>
        <v>0</v>
      </c>
      <c r="B52" s="26">
        <f ca="1">SOLID!F67</f>
        <v>0</v>
      </c>
      <c r="C52" s="26">
        <f ca="1">SOLID!G67</f>
        <v>0</v>
      </c>
      <c r="D52" s="26">
        <f ca="1">SOLID!H67</f>
        <v>0</v>
      </c>
      <c r="E52" s="26">
        <f ca="1">SOLID!I67</f>
        <v>0</v>
      </c>
      <c r="F52" s="26">
        <f ca="1">SOLID!J67</f>
        <v>0</v>
      </c>
      <c r="G52" s="26">
        <f ca="1">SOLID!K67</f>
        <v>0</v>
      </c>
      <c r="H52" s="26">
        <f ca="1">SOLID!L67</f>
        <v>0</v>
      </c>
      <c r="I52" s="26">
        <f ca="1">SOLID!M67</f>
        <v>0</v>
      </c>
      <c r="J52" s="26">
        <f ca="1">SOLID!N67</f>
        <v>0</v>
      </c>
      <c r="K52" s="26">
        <f ca="1">SOLID!O67</f>
        <v>0</v>
      </c>
      <c r="L52" s="26">
        <f ca="1">SOLID!P67</f>
        <v>0</v>
      </c>
      <c r="M52" s="26">
        <f ca="1">SOLID!Q67</f>
        <v>0</v>
      </c>
      <c r="N52" s="26">
        <f ca="1">SOLID!R67</f>
        <v>0</v>
      </c>
      <c r="O52" s="26">
        <f ca="1">SOLID!S67</f>
        <v>0</v>
      </c>
      <c r="P52" s="26">
        <f ca="1">SOLID!T67</f>
        <v>0</v>
      </c>
      <c r="Q52" s="26">
        <f ca="1">SOLID!U67</f>
        <v>0</v>
      </c>
      <c r="R52" s="26">
        <f ca="1">SOLID!V67</f>
        <v>0</v>
      </c>
      <c r="S52" s="26">
        <f ca="1">SOLID!W67</f>
        <v>0</v>
      </c>
      <c r="T52" s="26">
        <f ca="1">SOLID!X67</f>
        <v>0</v>
      </c>
      <c r="U52" s="26">
        <f ca="1">SOLID!Y67</f>
        <v>0</v>
      </c>
      <c r="V52" s="26">
        <f ca="1">SOLID!Z67</f>
        <v>0</v>
      </c>
      <c r="W52" s="26">
        <f ca="1">SOLID!AA67</f>
        <v>0</v>
      </c>
      <c r="X52" s="26">
        <f ca="1">SOLID!AB67</f>
        <v>0</v>
      </c>
      <c r="Y52" s="26">
        <f ca="1">SOLID!AC67</f>
        <v>0</v>
      </c>
      <c r="Z52" s="26">
        <f ca="1">SOLID!AD67</f>
        <v>0</v>
      </c>
      <c r="AA52" s="26">
        <f ca="1">SOLID!AE67</f>
        <v>0</v>
      </c>
      <c r="AB52" s="26">
        <f ca="1">SOLID!AF67</f>
        <v>0</v>
      </c>
      <c r="AC52" s="26">
        <f ca="1">SOLID!AG67</f>
        <v>0</v>
      </c>
      <c r="AD52" s="26">
        <f ca="1">SOLID!AH67</f>
        <v>0</v>
      </c>
      <c r="AE52" s="26">
        <f ca="1">SOLID!AI67</f>
        <v>0</v>
      </c>
      <c r="AF52" s="26">
        <f ca="1">SOLID!AJ67</f>
        <v>0</v>
      </c>
      <c r="AG52" s="26">
        <f ca="1">SOLID!AK67</f>
        <v>0</v>
      </c>
      <c r="AH52" s="26">
        <f ca="1">SOLID!AL67</f>
        <v>0</v>
      </c>
      <c r="AI52" s="26">
        <f>SOLID!AM67</f>
        <v>0</v>
      </c>
    </row>
    <row r="53" spans="1:35" ht="21.75" hidden="1" outlineLevel="1" thickBot="1" x14ac:dyDescent="0.4">
      <c r="A53" s="59">
        <f>SOLID!E68</f>
        <v>0</v>
      </c>
      <c r="B53" s="26">
        <f ca="1">SOLID!F68</f>
        <v>0</v>
      </c>
      <c r="C53" s="26">
        <f ca="1">SOLID!G68</f>
        <v>0</v>
      </c>
      <c r="D53" s="26">
        <f ca="1">SOLID!H68</f>
        <v>0</v>
      </c>
      <c r="E53" s="26">
        <f ca="1">SOLID!I68</f>
        <v>0</v>
      </c>
      <c r="F53" s="26">
        <f ca="1">SOLID!J68</f>
        <v>0</v>
      </c>
      <c r="G53" s="26">
        <f ca="1">SOLID!K68</f>
        <v>0</v>
      </c>
      <c r="H53" s="26">
        <f ca="1">SOLID!L68</f>
        <v>0</v>
      </c>
      <c r="I53" s="26">
        <f ca="1">SOLID!M68</f>
        <v>0</v>
      </c>
      <c r="J53" s="26">
        <f ca="1">SOLID!N68</f>
        <v>0</v>
      </c>
      <c r="K53" s="26">
        <f ca="1">SOLID!O68</f>
        <v>0</v>
      </c>
      <c r="L53" s="26">
        <f ca="1">SOLID!P68</f>
        <v>0</v>
      </c>
      <c r="M53" s="26">
        <f ca="1">SOLID!Q68</f>
        <v>0</v>
      </c>
      <c r="N53" s="26">
        <f ca="1">SOLID!R68</f>
        <v>0</v>
      </c>
      <c r="O53" s="26">
        <f ca="1">SOLID!S68</f>
        <v>0</v>
      </c>
      <c r="P53" s="26">
        <f ca="1">SOLID!T68</f>
        <v>0</v>
      </c>
      <c r="Q53" s="26">
        <f ca="1">SOLID!U68</f>
        <v>0</v>
      </c>
      <c r="R53" s="26">
        <f ca="1">SOLID!V68</f>
        <v>0</v>
      </c>
      <c r="S53" s="26">
        <f ca="1">SOLID!W68</f>
        <v>0</v>
      </c>
      <c r="T53" s="26">
        <f ca="1">SOLID!X68</f>
        <v>0</v>
      </c>
      <c r="U53" s="26">
        <f ca="1">SOLID!Y68</f>
        <v>0</v>
      </c>
      <c r="V53" s="26">
        <f ca="1">SOLID!Z68</f>
        <v>0</v>
      </c>
      <c r="W53" s="26">
        <f ca="1">SOLID!AA68</f>
        <v>0</v>
      </c>
      <c r="X53" s="26">
        <f ca="1">SOLID!AB68</f>
        <v>0</v>
      </c>
      <c r="Y53" s="26">
        <f ca="1">SOLID!AC68</f>
        <v>0</v>
      </c>
      <c r="Z53" s="26">
        <f ca="1">SOLID!AD68</f>
        <v>0</v>
      </c>
      <c r="AA53" s="26">
        <f ca="1">SOLID!AE68</f>
        <v>0</v>
      </c>
      <c r="AB53" s="26">
        <f ca="1">SOLID!AF68</f>
        <v>0</v>
      </c>
      <c r="AC53" s="26">
        <f ca="1">SOLID!AG68</f>
        <v>0</v>
      </c>
      <c r="AD53" s="26">
        <f ca="1">SOLID!AH68</f>
        <v>0</v>
      </c>
      <c r="AE53" s="26">
        <f ca="1">SOLID!AI68</f>
        <v>0</v>
      </c>
      <c r="AF53" s="26">
        <f ca="1">SOLID!AJ68</f>
        <v>0</v>
      </c>
      <c r="AG53" s="26">
        <f ca="1">SOLID!AK68</f>
        <v>0</v>
      </c>
      <c r="AH53" s="26">
        <f ca="1">SOLID!AL68</f>
        <v>0</v>
      </c>
      <c r="AI53" s="26">
        <f>SOLID!AM68</f>
        <v>0</v>
      </c>
    </row>
    <row r="54" spans="1:35" ht="21.75" hidden="1" outlineLevel="1" thickBot="1" x14ac:dyDescent="0.4">
      <c r="A54" s="59">
        <f>SOLID!E69</f>
        <v>0</v>
      </c>
      <c r="B54" s="26">
        <f ca="1">SOLID!F69</f>
        <v>0</v>
      </c>
      <c r="C54" s="26">
        <f ca="1">SOLID!G69</f>
        <v>0</v>
      </c>
      <c r="D54" s="26">
        <f ca="1">SOLID!H69</f>
        <v>0</v>
      </c>
      <c r="E54" s="26">
        <f ca="1">SOLID!I69</f>
        <v>0</v>
      </c>
      <c r="F54" s="26">
        <f ca="1">SOLID!J69</f>
        <v>0</v>
      </c>
      <c r="G54" s="26">
        <f ca="1">SOLID!K69</f>
        <v>0</v>
      </c>
      <c r="H54" s="26">
        <f ca="1">SOLID!L69</f>
        <v>0</v>
      </c>
      <c r="I54" s="26">
        <f ca="1">SOLID!M69</f>
        <v>0</v>
      </c>
      <c r="J54" s="26">
        <f ca="1">SOLID!N69</f>
        <v>0</v>
      </c>
      <c r="K54" s="26">
        <f ca="1">SOLID!O69</f>
        <v>0</v>
      </c>
      <c r="L54" s="26">
        <f ca="1">SOLID!P69</f>
        <v>0</v>
      </c>
      <c r="M54" s="26">
        <f ca="1">SOLID!Q69</f>
        <v>0</v>
      </c>
      <c r="N54" s="26">
        <f ca="1">SOLID!R69</f>
        <v>0</v>
      </c>
      <c r="O54" s="26">
        <f ca="1">SOLID!S69</f>
        <v>0</v>
      </c>
      <c r="P54" s="26">
        <f ca="1">SOLID!T69</f>
        <v>0</v>
      </c>
      <c r="Q54" s="26">
        <f ca="1">SOLID!U69</f>
        <v>0</v>
      </c>
      <c r="R54" s="26">
        <f ca="1">SOLID!V69</f>
        <v>0</v>
      </c>
      <c r="S54" s="26">
        <f ca="1">SOLID!W69</f>
        <v>0</v>
      </c>
      <c r="T54" s="26">
        <f ca="1">SOLID!X69</f>
        <v>0</v>
      </c>
      <c r="U54" s="26">
        <f ca="1">SOLID!Y69</f>
        <v>0</v>
      </c>
      <c r="V54" s="26">
        <f ca="1">SOLID!Z69</f>
        <v>0</v>
      </c>
      <c r="W54" s="26">
        <f ca="1">SOLID!AA69</f>
        <v>0</v>
      </c>
      <c r="X54" s="26">
        <f ca="1">SOLID!AB69</f>
        <v>0</v>
      </c>
      <c r="Y54" s="26">
        <f ca="1">SOLID!AC69</f>
        <v>0</v>
      </c>
      <c r="Z54" s="26">
        <f ca="1">SOLID!AD69</f>
        <v>0</v>
      </c>
      <c r="AA54" s="26">
        <f ca="1">SOLID!AE69</f>
        <v>0</v>
      </c>
      <c r="AB54" s="26">
        <f ca="1">SOLID!AF69</f>
        <v>0</v>
      </c>
      <c r="AC54" s="26">
        <f ca="1">SOLID!AG69</f>
        <v>0</v>
      </c>
      <c r="AD54" s="26">
        <f ca="1">SOLID!AH69</f>
        <v>0</v>
      </c>
      <c r="AE54" s="26">
        <f ca="1">SOLID!AI69</f>
        <v>0</v>
      </c>
      <c r="AF54" s="26">
        <f ca="1">SOLID!AJ69</f>
        <v>0</v>
      </c>
      <c r="AG54" s="26">
        <f ca="1">SOLID!AK69</f>
        <v>0</v>
      </c>
      <c r="AH54" s="26">
        <f ca="1">SOLID!AL69</f>
        <v>0</v>
      </c>
      <c r="AI54" s="26">
        <f>SOLID!AM69</f>
        <v>0</v>
      </c>
    </row>
    <row r="55" spans="1:35" ht="21.75" hidden="1" outlineLevel="1" thickBot="1" x14ac:dyDescent="0.4">
      <c r="A55" s="59">
        <f>SOLID!E70</f>
        <v>0</v>
      </c>
      <c r="B55" s="26">
        <f ca="1">SOLID!F70</f>
        <v>0</v>
      </c>
      <c r="C55" s="26">
        <f ca="1">SOLID!G70</f>
        <v>0</v>
      </c>
      <c r="D55" s="26">
        <f ca="1">SOLID!H70</f>
        <v>0</v>
      </c>
      <c r="E55" s="26">
        <f ca="1">SOLID!I70</f>
        <v>0</v>
      </c>
      <c r="F55" s="26">
        <f ca="1">SOLID!J70</f>
        <v>0</v>
      </c>
      <c r="G55" s="26">
        <f ca="1">SOLID!K70</f>
        <v>0</v>
      </c>
      <c r="H55" s="26">
        <f ca="1">SOLID!L70</f>
        <v>0</v>
      </c>
      <c r="I55" s="26">
        <f ca="1">SOLID!M70</f>
        <v>0</v>
      </c>
      <c r="J55" s="26">
        <f ca="1">SOLID!N70</f>
        <v>0</v>
      </c>
      <c r="K55" s="26">
        <f ca="1">SOLID!O70</f>
        <v>0</v>
      </c>
      <c r="L55" s="26">
        <f ca="1">SOLID!P70</f>
        <v>0</v>
      </c>
      <c r="M55" s="26">
        <f ca="1">SOLID!Q70</f>
        <v>0</v>
      </c>
      <c r="N55" s="26">
        <f ca="1">SOLID!R70</f>
        <v>0</v>
      </c>
      <c r="O55" s="26">
        <f ca="1">SOLID!S70</f>
        <v>0</v>
      </c>
      <c r="P55" s="26">
        <f ca="1">SOLID!T70</f>
        <v>0</v>
      </c>
      <c r="Q55" s="26">
        <f ca="1">SOLID!U70</f>
        <v>0</v>
      </c>
      <c r="R55" s="26">
        <f ca="1">SOLID!V70</f>
        <v>0</v>
      </c>
      <c r="S55" s="26">
        <f ca="1">SOLID!W70</f>
        <v>0</v>
      </c>
      <c r="T55" s="26">
        <f ca="1">SOLID!X70</f>
        <v>0</v>
      </c>
      <c r="U55" s="26">
        <f ca="1">SOLID!Y70</f>
        <v>0</v>
      </c>
      <c r="V55" s="26">
        <f ca="1">SOLID!Z70</f>
        <v>0</v>
      </c>
      <c r="W55" s="26">
        <f ca="1">SOLID!AA70</f>
        <v>0</v>
      </c>
      <c r="X55" s="26">
        <f ca="1">SOLID!AB70</f>
        <v>0</v>
      </c>
      <c r="Y55" s="26">
        <f ca="1">SOLID!AC70</f>
        <v>0</v>
      </c>
      <c r="Z55" s="26">
        <f ca="1">SOLID!AD70</f>
        <v>0</v>
      </c>
      <c r="AA55" s="26">
        <f ca="1">SOLID!AE70</f>
        <v>0</v>
      </c>
      <c r="AB55" s="26">
        <f ca="1">SOLID!AF70</f>
        <v>0</v>
      </c>
      <c r="AC55" s="26">
        <f ca="1">SOLID!AG70</f>
        <v>0</v>
      </c>
      <c r="AD55" s="26">
        <f ca="1">SOLID!AH70</f>
        <v>0</v>
      </c>
      <c r="AE55" s="26">
        <f ca="1">SOLID!AI70</f>
        <v>0</v>
      </c>
      <c r="AF55" s="26">
        <f ca="1">SOLID!AJ70</f>
        <v>0</v>
      </c>
      <c r="AG55" s="26">
        <f ca="1">SOLID!AK70</f>
        <v>0</v>
      </c>
      <c r="AH55" s="26">
        <f ca="1">SOLID!AL70</f>
        <v>0</v>
      </c>
      <c r="AI55" s="26">
        <f>SOLID!AM70</f>
        <v>0</v>
      </c>
    </row>
    <row r="56" spans="1:35" ht="21.75" hidden="1" outlineLevel="1" thickBot="1" x14ac:dyDescent="0.4">
      <c r="A56" s="59">
        <f>SOLID!E71</f>
        <v>0</v>
      </c>
      <c r="B56" s="26">
        <f ca="1">SOLID!F71</f>
        <v>0</v>
      </c>
      <c r="C56" s="26">
        <f ca="1">SOLID!G71</f>
        <v>0</v>
      </c>
      <c r="D56" s="26">
        <f ca="1">SOLID!H71</f>
        <v>0</v>
      </c>
      <c r="E56" s="26">
        <f ca="1">SOLID!I71</f>
        <v>0</v>
      </c>
      <c r="F56" s="26">
        <f ca="1">SOLID!J71</f>
        <v>0</v>
      </c>
      <c r="G56" s="26">
        <f ca="1">SOLID!K71</f>
        <v>0</v>
      </c>
      <c r="H56" s="26">
        <f ca="1">SOLID!L71</f>
        <v>0</v>
      </c>
      <c r="I56" s="26">
        <f ca="1">SOLID!M71</f>
        <v>0</v>
      </c>
      <c r="J56" s="26">
        <f ca="1">SOLID!N71</f>
        <v>0</v>
      </c>
      <c r="K56" s="26">
        <f ca="1">SOLID!O71</f>
        <v>0</v>
      </c>
      <c r="L56" s="26">
        <f ca="1">SOLID!P71</f>
        <v>0</v>
      </c>
      <c r="M56" s="26">
        <f ca="1">SOLID!Q71</f>
        <v>0</v>
      </c>
      <c r="N56" s="26">
        <f ca="1">SOLID!R71</f>
        <v>0</v>
      </c>
      <c r="O56" s="26">
        <f ca="1">SOLID!S71</f>
        <v>0</v>
      </c>
      <c r="P56" s="26">
        <f ca="1">SOLID!T71</f>
        <v>0</v>
      </c>
      <c r="Q56" s="26">
        <f ca="1">SOLID!U71</f>
        <v>0</v>
      </c>
      <c r="R56" s="26">
        <f ca="1">SOLID!V71</f>
        <v>0</v>
      </c>
      <c r="S56" s="26">
        <f ca="1">SOLID!W71</f>
        <v>0</v>
      </c>
      <c r="T56" s="26">
        <f ca="1">SOLID!X71</f>
        <v>0</v>
      </c>
      <c r="U56" s="26">
        <f ca="1">SOLID!Y71</f>
        <v>0</v>
      </c>
      <c r="V56" s="26">
        <f ca="1">SOLID!Z71</f>
        <v>0</v>
      </c>
      <c r="W56" s="26">
        <f ca="1">SOLID!AA71</f>
        <v>0</v>
      </c>
      <c r="X56" s="26">
        <f ca="1">SOLID!AB71</f>
        <v>0</v>
      </c>
      <c r="Y56" s="26">
        <f ca="1">SOLID!AC71</f>
        <v>0</v>
      </c>
      <c r="Z56" s="26">
        <f ca="1">SOLID!AD71</f>
        <v>0</v>
      </c>
      <c r="AA56" s="26">
        <f ca="1">SOLID!AE71</f>
        <v>0</v>
      </c>
      <c r="AB56" s="26">
        <f ca="1">SOLID!AF71</f>
        <v>0</v>
      </c>
      <c r="AC56" s="26">
        <f ca="1">SOLID!AG71</f>
        <v>0</v>
      </c>
      <c r="AD56" s="26">
        <f ca="1">SOLID!AH71</f>
        <v>0</v>
      </c>
      <c r="AE56" s="26">
        <f ca="1">SOLID!AI71</f>
        <v>0</v>
      </c>
      <c r="AF56" s="26">
        <f ca="1">SOLID!AJ71</f>
        <v>0</v>
      </c>
      <c r="AG56" s="26">
        <f ca="1">SOLID!AK71</f>
        <v>0</v>
      </c>
      <c r="AH56" s="26">
        <f ca="1">SOLID!AL71</f>
        <v>0</v>
      </c>
      <c r="AI56" s="26">
        <f>SOLID!AM71</f>
        <v>0</v>
      </c>
    </row>
    <row r="57" spans="1:35" ht="21.75" hidden="1" outlineLevel="1" thickBot="1" x14ac:dyDescent="0.4">
      <c r="A57" s="59">
        <f>SOLID!E72</f>
        <v>0</v>
      </c>
      <c r="B57" s="26">
        <f ca="1">SOLID!F72</f>
        <v>0</v>
      </c>
      <c r="C57" s="26">
        <f ca="1">SOLID!G72</f>
        <v>0</v>
      </c>
      <c r="D57" s="26">
        <f ca="1">SOLID!H72</f>
        <v>0</v>
      </c>
      <c r="E57" s="26">
        <f ca="1">SOLID!I72</f>
        <v>0</v>
      </c>
      <c r="F57" s="26">
        <f ca="1">SOLID!J72</f>
        <v>0</v>
      </c>
      <c r="G57" s="26">
        <f ca="1">SOLID!K72</f>
        <v>0</v>
      </c>
      <c r="H57" s="26">
        <f ca="1">SOLID!L72</f>
        <v>0</v>
      </c>
      <c r="I57" s="26">
        <f ca="1">SOLID!M72</f>
        <v>0</v>
      </c>
      <c r="J57" s="26">
        <f ca="1">SOLID!N72</f>
        <v>0</v>
      </c>
      <c r="K57" s="26">
        <f ca="1">SOLID!O72</f>
        <v>0</v>
      </c>
      <c r="L57" s="26">
        <f ca="1">SOLID!P72</f>
        <v>0</v>
      </c>
      <c r="M57" s="26">
        <f ca="1">SOLID!Q72</f>
        <v>0</v>
      </c>
      <c r="N57" s="26">
        <f ca="1">SOLID!R72</f>
        <v>0</v>
      </c>
      <c r="O57" s="26">
        <f ca="1">SOLID!S72</f>
        <v>0</v>
      </c>
      <c r="P57" s="26">
        <f ca="1">SOLID!T72</f>
        <v>0</v>
      </c>
      <c r="Q57" s="26">
        <f ca="1">SOLID!U72</f>
        <v>0</v>
      </c>
      <c r="R57" s="26">
        <f ca="1">SOLID!V72</f>
        <v>0</v>
      </c>
      <c r="S57" s="26">
        <f ca="1">SOLID!W72</f>
        <v>0</v>
      </c>
      <c r="T57" s="26">
        <f ca="1">SOLID!X72</f>
        <v>0</v>
      </c>
      <c r="U57" s="26">
        <f ca="1">SOLID!Y72</f>
        <v>0</v>
      </c>
      <c r="V57" s="26">
        <f ca="1">SOLID!Z72</f>
        <v>0</v>
      </c>
      <c r="W57" s="26">
        <f ca="1">SOLID!AA72</f>
        <v>0</v>
      </c>
      <c r="X57" s="26">
        <f ca="1">SOLID!AB72</f>
        <v>0</v>
      </c>
      <c r="Y57" s="26">
        <f ca="1">SOLID!AC72</f>
        <v>0</v>
      </c>
      <c r="Z57" s="26">
        <f ca="1">SOLID!AD72</f>
        <v>0</v>
      </c>
      <c r="AA57" s="26">
        <f ca="1">SOLID!AE72</f>
        <v>0</v>
      </c>
      <c r="AB57" s="26">
        <f ca="1">SOLID!AF72</f>
        <v>0</v>
      </c>
      <c r="AC57" s="26">
        <f ca="1">SOLID!AG72</f>
        <v>0</v>
      </c>
      <c r="AD57" s="26">
        <f ca="1">SOLID!AH72</f>
        <v>0</v>
      </c>
      <c r="AE57" s="26">
        <f ca="1">SOLID!AI72</f>
        <v>0</v>
      </c>
      <c r="AF57" s="26">
        <f ca="1">SOLID!AJ72</f>
        <v>0</v>
      </c>
      <c r="AG57" s="26">
        <f ca="1">SOLID!AK72</f>
        <v>0</v>
      </c>
      <c r="AH57" s="26">
        <f ca="1">SOLID!AL72</f>
        <v>0</v>
      </c>
      <c r="AI57" s="26">
        <f>SOLID!AM72</f>
        <v>0</v>
      </c>
    </row>
    <row r="58" spans="1:35" ht="21.75" hidden="1" outlineLevel="1" thickBot="1" x14ac:dyDescent="0.4">
      <c r="A58" s="59">
        <f>SOLID!E73</f>
        <v>0</v>
      </c>
      <c r="B58" s="26">
        <f ca="1">SOLID!F73</f>
        <v>0</v>
      </c>
      <c r="C58" s="26">
        <f ca="1">SOLID!G73</f>
        <v>0</v>
      </c>
      <c r="D58" s="26">
        <f ca="1">SOLID!H73</f>
        <v>0</v>
      </c>
      <c r="E58" s="26">
        <f ca="1">SOLID!I73</f>
        <v>0</v>
      </c>
      <c r="F58" s="26">
        <f ca="1">SOLID!J73</f>
        <v>0</v>
      </c>
      <c r="G58" s="26">
        <f ca="1">SOLID!K73</f>
        <v>0</v>
      </c>
      <c r="H58" s="26">
        <f ca="1">SOLID!L73</f>
        <v>0</v>
      </c>
      <c r="I58" s="26">
        <f ca="1">SOLID!M73</f>
        <v>0</v>
      </c>
      <c r="J58" s="26">
        <f ca="1">SOLID!N73</f>
        <v>0</v>
      </c>
      <c r="K58" s="26">
        <f ca="1">SOLID!O73</f>
        <v>0</v>
      </c>
      <c r="L58" s="26">
        <f ca="1">SOLID!P73</f>
        <v>0</v>
      </c>
      <c r="M58" s="26">
        <f ca="1">SOLID!Q73</f>
        <v>0</v>
      </c>
      <c r="N58" s="26">
        <f ca="1">SOLID!R73</f>
        <v>0</v>
      </c>
      <c r="O58" s="26">
        <f ca="1">SOLID!S73</f>
        <v>0</v>
      </c>
      <c r="P58" s="26">
        <f ca="1">SOLID!T73</f>
        <v>0</v>
      </c>
      <c r="Q58" s="26">
        <f ca="1">SOLID!U73</f>
        <v>0</v>
      </c>
      <c r="R58" s="26">
        <f ca="1">SOLID!V73</f>
        <v>0</v>
      </c>
      <c r="S58" s="26">
        <f ca="1">SOLID!W73</f>
        <v>0</v>
      </c>
      <c r="T58" s="26">
        <f ca="1">SOLID!X73</f>
        <v>0</v>
      </c>
      <c r="U58" s="26">
        <f ca="1">SOLID!Y73</f>
        <v>0</v>
      </c>
      <c r="V58" s="26">
        <f ca="1">SOLID!Z73</f>
        <v>0</v>
      </c>
      <c r="W58" s="26">
        <f ca="1">SOLID!AA73</f>
        <v>0</v>
      </c>
      <c r="X58" s="26">
        <f ca="1">SOLID!AB73</f>
        <v>0</v>
      </c>
      <c r="Y58" s="26">
        <f ca="1">SOLID!AC73</f>
        <v>0</v>
      </c>
      <c r="Z58" s="26">
        <f ca="1">SOLID!AD73</f>
        <v>0</v>
      </c>
      <c r="AA58" s="26">
        <f ca="1">SOLID!AE73</f>
        <v>0</v>
      </c>
      <c r="AB58" s="26">
        <f ca="1">SOLID!AF73</f>
        <v>0</v>
      </c>
      <c r="AC58" s="26">
        <f ca="1">SOLID!AG73</f>
        <v>0</v>
      </c>
      <c r="AD58" s="26">
        <f ca="1">SOLID!AH73</f>
        <v>0</v>
      </c>
      <c r="AE58" s="26">
        <f ca="1">SOLID!AI73</f>
        <v>0</v>
      </c>
      <c r="AF58" s="26">
        <f ca="1">SOLID!AJ73</f>
        <v>0</v>
      </c>
      <c r="AG58" s="26">
        <f ca="1">SOLID!AK73</f>
        <v>0</v>
      </c>
      <c r="AH58" s="26">
        <f ca="1">SOLID!AL73</f>
        <v>0</v>
      </c>
      <c r="AI58" s="26">
        <f>SOLID!AM73</f>
        <v>0</v>
      </c>
    </row>
    <row r="59" spans="1:35" ht="21.75" hidden="1" outlineLevel="1" thickBot="1" x14ac:dyDescent="0.4">
      <c r="A59" s="59">
        <f>SOLID!E74</f>
        <v>0</v>
      </c>
      <c r="B59" s="26">
        <f ca="1">SOLID!F74</f>
        <v>0</v>
      </c>
      <c r="C59" s="26">
        <f ca="1">SOLID!G74</f>
        <v>0</v>
      </c>
      <c r="D59" s="26">
        <f ca="1">SOLID!H74</f>
        <v>0</v>
      </c>
      <c r="E59" s="26">
        <f ca="1">SOLID!I74</f>
        <v>0</v>
      </c>
      <c r="F59" s="26">
        <f ca="1">SOLID!J74</f>
        <v>0</v>
      </c>
      <c r="G59" s="26">
        <f ca="1">SOLID!K74</f>
        <v>0</v>
      </c>
      <c r="H59" s="26">
        <f ca="1">SOLID!L74</f>
        <v>0</v>
      </c>
      <c r="I59" s="26">
        <f ca="1">SOLID!M74</f>
        <v>0</v>
      </c>
      <c r="J59" s="26">
        <f ca="1">SOLID!N74</f>
        <v>0</v>
      </c>
      <c r="K59" s="26">
        <f ca="1">SOLID!O74</f>
        <v>0</v>
      </c>
      <c r="L59" s="26">
        <f ca="1">SOLID!P74</f>
        <v>0</v>
      </c>
      <c r="M59" s="26">
        <f ca="1">SOLID!Q74</f>
        <v>0</v>
      </c>
      <c r="N59" s="26">
        <f ca="1">SOLID!R74</f>
        <v>0</v>
      </c>
      <c r="O59" s="26">
        <f ca="1">SOLID!S74</f>
        <v>0</v>
      </c>
      <c r="P59" s="26">
        <f ca="1">SOLID!T74</f>
        <v>0</v>
      </c>
      <c r="Q59" s="26">
        <f ca="1">SOLID!U74</f>
        <v>0</v>
      </c>
      <c r="R59" s="26">
        <f ca="1">SOLID!V74</f>
        <v>0</v>
      </c>
      <c r="S59" s="26">
        <f ca="1">SOLID!W74</f>
        <v>0</v>
      </c>
      <c r="T59" s="26">
        <f ca="1">SOLID!X74</f>
        <v>0</v>
      </c>
      <c r="U59" s="26">
        <f ca="1">SOLID!Y74</f>
        <v>0</v>
      </c>
      <c r="V59" s="26">
        <f ca="1">SOLID!Z74</f>
        <v>0</v>
      </c>
      <c r="W59" s="26">
        <f ca="1">SOLID!AA74</f>
        <v>0</v>
      </c>
      <c r="X59" s="26">
        <f ca="1">SOLID!AB74</f>
        <v>0</v>
      </c>
      <c r="Y59" s="26">
        <f ca="1">SOLID!AC74</f>
        <v>0</v>
      </c>
      <c r="Z59" s="26">
        <f ca="1">SOLID!AD74</f>
        <v>0</v>
      </c>
      <c r="AA59" s="26">
        <f ca="1">SOLID!AE74</f>
        <v>0</v>
      </c>
      <c r="AB59" s="26">
        <f ca="1">SOLID!AF74</f>
        <v>0</v>
      </c>
      <c r="AC59" s="26">
        <f ca="1">SOLID!AG74</f>
        <v>0</v>
      </c>
      <c r="AD59" s="26">
        <f ca="1">SOLID!AH74</f>
        <v>0</v>
      </c>
      <c r="AE59" s="26">
        <f ca="1">SOLID!AI74</f>
        <v>0</v>
      </c>
      <c r="AF59" s="26">
        <f ca="1">SOLID!AJ74</f>
        <v>0</v>
      </c>
      <c r="AG59" s="26">
        <f ca="1">SOLID!AK74</f>
        <v>0</v>
      </c>
      <c r="AH59" s="26">
        <f ca="1">SOLID!AL74</f>
        <v>0</v>
      </c>
      <c r="AI59" s="26">
        <f>SOLID!AM74</f>
        <v>0</v>
      </c>
    </row>
    <row r="60" spans="1:35" ht="21.75" hidden="1" outlineLevel="1" thickBot="1" x14ac:dyDescent="0.4">
      <c r="A60" s="59">
        <f>SOLID!E75</f>
        <v>0</v>
      </c>
      <c r="B60" s="26">
        <f ca="1">SOLID!F75</f>
        <v>0</v>
      </c>
      <c r="C60" s="26">
        <f ca="1">SOLID!G75</f>
        <v>0</v>
      </c>
      <c r="D60" s="26">
        <f ca="1">SOLID!H75</f>
        <v>0</v>
      </c>
      <c r="E60" s="26">
        <f ca="1">SOLID!I75</f>
        <v>0</v>
      </c>
      <c r="F60" s="26">
        <f ca="1">SOLID!J75</f>
        <v>0</v>
      </c>
      <c r="G60" s="26">
        <f ca="1">SOLID!K75</f>
        <v>0</v>
      </c>
      <c r="H60" s="26">
        <f ca="1">SOLID!L75</f>
        <v>0</v>
      </c>
      <c r="I60" s="26">
        <f ca="1">SOLID!M75</f>
        <v>0</v>
      </c>
      <c r="J60" s="26">
        <f ca="1">SOLID!N75</f>
        <v>0</v>
      </c>
      <c r="K60" s="26">
        <f ca="1">SOLID!O75</f>
        <v>0</v>
      </c>
      <c r="L60" s="26">
        <f ca="1">SOLID!P75</f>
        <v>0</v>
      </c>
      <c r="M60" s="26">
        <f ca="1">SOLID!Q75</f>
        <v>0</v>
      </c>
      <c r="N60" s="26">
        <f ca="1">SOLID!R75</f>
        <v>0</v>
      </c>
      <c r="O60" s="26">
        <f ca="1">SOLID!S75</f>
        <v>0</v>
      </c>
      <c r="P60" s="26">
        <f ca="1">SOLID!T75</f>
        <v>0</v>
      </c>
      <c r="Q60" s="26">
        <f ca="1">SOLID!U75</f>
        <v>0</v>
      </c>
      <c r="R60" s="26">
        <f ca="1">SOLID!V75</f>
        <v>0</v>
      </c>
      <c r="S60" s="26">
        <f ca="1">SOLID!W75</f>
        <v>0</v>
      </c>
      <c r="T60" s="26">
        <f ca="1">SOLID!X75</f>
        <v>0</v>
      </c>
      <c r="U60" s="26">
        <f ca="1">SOLID!Y75</f>
        <v>0</v>
      </c>
      <c r="V60" s="26">
        <f ca="1">SOLID!Z75</f>
        <v>0</v>
      </c>
      <c r="W60" s="26">
        <f ca="1">SOLID!AA75</f>
        <v>0</v>
      </c>
      <c r="X60" s="26">
        <f ca="1">SOLID!AB75</f>
        <v>0</v>
      </c>
      <c r="Y60" s="26">
        <f ca="1">SOLID!AC75</f>
        <v>0</v>
      </c>
      <c r="Z60" s="26">
        <f ca="1">SOLID!AD75</f>
        <v>0</v>
      </c>
      <c r="AA60" s="26">
        <f ca="1">SOLID!AE75</f>
        <v>0</v>
      </c>
      <c r="AB60" s="26">
        <f ca="1">SOLID!AF75</f>
        <v>0</v>
      </c>
      <c r="AC60" s="26">
        <f ca="1">SOLID!AG75</f>
        <v>0</v>
      </c>
      <c r="AD60" s="26">
        <f ca="1">SOLID!AH75</f>
        <v>0</v>
      </c>
      <c r="AE60" s="26">
        <f ca="1">SOLID!AI75</f>
        <v>0</v>
      </c>
      <c r="AF60" s="26">
        <f ca="1">SOLID!AJ75</f>
        <v>0</v>
      </c>
      <c r="AG60" s="26">
        <f ca="1">SOLID!AK75</f>
        <v>0</v>
      </c>
      <c r="AH60" s="26">
        <f ca="1">SOLID!AL75</f>
        <v>0</v>
      </c>
      <c r="AI60" s="26">
        <f>SOLID!AM75</f>
        <v>0</v>
      </c>
    </row>
    <row r="61" spans="1:35" ht="21.75" hidden="1" outlineLevel="1" thickBot="1" x14ac:dyDescent="0.4">
      <c r="A61" s="59">
        <f>SOLID!E76</f>
        <v>0</v>
      </c>
      <c r="B61" s="26">
        <f ca="1">SOLID!F76</f>
        <v>0</v>
      </c>
      <c r="C61" s="26">
        <f ca="1">SOLID!G76</f>
        <v>0</v>
      </c>
      <c r="D61" s="26">
        <f ca="1">SOLID!H76</f>
        <v>0</v>
      </c>
      <c r="E61" s="26">
        <f ca="1">SOLID!I76</f>
        <v>0</v>
      </c>
      <c r="F61" s="26">
        <f ca="1">SOLID!J76</f>
        <v>0</v>
      </c>
      <c r="G61" s="26">
        <f ca="1">SOLID!K76</f>
        <v>0</v>
      </c>
      <c r="H61" s="26">
        <f ca="1">SOLID!L76</f>
        <v>0</v>
      </c>
      <c r="I61" s="26">
        <f ca="1">SOLID!M76</f>
        <v>0</v>
      </c>
      <c r="J61" s="26">
        <f ca="1">SOLID!N76</f>
        <v>0</v>
      </c>
      <c r="K61" s="26">
        <f ca="1">SOLID!O76</f>
        <v>0</v>
      </c>
      <c r="L61" s="26">
        <f ca="1">SOLID!P76</f>
        <v>0</v>
      </c>
      <c r="M61" s="26">
        <f ca="1">SOLID!Q76</f>
        <v>0</v>
      </c>
      <c r="N61" s="26">
        <f ca="1">SOLID!R76</f>
        <v>0</v>
      </c>
      <c r="O61" s="26">
        <f ca="1">SOLID!S76</f>
        <v>0</v>
      </c>
      <c r="P61" s="26">
        <f ca="1">SOLID!T76</f>
        <v>0</v>
      </c>
      <c r="Q61" s="26">
        <f ca="1">SOLID!U76</f>
        <v>0</v>
      </c>
      <c r="R61" s="26">
        <f ca="1">SOLID!V76</f>
        <v>0</v>
      </c>
      <c r="S61" s="26">
        <f ca="1">SOLID!W76</f>
        <v>0</v>
      </c>
      <c r="T61" s="26">
        <f ca="1">SOLID!X76</f>
        <v>0</v>
      </c>
      <c r="U61" s="26">
        <f ca="1">SOLID!Y76</f>
        <v>0</v>
      </c>
      <c r="V61" s="26">
        <f ca="1">SOLID!Z76</f>
        <v>0</v>
      </c>
      <c r="W61" s="26">
        <f ca="1">SOLID!AA76</f>
        <v>0</v>
      </c>
      <c r="X61" s="26">
        <f ca="1">SOLID!AB76</f>
        <v>0</v>
      </c>
      <c r="Y61" s="26">
        <f ca="1">SOLID!AC76</f>
        <v>0</v>
      </c>
      <c r="Z61" s="26">
        <f ca="1">SOLID!AD76</f>
        <v>0</v>
      </c>
      <c r="AA61" s="26">
        <f ca="1">SOLID!AE76</f>
        <v>0</v>
      </c>
      <c r="AB61" s="26">
        <f ca="1">SOLID!AF76</f>
        <v>0</v>
      </c>
      <c r="AC61" s="26">
        <f ca="1">SOLID!AG76</f>
        <v>0</v>
      </c>
      <c r="AD61" s="26">
        <f ca="1">SOLID!AH76</f>
        <v>0</v>
      </c>
      <c r="AE61" s="26">
        <f ca="1">SOLID!AI76</f>
        <v>0</v>
      </c>
      <c r="AF61" s="26">
        <f ca="1">SOLID!AJ76</f>
        <v>0</v>
      </c>
      <c r="AG61" s="26">
        <f ca="1">SOLID!AK76</f>
        <v>0</v>
      </c>
      <c r="AH61" s="26">
        <f ca="1">SOLID!AL76</f>
        <v>0</v>
      </c>
      <c r="AI61" s="26">
        <f>SOLID!AM76</f>
        <v>0</v>
      </c>
    </row>
    <row r="62" spans="1:35" ht="21.75" hidden="1" outlineLevel="1" thickBot="1" x14ac:dyDescent="0.4">
      <c r="A62" s="59">
        <f>SOLID!E77</f>
        <v>0</v>
      </c>
      <c r="B62" s="26">
        <f ca="1">SOLID!F77</f>
        <v>0</v>
      </c>
      <c r="C62" s="26">
        <f ca="1">SOLID!G77</f>
        <v>0</v>
      </c>
      <c r="D62" s="26">
        <f ca="1">SOLID!H77</f>
        <v>0</v>
      </c>
      <c r="E62" s="26">
        <f ca="1">SOLID!I77</f>
        <v>0</v>
      </c>
      <c r="F62" s="26">
        <f ca="1">SOLID!J77</f>
        <v>0</v>
      </c>
      <c r="G62" s="26">
        <f ca="1">SOLID!K77</f>
        <v>0</v>
      </c>
      <c r="H62" s="26">
        <f ca="1">SOLID!L77</f>
        <v>0</v>
      </c>
      <c r="I62" s="26">
        <f ca="1">SOLID!M77</f>
        <v>0</v>
      </c>
      <c r="J62" s="26">
        <f ca="1">SOLID!N77</f>
        <v>0</v>
      </c>
      <c r="K62" s="26">
        <f ca="1">SOLID!O77</f>
        <v>0</v>
      </c>
      <c r="L62" s="26">
        <f ca="1">SOLID!P77</f>
        <v>0</v>
      </c>
      <c r="M62" s="26">
        <f ca="1">SOLID!Q77</f>
        <v>0</v>
      </c>
      <c r="N62" s="26">
        <f ca="1">SOLID!R77</f>
        <v>0</v>
      </c>
      <c r="O62" s="26">
        <f ca="1">SOLID!S77</f>
        <v>0</v>
      </c>
      <c r="P62" s="26">
        <f ca="1">SOLID!T77</f>
        <v>0</v>
      </c>
      <c r="Q62" s="26">
        <f ca="1">SOLID!U77</f>
        <v>0</v>
      </c>
      <c r="R62" s="26">
        <f ca="1">SOLID!V77</f>
        <v>0</v>
      </c>
      <c r="S62" s="26">
        <f ca="1">SOLID!W77</f>
        <v>0</v>
      </c>
      <c r="T62" s="26">
        <f ca="1">SOLID!X77</f>
        <v>0</v>
      </c>
      <c r="U62" s="26">
        <f ca="1">SOLID!Y77</f>
        <v>0</v>
      </c>
      <c r="V62" s="26">
        <f ca="1">SOLID!Z77</f>
        <v>0</v>
      </c>
      <c r="W62" s="26">
        <f ca="1">SOLID!AA77</f>
        <v>0</v>
      </c>
      <c r="X62" s="26">
        <f ca="1">SOLID!AB77</f>
        <v>0</v>
      </c>
      <c r="Y62" s="26">
        <f ca="1">SOLID!AC77</f>
        <v>0</v>
      </c>
      <c r="Z62" s="26">
        <f ca="1">SOLID!AD77</f>
        <v>0</v>
      </c>
      <c r="AA62" s="26">
        <f ca="1">SOLID!AE77</f>
        <v>0</v>
      </c>
      <c r="AB62" s="26">
        <f ca="1">SOLID!AF77</f>
        <v>0</v>
      </c>
      <c r="AC62" s="26">
        <f ca="1">SOLID!AG77</f>
        <v>0</v>
      </c>
      <c r="AD62" s="26">
        <f ca="1">SOLID!AH77</f>
        <v>0</v>
      </c>
      <c r="AE62" s="26">
        <f ca="1">SOLID!AI77</f>
        <v>0</v>
      </c>
      <c r="AF62" s="26">
        <f ca="1">SOLID!AJ77</f>
        <v>0</v>
      </c>
      <c r="AG62" s="26">
        <f ca="1">SOLID!AK77</f>
        <v>0</v>
      </c>
      <c r="AH62" s="26">
        <f ca="1">SOLID!AL77</f>
        <v>0</v>
      </c>
      <c r="AI62" s="26">
        <f>SOLID!AM77</f>
        <v>0</v>
      </c>
    </row>
    <row r="63" spans="1:35" ht="21.75" hidden="1" outlineLevel="1" thickBot="1" x14ac:dyDescent="0.4">
      <c r="A63" s="59">
        <f>SOLID!E78</f>
        <v>0</v>
      </c>
      <c r="B63" s="26">
        <f ca="1">SOLID!F78</f>
        <v>0</v>
      </c>
      <c r="C63" s="26">
        <f ca="1">SOLID!G78</f>
        <v>0</v>
      </c>
      <c r="D63" s="26">
        <f ca="1">SOLID!H78</f>
        <v>0</v>
      </c>
      <c r="E63" s="26">
        <f ca="1">SOLID!I78</f>
        <v>0</v>
      </c>
      <c r="F63" s="26">
        <f ca="1">SOLID!J78</f>
        <v>0</v>
      </c>
      <c r="G63" s="26">
        <f ca="1">SOLID!K78</f>
        <v>0</v>
      </c>
      <c r="H63" s="26">
        <f ca="1">SOLID!L78</f>
        <v>0</v>
      </c>
      <c r="I63" s="26">
        <f ca="1">SOLID!M78</f>
        <v>0</v>
      </c>
      <c r="J63" s="26">
        <f ca="1">SOLID!N78</f>
        <v>0</v>
      </c>
      <c r="K63" s="26">
        <f ca="1">SOLID!O78</f>
        <v>0</v>
      </c>
      <c r="L63" s="26">
        <f ca="1">SOLID!P78</f>
        <v>0</v>
      </c>
      <c r="M63" s="26">
        <f ca="1">SOLID!Q78</f>
        <v>0</v>
      </c>
      <c r="N63" s="26">
        <f ca="1">SOLID!R78</f>
        <v>0</v>
      </c>
      <c r="O63" s="26">
        <f ca="1">SOLID!S78</f>
        <v>0</v>
      </c>
      <c r="P63" s="26">
        <f ca="1">SOLID!T78</f>
        <v>0</v>
      </c>
      <c r="Q63" s="26">
        <f ca="1">SOLID!U78</f>
        <v>0</v>
      </c>
      <c r="R63" s="26">
        <f ca="1">SOLID!V78</f>
        <v>0</v>
      </c>
      <c r="S63" s="26">
        <f ca="1">SOLID!W78</f>
        <v>0</v>
      </c>
      <c r="T63" s="26">
        <f ca="1">SOLID!X78</f>
        <v>0</v>
      </c>
      <c r="U63" s="26">
        <f ca="1">SOLID!Y78</f>
        <v>0</v>
      </c>
      <c r="V63" s="26">
        <f ca="1">SOLID!Z78</f>
        <v>0</v>
      </c>
      <c r="W63" s="26">
        <f ca="1">SOLID!AA78</f>
        <v>0</v>
      </c>
      <c r="X63" s="26">
        <f ca="1">SOLID!AB78</f>
        <v>0</v>
      </c>
      <c r="Y63" s="26">
        <f ca="1">SOLID!AC78</f>
        <v>0</v>
      </c>
      <c r="Z63" s="26">
        <f ca="1">SOLID!AD78</f>
        <v>0</v>
      </c>
      <c r="AA63" s="26">
        <f ca="1">SOLID!AE78</f>
        <v>0</v>
      </c>
      <c r="AB63" s="26">
        <f ca="1">SOLID!AF78</f>
        <v>0</v>
      </c>
      <c r="AC63" s="26">
        <f ca="1">SOLID!AG78</f>
        <v>0</v>
      </c>
      <c r="AD63" s="26">
        <f ca="1">SOLID!AH78</f>
        <v>0</v>
      </c>
      <c r="AE63" s="26">
        <f ca="1">SOLID!AI78</f>
        <v>0</v>
      </c>
      <c r="AF63" s="26">
        <f ca="1">SOLID!AJ78</f>
        <v>0</v>
      </c>
      <c r="AG63" s="26">
        <f ca="1">SOLID!AK78</f>
        <v>0</v>
      </c>
      <c r="AH63" s="26">
        <f ca="1">SOLID!AL78</f>
        <v>0</v>
      </c>
      <c r="AI63" s="26">
        <f>SOLID!AM78</f>
        <v>0</v>
      </c>
    </row>
    <row r="64" spans="1:35" ht="21.75" hidden="1" outlineLevel="1" thickBot="1" x14ac:dyDescent="0.4">
      <c r="A64" s="59">
        <f>SOLID!E79</f>
        <v>1</v>
      </c>
      <c r="B64" s="26">
        <f>SOLID!F79</f>
        <v>0</v>
      </c>
      <c r="C64" s="26">
        <f>SOLID!G79</f>
        <v>0</v>
      </c>
      <c r="D64" s="26">
        <f>SOLID!H79</f>
        <v>0</v>
      </c>
      <c r="E64" s="26">
        <f>SOLID!I79</f>
        <v>0</v>
      </c>
      <c r="F64" s="26">
        <f>SOLID!J79</f>
        <v>0</v>
      </c>
      <c r="G64" s="26">
        <f>SOLID!K79</f>
        <v>0</v>
      </c>
      <c r="H64" s="26">
        <f>SOLID!L79</f>
        <v>0</v>
      </c>
      <c r="I64" s="26">
        <f>SOLID!M79</f>
        <v>0</v>
      </c>
      <c r="J64" s="26">
        <f>SOLID!N79</f>
        <v>0</v>
      </c>
      <c r="K64" s="26">
        <f>SOLID!O79</f>
        <v>0</v>
      </c>
      <c r="L64" s="26">
        <f>SOLID!P79</f>
        <v>0</v>
      </c>
      <c r="M64" s="26">
        <f>SOLID!Q79</f>
        <v>0</v>
      </c>
      <c r="N64" s="26">
        <f>SOLID!R79</f>
        <v>0</v>
      </c>
      <c r="O64" s="26">
        <f>SOLID!S79</f>
        <v>0</v>
      </c>
      <c r="P64" s="26">
        <f>SOLID!T79</f>
        <v>0</v>
      </c>
      <c r="Q64" s="26">
        <f>SOLID!U79</f>
        <v>0</v>
      </c>
      <c r="R64" s="26">
        <f>SOLID!V79</f>
        <v>0</v>
      </c>
      <c r="S64" s="26">
        <f>SOLID!W79</f>
        <v>0</v>
      </c>
      <c r="T64" s="26">
        <f>SOLID!X79</f>
        <v>0</v>
      </c>
      <c r="U64" s="26">
        <f>SOLID!Y79</f>
        <v>0</v>
      </c>
      <c r="V64" s="26">
        <f>SOLID!Z79</f>
        <v>0</v>
      </c>
      <c r="W64" s="26">
        <f>SOLID!AA79</f>
        <v>0</v>
      </c>
      <c r="X64" s="26">
        <f>SOLID!AB79</f>
        <v>0</v>
      </c>
      <c r="Y64" s="26">
        <f>SOLID!AC79</f>
        <v>0</v>
      </c>
      <c r="Z64" s="26">
        <f>SOLID!AD79</f>
        <v>0</v>
      </c>
      <c r="AA64" s="26">
        <f>SOLID!AE79</f>
        <v>0</v>
      </c>
      <c r="AB64" s="26">
        <f>SOLID!AF79</f>
        <v>0</v>
      </c>
      <c r="AC64" s="26">
        <f>SOLID!AG79</f>
        <v>0</v>
      </c>
      <c r="AD64" s="26">
        <f>SOLID!AH79</f>
        <v>0</v>
      </c>
      <c r="AE64" s="26">
        <f>SOLID!AI79</f>
        <v>0</v>
      </c>
      <c r="AF64" s="26">
        <f>SOLID!AJ79</f>
        <v>0</v>
      </c>
      <c r="AG64" s="26">
        <f>SOLID!AK79</f>
        <v>0</v>
      </c>
      <c r="AH64" s="26">
        <f>SOLID!AL79</f>
        <v>0</v>
      </c>
      <c r="AI64" s="26">
        <f>SOLID!AM79</f>
        <v>0</v>
      </c>
    </row>
    <row r="65" spans="1:35" ht="22.5" collapsed="1" thickTop="1" thickBot="1" x14ac:dyDescent="0.4">
      <c r="A65" s="62"/>
    </row>
    <row r="66" spans="1:35" ht="22.5" thickTop="1" thickBot="1" x14ac:dyDescent="0.4">
      <c r="A66" s="7" t="s">
        <v>39</v>
      </c>
      <c r="B66" s="7">
        <f>ALL!F49</f>
        <v>298.2</v>
      </c>
      <c r="C66" s="7">
        <f>ALL!G49</f>
        <v>331.5</v>
      </c>
      <c r="D66" s="7">
        <f>ALL!H49</f>
        <v>364.9</v>
      </c>
      <c r="E66" s="7">
        <f>ALL!I49</f>
        <v>398.3</v>
      </c>
      <c r="F66" s="7">
        <f>ALL!J49</f>
        <v>431.7</v>
      </c>
      <c r="G66" s="7">
        <f>ALL!K49</f>
        <v>465.1</v>
      </c>
      <c r="H66" s="7">
        <f>ALL!L49</f>
        <v>498.5</v>
      </c>
      <c r="I66" s="7">
        <f>ALL!M49</f>
        <v>531.79999999999995</v>
      </c>
      <c r="J66" s="7">
        <f>ALL!N49</f>
        <v>565.20000000000005</v>
      </c>
      <c r="K66" s="7">
        <f>ALL!O49</f>
        <v>598.6</v>
      </c>
      <c r="L66" s="7">
        <f>ALL!P49</f>
        <v>632</v>
      </c>
      <c r="M66" s="7">
        <f>ALL!Q49</f>
        <v>665.4</v>
      </c>
      <c r="N66" s="7">
        <f>ALL!R49</f>
        <v>698.8</v>
      </c>
      <c r="O66" s="7">
        <f>ALL!S49</f>
        <v>832.3</v>
      </c>
      <c r="P66" s="7">
        <f>ALL!T49</f>
        <v>965.8</v>
      </c>
      <c r="Q66" s="7">
        <f>ALL!U49</f>
        <v>1099</v>
      </c>
      <c r="R66" s="7">
        <f>ALL!V49</f>
        <v>1133</v>
      </c>
      <c r="S66" s="7">
        <f>ALL!W49</f>
        <v>1166</v>
      </c>
      <c r="T66" s="7">
        <f>ALL!X49</f>
        <v>1200</v>
      </c>
      <c r="U66" s="7">
        <f>ALL!Y49</f>
        <v>1233</v>
      </c>
      <c r="V66" s="7">
        <f>ALL!Z49</f>
        <v>1366</v>
      </c>
      <c r="W66" s="7">
        <f>ALL!AA49</f>
        <v>1500</v>
      </c>
      <c r="X66" s="7">
        <f>ALL!AB49</f>
        <v>0</v>
      </c>
      <c r="Y66" s="7">
        <f>ALL!AC49</f>
        <v>0</v>
      </c>
      <c r="Z66" s="7">
        <f>ALL!AD49</f>
        <v>0</v>
      </c>
      <c r="AA66" s="7">
        <f>ALL!AE49</f>
        <v>0</v>
      </c>
      <c r="AB66" s="7">
        <f>ALL!AF49</f>
        <v>0</v>
      </c>
      <c r="AC66" s="7">
        <f>ALL!AG49</f>
        <v>0</v>
      </c>
      <c r="AD66" s="7">
        <f>ALL!AH49</f>
        <v>0</v>
      </c>
      <c r="AE66" s="7">
        <f>ALL!AI49</f>
        <v>0</v>
      </c>
      <c r="AF66" s="7">
        <f>ALL!AJ49</f>
        <v>0</v>
      </c>
      <c r="AG66" s="7">
        <f>ALL!AK49</f>
        <v>0</v>
      </c>
      <c r="AH66" s="7">
        <f>ALL!AL49</f>
        <v>0</v>
      </c>
      <c r="AI66" s="7">
        <f>ALL!AM49</f>
        <v>0</v>
      </c>
    </row>
    <row r="67" spans="1:35" ht="22.5" outlineLevel="1" thickTop="1" thickBot="1" x14ac:dyDescent="0.4">
      <c r="A67" s="60" t="str">
        <f>ALL!E50</f>
        <v>*GeSe</v>
      </c>
      <c r="B67" s="26">
        <f ca="1">ALL!F50</f>
        <v>-38.14</v>
      </c>
      <c r="C67" s="26">
        <f ca="1">ALL!G50</f>
        <v>-35.22</v>
      </c>
      <c r="D67" s="26">
        <f ca="1">ALL!H50</f>
        <v>-32.93</v>
      </c>
      <c r="E67" s="26">
        <f ca="1">ALL!I50</f>
        <v>-31.146000000000001</v>
      </c>
      <c r="F67" s="26">
        <f ca="1">ALL!J50</f>
        <v>-29.802</v>
      </c>
      <c r="G67" s="26">
        <f ca="1">ALL!K50</f>
        <v>-29.033000000000001</v>
      </c>
      <c r="H67" s="26">
        <f ca="1">ALL!L50</f>
        <v>-28.966000000000001</v>
      </c>
      <c r="I67" s="26">
        <f ca="1">ALL!M50</f>
        <v>-29.872999999999998</v>
      </c>
      <c r="J67" s="26">
        <f ca="1">ALL!N50</f>
        <v>-30.373000000000001</v>
      </c>
      <c r="K67" s="26">
        <f ca="1">ALL!O50</f>
        <v>-30.934000000000001</v>
      </c>
      <c r="L67" s="26">
        <f ca="1">ALL!P50</f>
        <v>-31.491</v>
      </c>
      <c r="M67" s="26">
        <f ca="1">ALL!Q50</f>
        <v>-32.052</v>
      </c>
      <c r="N67" s="26">
        <f ca="1">ALL!R50</f>
        <v>-32.613</v>
      </c>
      <c r="O67" s="26">
        <f ca="1">ALL!S50</f>
        <v>-34.743000000000002</v>
      </c>
      <c r="P67" s="26">
        <f ca="1">ALL!T50</f>
        <v>-36.765000000000001</v>
      </c>
      <c r="Q67" s="26">
        <f ca="1">ALL!U50</f>
        <v>-38.677999999999997</v>
      </c>
      <c r="R67" s="26">
        <f ca="1">ALL!V50</f>
        <v>-39.146000000000001</v>
      </c>
      <c r="S67" s="26">
        <f ca="1">ALL!W50</f>
        <v>-39.602000000000004</v>
      </c>
      <c r="T67" s="26">
        <f ca="1">ALL!X50</f>
        <v>-40.058</v>
      </c>
      <c r="U67" s="26">
        <f ca="1">ALL!Y50</f>
        <v>-40.513000000000005</v>
      </c>
      <c r="V67" s="26">
        <f ca="1">ALL!Z50</f>
        <v>-42.290999999999997</v>
      </c>
      <c r="W67" s="26">
        <f ca="1">ALL!AA50</f>
        <v>-44.015000000000001</v>
      </c>
      <c r="X67" s="26">
        <f ca="1">ALL!AB50</f>
        <v>0</v>
      </c>
      <c r="Y67" s="26">
        <f ca="1">ALL!AC50</f>
        <v>0</v>
      </c>
      <c r="Z67" s="26">
        <f ca="1">ALL!AD50</f>
        <v>0</v>
      </c>
      <c r="AA67" s="26">
        <f ca="1">ALL!AE50</f>
        <v>0</v>
      </c>
      <c r="AB67" s="26">
        <f ca="1">ALL!AF50</f>
        <v>0</v>
      </c>
      <c r="AC67" s="26">
        <f ca="1">ALL!AG50</f>
        <v>0</v>
      </c>
      <c r="AD67" s="26">
        <f ca="1">ALL!AH50</f>
        <v>0</v>
      </c>
      <c r="AE67" s="26">
        <f ca="1">ALL!AI50</f>
        <v>0</v>
      </c>
      <c r="AF67" s="26">
        <f ca="1">ALL!AJ50</f>
        <v>0</v>
      </c>
      <c r="AG67" s="26">
        <f ca="1">ALL!AK50</f>
        <v>0</v>
      </c>
      <c r="AH67" s="26">
        <f ca="1">ALL!AL50</f>
        <v>0</v>
      </c>
      <c r="AI67" s="26">
        <f>ALL!AM50</f>
        <v>0</v>
      </c>
    </row>
    <row r="68" spans="1:35" ht="21.75" outlineLevel="1" thickBot="1" x14ac:dyDescent="0.4">
      <c r="A68" s="60" t="str">
        <f>ALL!E51</f>
        <v>*Se[m]</v>
      </c>
      <c r="B68" s="26">
        <f ca="1">ALL!F51</f>
        <v>-22.14</v>
      </c>
      <c r="C68" s="26">
        <f ca="1">ALL!G51</f>
        <v>-21.3</v>
      </c>
      <c r="D68" s="26">
        <f ca="1">ALL!H51</f>
        <v>-21.39</v>
      </c>
      <c r="E68" s="26">
        <f ca="1">ALL!I51</f>
        <v>-21.8</v>
      </c>
      <c r="F68" s="26">
        <f ca="1">ALL!J51</f>
        <v>-22.19</v>
      </c>
      <c r="G68" s="26">
        <f ca="1">ALL!K51</f>
        <v>-22.48</v>
      </c>
      <c r="H68" s="26">
        <f ca="1">ALL!L51</f>
        <v>-22.79</v>
      </c>
      <c r="I68" s="26">
        <f ca="1">ALL!M51</f>
        <v>-23.04</v>
      </c>
      <c r="J68" s="26">
        <f ca="1">ALL!N51</f>
        <v>-23.53</v>
      </c>
      <c r="K68" s="26">
        <f ca="1">ALL!O51</f>
        <v>-24.03</v>
      </c>
      <c r="L68" s="26">
        <f ca="1">ALL!P51</f>
        <v>-24.51</v>
      </c>
      <c r="M68" s="26">
        <f ca="1">ALL!Q51</f>
        <v>-24.99</v>
      </c>
      <c r="N68" s="26">
        <f ca="1">ALL!R51</f>
        <v>-25.47</v>
      </c>
      <c r="O68" s="26">
        <f ca="1">ALL!S51</f>
        <v>-27.28</v>
      </c>
      <c r="P68" s="26">
        <f ca="1">ALL!T51</f>
        <v>-29</v>
      </c>
      <c r="Q68" s="26">
        <f ca="1">ALL!U51</f>
        <v>-30.63</v>
      </c>
      <c r="R68" s="26">
        <f ca="1">ALL!V51</f>
        <v>-31.03</v>
      </c>
      <c r="S68" s="26">
        <f ca="1">ALL!W51</f>
        <v>-31.42</v>
      </c>
      <c r="T68" s="26">
        <f ca="1">ALL!X51</f>
        <v>-31.81</v>
      </c>
      <c r="U68" s="26">
        <f ca="1">ALL!Y51</f>
        <v>-32.200000000000003</v>
      </c>
      <c r="V68" s="26">
        <f ca="1">ALL!Z51</f>
        <v>-33.729999999999997</v>
      </c>
      <c r="W68" s="26">
        <f ca="1">ALL!AA51</f>
        <v>-35.22</v>
      </c>
      <c r="X68" s="26">
        <f ca="1">ALL!AB51</f>
        <v>0</v>
      </c>
      <c r="Y68" s="26">
        <f ca="1">ALL!AC51</f>
        <v>0</v>
      </c>
      <c r="Z68" s="26">
        <f ca="1">ALL!AD51</f>
        <v>0</v>
      </c>
      <c r="AA68" s="26">
        <f ca="1">ALL!AE51</f>
        <v>0</v>
      </c>
      <c r="AB68" s="26">
        <f ca="1">ALL!AF51</f>
        <v>0</v>
      </c>
      <c r="AC68" s="26">
        <f ca="1">ALL!AG51</f>
        <v>0</v>
      </c>
      <c r="AD68" s="26">
        <f ca="1">ALL!AH51</f>
        <v>0</v>
      </c>
      <c r="AE68" s="26">
        <f ca="1">ALL!AI51</f>
        <v>0</v>
      </c>
      <c r="AF68" s="26">
        <f ca="1">ALL!AJ51</f>
        <v>0</v>
      </c>
      <c r="AG68" s="26">
        <f ca="1">ALL!AK51</f>
        <v>0</v>
      </c>
      <c r="AH68" s="26">
        <f ca="1">ALL!AL51</f>
        <v>0</v>
      </c>
      <c r="AI68" s="26">
        <f>ALL!AM51</f>
        <v>0</v>
      </c>
    </row>
    <row r="69" spans="1:35" ht="21.75" outlineLevel="1" thickBot="1" x14ac:dyDescent="0.4">
      <c r="A69" s="60" t="str">
        <f>ALL!E52</f>
        <v>*Ga2Se3</v>
      </c>
      <c r="B69" s="26">
        <f ca="1">ALL!F52</f>
        <v>-188</v>
      </c>
      <c r="C69" s="26">
        <f ca="1">ALL!G52</f>
        <v>-171.54000000000002</v>
      </c>
      <c r="D69" s="26">
        <f ca="1">ALL!H52</f>
        <v>-158.19</v>
      </c>
      <c r="E69" s="26">
        <f ca="1">ALL!I52</f>
        <v>-147.19999999999999</v>
      </c>
      <c r="F69" s="26">
        <f ca="1">ALL!J52</f>
        <v>-137.99</v>
      </c>
      <c r="G69" s="26">
        <f ca="1">ALL!K52</f>
        <v>-130.22</v>
      </c>
      <c r="H69" s="26">
        <f ca="1">ALL!L52</f>
        <v>-123.69</v>
      </c>
      <c r="I69" s="26">
        <f ca="1">ALL!M52</f>
        <v>-122.7</v>
      </c>
      <c r="J69" s="26">
        <f ca="1">ALL!N52</f>
        <v>-126.81</v>
      </c>
      <c r="K69" s="26">
        <f ca="1">ALL!O52</f>
        <v>-130.91</v>
      </c>
      <c r="L69" s="26">
        <f ca="1">ALL!P52</f>
        <v>-134.91</v>
      </c>
      <c r="M69" s="26">
        <f ca="1">ALL!Q52</f>
        <v>-138.85</v>
      </c>
      <c r="N69" s="26">
        <f ca="1">ALL!R52</f>
        <v>-142.72999999999999</v>
      </c>
      <c r="O69" s="26">
        <f ca="1">ALL!S52</f>
        <v>-157.18</v>
      </c>
      <c r="P69" s="26">
        <f ca="1">ALL!T52</f>
        <v>-169.86</v>
      </c>
      <c r="Q69" s="26">
        <f ca="1">ALL!U52</f>
        <v>-180.55</v>
      </c>
      <c r="R69" s="26">
        <f ca="1">ALL!V52</f>
        <v>-182.89</v>
      </c>
      <c r="S69" s="26">
        <f ca="1">ALL!W52</f>
        <v>-185.10000000000002</v>
      </c>
      <c r="T69" s="26">
        <f ca="1">ALL!X52</f>
        <v>-187.14999999999998</v>
      </c>
      <c r="U69" s="26">
        <f ca="1">ALL!Y52</f>
        <v>-189.10000000000002</v>
      </c>
      <c r="V69" s="26">
        <f ca="1">ALL!Z52</f>
        <v>-195.41</v>
      </c>
      <c r="W69" s="26">
        <f ca="1">ALL!AA52</f>
        <v>-199.36</v>
      </c>
      <c r="X69" s="26">
        <f ca="1">ALL!AB52</f>
        <v>0</v>
      </c>
      <c r="Y69" s="26">
        <f ca="1">ALL!AC52</f>
        <v>0</v>
      </c>
      <c r="Z69" s="26">
        <f ca="1">ALL!AD52</f>
        <v>0</v>
      </c>
      <c r="AA69" s="26">
        <f ca="1">ALL!AE52</f>
        <v>0</v>
      </c>
      <c r="AB69" s="26">
        <f ca="1">ALL!AF52</f>
        <v>0</v>
      </c>
      <c r="AC69" s="26">
        <f ca="1">ALL!AG52</f>
        <v>0</v>
      </c>
      <c r="AD69" s="26">
        <f ca="1">ALL!AH52</f>
        <v>0</v>
      </c>
      <c r="AE69" s="26">
        <f ca="1">ALL!AI52</f>
        <v>0</v>
      </c>
      <c r="AF69" s="26">
        <f ca="1">ALL!AJ52</f>
        <v>0</v>
      </c>
      <c r="AG69" s="26">
        <f ca="1">ALL!AK52</f>
        <v>0</v>
      </c>
      <c r="AH69" s="26">
        <f ca="1">ALL!AL52</f>
        <v>0</v>
      </c>
      <c r="AI69" s="26">
        <f>ALL!AM52</f>
        <v>0</v>
      </c>
    </row>
    <row r="70" spans="1:35" ht="21.75" outlineLevel="1" thickBot="1" x14ac:dyDescent="0.4">
      <c r="A70" s="60" t="str">
        <f>ALL!E53</f>
        <v>Ge</v>
      </c>
      <c r="B70" s="26">
        <f ca="1">ALL!F53</f>
        <v>-16</v>
      </c>
      <c r="C70" s="26">
        <f ca="1">ALL!G53</f>
        <v>-13.92</v>
      </c>
      <c r="D70" s="26">
        <f ca="1">ALL!H53</f>
        <v>-11.54</v>
      </c>
      <c r="E70" s="26">
        <f ca="1">ALL!I53</f>
        <v>-9.3460000000000001</v>
      </c>
      <c r="F70" s="26">
        <f ca="1">ALL!J53</f>
        <v>-7.6120000000000001</v>
      </c>
      <c r="G70" s="26">
        <f ca="1">ALL!K53</f>
        <v>-6.5529999999999999</v>
      </c>
      <c r="H70" s="26">
        <f ca="1">ALL!L53</f>
        <v>-6.1760000000000002</v>
      </c>
      <c r="I70" s="26">
        <f ca="1">ALL!M53</f>
        <v>-6.8330000000000002</v>
      </c>
      <c r="J70" s="26">
        <f ca="1">ALL!N53</f>
        <v>-6.843</v>
      </c>
      <c r="K70" s="26">
        <f ca="1">ALL!O53</f>
        <v>-6.9039999999999999</v>
      </c>
      <c r="L70" s="26">
        <f ca="1">ALL!P53</f>
        <v>-6.9809999999999999</v>
      </c>
      <c r="M70" s="26">
        <f ca="1">ALL!Q53</f>
        <v>-7.0620000000000003</v>
      </c>
      <c r="N70" s="26">
        <f ca="1">ALL!R53</f>
        <v>-7.1429999999999998</v>
      </c>
      <c r="O70" s="26">
        <f ca="1">ALL!S53</f>
        <v>-7.4630000000000001</v>
      </c>
      <c r="P70" s="26">
        <f ca="1">ALL!T53</f>
        <v>-7.7649999999999997</v>
      </c>
      <c r="Q70" s="26">
        <f ca="1">ALL!U53</f>
        <v>-8.048</v>
      </c>
      <c r="R70" s="26">
        <f ca="1">ALL!V53</f>
        <v>-8.1159999999999997</v>
      </c>
      <c r="S70" s="26">
        <f ca="1">ALL!W53</f>
        <v>-8.1820000000000004</v>
      </c>
      <c r="T70" s="26">
        <f ca="1">ALL!X53</f>
        <v>-8.2479999999999993</v>
      </c>
      <c r="U70" s="26">
        <f ca="1">ALL!Y53</f>
        <v>-8.3130000000000006</v>
      </c>
      <c r="V70" s="26">
        <f ca="1">ALL!Z53</f>
        <v>-8.5609999999999999</v>
      </c>
      <c r="W70" s="26">
        <f ca="1">ALL!AA53</f>
        <v>-8.7949999999999999</v>
      </c>
      <c r="X70" s="26">
        <f ca="1">ALL!AB53</f>
        <v>0</v>
      </c>
      <c r="Y70" s="26">
        <f ca="1">ALL!AC53</f>
        <v>0</v>
      </c>
      <c r="Z70" s="26">
        <f ca="1">ALL!AD53</f>
        <v>0</v>
      </c>
      <c r="AA70" s="26">
        <f ca="1">ALL!AE53</f>
        <v>0</v>
      </c>
      <c r="AB70" s="26">
        <f ca="1">ALL!AF53</f>
        <v>0</v>
      </c>
      <c r="AC70" s="26">
        <f ca="1">ALL!AG53</f>
        <v>0</v>
      </c>
      <c r="AD70" s="26">
        <f ca="1">ALL!AH53</f>
        <v>0</v>
      </c>
      <c r="AE70" s="26">
        <f ca="1">ALL!AI53</f>
        <v>0</v>
      </c>
      <c r="AF70" s="26">
        <f ca="1">ALL!AJ53</f>
        <v>0</v>
      </c>
      <c r="AG70" s="26">
        <f ca="1">ALL!AK53</f>
        <v>0</v>
      </c>
      <c r="AH70" s="26">
        <f ca="1">ALL!AL53</f>
        <v>0</v>
      </c>
      <c r="AI70" s="26">
        <f>ALL!AM53</f>
        <v>0</v>
      </c>
    </row>
    <row r="71" spans="1:35" ht="21.75" outlineLevel="1" thickBot="1" x14ac:dyDescent="0.4">
      <c r="A71" s="60" t="str">
        <f>ALL!E54</f>
        <v>Ar</v>
      </c>
      <c r="B71" s="26">
        <f ca="1">ALL!F54</f>
        <v>-18.88</v>
      </c>
      <c r="C71" s="26">
        <f ca="1">ALL!G54</f>
        <v>-18.87</v>
      </c>
      <c r="D71" s="26">
        <f ca="1">ALL!H54</f>
        <v>-18.899999999999999</v>
      </c>
      <c r="E71" s="26">
        <f ca="1">ALL!I54</f>
        <v>-18.940000000000001</v>
      </c>
      <c r="F71" s="26">
        <f ca="1">ALL!J54</f>
        <v>-18.989999999999998</v>
      </c>
      <c r="G71" s="26">
        <f ca="1">ALL!K54</f>
        <v>-19.04</v>
      </c>
      <c r="H71" s="26">
        <f ca="1">ALL!L54</f>
        <v>-19.07</v>
      </c>
      <c r="I71" s="26">
        <f ca="1">ALL!M54</f>
        <v>-18.96</v>
      </c>
      <c r="J71" s="26">
        <f ca="1">ALL!N54</f>
        <v>-19.03</v>
      </c>
      <c r="K71" s="26">
        <f ca="1">ALL!O54</f>
        <v>-19.100000000000001</v>
      </c>
      <c r="L71" s="26">
        <f ca="1">ALL!P54</f>
        <v>-19.170000000000002</v>
      </c>
      <c r="M71" s="26">
        <f ca="1">ALL!Q54</f>
        <v>-19.239999999999998</v>
      </c>
      <c r="N71" s="26">
        <f ca="1">ALL!R54</f>
        <v>-19.309999999999999</v>
      </c>
      <c r="O71" s="26">
        <f ca="1">ALL!S54</f>
        <v>-19.57</v>
      </c>
      <c r="P71" s="26">
        <f ca="1">ALL!T54</f>
        <v>-19.82</v>
      </c>
      <c r="Q71" s="26">
        <f ca="1">ALL!U54</f>
        <v>-20.05</v>
      </c>
      <c r="R71" s="26">
        <f ca="1">ALL!V54</f>
        <v>-20.11</v>
      </c>
      <c r="S71" s="26">
        <f ca="1">ALL!W54</f>
        <v>-20.16</v>
      </c>
      <c r="T71" s="26">
        <f ca="1">ALL!X54</f>
        <v>-20.21</v>
      </c>
      <c r="U71" s="26">
        <f ca="1">ALL!Y54</f>
        <v>-20.260000000000002</v>
      </c>
      <c r="V71" s="26">
        <f ca="1">ALL!Z54</f>
        <v>-20.46</v>
      </c>
      <c r="W71" s="26">
        <f ca="1">ALL!AA54</f>
        <v>-20.65</v>
      </c>
      <c r="X71" s="26">
        <f ca="1">ALL!AB54</f>
        <v>0</v>
      </c>
      <c r="Y71" s="26">
        <f ca="1">ALL!AC54</f>
        <v>0</v>
      </c>
      <c r="Z71" s="26">
        <f ca="1">ALL!AD54</f>
        <v>0</v>
      </c>
      <c r="AA71" s="26">
        <f ca="1">ALL!AE54</f>
        <v>0</v>
      </c>
      <c r="AB71" s="26">
        <f ca="1">ALL!AF54</f>
        <v>0</v>
      </c>
      <c r="AC71" s="26">
        <f ca="1">ALL!AG54</f>
        <v>0</v>
      </c>
      <c r="AD71" s="26">
        <f ca="1">ALL!AH54</f>
        <v>0</v>
      </c>
      <c r="AE71" s="26">
        <f ca="1">ALL!AI54</f>
        <v>0</v>
      </c>
      <c r="AF71" s="26">
        <f ca="1">ALL!AJ54</f>
        <v>0</v>
      </c>
      <c r="AG71" s="26">
        <f ca="1">ALL!AK54</f>
        <v>0</v>
      </c>
      <c r="AH71" s="26">
        <f ca="1">ALL!AL54</f>
        <v>0</v>
      </c>
      <c r="AI71" s="26">
        <f>ALL!AM54</f>
        <v>0</v>
      </c>
    </row>
    <row r="72" spans="1:35" ht="21.75" outlineLevel="1" thickBot="1" x14ac:dyDescent="0.4">
      <c r="A72" s="60" t="str">
        <f>ALL!E55</f>
        <v>(l)GeSe2</v>
      </c>
      <c r="B72" s="26">
        <f ca="1">ALL!F55</f>
        <v>-60.28</v>
      </c>
      <c r="C72" s="26">
        <f ca="1">ALL!G55</f>
        <v>-56.52</v>
      </c>
      <c r="D72" s="26">
        <f ca="1">ALL!H55</f>
        <v>-54.32</v>
      </c>
      <c r="E72" s="26">
        <f ca="1">ALL!I55</f>
        <v>-52.945999999999998</v>
      </c>
      <c r="F72" s="26">
        <f ca="1">ALL!J55</f>
        <v>-51.992000000000004</v>
      </c>
      <c r="G72" s="26">
        <f ca="1">ALL!K55</f>
        <v>-51.512999999999998</v>
      </c>
      <c r="H72" s="26">
        <f ca="1">ALL!L55</f>
        <v>-51.756</v>
      </c>
      <c r="I72" s="26">
        <f ca="1">ALL!M55</f>
        <v>-52.912999999999997</v>
      </c>
      <c r="J72" s="26">
        <f ca="1">ALL!N55</f>
        <v>-53.903000000000006</v>
      </c>
      <c r="K72" s="26">
        <f ca="1">ALL!O55</f>
        <v>-54.963999999999999</v>
      </c>
      <c r="L72" s="26">
        <f ca="1">ALL!P55</f>
        <v>-56.001000000000005</v>
      </c>
      <c r="M72" s="26">
        <f ca="1">ALL!Q55</f>
        <v>-57.041999999999994</v>
      </c>
      <c r="N72" s="26">
        <f ca="1">ALL!R55</f>
        <v>-58.082999999999998</v>
      </c>
      <c r="O72" s="26">
        <f ca="1">ALL!S55</f>
        <v>-62.023000000000003</v>
      </c>
      <c r="P72" s="26">
        <f ca="1">ALL!T55</f>
        <v>-65.765000000000001</v>
      </c>
      <c r="Q72" s="26">
        <f ca="1">ALL!U55</f>
        <v>-69.307999999999993</v>
      </c>
      <c r="R72" s="26">
        <f ca="1">ALL!V55</f>
        <v>-70.176000000000002</v>
      </c>
      <c r="S72" s="26">
        <f ca="1">ALL!W55</f>
        <v>-71.022000000000006</v>
      </c>
      <c r="T72" s="26">
        <f ca="1">ALL!X55</f>
        <v>-71.867999999999995</v>
      </c>
      <c r="U72" s="26">
        <f ca="1">ALL!Y55</f>
        <v>-72.713000000000008</v>
      </c>
      <c r="V72" s="26">
        <f ca="1">ALL!Z55</f>
        <v>-76.020999999999987</v>
      </c>
      <c r="W72" s="26">
        <f ca="1">ALL!AA55</f>
        <v>-79.234999999999999</v>
      </c>
      <c r="X72" s="26">
        <f ca="1">ALL!AB55</f>
        <v>0</v>
      </c>
      <c r="Y72" s="26">
        <f ca="1">ALL!AC55</f>
        <v>0</v>
      </c>
      <c r="Z72" s="26">
        <f ca="1">ALL!AD55</f>
        <v>0</v>
      </c>
      <c r="AA72" s="26">
        <f ca="1">ALL!AE55</f>
        <v>0</v>
      </c>
      <c r="AB72" s="26">
        <f ca="1">ALL!AF55</f>
        <v>0</v>
      </c>
      <c r="AC72" s="26">
        <f ca="1">ALL!AG55</f>
        <v>0</v>
      </c>
      <c r="AD72" s="26">
        <f ca="1">ALL!AH55</f>
        <v>0</v>
      </c>
      <c r="AE72" s="26">
        <f ca="1">ALL!AI55</f>
        <v>0</v>
      </c>
      <c r="AF72" s="26">
        <f ca="1">ALL!AJ55</f>
        <v>0</v>
      </c>
      <c r="AG72" s="26">
        <f ca="1">ALL!AK55</f>
        <v>0</v>
      </c>
      <c r="AH72" s="26">
        <f ca="1">ALL!AL55</f>
        <v>0</v>
      </c>
      <c r="AI72" s="26">
        <f>ALL!AM55</f>
        <v>0</v>
      </c>
    </row>
    <row r="73" spans="1:35" ht="21.75" outlineLevel="1" thickBot="1" x14ac:dyDescent="0.4">
      <c r="A73" s="60" t="str">
        <f>ALL!E56</f>
        <v>(l)GeSe</v>
      </c>
      <c r="B73" s="26">
        <f ca="1">ALL!F56</f>
        <v>-38.14</v>
      </c>
      <c r="C73" s="26">
        <f ca="1">ALL!G56</f>
        <v>-35.22</v>
      </c>
      <c r="D73" s="26">
        <f ca="1">ALL!H56</f>
        <v>-32.93</v>
      </c>
      <c r="E73" s="26">
        <f ca="1">ALL!I56</f>
        <v>-31.146000000000001</v>
      </c>
      <c r="F73" s="26">
        <f ca="1">ALL!J56</f>
        <v>-29.802</v>
      </c>
      <c r="G73" s="26">
        <f ca="1">ALL!K56</f>
        <v>-29.033000000000001</v>
      </c>
      <c r="H73" s="26">
        <f ca="1">ALL!L56</f>
        <v>-28.966000000000001</v>
      </c>
      <c r="I73" s="26">
        <f ca="1">ALL!M56</f>
        <v>-29.872999999999998</v>
      </c>
      <c r="J73" s="26">
        <f ca="1">ALL!N56</f>
        <v>-30.373000000000001</v>
      </c>
      <c r="K73" s="26">
        <f ca="1">ALL!O56</f>
        <v>-30.934000000000001</v>
      </c>
      <c r="L73" s="26">
        <f ca="1">ALL!P56</f>
        <v>-31.491</v>
      </c>
      <c r="M73" s="26">
        <f ca="1">ALL!Q56</f>
        <v>-32.052</v>
      </c>
      <c r="N73" s="26">
        <f ca="1">ALL!R56</f>
        <v>-32.613</v>
      </c>
      <c r="O73" s="26">
        <f ca="1">ALL!S56</f>
        <v>-34.743000000000002</v>
      </c>
      <c r="P73" s="26">
        <f ca="1">ALL!T56</f>
        <v>-36.765000000000001</v>
      </c>
      <c r="Q73" s="26">
        <f ca="1">ALL!U56</f>
        <v>-38.677999999999997</v>
      </c>
      <c r="R73" s="26">
        <f ca="1">ALL!V56</f>
        <v>-39.146000000000001</v>
      </c>
      <c r="S73" s="26">
        <f ca="1">ALL!W56</f>
        <v>-39.602000000000004</v>
      </c>
      <c r="T73" s="26">
        <f ca="1">ALL!X56</f>
        <v>-40.058</v>
      </c>
      <c r="U73" s="26">
        <f ca="1">ALL!Y56</f>
        <v>-40.513000000000005</v>
      </c>
      <c r="V73" s="26">
        <f ca="1">ALL!Z56</f>
        <v>-42.290999999999997</v>
      </c>
      <c r="W73" s="26">
        <f ca="1">ALL!AA56</f>
        <v>-44.015000000000001</v>
      </c>
      <c r="X73" s="26">
        <f ca="1">ALL!AB56</f>
        <v>0</v>
      </c>
      <c r="Y73" s="26">
        <f ca="1">ALL!AC56</f>
        <v>0</v>
      </c>
      <c r="Z73" s="26">
        <f ca="1">ALL!AD56</f>
        <v>0</v>
      </c>
      <c r="AA73" s="26">
        <f ca="1">ALL!AE56</f>
        <v>0</v>
      </c>
      <c r="AB73" s="26">
        <f ca="1">ALL!AF56</f>
        <v>0</v>
      </c>
      <c r="AC73" s="26">
        <f ca="1">ALL!AG56</f>
        <v>0</v>
      </c>
      <c r="AD73" s="26">
        <f ca="1">ALL!AH56</f>
        <v>0</v>
      </c>
      <c r="AE73" s="26">
        <f ca="1">ALL!AI56</f>
        <v>0</v>
      </c>
      <c r="AF73" s="26">
        <f ca="1">ALL!AJ56</f>
        <v>0</v>
      </c>
      <c r="AG73" s="26">
        <f ca="1">ALL!AK56</f>
        <v>0</v>
      </c>
      <c r="AH73" s="26">
        <f ca="1">ALL!AL56</f>
        <v>0</v>
      </c>
      <c r="AI73" s="26">
        <f>ALL!AM56</f>
        <v>0</v>
      </c>
    </row>
    <row r="74" spans="1:35" ht="21.75" outlineLevel="1" thickBot="1" x14ac:dyDescent="0.4">
      <c r="A74" s="60" t="str">
        <f>ALL!E57</f>
        <v>(l)Ga2Se3</v>
      </c>
      <c r="B74" s="26">
        <f ca="1">ALL!F57</f>
        <v>-188</v>
      </c>
      <c r="C74" s="26">
        <f ca="1">ALL!G57</f>
        <v>-171.54000000000002</v>
      </c>
      <c r="D74" s="26">
        <f ca="1">ALL!H57</f>
        <v>-158.19</v>
      </c>
      <c r="E74" s="26">
        <f ca="1">ALL!I57</f>
        <v>-147.19999999999999</v>
      </c>
      <c r="F74" s="26">
        <f ca="1">ALL!J57</f>
        <v>-137.99</v>
      </c>
      <c r="G74" s="26">
        <f ca="1">ALL!K57</f>
        <v>-130.22</v>
      </c>
      <c r="H74" s="26">
        <f ca="1">ALL!L57</f>
        <v>-123.69</v>
      </c>
      <c r="I74" s="26">
        <f ca="1">ALL!M57</f>
        <v>-122.7</v>
      </c>
      <c r="J74" s="26">
        <f ca="1">ALL!N57</f>
        <v>-126.81</v>
      </c>
      <c r="K74" s="26">
        <f ca="1">ALL!O57</f>
        <v>-130.91</v>
      </c>
      <c r="L74" s="26">
        <f ca="1">ALL!P57</f>
        <v>-134.91</v>
      </c>
      <c r="M74" s="26">
        <f ca="1">ALL!Q57</f>
        <v>-138.85</v>
      </c>
      <c r="N74" s="26">
        <f ca="1">ALL!R57</f>
        <v>-142.72999999999999</v>
      </c>
      <c r="O74" s="26">
        <f ca="1">ALL!S57</f>
        <v>-157.18</v>
      </c>
      <c r="P74" s="26">
        <f ca="1">ALL!T57</f>
        <v>-169.86</v>
      </c>
      <c r="Q74" s="26">
        <f ca="1">ALL!U57</f>
        <v>-180.55</v>
      </c>
      <c r="R74" s="26">
        <f ca="1">ALL!V57</f>
        <v>-182.89</v>
      </c>
      <c r="S74" s="26">
        <f ca="1">ALL!W57</f>
        <v>-185.10000000000002</v>
      </c>
      <c r="T74" s="26">
        <f ca="1">ALL!X57</f>
        <v>-187.14999999999998</v>
      </c>
      <c r="U74" s="26">
        <f ca="1">ALL!Y57</f>
        <v>-189.10000000000002</v>
      </c>
      <c r="V74" s="26">
        <f ca="1">ALL!Z57</f>
        <v>-195.41</v>
      </c>
      <c r="W74" s="26">
        <f ca="1">ALL!AA57</f>
        <v>-199.36</v>
      </c>
      <c r="X74" s="26">
        <f ca="1">ALL!AB57</f>
        <v>0</v>
      </c>
      <c r="Y74" s="26">
        <f ca="1">ALL!AC57</f>
        <v>0</v>
      </c>
      <c r="Z74" s="26">
        <f ca="1">ALL!AD57</f>
        <v>0</v>
      </c>
      <c r="AA74" s="26">
        <f ca="1">ALL!AE57</f>
        <v>0</v>
      </c>
      <c r="AB74" s="26">
        <f ca="1">ALL!AF57</f>
        <v>0</v>
      </c>
      <c r="AC74" s="26">
        <f ca="1">ALL!AG57</f>
        <v>0</v>
      </c>
      <c r="AD74" s="26">
        <f ca="1">ALL!AH57</f>
        <v>0</v>
      </c>
      <c r="AE74" s="26">
        <f ca="1">ALL!AI57</f>
        <v>0</v>
      </c>
      <c r="AF74" s="26">
        <f ca="1">ALL!AJ57</f>
        <v>0</v>
      </c>
      <c r="AG74" s="26">
        <f ca="1">ALL!AK57</f>
        <v>0</v>
      </c>
      <c r="AH74" s="26">
        <f ca="1">ALL!AL57</f>
        <v>0</v>
      </c>
      <c r="AI74" s="26">
        <f>ALL!AM57</f>
        <v>0</v>
      </c>
    </row>
    <row r="75" spans="1:35" ht="21.75" outlineLevel="1" thickBot="1" x14ac:dyDescent="0.4">
      <c r="A75" s="60" t="str">
        <f>ALL!E58</f>
        <v>(l)Ge</v>
      </c>
      <c r="B75" s="26">
        <f ca="1">ALL!F58</f>
        <v>-16</v>
      </c>
      <c r="C75" s="26">
        <f ca="1">ALL!G58</f>
        <v>-13.92</v>
      </c>
      <c r="D75" s="26">
        <f ca="1">ALL!H58</f>
        <v>-11.54</v>
      </c>
      <c r="E75" s="26">
        <f ca="1">ALL!I58</f>
        <v>-9.3460000000000001</v>
      </c>
      <c r="F75" s="26">
        <f ca="1">ALL!J58</f>
        <v>-7.6120000000000001</v>
      </c>
      <c r="G75" s="26">
        <f ca="1">ALL!K58</f>
        <v>-6.5529999999999999</v>
      </c>
      <c r="H75" s="26">
        <f ca="1">ALL!L58</f>
        <v>-6.1760000000000002</v>
      </c>
      <c r="I75" s="26">
        <f ca="1">ALL!M58</f>
        <v>-6.8330000000000002</v>
      </c>
      <c r="J75" s="26">
        <f ca="1">ALL!N58</f>
        <v>-6.843</v>
      </c>
      <c r="K75" s="26">
        <f ca="1">ALL!O58</f>
        <v>-6.9039999999999999</v>
      </c>
      <c r="L75" s="26">
        <f ca="1">ALL!P58</f>
        <v>-6.9809999999999999</v>
      </c>
      <c r="M75" s="26">
        <f ca="1">ALL!Q58</f>
        <v>-7.0620000000000003</v>
      </c>
      <c r="N75" s="26">
        <f ca="1">ALL!R58</f>
        <v>-7.1429999999999998</v>
      </c>
      <c r="O75" s="26">
        <f ca="1">ALL!S58</f>
        <v>-7.4630000000000001</v>
      </c>
      <c r="P75" s="26">
        <f ca="1">ALL!T58</f>
        <v>-7.7649999999999997</v>
      </c>
      <c r="Q75" s="26">
        <f ca="1">ALL!U58</f>
        <v>-8.048</v>
      </c>
      <c r="R75" s="26">
        <f ca="1">ALL!V58</f>
        <v>-8.1159999999999997</v>
      </c>
      <c r="S75" s="26">
        <f ca="1">ALL!W58</f>
        <v>-8.1820000000000004</v>
      </c>
      <c r="T75" s="26">
        <f ca="1">ALL!X58</f>
        <v>-8.2479999999999993</v>
      </c>
      <c r="U75" s="26">
        <f ca="1">ALL!Y58</f>
        <v>-8.3130000000000006</v>
      </c>
      <c r="V75" s="26">
        <f ca="1">ALL!Z58</f>
        <v>-8.5609999999999999</v>
      </c>
      <c r="W75" s="26">
        <f ca="1">ALL!AA58</f>
        <v>-8.7949999999999999</v>
      </c>
      <c r="X75" s="26">
        <f ca="1">ALL!AB58</f>
        <v>0</v>
      </c>
      <c r="Y75" s="26">
        <f ca="1">ALL!AC58</f>
        <v>0</v>
      </c>
      <c r="Z75" s="26">
        <f ca="1">ALL!AD58</f>
        <v>0</v>
      </c>
      <c r="AA75" s="26">
        <f ca="1">ALL!AE58</f>
        <v>0</v>
      </c>
      <c r="AB75" s="26">
        <f ca="1">ALL!AF58</f>
        <v>0</v>
      </c>
      <c r="AC75" s="26">
        <f ca="1">ALL!AG58</f>
        <v>0</v>
      </c>
      <c r="AD75" s="26">
        <f ca="1">ALL!AH58</f>
        <v>0</v>
      </c>
      <c r="AE75" s="26">
        <f ca="1">ALL!AI58</f>
        <v>0</v>
      </c>
      <c r="AF75" s="26">
        <f ca="1">ALL!AJ58</f>
        <v>0</v>
      </c>
      <c r="AG75" s="26">
        <f ca="1">ALL!AK58</f>
        <v>0</v>
      </c>
      <c r="AH75" s="26">
        <f ca="1">ALL!AL58</f>
        <v>0</v>
      </c>
      <c r="AI75" s="26">
        <f>ALL!AM58</f>
        <v>0</v>
      </c>
    </row>
    <row r="76" spans="1:35" ht="21.75" outlineLevel="1" thickBot="1" x14ac:dyDescent="0.4">
      <c r="A76" s="60" t="str">
        <f>ALL!E59</f>
        <v>(l)Ga</v>
      </c>
      <c r="B76" s="26">
        <f ca="1">ALL!F59</f>
        <v>-60.79</v>
      </c>
      <c r="C76" s="26">
        <f ca="1">ALL!G59</f>
        <v>-53.82</v>
      </c>
      <c r="D76" s="26">
        <f ca="1">ALL!H59</f>
        <v>-47.01</v>
      </c>
      <c r="E76" s="26">
        <f ca="1">ALL!I59</f>
        <v>-40.9</v>
      </c>
      <c r="F76" s="26">
        <f ca="1">ALL!J59</f>
        <v>-35.71</v>
      </c>
      <c r="G76" s="26">
        <f ca="1">ALL!K59</f>
        <v>-31.39</v>
      </c>
      <c r="H76" s="26">
        <f ca="1">ALL!L59</f>
        <v>-27.66</v>
      </c>
      <c r="I76" s="26">
        <f ca="1">ALL!M59</f>
        <v>-26.79</v>
      </c>
      <c r="J76" s="26">
        <f ca="1">ALL!N59</f>
        <v>-28.11</v>
      </c>
      <c r="K76" s="26">
        <f ca="1">ALL!O59</f>
        <v>-29.41</v>
      </c>
      <c r="L76" s="26">
        <f ca="1">ALL!P59</f>
        <v>-30.69</v>
      </c>
      <c r="M76" s="26">
        <f ca="1">ALL!Q59</f>
        <v>-31.94</v>
      </c>
      <c r="N76" s="26">
        <f ca="1">ALL!R59</f>
        <v>-33.159999999999997</v>
      </c>
      <c r="O76" s="26">
        <f ca="1">ALL!S59</f>
        <v>-37.67</v>
      </c>
      <c r="P76" s="26">
        <f ca="1">ALL!T59</f>
        <v>-41.43</v>
      </c>
      <c r="Q76" s="26">
        <f ca="1">ALL!U59</f>
        <v>-44.33</v>
      </c>
      <c r="R76" s="26">
        <f ca="1">ALL!V59</f>
        <v>-44.9</v>
      </c>
      <c r="S76" s="26">
        <f ca="1">ALL!W59</f>
        <v>-45.42</v>
      </c>
      <c r="T76" s="26">
        <f ca="1">ALL!X59</f>
        <v>-45.86</v>
      </c>
      <c r="U76" s="26">
        <f ca="1">ALL!Y59</f>
        <v>-46.25</v>
      </c>
      <c r="V76" s="26">
        <f ca="1">ALL!Z59</f>
        <v>-47.11</v>
      </c>
      <c r="W76" s="26">
        <f ca="1">ALL!AA59</f>
        <v>-46.85</v>
      </c>
      <c r="X76" s="26">
        <f ca="1">ALL!AB59</f>
        <v>0</v>
      </c>
      <c r="Y76" s="26">
        <f ca="1">ALL!AC59</f>
        <v>0</v>
      </c>
      <c r="Z76" s="26">
        <f ca="1">ALL!AD59</f>
        <v>0</v>
      </c>
      <c r="AA76" s="26">
        <f ca="1">ALL!AE59</f>
        <v>0</v>
      </c>
      <c r="AB76" s="26">
        <f ca="1">ALL!AF59</f>
        <v>0</v>
      </c>
      <c r="AC76" s="26">
        <f ca="1">ALL!AG59</f>
        <v>0</v>
      </c>
      <c r="AD76" s="26">
        <f ca="1">ALL!AH59</f>
        <v>0</v>
      </c>
      <c r="AE76" s="26">
        <f ca="1">ALL!AI59</f>
        <v>0</v>
      </c>
      <c r="AF76" s="26">
        <f ca="1">ALL!AJ59</f>
        <v>0</v>
      </c>
      <c r="AG76" s="26">
        <f ca="1">ALL!AK59</f>
        <v>0</v>
      </c>
      <c r="AH76" s="26">
        <f ca="1">ALL!AL59</f>
        <v>0</v>
      </c>
      <c r="AI76" s="26">
        <f>ALL!AM59</f>
        <v>0</v>
      </c>
    </row>
    <row r="77" spans="1:35" ht="21.75" outlineLevel="1" thickBot="1" x14ac:dyDescent="0.4">
      <c r="A77" s="60" t="str">
        <f>ALL!E60</f>
        <v>(l)Se</v>
      </c>
      <c r="B77" s="26">
        <f ca="1">ALL!F60</f>
        <v>-22.14</v>
      </c>
      <c r="C77" s="26">
        <f ca="1">ALL!G60</f>
        <v>-21.3</v>
      </c>
      <c r="D77" s="26">
        <f ca="1">ALL!H60</f>
        <v>-21.39</v>
      </c>
      <c r="E77" s="26">
        <f ca="1">ALL!I60</f>
        <v>-21.8</v>
      </c>
      <c r="F77" s="26">
        <f ca="1">ALL!J60</f>
        <v>-22.19</v>
      </c>
      <c r="G77" s="26">
        <f ca="1">ALL!K60</f>
        <v>-22.48</v>
      </c>
      <c r="H77" s="26">
        <f ca="1">ALL!L60</f>
        <v>-22.79</v>
      </c>
      <c r="I77" s="26">
        <f ca="1">ALL!M60</f>
        <v>-23.04</v>
      </c>
      <c r="J77" s="26">
        <f ca="1">ALL!N60</f>
        <v>-23.53</v>
      </c>
      <c r="K77" s="26">
        <f ca="1">ALL!O60</f>
        <v>-24.03</v>
      </c>
      <c r="L77" s="26">
        <f ca="1">ALL!P60</f>
        <v>-24.51</v>
      </c>
      <c r="M77" s="26">
        <f ca="1">ALL!Q60</f>
        <v>-24.99</v>
      </c>
      <c r="N77" s="26">
        <f ca="1">ALL!R60</f>
        <v>-25.47</v>
      </c>
      <c r="O77" s="26">
        <f ca="1">ALL!S60</f>
        <v>-27.28</v>
      </c>
      <c r="P77" s="26">
        <f ca="1">ALL!T60</f>
        <v>-29</v>
      </c>
      <c r="Q77" s="26">
        <f ca="1">ALL!U60</f>
        <v>-30.63</v>
      </c>
      <c r="R77" s="26">
        <f ca="1">ALL!V60</f>
        <v>-31.03</v>
      </c>
      <c r="S77" s="26">
        <f ca="1">ALL!W60</f>
        <v>-31.42</v>
      </c>
      <c r="T77" s="26">
        <f ca="1">ALL!X60</f>
        <v>-31.81</v>
      </c>
      <c r="U77" s="26">
        <f ca="1">ALL!Y60</f>
        <v>-32.200000000000003</v>
      </c>
      <c r="V77" s="26">
        <f ca="1">ALL!Z60</f>
        <v>-33.729999999999997</v>
      </c>
      <c r="W77" s="26">
        <f ca="1">ALL!AA60</f>
        <v>-35.22</v>
      </c>
      <c r="X77" s="26">
        <f ca="1">ALL!AB60</f>
        <v>0</v>
      </c>
      <c r="Y77" s="26">
        <f ca="1">ALL!AC60</f>
        <v>0</v>
      </c>
      <c r="Z77" s="26">
        <f ca="1">ALL!AD60</f>
        <v>0</v>
      </c>
      <c r="AA77" s="26">
        <f ca="1">ALL!AE60</f>
        <v>0</v>
      </c>
      <c r="AB77" s="26">
        <f ca="1">ALL!AF60</f>
        <v>0</v>
      </c>
      <c r="AC77" s="26">
        <f ca="1">ALL!AG60</f>
        <v>0</v>
      </c>
      <c r="AD77" s="26">
        <f ca="1">ALL!AH60</f>
        <v>0</v>
      </c>
      <c r="AE77" s="26">
        <f ca="1">ALL!AI60</f>
        <v>0</v>
      </c>
      <c r="AF77" s="26">
        <f ca="1">ALL!AJ60</f>
        <v>0</v>
      </c>
      <c r="AG77" s="26">
        <f ca="1">ALL!AK60</f>
        <v>0</v>
      </c>
      <c r="AH77" s="26">
        <f ca="1">ALL!AL60</f>
        <v>0</v>
      </c>
      <c r="AI77" s="26">
        <f>ALL!AM60</f>
        <v>0</v>
      </c>
    </row>
    <row r="78" spans="1:35" ht="21.75" outlineLevel="1" thickBot="1" x14ac:dyDescent="0.4">
      <c r="A78" s="60" t="str">
        <f>ALL!E61</f>
        <v>(l)Se[a]</v>
      </c>
      <c r="B78" s="26">
        <f ca="1">ALL!F61</f>
        <v>-22.14</v>
      </c>
      <c r="C78" s="26">
        <f ca="1">ALL!G61</f>
        <v>-21.3</v>
      </c>
      <c r="D78" s="26">
        <f ca="1">ALL!H61</f>
        <v>-21.39</v>
      </c>
      <c r="E78" s="26">
        <f ca="1">ALL!I61</f>
        <v>-21.8</v>
      </c>
      <c r="F78" s="26">
        <f ca="1">ALL!J61</f>
        <v>-22.19</v>
      </c>
      <c r="G78" s="26">
        <f ca="1">ALL!K61</f>
        <v>-22.48</v>
      </c>
      <c r="H78" s="26">
        <f ca="1">ALL!L61</f>
        <v>-22.79</v>
      </c>
      <c r="I78" s="26">
        <f ca="1">ALL!M61</f>
        <v>-23.04</v>
      </c>
      <c r="J78" s="26">
        <f ca="1">ALL!N61</f>
        <v>-23.53</v>
      </c>
      <c r="K78" s="26">
        <f ca="1">ALL!O61</f>
        <v>-24.03</v>
      </c>
      <c r="L78" s="26">
        <f ca="1">ALL!P61</f>
        <v>-24.51</v>
      </c>
      <c r="M78" s="26">
        <f ca="1">ALL!Q61</f>
        <v>-24.99</v>
      </c>
      <c r="N78" s="26">
        <f ca="1">ALL!R61</f>
        <v>-25.47</v>
      </c>
      <c r="O78" s="26">
        <f ca="1">ALL!S61</f>
        <v>-27.28</v>
      </c>
      <c r="P78" s="26">
        <f ca="1">ALL!T61</f>
        <v>-29</v>
      </c>
      <c r="Q78" s="26">
        <f ca="1">ALL!U61</f>
        <v>-30.63</v>
      </c>
      <c r="R78" s="26">
        <f ca="1">ALL!V61</f>
        <v>-31.03</v>
      </c>
      <c r="S78" s="26">
        <f ca="1">ALL!W61</f>
        <v>-31.42</v>
      </c>
      <c r="T78" s="26">
        <f ca="1">ALL!X61</f>
        <v>-31.81</v>
      </c>
      <c r="U78" s="26">
        <f ca="1">ALL!Y61</f>
        <v>-32.200000000000003</v>
      </c>
      <c r="V78" s="26">
        <f ca="1">ALL!Z61</f>
        <v>-33.729999999999997</v>
      </c>
      <c r="W78" s="26">
        <f ca="1">ALL!AA61</f>
        <v>-35.22</v>
      </c>
      <c r="X78" s="26">
        <f ca="1">ALL!AB61</f>
        <v>0</v>
      </c>
      <c r="Y78" s="26">
        <f ca="1">ALL!AC61</f>
        <v>0</v>
      </c>
      <c r="Z78" s="26">
        <f ca="1">ALL!AD61</f>
        <v>0</v>
      </c>
      <c r="AA78" s="26">
        <f ca="1">ALL!AE61</f>
        <v>0</v>
      </c>
      <c r="AB78" s="26">
        <f ca="1">ALL!AF61</f>
        <v>0</v>
      </c>
      <c r="AC78" s="26">
        <f ca="1">ALL!AG61</f>
        <v>0</v>
      </c>
      <c r="AD78" s="26">
        <f ca="1">ALL!AH61</f>
        <v>0</v>
      </c>
      <c r="AE78" s="26">
        <f ca="1">ALL!AI61</f>
        <v>0</v>
      </c>
      <c r="AF78" s="26">
        <f ca="1">ALL!AJ61</f>
        <v>0</v>
      </c>
      <c r="AG78" s="26">
        <f ca="1">ALL!AK61</f>
        <v>0</v>
      </c>
      <c r="AH78" s="26">
        <f ca="1">ALL!AL61</f>
        <v>0</v>
      </c>
      <c r="AI78" s="26">
        <f>ALL!AM61</f>
        <v>0</v>
      </c>
    </row>
    <row r="79" spans="1:35" ht="21.75" outlineLevel="1" thickBot="1" x14ac:dyDescent="0.4">
      <c r="A79" s="60" t="str">
        <f>ALL!E62</f>
        <v>(l)Se[m]</v>
      </c>
      <c r="B79" s="26">
        <f ca="1">ALL!F62</f>
        <v>-22.14</v>
      </c>
      <c r="C79" s="26">
        <f ca="1">ALL!G62</f>
        <v>-21.3</v>
      </c>
      <c r="D79" s="26">
        <f ca="1">ALL!H62</f>
        <v>-21.39</v>
      </c>
      <c r="E79" s="26">
        <f ca="1">ALL!I62</f>
        <v>-21.8</v>
      </c>
      <c r="F79" s="26">
        <f ca="1">ALL!J62</f>
        <v>-22.19</v>
      </c>
      <c r="G79" s="26">
        <f ca="1">ALL!K62</f>
        <v>-22.48</v>
      </c>
      <c r="H79" s="26">
        <f ca="1">ALL!L62</f>
        <v>-22.79</v>
      </c>
      <c r="I79" s="26">
        <f ca="1">ALL!M62</f>
        <v>-23.04</v>
      </c>
      <c r="J79" s="26">
        <f ca="1">ALL!N62</f>
        <v>-23.53</v>
      </c>
      <c r="K79" s="26">
        <f ca="1">ALL!O62</f>
        <v>-24.03</v>
      </c>
      <c r="L79" s="26">
        <f ca="1">ALL!P62</f>
        <v>-24.51</v>
      </c>
      <c r="M79" s="26">
        <f ca="1">ALL!Q62</f>
        <v>-24.99</v>
      </c>
      <c r="N79" s="26">
        <f ca="1">ALL!R62</f>
        <v>-25.47</v>
      </c>
      <c r="O79" s="26">
        <f ca="1">ALL!S62</f>
        <v>-27.28</v>
      </c>
      <c r="P79" s="26">
        <f ca="1">ALL!T62</f>
        <v>-29</v>
      </c>
      <c r="Q79" s="26">
        <f ca="1">ALL!U62</f>
        <v>-30.63</v>
      </c>
      <c r="R79" s="26">
        <f ca="1">ALL!V62</f>
        <v>-31.03</v>
      </c>
      <c r="S79" s="26">
        <f ca="1">ALL!W62</f>
        <v>-31.42</v>
      </c>
      <c r="T79" s="26">
        <f ca="1">ALL!X62</f>
        <v>-31.81</v>
      </c>
      <c r="U79" s="26">
        <f ca="1">ALL!Y62</f>
        <v>-32.200000000000003</v>
      </c>
      <c r="V79" s="26">
        <f ca="1">ALL!Z62</f>
        <v>-33.729999999999997</v>
      </c>
      <c r="W79" s="26">
        <f ca="1">ALL!AA62</f>
        <v>-35.22</v>
      </c>
      <c r="X79" s="26">
        <f ca="1">ALL!AB62</f>
        <v>0</v>
      </c>
      <c r="Y79" s="26">
        <f ca="1">ALL!AC62</f>
        <v>0</v>
      </c>
      <c r="Z79" s="26">
        <f ca="1">ALL!AD62</f>
        <v>0</v>
      </c>
      <c r="AA79" s="26">
        <f ca="1">ALL!AE62</f>
        <v>0</v>
      </c>
      <c r="AB79" s="26">
        <f ca="1">ALL!AF62</f>
        <v>0</v>
      </c>
      <c r="AC79" s="26">
        <f ca="1">ALL!AG62</f>
        <v>0</v>
      </c>
      <c r="AD79" s="26">
        <f ca="1">ALL!AH62</f>
        <v>0</v>
      </c>
      <c r="AE79" s="26">
        <f ca="1">ALL!AI62</f>
        <v>0</v>
      </c>
      <c r="AF79" s="26">
        <f ca="1">ALL!AJ62</f>
        <v>0</v>
      </c>
      <c r="AG79" s="26">
        <f ca="1">ALL!AK62</f>
        <v>0</v>
      </c>
      <c r="AH79" s="26">
        <f ca="1">ALL!AL62</f>
        <v>0</v>
      </c>
      <c r="AI79" s="26">
        <f>ALL!AM62</f>
        <v>0</v>
      </c>
    </row>
    <row r="80" spans="1:35" ht="21.75" outlineLevel="1" thickBot="1" x14ac:dyDescent="0.4">
      <c r="A80" s="60" t="str">
        <f>ALL!E63</f>
        <v>(l)Se[r]</v>
      </c>
      <c r="B80" s="26">
        <f ca="1">ALL!F63</f>
        <v>-22.14</v>
      </c>
      <c r="C80" s="26">
        <f ca="1">ALL!G63</f>
        <v>-21.3</v>
      </c>
      <c r="D80" s="26">
        <f ca="1">ALL!H63</f>
        <v>-21.39</v>
      </c>
      <c r="E80" s="26">
        <f ca="1">ALL!I63</f>
        <v>-21.8</v>
      </c>
      <c r="F80" s="26">
        <f ca="1">ALL!J63</f>
        <v>-22.19</v>
      </c>
      <c r="G80" s="26">
        <f ca="1">ALL!K63</f>
        <v>-22.48</v>
      </c>
      <c r="H80" s="26">
        <f ca="1">ALL!L63</f>
        <v>-22.79</v>
      </c>
      <c r="I80" s="26">
        <f ca="1">ALL!M63</f>
        <v>-23.04</v>
      </c>
      <c r="J80" s="26">
        <f ca="1">ALL!N63</f>
        <v>-23.53</v>
      </c>
      <c r="K80" s="26">
        <f ca="1">ALL!O63</f>
        <v>-24.03</v>
      </c>
      <c r="L80" s="26">
        <f ca="1">ALL!P63</f>
        <v>-24.51</v>
      </c>
      <c r="M80" s="26">
        <f ca="1">ALL!Q63</f>
        <v>-24.99</v>
      </c>
      <c r="N80" s="26">
        <f ca="1">ALL!R63</f>
        <v>-25.47</v>
      </c>
      <c r="O80" s="26">
        <f ca="1">ALL!S63</f>
        <v>-27.28</v>
      </c>
      <c r="P80" s="26">
        <f ca="1">ALL!T63</f>
        <v>-29</v>
      </c>
      <c r="Q80" s="26">
        <f ca="1">ALL!U63</f>
        <v>-30.63</v>
      </c>
      <c r="R80" s="26">
        <f ca="1">ALL!V63</f>
        <v>-31.03</v>
      </c>
      <c r="S80" s="26">
        <f ca="1">ALL!W63</f>
        <v>-31.42</v>
      </c>
      <c r="T80" s="26">
        <f ca="1">ALL!X63</f>
        <v>-31.81</v>
      </c>
      <c r="U80" s="26">
        <f ca="1">ALL!Y63</f>
        <v>-32.200000000000003</v>
      </c>
      <c r="V80" s="26">
        <f ca="1">ALL!Z63</f>
        <v>-33.729999999999997</v>
      </c>
      <c r="W80" s="26">
        <f ca="1">ALL!AA63</f>
        <v>-35.22</v>
      </c>
      <c r="X80" s="26">
        <f ca="1">ALL!AB63</f>
        <v>0</v>
      </c>
      <c r="Y80" s="26">
        <f ca="1">ALL!AC63</f>
        <v>0</v>
      </c>
      <c r="Z80" s="26">
        <f ca="1">ALL!AD63</f>
        <v>0</v>
      </c>
      <c r="AA80" s="26">
        <f ca="1">ALL!AE63</f>
        <v>0</v>
      </c>
      <c r="AB80" s="26">
        <f ca="1">ALL!AF63</f>
        <v>0</v>
      </c>
      <c r="AC80" s="26">
        <f ca="1">ALL!AG63</f>
        <v>0</v>
      </c>
      <c r="AD80" s="26">
        <f ca="1">ALL!AH63</f>
        <v>0</v>
      </c>
      <c r="AE80" s="26">
        <f ca="1">ALL!AI63</f>
        <v>0</v>
      </c>
      <c r="AF80" s="26">
        <f ca="1">ALL!AJ63</f>
        <v>0</v>
      </c>
      <c r="AG80" s="26">
        <f ca="1">ALL!AK63</f>
        <v>0</v>
      </c>
      <c r="AH80" s="26">
        <f ca="1">ALL!AL63</f>
        <v>0</v>
      </c>
      <c r="AI80" s="26">
        <f>ALL!AM63</f>
        <v>0</v>
      </c>
    </row>
    <row r="81" spans="1:35" ht="21.75" outlineLevel="1" thickBot="1" x14ac:dyDescent="0.4">
      <c r="A81" s="60" t="str">
        <f>ALL!E64</f>
        <v>(l)Ge[c]</v>
      </c>
      <c r="B81" s="26">
        <f ca="1">ALL!F64</f>
        <v>-16</v>
      </c>
      <c r="C81" s="26">
        <f ca="1">ALL!G64</f>
        <v>-13.92</v>
      </c>
      <c r="D81" s="26">
        <f ca="1">ALL!H64</f>
        <v>-11.54</v>
      </c>
      <c r="E81" s="26">
        <f ca="1">ALL!I64</f>
        <v>-9.3460000000000001</v>
      </c>
      <c r="F81" s="26">
        <f ca="1">ALL!J64</f>
        <v>-7.6120000000000001</v>
      </c>
      <c r="G81" s="26">
        <f ca="1">ALL!K64</f>
        <v>-6.5529999999999999</v>
      </c>
      <c r="H81" s="26">
        <f ca="1">ALL!L64</f>
        <v>-6.1760000000000002</v>
      </c>
      <c r="I81" s="26">
        <f ca="1">ALL!M64</f>
        <v>-6.8330000000000002</v>
      </c>
      <c r="J81" s="26">
        <f ca="1">ALL!N64</f>
        <v>-6.843</v>
      </c>
      <c r="K81" s="26">
        <f ca="1">ALL!O64</f>
        <v>-6.9039999999999999</v>
      </c>
      <c r="L81" s="26">
        <f ca="1">ALL!P64</f>
        <v>-6.9809999999999999</v>
      </c>
      <c r="M81" s="26">
        <f ca="1">ALL!Q64</f>
        <v>-7.0620000000000003</v>
      </c>
      <c r="N81" s="26">
        <f ca="1">ALL!R64</f>
        <v>-7.1429999999999998</v>
      </c>
      <c r="O81" s="26">
        <f ca="1">ALL!S64</f>
        <v>-7.4630000000000001</v>
      </c>
      <c r="P81" s="26">
        <f ca="1">ALL!T64</f>
        <v>-7.7649999999999997</v>
      </c>
      <c r="Q81" s="26">
        <f ca="1">ALL!U64</f>
        <v>-8.048</v>
      </c>
      <c r="R81" s="26">
        <f ca="1">ALL!V64</f>
        <v>-8.1159999999999997</v>
      </c>
      <c r="S81" s="26">
        <f ca="1">ALL!W64</f>
        <v>-8.1820000000000004</v>
      </c>
      <c r="T81" s="26">
        <f ca="1">ALL!X64</f>
        <v>-8.2479999999999993</v>
      </c>
      <c r="U81" s="26">
        <f ca="1">ALL!Y64</f>
        <v>-8.3130000000000006</v>
      </c>
      <c r="V81" s="26">
        <f ca="1">ALL!Z64</f>
        <v>-8.5609999999999999</v>
      </c>
      <c r="W81" s="26">
        <f ca="1">ALL!AA64</f>
        <v>-8.7949999999999999</v>
      </c>
      <c r="X81" s="26">
        <f ca="1">ALL!AB64</f>
        <v>0</v>
      </c>
      <c r="Y81" s="26">
        <f ca="1">ALL!AC64</f>
        <v>0</v>
      </c>
      <c r="Z81" s="26">
        <f ca="1">ALL!AD64</f>
        <v>0</v>
      </c>
      <c r="AA81" s="26">
        <f ca="1">ALL!AE64</f>
        <v>0</v>
      </c>
      <c r="AB81" s="26">
        <f ca="1">ALL!AF64</f>
        <v>0</v>
      </c>
      <c r="AC81" s="26">
        <f ca="1">ALL!AG64</f>
        <v>0</v>
      </c>
      <c r="AD81" s="26">
        <f ca="1">ALL!AH64</f>
        <v>0</v>
      </c>
      <c r="AE81" s="26">
        <f ca="1">ALL!AI64</f>
        <v>0</v>
      </c>
      <c r="AF81" s="26">
        <f ca="1">ALL!AJ64</f>
        <v>0</v>
      </c>
      <c r="AG81" s="26">
        <f ca="1">ALL!AK64</f>
        <v>0</v>
      </c>
      <c r="AH81" s="26">
        <f ca="1">ALL!AL64</f>
        <v>0</v>
      </c>
      <c r="AI81" s="26">
        <f>ALL!AM64</f>
        <v>0</v>
      </c>
    </row>
    <row r="82" spans="1:35" ht="21.75" outlineLevel="1" thickBot="1" x14ac:dyDescent="0.4">
      <c r="A82" s="60" t="str">
        <f>ALL!E65</f>
        <v>H (Ar)</v>
      </c>
      <c r="B82" s="26">
        <f ca="1">ALL!F65</f>
        <v>-18.88</v>
      </c>
      <c r="C82" s="26">
        <f ca="1">ALL!G65</f>
        <v>-18.87</v>
      </c>
      <c r="D82" s="26">
        <f ca="1">ALL!H65</f>
        <v>-18.899999999999999</v>
      </c>
      <c r="E82" s="26">
        <f ca="1">ALL!I65</f>
        <v>-18.940000000000001</v>
      </c>
      <c r="F82" s="26">
        <f ca="1">ALL!J65</f>
        <v>-18.989999999999998</v>
      </c>
      <c r="G82" s="26">
        <f ca="1">ALL!K65</f>
        <v>-19.04</v>
      </c>
      <c r="H82" s="26">
        <f ca="1">ALL!L65</f>
        <v>-19.07</v>
      </c>
      <c r="I82" s="26">
        <f ca="1">ALL!M65</f>
        <v>-18.96</v>
      </c>
      <c r="J82" s="26">
        <f ca="1">ALL!N65</f>
        <v>-19.03</v>
      </c>
      <c r="K82" s="26">
        <f ca="1">ALL!O65</f>
        <v>-19.100000000000001</v>
      </c>
      <c r="L82" s="26">
        <f ca="1">ALL!P65</f>
        <v>-19.170000000000002</v>
      </c>
      <c r="M82" s="26">
        <f ca="1">ALL!Q65</f>
        <v>-19.239999999999998</v>
      </c>
      <c r="N82" s="26">
        <f ca="1">ALL!R65</f>
        <v>-19.309999999999999</v>
      </c>
      <c r="O82" s="26">
        <f ca="1">ALL!S65</f>
        <v>-19.57</v>
      </c>
      <c r="P82" s="26">
        <f ca="1">ALL!T65</f>
        <v>-19.82</v>
      </c>
      <c r="Q82" s="26">
        <f ca="1">ALL!U65</f>
        <v>-20.05</v>
      </c>
      <c r="R82" s="26">
        <f ca="1">ALL!V65</f>
        <v>-20.11</v>
      </c>
      <c r="S82" s="26">
        <f ca="1">ALL!W65</f>
        <v>-20.16</v>
      </c>
      <c r="T82" s="26">
        <f ca="1">ALL!X65</f>
        <v>-20.21</v>
      </c>
      <c r="U82" s="26">
        <f ca="1">ALL!Y65</f>
        <v>-20.260000000000002</v>
      </c>
      <c r="V82" s="26">
        <f ca="1">ALL!Z65</f>
        <v>-20.46</v>
      </c>
      <c r="W82" s="26">
        <f ca="1">ALL!AA65</f>
        <v>-20.65</v>
      </c>
      <c r="X82" s="26">
        <f ca="1">ALL!AB65</f>
        <v>0</v>
      </c>
      <c r="Y82" s="26">
        <f ca="1">ALL!AC65</f>
        <v>0</v>
      </c>
      <c r="Z82" s="26">
        <f ca="1">ALL!AD65</f>
        <v>0</v>
      </c>
      <c r="AA82" s="26">
        <f ca="1">ALL!AE65</f>
        <v>0</v>
      </c>
      <c r="AB82" s="26">
        <f ca="1">ALL!AF65</f>
        <v>0</v>
      </c>
      <c r="AC82" s="26">
        <f ca="1">ALL!AG65</f>
        <v>0</v>
      </c>
      <c r="AD82" s="26">
        <f ca="1">ALL!AH65</f>
        <v>0</v>
      </c>
      <c r="AE82" s="26">
        <f ca="1">ALL!AI65</f>
        <v>0</v>
      </c>
      <c r="AF82" s="26">
        <f ca="1">ALL!AJ65</f>
        <v>0</v>
      </c>
      <c r="AG82" s="26">
        <f ca="1">ALL!AK65</f>
        <v>0</v>
      </c>
      <c r="AH82" s="26">
        <f ca="1">ALL!AL65</f>
        <v>0</v>
      </c>
      <c r="AI82" s="26">
        <f>ALL!AM65</f>
        <v>0</v>
      </c>
    </row>
    <row r="83" spans="1:35" ht="21.75" outlineLevel="1" thickBot="1" x14ac:dyDescent="0.4">
      <c r="A83" s="60" t="str">
        <f>ALL!E66</f>
        <v>H (Ga)</v>
      </c>
      <c r="B83" s="26">
        <f ca="1">ALL!F66</f>
        <v>-60.79</v>
      </c>
      <c r="C83" s="26">
        <f ca="1">ALL!G66</f>
        <v>-53.82</v>
      </c>
      <c r="D83" s="26">
        <f ca="1">ALL!H66</f>
        <v>-47.01</v>
      </c>
      <c r="E83" s="26">
        <f ca="1">ALL!I66</f>
        <v>-40.9</v>
      </c>
      <c r="F83" s="26">
        <f ca="1">ALL!J66</f>
        <v>-35.71</v>
      </c>
      <c r="G83" s="26">
        <f ca="1">ALL!K66</f>
        <v>-31.39</v>
      </c>
      <c r="H83" s="26">
        <f ca="1">ALL!L66</f>
        <v>-27.66</v>
      </c>
      <c r="I83" s="26">
        <f ca="1">ALL!M66</f>
        <v>-26.79</v>
      </c>
      <c r="J83" s="26">
        <f ca="1">ALL!N66</f>
        <v>-28.11</v>
      </c>
      <c r="K83" s="26">
        <f ca="1">ALL!O66</f>
        <v>-29.41</v>
      </c>
      <c r="L83" s="26">
        <f ca="1">ALL!P66</f>
        <v>-30.69</v>
      </c>
      <c r="M83" s="26">
        <f ca="1">ALL!Q66</f>
        <v>-31.94</v>
      </c>
      <c r="N83" s="26">
        <f ca="1">ALL!R66</f>
        <v>-33.159999999999997</v>
      </c>
      <c r="O83" s="26">
        <f ca="1">ALL!S66</f>
        <v>-37.67</v>
      </c>
      <c r="P83" s="26">
        <f ca="1">ALL!T66</f>
        <v>-41.43</v>
      </c>
      <c r="Q83" s="26">
        <f ca="1">ALL!U66</f>
        <v>-44.33</v>
      </c>
      <c r="R83" s="26">
        <f ca="1">ALL!V66</f>
        <v>-44.9</v>
      </c>
      <c r="S83" s="26">
        <f ca="1">ALL!W66</f>
        <v>-45.42</v>
      </c>
      <c r="T83" s="26">
        <f ca="1">ALL!X66</f>
        <v>-45.86</v>
      </c>
      <c r="U83" s="26">
        <f ca="1">ALL!Y66</f>
        <v>-46.25</v>
      </c>
      <c r="V83" s="26">
        <f ca="1">ALL!Z66</f>
        <v>-47.11</v>
      </c>
      <c r="W83" s="26">
        <f ca="1">ALL!AA66</f>
        <v>-46.85</v>
      </c>
      <c r="X83" s="26">
        <f ca="1">ALL!AB66</f>
        <v>0</v>
      </c>
      <c r="Y83" s="26">
        <f ca="1">ALL!AC66</f>
        <v>0</v>
      </c>
      <c r="Z83" s="26">
        <f ca="1">ALL!AD66</f>
        <v>0</v>
      </c>
      <c r="AA83" s="26">
        <f ca="1">ALL!AE66</f>
        <v>0</v>
      </c>
      <c r="AB83" s="26">
        <f ca="1">ALL!AF66</f>
        <v>0</v>
      </c>
      <c r="AC83" s="26">
        <f ca="1">ALL!AG66</f>
        <v>0</v>
      </c>
      <c r="AD83" s="26">
        <f ca="1">ALL!AH66</f>
        <v>0</v>
      </c>
      <c r="AE83" s="26">
        <f ca="1">ALL!AI66</f>
        <v>0</v>
      </c>
      <c r="AF83" s="26">
        <f ca="1">ALL!AJ66</f>
        <v>0</v>
      </c>
      <c r="AG83" s="26">
        <f ca="1">ALL!AK66</f>
        <v>0</v>
      </c>
      <c r="AH83" s="26">
        <f ca="1">ALL!AL66</f>
        <v>0</v>
      </c>
      <c r="AI83" s="26">
        <f>ALL!AM66</f>
        <v>0</v>
      </c>
    </row>
    <row r="84" spans="1:35" ht="21.75" outlineLevel="1" thickBot="1" x14ac:dyDescent="0.4">
      <c r="A84" s="60" t="str">
        <f>ALL!E67</f>
        <v>H (Ge)</v>
      </c>
      <c r="B84" s="26">
        <f ca="1">ALL!F67</f>
        <v>-16</v>
      </c>
      <c r="C84" s="26">
        <f ca="1">ALL!G67</f>
        <v>-13.92</v>
      </c>
      <c r="D84" s="26">
        <f ca="1">ALL!H67</f>
        <v>-11.54</v>
      </c>
      <c r="E84" s="26">
        <f ca="1">ALL!I67</f>
        <v>-9.3460000000000001</v>
      </c>
      <c r="F84" s="26">
        <f ca="1">ALL!J67</f>
        <v>-7.6120000000000001</v>
      </c>
      <c r="G84" s="26">
        <f ca="1">ALL!K67</f>
        <v>-6.5529999999999999</v>
      </c>
      <c r="H84" s="26">
        <f ca="1">ALL!L67</f>
        <v>-6.1760000000000002</v>
      </c>
      <c r="I84" s="26">
        <f ca="1">ALL!M67</f>
        <v>-6.8330000000000002</v>
      </c>
      <c r="J84" s="26">
        <f ca="1">ALL!N67</f>
        <v>-6.843</v>
      </c>
      <c r="K84" s="26">
        <f ca="1">ALL!O67</f>
        <v>-6.9039999999999999</v>
      </c>
      <c r="L84" s="26">
        <f ca="1">ALL!P67</f>
        <v>-6.9809999999999999</v>
      </c>
      <c r="M84" s="26">
        <f ca="1">ALL!Q67</f>
        <v>-7.0620000000000003</v>
      </c>
      <c r="N84" s="26">
        <f ca="1">ALL!R67</f>
        <v>-7.1429999999999998</v>
      </c>
      <c r="O84" s="26">
        <f ca="1">ALL!S67</f>
        <v>-7.4630000000000001</v>
      </c>
      <c r="P84" s="26">
        <f ca="1">ALL!T67</f>
        <v>-7.7649999999999997</v>
      </c>
      <c r="Q84" s="26">
        <f ca="1">ALL!U67</f>
        <v>-8.048</v>
      </c>
      <c r="R84" s="26">
        <f ca="1">ALL!V67</f>
        <v>-8.1159999999999997</v>
      </c>
      <c r="S84" s="26">
        <f ca="1">ALL!W67</f>
        <v>-8.1820000000000004</v>
      </c>
      <c r="T84" s="26">
        <f ca="1">ALL!X67</f>
        <v>-8.2479999999999993</v>
      </c>
      <c r="U84" s="26">
        <f ca="1">ALL!Y67</f>
        <v>-8.3130000000000006</v>
      </c>
      <c r="V84" s="26">
        <f ca="1">ALL!Z67</f>
        <v>-8.5609999999999999</v>
      </c>
      <c r="W84" s="26">
        <f ca="1">ALL!AA67</f>
        <v>-8.7949999999999999</v>
      </c>
      <c r="X84" s="26">
        <f ca="1">ALL!AB67</f>
        <v>0</v>
      </c>
      <c r="Y84" s="26">
        <f ca="1">ALL!AC67</f>
        <v>0</v>
      </c>
      <c r="Z84" s="26">
        <f ca="1">ALL!AD67</f>
        <v>0</v>
      </c>
      <c r="AA84" s="26">
        <f ca="1">ALL!AE67</f>
        <v>0</v>
      </c>
      <c r="AB84" s="26">
        <f ca="1">ALL!AF67</f>
        <v>0</v>
      </c>
      <c r="AC84" s="26">
        <f ca="1">ALL!AG67</f>
        <v>0</v>
      </c>
      <c r="AD84" s="26">
        <f ca="1">ALL!AH67</f>
        <v>0</v>
      </c>
      <c r="AE84" s="26">
        <f ca="1">ALL!AI67</f>
        <v>0</v>
      </c>
      <c r="AF84" s="26">
        <f ca="1">ALL!AJ67</f>
        <v>0</v>
      </c>
      <c r="AG84" s="26">
        <f ca="1">ALL!AK67</f>
        <v>0</v>
      </c>
      <c r="AH84" s="26">
        <f ca="1">ALL!AL67</f>
        <v>0</v>
      </c>
      <c r="AI84" s="26">
        <f>ALL!AM67</f>
        <v>0</v>
      </c>
    </row>
    <row r="85" spans="1:35" ht="21.75" outlineLevel="1" thickBot="1" x14ac:dyDescent="0.4">
      <c r="A85" s="60" t="str">
        <f>ALL!E68</f>
        <v>H (Se)</v>
      </c>
      <c r="B85" s="26">
        <f ca="1">ALL!F68</f>
        <v>-22.14</v>
      </c>
      <c r="C85" s="26">
        <f ca="1">ALL!G68</f>
        <v>-21.3</v>
      </c>
      <c r="D85" s="26">
        <f ca="1">ALL!H68</f>
        <v>-21.39</v>
      </c>
      <c r="E85" s="26">
        <f ca="1">ALL!I68</f>
        <v>-21.8</v>
      </c>
      <c r="F85" s="26">
        <f ca="1">ALL!J68</f>
        <v>-22.19</v>
      </c>
      <c r="G85" s="26">
        <f ca="1">ALL!K68</f>
        <v>-22.48</v>
      </c>
      <c r="H85" s="26">
        <f ca="1">ALL!L68</f>
        <v>-22.79</v>
      </c>
      <c r="I85" s="26">
        <f ca="1">ALL!M68</f>
        <v>-23.04</v>
      </c>
      <c r="J85" s="26">
        <f ca="1">ALL!N68</f>
        <v>-23.53</v>
      </c>
      <c r="K85" s="26">
        <f ca="1">ALL!O68</f>
        <v>-24.03</v>
      </c>
      <c r="L85" s="26">
        <f ca="1">ALL!P68</f>
        <v>-24.51</v>
      </c>
      <c r="M85" s="26">
        <f ca="1">ALL!Q68</f>
        <v>-24.99</v>
      </c>
      <c r="N85" s="26">
        <f ca="1">ALL!R68</f>
        <v>-25.47</v>
      </c>
      <c r="O85" s="26">
        <f ca="1">ALL!S68</f>
        <v>-27.28</v>
      </c>
      <c r="P85" s="26">
        <f ca="1">ALL!T68</f>
        <v>-29</v>
      </c>
      <c r="Q85" s="26">
        <f ca="1">ALL!U68</f>
        <v>-30.63</v>
      </c>
      <c r="R85" s="26">
        <f ca="1">ALL!V68</f>
        <v>-31.03</v>
      </c>
      <c r="S85" s="26">
        <f ca="1">ALL!W68</f>
        <v>-31.42</v>
      </c>
      <c r="T85" s="26">
        <f ca="1">ALL!X68</f>
        <v>-31.81</v>
      </c>
      <c r="U85" s="26">
        <f ca="1">ALL!Y68</f>
        <v>-32.200000000000003</v>
      </c>
      <c r="V85" s="26">
        <f ca="1">ALL!Z68</f>
        <v>-33.729999999999997</v>
      </c>
      <c r="W85" s="26">
        <f ca="1">ALL!AA68</f>
        <v>-35.22</v>
      </c>
      <c r="X85" s="26">
        <f ca="1">ALL!AB68</f>
        <v>0</v>
      </c>
      <c r="Y85" s="26">
        <f ca="1">ALL!AC68</f>
        <v>0</v>
      </c>
      <c r="Z85" s="26">
        <f ca="1">ALL!AD68</f>
        <v>0</v>
      </c>
      <c r="AA85" s="26">
        <f ca="1">ALL!AE68</f>
        <v>0</v>
      </c>
      <c r="AB85" s="26">
        <f ca="1">ALL!AF68</f>
        <v>0</v>
      </c>
      <c r="AC85" s="26">
        <f ca="1">ALL!AG68</f>
        <v>0</v>
      </c>
      <c r="AD85" s="26">
        <f ca="1">ALL!AH68</f>
        <v>0</v>
      </c>
      <c r="AE85" s="26">
        <f ca="1">ALL!AI68</f>
        <v>0</v>
      </c>
      <c r="AF85" s="26">
        <f ca="1">ALL!AJ68</f>
        <v>0</v>
      </c>
      <c r="AG85" s="26">
        <f ca="1">ALL!AK68</f>
        <v>0</v>
      </c>
      <c r="AH85" s="26">
        <f ca="1">ALL!AL68</f>
        <v>0</v>
      </c>
      <c r="AI85" s="26">
        <f>ALL!AM68</f>
        <v>0</v>
      </c>
    </row>
    <row r="86" spans="1:35" ht="21.75" outlineLevel="1" thickBot="1" x14ac:dyDescent="0.4">
      <c r="A86" s="60">
        <f>ALL!E69</f>
        <v>0</v>
      </c>
      <c r="B86" s="26">
        <f ca="1">ALL!F69</f>
        <v>0</v>
      </c>
      <c r="C86" s="26">
        <f ca="1">ALL!G69</f>
        <v>0</v>
      </c>
      <c r="D86" s="26">
        <f ca="1">ALL!H69</f>
        <v>0</v>
      </c>
      <c r="E86" s="26">
        <f ca="1">ALL!I69</f>
        <v>0</v>
      </c>
      <c r="F86" s="26">
        <f ca="1">ALL!J69</f>
        <v>0</v>
      </c>
      <c r="G86" s="26">
        <f ca="1">ALL!K69</f>
        <v>0</v>
      </c>
      <c r="H86" s="26">
        <f ca="1">ALL!L69</f>
        <v>0</v>
      </c>
      <c r="I86" s="26">
        <f ca="1">ALL!M69</f>
        <v>0</v>
      </c>
      <c r="J86" s="26">
        <f ca="1">ALL!N69</f>
        <v>0</v>
      </c>
      <c r="K86" s="26">
        <f ca="1">ALL!O69</f>
        <v>0</v>
      </c>
      <c r="L86" s="26">
        <f ca="1">ALL!P69</f>
        <v>0</v>
      </c>
      <c r="M86" s="26">
        <f ca="1">ALL!Q69</f>
        <v>0</v>
      </c>
      <c r="N86" s="26">
        <f ca="1">ALL!R69</f>
        <v>0</v>
      </c>
      <c r="O86" s="26">
        <f ca="1">ALL!S69</f>
        <v>0</v>
      </c>
      <c r="P86" s="26">
        <f ca="1">ALL!T69</f>
        <v>0</v>
      </c>
      <c r="Q86" s="26">
        <f ca="1">ALL!U69</f>
        <v>0</v>
      </c>
      <c r="R86" s="26">
        <f ca="1">ALL!V69</f>
        <v>0</v>
      </c>
      <c r="S86" s="26">
        <f ca="1">ALL!W69</f>
        <v>0</v>
      </c>
      <c r="T86" s="26">
        <f ca="1">ALL!X69</f>
        <v>0</v>
      </c>
      <c r="U86" s="26">
        <f ca="1">ALL!Y69</f>
        <v>0</v>
      </c>
      <c r="V86" s="26">
        <f ca="1">ALL!Z69</f>
        <v>0</v>
      </c>
      <c r="W86" s="26">
        <f ca="1">ALL!AA69</f>
        <v>0</v>
      </c>
      <c r="X86" s="26">
        <f ca="1">ALL!AB69</f>
        <v>0</v>
      </c>
      <c r="Y86" s="26">
        <f ca="1">ALL!AC69</f>
        <v>0</v>
      </c>
      <c r="Z86" s="26">
        <f ca="1">ALL!AD69</f>
        <v>0</v>
      </c>
      <c r="AA86" s="26">
        <f ca="1">ALL!AE69</f>
        <v>0</v>
      </c>
      <c r="AB86" s="26">
        <f ca="1">ALL!AF69</f>
        <v>0</v>
      </c>
      <c r="AC86" s="26">
        <f ca="1">ALL!AG69</f>
        <v>0</v>
      </c>
      <c r="AD86" s="26">
        <f ca="1">ALL!AH69</f>
        <v>0</v>
      </c>
      <c r="AE86" s="26">
        <f ca="1">ALL!AI69</f>
        <v>0</v>
      </c>
      <c r="AF86" s="26">
        <f ca="1">ALL!AJ69</f>
        <v>0</v>
      </c>
      <c r="AG86" s="26">
        <f ca="1">ALL!AK69</f>
        <v>0</v>
      </c>
      <c r="AH86" s="26">
        <f ca="1">ALL!AL69</f>
        <v>0</v>
      </c>
      <c r="AI86" s="26">
        <f>ALL!AM69</f>
        <v>0</v>
      </c>
    </row>
    <row r="87" spans="1:35" ht="21.75" outlineLevel="1" thickBot="1" x14ac:dyDescent="0.4">
      <c r="A87" s="60">
        <f>ALL!E70</f>
        <v>0</v>
      </c>
      <c r="B87" s="26">
        <f ca="1">ALL!F70</f>
        <v>0</v>
      </c>
      <c r="C87" s="26">
        <f ca="1">ALL!G70</f>
        <v>0</v>
      </c>
      <c r="D87" s="26">
        <f ca="1">ALL!H70</f>
        <v>0</v>
      </c>
      <c r="E87" s="26">
        <f ca="1">ALL!I70</f>
        <v>0</v>
      </c>
      <c r="F87" s="26">
        <f ca="1">ALL!J70</f>
        <v>0</v>
      </c>
      <c r="G87" s="26">
        <f ca="1">ALL!K70</f>
        <v>0</v>
      </c>
      <c r="H87" s="26">
        <f ca="1">ALL!L70</f>
        <v>0</v>
      </c>
      <c r="I87" s="26">
        <f ca="1">ALL!M70</f>
        <v>0</v>
      </c>
      <c r="J87" s="26">
        <f ca="1">ALL!N70</f>
        <v>0</v>
      </c>
      <c r="K87" s="26">
        <f ca="1">ALL!O70</f>
        <v>0</v>
      </c>
      <c r="L87" s="26">
        <f ca="1">ALL!P70</f>
        <v>0</v>
      </c>
      <c r="M87" s="26">
        <f ca="1">ALL!Q70</f>
        <v>0</v>
      </c>
      <c r="N87" s="26">
        <f ca="1">ALL!R70</f>
        <v>0</v>
      </c>
      <c r="O87" s="26">
        <f ca="1">ALL!S70</f>
        <v>0</v>
      </c>
      <c r="P87" s="26">
        <f ca="1">ALL!T70</f>
        <v>0</v>
      </c>
      <c r="Q87" s="26">
        <f ca="1">ALL!U70</f>
        <v>0</v>
      </c>
      <c r="R87" s="26">
        <f ca="1">ALL!V70</f>
        <v>0</v>
      </c>
      <c r="S87" s="26">
        <f ca="1">ALL!W70</f>
        <v>0</v>
      </c>
      <c r="T87" s="26">
        <f ca="1">ALL!X70</f>
        <v>0</v>
      </c>
      <c r="U87" s="26">
        <f ca="1">ALL!Y70</f>
        <v>0</v>
      </c>
      <c r="V87" s="26">
        <f ca="1">ALL!Z70</f>
        <v>0</v>
      </c>
      <c r="W87" s="26">
        <f ca="1">ALL!AA70</f>
        <v>0</v>
      </c>
      <c r="X87" s="26">
        <f ca="1">ALL!AB70</f>
        <v>0</v>
      </c>
      <c r="Y87" s="26">
        <f ca="1">ALL!AC70</f>
        <v>0</v>
      </c>
      <c r="Z87" s="26">
        <f ca="1">ALL!AD70</f>
        <v>0</v>
      </c>
      <c r="AA87" s="26">
        <f ca="1">ALL!AE70</f>
        <v>0</v>
      </c>
      <c r="AB87" s="26">
        <f ca="1">ALL!AF70</f>
        <v>0</v>
      </c>
      <c r="AC87" s="26">
        <f ca="1">ALL!AG70</f>
        <v>0</v>
      </c>
      <c r="AD87" s="26">
        <f ca="1">ALL!AH70</f>
        <v>0</v>
      </c>
      <c r="AE87" s="26">
        <f ca="1">ALL!AI70</f>
        <v>0</v>
      </c>
      <c r="AF87" s="26">
        <f ca="1">ALL!AJ70</f>
        <v>0</v>
      </c>
      <c r="AG87" s="26">
        <f ca="1">ALL!AK70</f>
        <v>0</v>
      </c>
      <c r="AH87" s="26">
        <f ca="1">ALL!AL70</f>
        <v>0</v>
      </c>
      <c r="AI87" s="26">
        <f>ALL!AM70</f>
        <v>0</v>
      </c>
    </row>
    <row r="88" spans="1:35" ht="21.75" outlineLevel="1" thickBot="1" x14ac:dyDescent="0.4">
      <c r="A88" s="60">
        <f>ALL!E71</f>
        <v>0</v>
      </c>
      <c r="B88" s="26">
        <f ca="1">ALL!F71</f>
        <v>0</v>
      </c>
      <c r="C88" s="26">
        <f ca="1">ALL!G71</f>
        <v>0</v>
      </c>
      <c r="D88" s="26">
        <f ca="1">ALL!H71</f>
        <v>0</v>
      </c>
      <c r="E88" s="26">
        <f ca="1">ALL!I71</f>
        <v>0</v>
      </c>
      <c r="F88" s="26">
        <f ca="1">ALL!J71</f>
        <v>0</v>
      </c>
      <c r="G88" s="26">
        <f ca="1">ALL!K71</f>
        <v>0</v>
      </c>
      <c r="H88" s="26">
        <f ca="1">ALL!L71</f>
        <v>0</v>
      </c>
      <c r="I88" s="26">
        <f ca="1">ALL!M71</f>
        <v>0</v>
      </c>
      <c r="J88" s="26">
        <f ca="1">ALL!N71</f>
        <v>0</v>
      </c>
      <c r="K88" s="26">
        <f ca="1">ALL!O71</f>
        <v>0</v>
      </c>
      <c r="L88" s="26">
        <f ca="1">ALL!P71</f>
        <v>0</v>
      </c>
      <c r="M88" s="26">
        <f ca="1">ALL!Q71</f>
        <v>0</v>
      </c>
      <c r="N88" s="26">
        <f ca="1">ALL!R71</f>
        <v>0</v>
      </c>
      <c r="O88" s="26">
        <f ca="1">ALL!S71</f>
        <v>0</v>
      </c>
      <c r="P88" s="26">
        <f ca="1">ALL!T71</f>
        <v>0</v>
      </c>
      <c r="Q88" s="26">
        <f ca="1">ALL!U71</f>
        <v>0</v>
      </c>
      <c r="R88" s="26">
        <f ca="1">ALL!V71</f>
        <v>0</v>
      </c>
      <c r="S88" s="26">
        <f ca="1">ALL!W71</f>
        <v>0</v>
      </c>
      <c r="T88" s="26">
        <f ca="1">ALL!X71</f>
        <v>0</v>
      </c>
      <c r="U88" s="26">
        <f ca="1">ALL!Y71</f>
        <v>0</v>
      </c>
      <c r="V88" s="26">
        <f ca="1">ALL!Z71</f>
        <v>0</v>
      </c>
      <c r="W88" s="26">
        <f ca="1">ALL!AA71</f>
        <v>0</v>
      </c>
      <c r="X88" s="26">
        <f ca="1">ALL!AB71</f>
        <v>0</v>
      </c>
      <c r="Y88" s="26">
        <f ca="1">ALL!AC71</f>
        <v>0</v>
      </c>
      <c r="Z88" s="26">
        <f ca="1">ALL!AD71</f>
        <v>0</v>
      </c>
      <c r="AA88" s="26">
        <f ca="1">ALL!AE71</f>
        <v>0</v>
      </c>
      <c r="AB88" s="26">
        <f ca="1">ALL!AF71</f>
        <v>0</v>
      </c>
      <c r="AC88" s="26">
        <f ca="1">ALL!AG71</f>
        <v>0</v>
      </c>
      <c r="AD88" s="26">
        <f ca="1">ALL!AH71</f>
        <v>0</v>
      </c>
      <c r="AE88" s="26">
        <f ca="1">ALL!AI71</f>
        <v>0</v>
      </c>
      <c r="AF88" s="26">
        <f ca="1">ALL!AJ71</f>
        <v>0</v>
      </c>
      <c r="AG88" s="26">
        <f ca="1">ALL!AK71</f>
        <v>0</v>
      </c>
      <c r="AH88" s="26">
        <f ca="1">ALL!AL71</f>
        <v>0</v>
      </c>
      <c r="AI88" s="26">
        <f>ALL!AM71</f>
        <v>0</v>
      </c>
    </row>
    <row r="89" spans="1:35" ht="21.75" outlineLevel="1" thickBot="1" x14ac:dyDescent="0.4">
      <c r="A89" s="60">
        <f>ALL!E72</f>
        <v>0</v>
      </c>
      <c r="B89" s="26">
        <f ca="1">ALL!F72</f>
        <v>0</v>
      </c>
      <c r="C89" s="26">
        <f ca="1">ALL!G72</f>
        <v>0</v>
      </c>
      <c r="D89" s="26">
        <f ca="1">ALL!H72</f>
        <v>0</v>
      </c>
      <c r="E89" s="26">
        <f ca="1">ALL!I72</f>
        <v>0</v>
      </c>
      <c r="F89" s="26">
        <f ca="1">ALL!J72</f>
        <v>0</v>
      </c>
      <c r="G89" s="26">
        <f ca="1">ALL!K72</f>
        <v>0</v>
      </c>
      <c r="H89" s="26">
        <f ca="1">ALL!L72</f>
        <v>0</v>
      </c>
      <c r="I89" s="26">
        <f ca="1">ALL!M72</f>
        <v>0</v>
      </c>
      <c r="J89" s="26">
        <f ca="1">ALL!N72</f>
        <v>0</v>
      </c>
      <c r="K89" s="26">
        <f ca="1">ALL!O72</f>
        <v>0</v>
      </c>
      <c r="L89" s="26">
        <f ca="1">ALL!P72</f>
        <v>0</v>
      </c>
      <c r="M89" s="26">
        <f ca="1">ALL!Q72</f>
        <v>0</v>
      </c>
      <c r="N89" s="26">
        <f ca="1">ALL!R72</f>
        <v>0</v>
      </c>
      <c r="O89" s="26">
        <f ca="1">ALL!S72</f>
        <v>0</v>
      </c>
      <c r="P89" s="26">
        <f ca="1">ALL!T72</f>
        <v>0</v>
      </c>
      <c r="Q89" s="26">
        <f ca="1">ALL!U72</f>
        <v>0</v>
      </c>
      <c r="R89" s="26">
        <f ca="1">ALL!V72</f>
        <v>0</v>
      </c>
      <c r="S89" s="26">
        <f ca="1">ALL!W72</f>
        <v>0</v>
      </c>
      <c r="T89" s="26">
        <f ca="1">ALL!X72</f>
        <v>0</v>
      </c>
      <c r="U89" s="26">
        <f ca="1">ALL!Y72</f>
        <v>0</v>
      </c>
      <c r="V89" s="26">
        <f ca="1">ALL!Z72</f>
        <v>0</v>
      </c>
      <c r="W89" s="26">
        <f ca="1">ALL!AA72</f>
        <v>0</v>
      </c>
      <c r="X89" s="26">
        <f ca="1">ALL!AB72</f>
        <v>0</v>
      </c>
      <c r="Y89" s="26">
        <f ca="1">ALL!AC72</f>
        <v>0</v>
      </c>
      <c r="Z89" s="26">
        <f ca="1">ALL!AD72</f>
        <v>0</v>
      </c>
      <c r="AA89" s="26">
        <f ca="1">ALL!AE72</f>
        <v>0</v>
      </c>
      <c r="AB89" s="26">
        <f ca="1">ALL!AF72</f>
        <v>0</v>
      </c>
      <c r="AC89" s="26">
        <f ca="1">ALL!AG72</f>
        <v>0</v>
      </c>
      <c r="AD89" s="26">
        <f ca="1">ALL!AH72</f>
        <v>0</v>
      </c>
      <c r="AE89" s="26">
        <f ca="1">ALL!AI72</f>
        <v>0</v>
      </c>
      <c r="AF89" s="26">
        <f ca="1">ALL!AJ72</f>
        <v>0</v>
      </c>
      <c r="AG89" s="26">
        <f ca="1">ALL!AK72</f>
        <v>0</v>
      </c>
      <c r="AH89" s="26">
        <f ca="1">ALL!AL72</f>
        <v>0</v>
      </c>
      <c r="AI89" s="26">
        <f>ALL!AM72</f>
        <v>0</v>
      </c>
    </row>
    <row r="90" spans="1:35" ht="21.75" outlineLevel="1" thickBot="1" x14ac:dyDescent="0.4">
      <c r="A90" s="60">
        <f>ALL!E73</f>
        <v>0</v>
      </c>
      <c r="B90" s="26">
        <f ca="1">ALL!F73</f>
        <v>0</v>
      </c>
      <c r="C90" s="26">
        <f ca="1">ALL!G73</f>
        <v>0</v>
      </c>
      <c r="D90" s="26">
        <f ca="1">ALL!H73</f>
        <v>0</v>
      </c>
      <c r="E90" s="26">
        <f ca="1">ALL!I73</f>
        <v>0</v>
      </c>
      <c r="F90" s="26">
        <f ca="1">ALL!J73</f>
        <v>0</v>
      </c>
      <c r="G90" s="26">
        <f ca="1">ALL!K73</f>
        <v>0</v>
      </c>
      <c r="H90" s="26">
        <f ca="1">ALL!L73</f>
        <v>0</v>
      </c>
      <c r="I90" s="26">
        <f ca="1">ALL!M73</f>
        <v>0</v>
      </c>
      <c r="J90" s="26">
        <f ca="1">ALL!N73</f>
        <v>0</v>
      </c>
      <c r="K90" s="26">
        <f ca="1">ALL!O73</f>
        <v>0</v>
      </c>
      <c r="L90" s="26">
        <f ca="1">ALL!P73</f>
        <v>0</v>
      </c>
      <c r="M90" s="26">
        <f ca="1">ALL!Q73</f>
        <v>0</v>
      </c>
      <c r="N90" s="26">
        <f ca="1">ALL!R73</f>
        <v>0</v>
      </c>
      <c r="O90" s="26">
        <f ca="1">ALL!S73</f>
        <v>0</v>
      </c>
      <c r="P90" s="26">
        <f ca="1">ALL!T73</f>
        <v>0</v>
      </c>
      <c r="Q90" s="26">
        <f ca="1">ALL!U73</f>
        <v>0</v>
      </c>
      <c r="R90" s="26">
        <f ca="1">ALL!V73</f>
        <v>0</v>
      </c>
      <c r="S90" s="26">
        <f ca="1">ALL!W73</f>
        <v>0</v>
      </c>
      <c r="T90" s="26">
        <f ca="1">ALL!X73</f>
        <v>0</v>
      </c>
      <c r="U90" s="26">
        <f ca="1">ALL!Y73</f>
        <v>0</v>
      </c>
      <c r="V90" s="26">
        <f ca="1">ALL!Z73</f>
        <v>0</v>
      </c>
      <c r="W90" s="26">
        <f ca="1">ALL!AA73</f>
        <v>0</v>
      </c>
      <c r="X90" s="26">
        <f ca="1">ALL!AB73</f>
        <v>0</v>
      </c>
      <c r="Y90" s="26">
        <f ca="1">ALL!AC73</f>
        <v>0</v>
      </c>
      <c r="Z90" s="26">
        <f ca="1">ALL!AD73</f>
        <v>0</v>
      </c>
      <c r="AA90" s="26">
        <f ca="1">ALL!AE73</f>
        <v>0</v>
      </c>
      <c r="AB90" s="26">
        <f ca="1">ALL!AF73</f>
        <v>0</v>
      </c>
      <c r="AC90" s="26">
        <f ca="1">ALL!AG73</f>
        <v>0</v>
      </c>
      <c r="AD90" s="26">
        <f ca="1">ALL!AH73</f>
        <v>0</v>
      </c>
      <c r="AE90" s="26">
        <f ca="1">ALL!AI73</f>
        <v>0</v>
      </c>
      <c r="AF90" s="26">
        <f ca="1">ALL!AJ73</f>
        <v>0</v>
      </c>
      <c r="AG90" s="26">
        <f ca="1">ALL!AK73</f>
        <v>0</v>
      </c>
      <c r="AH90" s="26">
        <f ca="1">ALL!AL73</f>
        <v>0</v>
      </c>
      <c r="AI90" s="26">
        <f>ALL!AM73</f>
        <v>0</v>
      </c>
    </row>
    <row r="91" spans="1:35" ht="21.75" outlineLevel="1" thickBot="1" x14ac:dyDescent="0.4">
      <c r="A91" s="60">
        <f>ALL!E74</f>
        <v>0</v>
      </c>
      <c r="B91" s="26">
        <f ca="1">ALL!F74</f>
        <v>0</v>
      </c>
      <c r="C91" s="26">
        <f ca="1">ALL!G74</f>
        <v>0</v>
      </c>
      <c r="D91" s="26">
        <f ca="1">ALL!H74</f>
        <v>0</v>
      </c>
      <c r="E91" s="26">
        <f ca="1">ALL!I74</f>
        <v>0</v>
      </c>
      <c r="F91" s="26">
        <f ca="1">ALL!J74</f>
        <v>0</v>
      </c>
      <c r="G91" s="26">
        <f ca="1">ALL!K74</f>
        <v>0</v>
      </c>
      <c r="H91" s="26">
        <f ca="1">ALL!L74</f>
        <v>0</v>
      </c>
      <c r="I91" s="26">
        <f ca="1">ALL!M74</f>
        <v>0</v>
      </c>
      <c r="J91" s="26">
        <f ca="1">ALL!N74</f>
        <v>0</v>
      </c>
      <c r="K91" s="26">
        <f ca="1">ALL!O74</f>
        <v>0</v>
      </c>
      <c r="L91" s="26">
        <f ca="1">ALL!P74</f>
        <v>0</v>
      </c>
      <c r="M91" s="26">
        <f ca="1">ALL!Q74</f>
        <v>0</v>
      </c>
      <c r="N91" s="26">
        <f ca="1">ALL!R74</f>
        <v>0</v>
      </c>
      <c r="O91" s="26">
        <f ca="1">ALL!S74</f>
        <v>0</v>
      </c>
      <c r="P91" s="26">
        <f ca="1">ALL!T74</f>
        <v>0</v>
      </c>
      <c r="Q91" s="26">
        <f ca="1">ALL!U74</f>
        <v>0</v>
      </c>
      <c r="R91" s="26">
        <f ca="1">ALL!V74</f>
        <v>0</v>
      </c>
      <c r="S91" s="26">
        <f ca="1">ALL!W74</f>
        <v>0</v>
      </c>
      <c r="T91" s="26">
        <f ca="1">ALL!X74</f>
        <v>0</v>
      </c>
      <c r="U91" s="26">
        <f ca="1">ALL!Y74</f>
        <v>0</v>
      </c>
      <c r="V91" s="26">
        <f ca="1">ALL!Z74</f>
        <v>0</v>
      </c>
      <c r="W91" s="26">
        <f ca="1">ALL!AA74</f>
        <v>0</v>
      </c>
      <c r="X91" s="26">
        <f ca="1">ALL!AB74</f>
        <v>0</v>
      </c>
      <c r="Y91" s="26">
        <f ca="1">ALL!AC74</f>
        <v>0</v>
      </c>
      <c r="Z91" s="26">
        <f ca="1">ALL!AD74</f>
        <v>0</v>
      </c>
      <c r="AA91" s="26">
        <f ca="1">ALL!AE74</f>
        <v>0</v>
      </c>
      <c r="AB91" s="26">
        <f ca="1">ALL!AF74</f>
        <v>0</v>
      </c>
      <c r="AC91" s="26">
        <f ca="1">ALL!AG74</f>
        <v>0</v>
      </c>
      <c r="AD91" s="26">
        <f ca="1">ALL!AH74</f>
        <v>0</v>
      </c>
      <c r="AE91" s="26">
        <f ca="1">ALL!AI74</f>
        <v>0</v>
      </c>
      <c r="AF91" s="26">
        <f ca="1">ALL!AJ74</f>
        <v>0</v>
      </c>
      <c r="AG91" s="26">
        <f ca="1">ALL!AK74</f>
        <v>0</v>
      </c>
      <c r="AH91" s="26">
        <f ca="1">ALL!AL74</f>
        <v>0</v>
      </c>
      <c r="AI91" s="26">
        <f>ALL!AM74</f>
        <v>0</v>
      </c>
    </row>
    <row r="92" spans="1:35" ht="21.75" outlineLevel="1" thickBot="1" x14ac:dyDescent="0.4">
      <c r="A92" s="60">
        <f>ALL!E75</f>
        <v>0</v>
      </c>
      <c r="B92" s="26">
        <f ca="1">ALL!F75</f>
        <v>0</v>
      </c>
      <c r="C92" s="26">
        <f ca="1">ALL!G75</f>
        <v>0</v>
      </c>
      <c r="D92" s="26">
        <f ca="1">ALL!H75</f>
        <v>0</v>
      </c>
      <c r="E92" s="26">
        <f ca="1">ALL!I75</f>
        <v>0</v>
      </c>
      <c r="F92" s="26">
        <f ca="1">ALL!J75</f>
        <v>0</v>
      </c>
      <c r="G92" s="26">
        <f ca="1">ALL!K75</f>
        <v>0</v>
      </c>
      <c r="H92" s="26">
        <f ca="1">ALL!L75</f>
        <v>0</v>
      </c>
      <c r="I92" s="26">
        <f ca="1">ALL!M75</f>
        <v>0</v>
      </c>
      <c r="J92" s="26">
        <f ca="1">ALL!N75</f>
        <v>0</v>
      </c>
      <c r="K92" s="26">
        <f ca="1">ALL!O75</f>
        <v>0</v>
      </c>
      <c r="L92" s="26">
        <f ca="1">ALL!P75</f>
        <v>0</v>
      </c>
      <c r="M92" s="26">
        <f ca="1">ALL!Q75</f>
        <v>0</v>
      </c>
      <c r="N92" s="26">
        <f ca="1">ALL!R75</f>
        <v>0</v>
      </c>
      <c r="O92" s="26">
        <f ca="1">ALL!S75</f>
        <v>0</v>
      </c>
      <c r="P92" s="26">
        <f ca="1">ALL!T75</f>
        <v>0</v>
      </c>
      <c r="Q92" s="26">
        <f ca="1">ALL!U75</f>
        <v>0</v>
      </c>
      <c r="R92" s="26">
        <f ca="1">ALL!V75</f>
        <v>0</v>
      </c>
      <c r="S92" s="26">
        <f ca="1">ALL!W75</f>
        <v>0</v>
      </c>
      <c r="T92" s="26">
        <f ca="1">ALL!X75</f>
        <v>0</v>
      </c>
      <c r="U92" s="26">
        <f ca="1">ALL!Y75</f>
        <v>0</v>
      </c>
      <c r="V92" s="26">
        <f ca="1">ALL!Z75</f>
        <v>0</v>
      </c>
      <c r="W92" s="26">
        <f ca="1">ALL!AA75</f>
        <v>0</v>
      </c>
      <c r="X92" s="26">
        <f ca="1">ALL!AB75</f>
        <v>0</v>
      </c>
      <c r="Y92" s="26">
        <f ca="1">ALL!AC75</f>
        <v>0</v>
      </c>
      <c r="Z92" s="26">
        <f ca="1">ALL!AD75</f>
        <v>0</v>
      </c>
      <c r="AA92" s="26">
        <f ca="1">ALL!AE75</f>
        <v>0</v>
      </c>
      <c r="AB92" s="26">
        <f ca="1">ALL!AF75</f>
        <v>0</v>
      </c>
      <c r="AC92" s="26">
        <f ca="1">ALL!AG75</f>
        <v>0</v>
      </c>
      <c r="AD92" s="26">
        <f ca="1">ALL!AH75</f>
        <v>0</v>
      </c>
      <c r="AE92" s="26">
        <f ca="1">ALL!AI75</f>
        <v>0</v>
      </c>
      <c r="AF92" s="26">
        <f ca="1">ALL!AJ75</f>
        <v>0</v>
      </c>
      <c r="AG92" s="26">
        <f ca="1">ALL!AK75</f>
        <v>0</v>
      </c>
      <c r="AH92" s="26">
        <f ca="1">ALL!AL75</f>
        <v>0</v>
      </c>
      <c r="AI92" s="26">
        <f>ALL!AM75</f>
        <v>0</v>
      </c>
    </row>
    <row r="93" spans="1:35" ht="21.75" outlineLevel="1" thickBot="1" x14ac:dyDescent="0.4">
      <c r="A93" s="60">
        <f>ALL!E76</f>
        <v>0</v>
      </c>
      <c r="B93" s="26">
        <f ca="1">ALL!F76</f>
        <v>0</v>
      </c>
      <c r="C93" s="26">
        <f ca="1">ALL!G76</f>
        <v>0</v>
      </c>
      <c r="D93" s="26">
        <f ca="1">ALL!H76</f>
        <v>0</v>
      </c>
      <c r="E93" s="26">
        <f ca="1">ALL!I76</f>
        <v>0</v>
      </c>
      <c r="F93" s="26">
        <f ca="1">ALL!J76</f>
        <v>0</v>
      </c>
      <c r="G93" s="26">
        <f ca="1">ALL!K76</f>
        <v>0</v>
      </c>
      <c r="H93" s="26">
        <f ca="1">ALL!L76</f>
        <v>0</v>
      </c>
      <c r="I93" s="26">
        <f ca="1">ALL!M76</f>
        <v>0</v>
      </c>
      <c r="J93" s="26">
        <f ca="1">ALL!N76</f>
        <v>0</v>
      </c>
      <c r="K93" s="26">
        <f ca="1">ALL!O76</f>
        <v>0</v>
      </c>
      <c r="L93" s="26">
        <f ca="1">ALL!P76</f>
        <v>0</v>
      </c>
      <c r="M93" s="26">
        <f ca="1">ALL!Q76</f>
        <v>0</v>
      </c>
      <c r="N93" s="26">
        <f ca="1">ALL!R76</f>
        <v>0</v>
      </c>
      <c r="O93" s="26">
        <f ca="1">ALL!S76</f>
        <v>0</v>
      </c>
      <c r="P93" s="26">
        <f ca="1">ALL!T76</f>
        <v>0</v>
      </c>
      <c r="Q93" s="26">
        <f ca="1">ALL!U76</f>
        <v>0</v>
      </c>
      <c r="R93" s="26">
        <f ca="1">ALL!V76</f>
        <v>0</v>
      </c>
      <c r="S93" s="26">
        <f ca="1">ALL!W76</f>
        <v>0</v>
      </c>
      <c r="T93" s="26">
        <f ca="1">ALL!X76</f>
        <v>0</v>
      </c>
      <c r="U93" s="26">
        <f ca="1">ALL!Y76</f>
        <v>0</v>
      </c>
      <c r="V93" s="26">
        <f ca="1">ALL!Z76</f>
        <v>0</v>
      </c>
      <c r="W93" s="26">
        <f ca="1">ALL!AA76</f>
        <v>0</v>
      </c>
      <c r="X93" s="26">
        <f ca="1">ALL!AB76</f>
        <v>0</v>
      </c>
      <c r="Y93" s="26">
        <f ca="1">ALL!AC76</f>
        <v>0</v>
      </c>
      <c r="Z93" s="26">
        <f ca="1">ALL!AD76</f>
        <v>0</v>
      </c>
      <c r="AA93" s="26">
        <f ca="1">ALL!AE76</f>
        <v>0</v>
      </c>
      <c r="AB93" s="26">
        <f ca="1">ALL!AF76</f>
        <v>0</v>
      </c>
      <c r="AC93" s="26">
        <f ca="1">ALL!AG76</f>
        <v>0</v>
      </c>
      <c r="AD93" s="26">
        <f ca="1">ALL!AH76</f>
        <v>0</v>
      </c>
      <c r="AE93" s="26">
        <f ca="1">ALL!AI76</f>
        <v>0</v>
      </c>
      <c r="AF93" s="26">
        <f ca="1">ALL!AJ76</f>
        <v>0</v>
      </c>
      <c r="AG93" s="26">
        <f ca="1">ALL!AK76</f>
        <v>0</v>
      </c>
      <c r="AH93" s="26">
        <f ca="1">ALL!AL76</f>
        <v>0</v>
      </c>
      <c r="AI93" s="26">
        <f>ALL!AM76</f>
        <v>0</v>
      </c>
    </row>
    <row r="94" spans="1:35" ht="21.75" outlineLevel="1" thickBot="1" x14ac:dyDescent="0.4">
      <c r="A94" s="60">
        <f>ALL!E77</f>
        <v>0</v>
      </c>
      <c r="B94" s="26">
        <f ca="1">ALL!F77</f>
        <v>0</v>
      </c>
      <c r="C94" s="26">
        <f ca="1">ALL!G77</f>
        <v>0</v>
      </c>
      <c r="D94" s="26">
        <f ca="1">ALL!H77</f>
        <v>0</v>
      </c>
      <c r="E94" s="26">
        <f ca="1">ALL!I77</f>
        <v>0</v>
      </c>
      <c r="F94" s="26">
        <f ca="1">ALL!J77</f>
        <v>0</v>
      </c>
      <c r="G94" s="26">
        <f ca="1">ALL!K77</f>
        <v>0</v>
      </c>
      <c r="H94" s="26">
        <f ca="1">ALL!L77</f>
        <v>0</v>
      </c>
      <c r="I94" s="26">
        <f ca="1">ALL!M77</f>
        <v>0</v>
      </c>
      <c r="J94" s="26">
        <f ca="1">ALL!N77</f>
        <v>0</v>
      </c>
      <c r="K94" s="26">
        <f ca="1">ALL!O77</f>
        <v>0</v>
      </c>
      <c r="L94" s="26">
        <f ca="1">ALL!P77</f>
        <v>0</v>
      </c>
      <c r="M94" s="26">
        <f ca="1">ALL!Q77</f>
        <v>0</v>
      </c>
      <c r="N94" s="26">
        <f ca="1">ALL!R77</f>
        <v>0</v>
      </c>
      <c r="O94" s="26">
        <f ca="1">ALL!S77</f>
        <v>0</v>
      </c>
      <c r="P94" s="26">
        <f ca="1">ALL!T77</f>
        <v>0</v>
      </c>
      <c r="Q94" s="26">
        <f ca="1">ALL!U77</f>
        <v>0</v>
      </c>
      <c r="R94" s="26">
        <f ca="1">ALL!V77</f>
        <v>0</v>
      </c>
      <c r="S94" s="26">
        <f ca="1">ALL!W77</f>
        <v>0</v>
      </c>
      <c r="T94" s="26">
        <f ca="1">ALL!X77</f>
        <v>0</v>
      </c>
      <c r="U94" s="26">
        <f ca="1">ALL!Y77</f>
        <v>0</v>
      </c>
      <c r="V94" s="26">
        <f ca="1">ALL!Z77</f>
        <v>0</v>
      </c>
      <c r="W94" s="26">
        <f ca="1">ALL!AA77</f>
        <v>0</v>
      </c>
      <c r="X94" s="26">
        <f ca="1">ALL!AB77</f>
        <v>0</v>
      </c>
      <c r="Y94" s="26">
        <f ca="1">ALL!AC77</f>
        <v>0</v>
      </c>
      <c r="Z94" s="26">
        <f ca="1">ALL!AD77</f>
        <v>0</v>
      </c>
      <c r="AA94" s="26">
        <f ca="1">ALL!AE77</f>
        <v>0</v>
      </c>
      <c r="AB94" s="26">
        <f ca="1">ALL!AF77</f>
        <v>0</v>
      </c>
      <c r="AC94" s="26">
        <f ca="1">ALL!AG77</f>
        <v>0</v>
      </c>
      <c r="AD94" s="26">
        <f ca="1">ALL!AH77</f>
        <v>0</v>
      </c>
      <c r="AE94" s="26">
        <f ca="1">ALL!AI77</f>
        <v>0</v>
      </c>
      <c r="AF94" s="26">
        <f ca="1">ALL!AJ77</f>
        <v>0</v>
      </c>
      <c r="AG94" s="26">
        <f ca="1">ALL!AK77</f>
        <v>0</v>
      </c>
      <c r="AH94" s="26">
        <f ca="1">ALL!AL77</f>
        <v>0</v>
      </c>
      <c r="AI94" s="26">
        <f>ALL!AM77</f>
        <v>0</v>
      </c>
    </row>
    <row r="95" spans="1:35" ht="21.75" outlineLevel="1" thickBot="1" x14ac:dyDescent="0.4">
      <c r="A95" s="60">
        <f>ALL!E78</f>
        <v>0</v>
      </c>
      <c r="B95" s="26">
        <f ca="1">ALL!F78</f>
        <v>0</v>
      </c>
      <c r="C95" s="26">
        <f ca="1">ALL!G78</f>
        <v>0</v>
      </c>
      <c r="D95" s="26">
        <f ca="1">ALL!H78</f>
        <v>0</v>
      </c>
      <c r="E95" s="26">
        <f ca="1">ALL!I78</f>
        <v>0</v>
      </c>
      <c r="F95" s="26">
        <f ca="1">ALL!J78</f>
        <v>0</v>
      </c>
      <c r="G95" s="26">
        <f ca="1">ALL!K78</f>
        <v>0</v>
      </c>
      <c r="H95" s="26">
        <f ca="1">ALL!L78</f>
        <v>0</v>
      </c>
      <c r="I95" s="26">
        <f ca="1">ALL!M78</f>
        <v>0</v>
      </c>
      <c r="J95" s="26">
        <f ca="1">ALL!N78</f>
        <v>0</v>
      </c>
      <c r="K95" s="26">
        <f ca="1">ALL!O78</f>
        <v>0</v>
      </c>
      <c r="L95" s="26">
        <f ca="1">ALL!P78</f>
        <v>0</v>
      </c>
      <c r="M95" s="26">
        <f ca="1">ALL!Q78</f>
        <v>0</v>
      </c>
      <c r="N95" s="26">
        <f ca="1">ALL!R78</f>
        <v>0</v>
      </c>
      <c r="O95" s="26">
        <f ca="1">ALL!S78</f>
        <v>0</v>
      </c>
      <c r="P95" s="26">
        <f ca="1">ALL!T78</f>
        <v>0</v>
      </c>
      <c r="Q95" s="26">
        <f ca="1">ALL!U78</f>
        <v>0</v>
      </c>
      <c r="R95" s="26">
        <f ca="1">ALL!V78</f>
        <v>0</v>
      </c>
      <c r="S95" s="26">
        <f ca="1">ALL!W78</f>
        <v>0</v>
      </c>
      <c r="T95" s="26">
        <f ca="1">ALL!X78</f>
        <v>0</v>
      </c>
      <c r="U95" s="26">
        <f ca="1">ALL!Y78</f>
        <v>0</v>
      </c>
      <c r="V95" s="26">
        <f ca="1">ALL!Z78</f>
        <v>0</v>
      </c>
      <c r="W95" s="26">
        <f ca="1">ALL!AA78</f>
        <v>0</v>
      </c>
      <c r="X95" s="26">
        <f ca="1">ALL!AB78</f>
        <v>0</v>
      </c>
      <c r="Y95" s="26">
        <f ca="1">ALL!AC78</f>
        <v>0</v>
      </c>
      <c r="Z95" s="26">
        <f ca="1">ALL!AD78</f>
        <v>0</v>
      </c>
      <c r="AA95" s="26">
        <f ca="1">ALL!AE78</f>
        <v>0</v>
      </c>
      <c r="AB95" s="26">
        <f ca="1">ALL!AF78</f>
        <v>0</v>
      </c>
      <c r="AC95" s="26">
        <f ca="1">ALL!AG78</f>
        <v>0</v>
      </c>
      <c r="AD95" s="26">
        <f ca="1">ALL!AH78</f>
        <v>0</v>
      </c>
      <c r="AE95" s="26">
        <f ca="1">ALL!AI78</f>
        <v>0</v>
      </c>
      <c r="AF95" s="26">
        <f ca="1">ALL!AJ78</f>
        <v>0</v>
      </c>
      <c r="AG95" s="26">
        <f ca="1">ALL!AK78</f>
        <v>0</v>
      </c>
      <c r="AH95" s="26">
        <f ca="1">ALL!AL78</f>
        <v>0</v>
      </c>
      <c r="AI95" s="26">
        <f>ALL!AM78</f>
        <v>0</v>
      </c>
    </row>
    <row r="96" spans="1:35" ht="21.75" outlineLevel="1" thickBot="1" x14ac:dyDescent="0.4">
      <c r="A96" s="60">
        <f>ALL!E79</f>
        <v>1</v>
      </c>
      <c r="B96" s="26">
        <f>ALL!F79</f>
        <v>0</v>
      </c>
      <c r="C96" s="26">
        <f>ALL!G79</f>
        <v>0</v>
      </c>
      <c r="D96" s="26">
        <f>ALL!H79</f>
        <v>0</v>
      </c>
      <c r="E96" s="26">
        <f>ALL!I79</f>
        <v>0</v>
      </c>
      <c r="F96" s="26">
        <f>ALL!J79</f>
        <v>0</v>
      </c>
      <c r="G96" s="26">
        <f>ALL!K79</f>
        <v>0</v>
      </c>
      <c r="H96" s="26">
        <f>ALL!L79</f>
        <v>0</v>
      </c>
      <c r="I96" s="26">
        <f>ALL!M79</f>
        <v>0</v>
      </c>
      <c r="J96" s="26">
        <f>ALL!N79</f>
        <v>0</v>
      </c>
      <c r="K96" s="26">
        <f>ALL!O79</f>
        <v>0</v>
      </c>
      <c r="L96" s="26">
        <f>ALL!P79</f>
        <v>0</v>
      </c>
      <c r="M96" s="26">
        <f>ALL!Q79</f>
        <v>0</v>
      </c>
      <c r="N96" s="26">
        <f>ALL!R79</f>
        <v>0</v>
      </c>
      <c r="O96" s="26">
        <f>ALL!S79</f>
        <v>0</v>
      </c>
      <c r="P96" s="26">
        <f>ALL!T79</f>
        <v>0</v>
      </c>
      <c r="Q96" s="26">
        <f>ALL!U79</f>
        <v>0</v>
      </c>
      <c r="R96" s="26">
        <f>ALL!V79</f>
        <v>0</v>
      </c>
      <c r="S96" s="26">
        <f>ALL!W79</f>
        <v>0</v>
      </c>
      <c r="T96" s="26">
        <f>ALL!X79</f>
        <v>0</v>
      </c>
      <c r="U96" s="26">
        <f>ALL!Y79</f>
        <v>0</v>
      </c>
      <c r="V96" s="26">
        <f>ALL!Z79</f>
        <v>0</v>
      </c>
      <c r="W96" s="26">
        <f>ALL!AA79</f>
        <v>0</v>
      </c>
      <c r="X96" s="26">
        <f>ALL!AB79</f>
        <v>0</v>
      </c>
      <c r="Y96" s="26">
        <f>ALL!AC79</f>
        <v>0</v>
      </c>
      <c r="Z96" s="26">
        <f>ALL!AD79</f>
        <v>0</v>
      </c>
      <c r="AA96" s="26">
        <f>ALL!AE79</f>
        <v>0</v>
      </c>
      <c r="AB96" s="26">
        <f>ALL!AF79</f>
        <v>0</v>
      </c>
      <c r="AC96" s="26">
        <f>ALL!AG79</f>
        <v>0</v>
      </c>
      <c r="AD96" s="26">
        <f>ALL!AH79</f>
        <v>0</v>
      </c>
      <c r="AE96" s="26">
        <f>ALL!AI79</f>
        <v>0</v>
      </c>
      <c r="AF96" s="26">
        <f>ALL!AJ79</f>
        <v>0</v>
      </c>
      <c r="AG96" s="26">
        <f>ALL!AK79</f>
        <v>0</v>
      </c>
      <c r="AH96" s="26">
        <f>ALL!AL79</f>
        <v>0</v>
      </c>
      <c r="AI96" s="26">
        <f>ALL!AM79</f>
        <v>0</v>
      </c>
    </row>
    <row r="97" spans="1:94" x14ac:dyDescent="0.35">
      <c r="A97" s="90" t="s">
        <v>11</v>
      </c>
      <c r="B97" s="91"/>
      <c r="C97" s="61"/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</row>
    <row r="98" spans="1:94" x14ac:dyDescent="0.35">
      <c r="A98" s="42">
        <f>Values!B1</f>
        <v>731</v>
      </c>
      <c r="B98" s="86">
        <f>MIN(B100:CP154)</f>
        <v>-199.33052238805971</v>
      </c>
    </row>
    <row r="99" spans="1:94" ht="21.75" thickBot="1" x14ac:dyDescent="0.4">
      <c r="A99" s="43">
        <f>A98</f>
        <v>731</v>
      </c>
      <c r="B99" s="87">
        <v>0</v>
      </c>
    </row>
    <row r="100" spans="1:94" ht="22.5" thickTop="1" thickBot="1" x14ac:dyDescent="0.4">
      <c r="A100" s="7" t="s">
        <v>38</v>
      </c>
      <c r="B100" s="7">
        <v>303</v>
      </c>
      <c r="C100" s="7">
        <v>316</v>
      </c>
      <c r="D100" s="7">
        <v>329</v>
      </c>
      <c r="E100" s="7">
        <v>342</v>
      </c>
      <c r="F100" s="7">
        <v>355</v>
      </c>
      <c r="G100" s="7">
        <v>368</v>
      </c>
      <c r="H100" s="7">
        <v>381</v>
      </c>
      <c r="I100" s="7">
        <v>394</v>
      </c>
      <c r="J100" s="7">
        <v>407</v>
      </c>
      <c r="K100" s="7">
        <v>420</v>
      </c>
      <c r="L100" s="7">
        <v>433</v>
      </c>
      <c r="M100" s="7">
        <v>446</v>
      </c>
      <c r="N100" s="7">
        <v>459</v>
      </c>
      <c r="O100" s="7">
        <v>472</v>
      </c>
      <c r="P100" s="7">
        <v>485</v>
      </c>
      <c r="Q100" s="7">
        <v>498</v>
      </c>
      <c r="R100" s="7">
        <v>511</v>
      </c>
      <c r="S100" s="7">
        <v>524</v>
      </c>
      <c r="T100" s="7">
        <v>537</v>
      </c>
      <c r="U100" s="7">
        <v>550</v>
      </c>
      <c r="V100" s="7">
        <v>563</v>
      </c>
      <c r="W100" s="7">
        <v>576</v>
      </c>
      <c r="X100" s="7">
        <v>589</v>
      </c>
      <c r="Y100" s="7">
        <v>602</v>
      </c>
      <c r="Z100" s="7">
        <v>615</v>
      </c>
      <c r="AA100" s="7">
        <v>628</v>
      </c>
      <c r="AB100" s="7">
        <v>641</v>
      </c>
      <c r="AC100" s="7">
        <v>654</v>
      </c>
      <c r="AD100" s="7">
        <v>667</v>
      </c>
      <c r="AE100" s="7">
        <v>680</v>
      </c>
      <c r="AF100" s="7">
        <v>693</v>
      </c>
      <c r="AG100" s="7">
        <v>706</v>
      </c>
      <c r="AH100" s="7">
        <v>719</v>
      </c>
      <c r="AI100" s="7">
        <v>732</v>
      </c>
      <c r="AJ100" s="7">
        <v>745</v>
      </c>
      <c r="AK100" s="7">
        <v>758</v>
      </c>
      <c r="AL100" s="7">
        <v>771</v>
      </c>
      <c r="AM100" s="7">
        <v>784</v>
      </c>
      <c r="AN100" s="7">
        <v>797</v>
      </c>
      <c r="AO100" s="7">
        <v>810</v>
      </c>
      <c r="AP100" s="7">
        <v>823</v>
      </c>
      <c r="AQ100" s="7">
        <v>836</v>
      </c>
      <c r="AR100" s="7">
        <v>849</v>
      </c>
      <c r="AS100" s="7">
        <v>862</v>
      </c>
      <c r="AT100" s="7">
        <v>875</v>
      </c>
      <c r="AU100" s="7">
        <v>888</v>
      </c>
      <c r="AV100" s="7">
        <v>901</v>
      </c>
      <c r="AW100" s="7">
        <v>914</v>
      </c>
      <c r="AX100" s="7">
        <v>927</v>
      </c>
      <c r="AY100" s="7">
        <v>940</v>
      </c>
      <c r="AZ100" s="7">
        <v>953</v>
      </c>
      <c r="BA100" s="7">
        <v>966</v>
      </c>
      <c r="BB100" s="7">
        <v>979</v>
      </c>
      <c r="BC100" s="7">
        <v>992</v>
      </c>
      <c r="BD100" s="7">
        <v>1005</v>
      </c>
      <c r="BE100" s="7">
        <v>1018</v>
      </c>
      <c r="BF100" s="7">
        <v>1031</v>
      </c>
      <c r="BG100" s="7">
        <v>1044</v>
      </c>
      <c r="BH100" s="7">
        <v>1057</v>
      </c>
      <c r="BI100" s="7">
        <v>1070</v>
      </c>
      <c r="BJ100" s="7">
        <v>1083</v>
      </c>
      <c r="BK100" s="7">
        <v>1096</v>
      </c>
      <c r="BL100" s="7">
        <v>1109</v>
      </c>
      <c r="BM100" s="7">
        <v>1122</v>
      </c>
      <c r="BN100" s="7">
        <v>1135</v>
      </c>
      <c r="BO100" s="7">
        <v>1148</v>
      </c>
      <c r="BP100" s="7">
        <v>1161</v>
      </c>
      <c r="BQ100" s="7">
        <v>1174</v>
      </c>
      <c r="BR100" s="7">
        <v>1187</v>
      </c>
      <c r="BS100" s="7">
        <v>1200</v>
      </c>
      <c r="BT100" s="7">
        <v>1213</v>
      </c>
      <c r="BU100" s="7">
        <v>1226</v>
      </c>
      <c r="BV100" s="7">
        <v>1239</v>
      </c>
      <c r="BW100" s="7">
        <v>1252</v>
      </c>
      <c r="BX100" s="7">
        <v>1265</v>
      </c>
      <c r="BY100" s="7">
        <v>1278</v>
      </c>
      <c r="BZ100" s="7">
        <v>1291</v>
      </c>
      <c r="CA100" s="7">
        <v>1304</v>
      </c>
      <c r="CB100" s="7">
        <v>1317</v>
      </c>
      <c r="CC100" s="7">
        <v>1330</v>
      </c>
      <c r="CD100" s="7">
        <v>1343</v>
      </c>
      <c r="CE100" s="7">
        <v>1356</v>
      </c>
      <c r="CF100" s="7">
        <v>1369</v>
      </c>
      <c r="CG100" s="7">
        <v>1382</v>
      </c>
      <c r="CH100" s="7">
        <v>1395</v>
      </c>
      <c r="CI100" s="7">
        <v>1408</v>
      </c>
      <c r="CJ100" s="7">
        <v>1421</v>
      </c>
      <c r="CK100" s="7">
        <v>1434</v>
      </c>
      <c r="CL100" s="7">
        <v>1447</v>
      </c>
      <c r="CM100" s="7">
        <v>1460</v>
      </c>
      <c r="CN100" s="7">
        <v>1473</v>
      </c>
      <c r="CO100" s="7">
        <v>1486</v>
      </c>
      <c r="CP100" s="7">
        <v>1499</v>
      </c>
    </row>
    <row r="101" spans="1:94" ht="22.5" thickTop="1" thickBot="1" x14ac:dyDescent="0.4">
      <c r="A101" s="30" t="s">
        <v>64</v>
      </c>
      <c r="B101" s="62">
        <v>-15.207297297297297</v>
      </c>
      <c r="C101" s="62">
        <v>-14.82081081081081</v>
      </c>
      <c r="D101">
        <v>-14.434324324324324</v>
      </c>
      <c r="E101">
        <v>-13.712395209580837</v>
      </c>
      <c r="F101">
        <v>-12.910598802395208</v>
      </c>
      <c r="G101">
        <v>-12.087455089820359</v>
      </c>
      <c r="H101">
        <v>-11.196137724550898</v>
      </c>
      <c r="I101">
        <v>-10.304820359281438</v>
      </c>
      <c r="J101">
        <v>-9.491907185628742</v>
      </c>
      <c r="K101">
        <v>-8.7177455089820359</v>
      </c>
      <c r="L101">
        <v>-7.9532365269461076</v>
      </c>
      <c r="M101">
        <v>-7.2756017964071864</v>
      </c>
      <c r="N101">
        <v>-6.5979670658682643</v>
      </c>
      <c r="O101">
        <v>-5.9610299401197615</v>
      </c>
      <c r="P101">
        <v>-5.3600718562874254</v>
      </c>
      <c r="Q101">
        <v>-4.7591137724550894</v>
      </c>
      <c r="R101">
        <v>-4.5126516516516508</v>
      </c>
      <c r="S101">
        <v>-4.2803693693693692</v>
      </c>
      <c r="T101">
        <v>-4.1537664670658687</v>
      </c>
      <c r="U101">
        <v>-4.1856826347305391</v>
      </c>
      <c r="V101">
        <v>-4.2175988023952096</v>
      </c>
      <c r="W101">
        <v>-4.249676646706587</v>
      </c>
      <c r="X101">
        <v>-4.2817874251497008</v>
      </c>
      <c r="Y101">
        <v>-4.3138982035928146</v>
      </c>
      <c r="Z101">
        <v>-4.3460089820359284</v>
      </c>
      <c r="AA101">
        <v>-4.3781197604790414</v>
      </c>
      <c r="AB101">
        <v>-4.4102305389221552</v>
      </c>
      <c r="AC101">
        <v>-4.442341317365269</v>
      </c>
      <c r="AD101">
        <v>-4.4744520958083829</v>
      </c>
      <c r="AE101">
        <v>-4.5065628742514967</v>
      </c>
      <c r="AF101">
        <v>-4.5386736526946105</v>
      </c>
      <c r="AG101">
        <v>-4.5702584269662925</v>
      </c>
      <c r="AH101">
        <v>-4.6014194756554305</v>
      </c>
      <c r="AI101">
        <v>-4.6325805243445695</v>
      </c>
      <c r="AJ101">
        <v>-4.6637415730337084</v>
      </c>
      <c r="AK101">
        <v>-4.6949026217228464</v>
      </c>
      <c r="AL101">
        <v>-4.7260636704119854</v>
      </c>
      <c r="AM101">
        <v>-4.7572247191011234</v>
      </c>
      <c r="AN101">
        <v>-4.7883857677902624</v>
      </c>
      <c r="AO101">
        <v>-4.8195468164794013</v>
      </c>
      <c r="AP101">
        <v>-4.8507078651685394</v>
      </c>
      <c r="AQ101">
        <v>-4.8813700374531841</v>
      </c>
      <c r="AR101">
        <v>-4.9107782771535584</v>
      </c>
      <c r="AS101">
        <v>-4.9401865168539327</v>
      </c>
      <c r="AT101">
        <v>-4.969594756554307</v>
      </c>
      <c r="AU101">
        <v>-4.9990029962546814</v>
      </c>
      <c r="AV101">
        <v>-5.0284112359550566</v>
      </c>
      <c r="AW101">
        <v>-5.0578194756554309</v>
      </c>
      <c r="AX101">
        <v>-5.0872277153558052</v>
      </c>
      <c r="AY101">
        <v>-5.1166359550561795</v>
      </c>
      <c r="AZ101">
        <v>-5.1460441947565538</v>
      </c>
      <c r="BA101">
        <v>-5.1754311377245505</v>
      </c>
      <c r="BB101">
        <v>-5.2034550898203591</v>
      </c>
      <c r="BC101">
        <v>-5.2314790419161676</v>
      </c>
      <c r="BD101">
        <v>-5.2591834319526622</v>
      </c>
      <c r="BE101">
        <v>-5.2864911242603547</v>
      </c>
      <c r="BF101">
        <v>-5.3137988165680472</v>
      </c>
      <c r="BG101">
        <v>-5.3416666666666668</v>
      </c>
      <c r="BH101">
        <v>-5.3696363636363635</v>
      </c>
      <c r="BI101">
        <v>-5.3973636363636368</v>
      </c>
      <c r="BJ101">
        <v>-5.4245454545454548</v>
      </c>
      <c r="BK101">
        <v>-5.4517272727272728</v>
      </c>
      <c r="BL101">
        <v>-5.4825522388059706</v>
      </c>
      <c r="BM101">
        <v>-5.5144701492537314</v>
      </c>
      <c r="BN101">
        <v>-5.546388059701493</v>
      </c>
      <c r="BO101">
        <v>-5.5783059701492537</v>
      </c>
      <c r="BP101">
        <v>-5.6102238805970153</v>
      </c>
      <c r="BQ101">
        <v>-5.642141791044776</v>
      </c>
      <c r="BR101">
        <v>-5.6740597014925376</v>
      </c>
      <c r="BS101">
        <v>-5.7059776119402983</v>
      </c>
      <c r="BT101">
        <v>-5.7378955223880599</v>
      </c>
      <c r="BU101">
        <v>-5.7698134328358206</v>
      </c>
      <c r="BV101">
        <v>-5.8141127819548872</v>
      </c>
      <c r="BW101">
        <v>-5.8728571428571428</v>
      </c>
      <c r="BX101">
        <v>-5.9316015037593983</v>
      </c>
      <c r="BY101">
        <v>-5.9903458646616539</v>
      </c>
      <c r="BZ101">
        <v>-6.0490902255639094</v>
      </c>
      <c r="CA101">
        <v>-6.107834586466165</v>
      </c>
      <c r="CB101">
        <v>-6.1665789473684214</v>
      </c>
      <c r="CC101">
        <v>-6.2253233082706769</v>
      </c>
      <c r="CD101">
        <v>-6.2840676691729325</v>
      </c>
      <c r="CE101">
        <v>-6.342812030075188</v>
      </c>
      <c r="CF101">
        <v>-6.4000882352941177</v>
      </c>
      <c r="CG101">
        <v>-6.4524705882352942</v>
      </c>
      <c r="CH101">
        <v>-6.5048529411764706</v>
      </c>
      <c r="CI101">
        <v>-6.5572424242424248</v>
      </c>
      <c r="CJ101">
        <v>-6.6096363636363638</v>
      </c>
      <c r="CK101">
        <v>-6.6617941176470588</v>
      </c>
      <c r="CL101">
        <v>-6.7111176470588241</v>
      </c>
      <c r="CM101">
        <v>-6.7604411764705885</v>
      </c>
      <c r="CN101">
        <v>-6.8095454545454546</v>
      </c>
      <c r="CO101">
        <v>-6.858393939393939</v>
      </c>
      <c r="CP101">
        <v>-6.9072424242424235</v>
      </c>
    </row>
    <row r="102" spans="1:94" ht="21.75" thickBot="1" x14ac:dyDescent="0.4">
      <c r="A102" s="30" t="s">
        <v>65</v>
      </c>
      <c r="B102" s="62">
        <v>-15.207297297297297</v>
      </c>
      <c r="C102" s="62">
        <v>-14.82081081081081</v>
      </c>
      <c r="D102">
        <v>-14.434324324324324</v>
      </c>
      <c r="E102">
        <v>-13.712395209580837</v>
      </c>
      <c r="F102">
        <v>-12.910598802395208</v>
      </c>
      <c r="G102">
        <v>-12.087455089820359</v>
      </c>
      <c r="H102">
        <v>-11.196137724550898</v>
      </c>
      <c r="I102">
        <v>-10.304820359281438</v>
      </c>
      <c r="J102">
        <v>-9.491907185628742</v>
      </c>
      <c r="K102">
        <v>-8.7177455089820359</v>
      </c>
      <c r="L102">
        <v>-7.9532365269461076</v>
      </c>
      <c r="M102">
        <v>-7.2756017964071864</v>
      </c>
      <c r="N102">
        <v>-6.5979670658682643</v>
      </c>
      <c r="O102">
        <v>-5.9610299401197615</v>
      </c>
      <c r="P102">
        <v>-5.3600718562874254</v>
      </c>
      <c r="Q102">
        <v>-4.7591137724550894</v>
      </c>
      <c r="R102">
        <v>-4.5126516516516508</v>
      </c>
      <c r="S102">
        <v>-4.2803693693693692</v>
      </c>
      <c r="T102">
        <v>-4.1537664670658687</v>
      </c>
      <c r="U102">
        <v>-4.1856826347305391</v>
      </c>
      <c r="V102">
        <v>-4.2175988023952096</v>
      </c>
      <c r="W102">
        <v>-4.249676646706587</v>
      </c>
      <c r="X102">
        <v>-4.2817874251497008</v>
      </c>
      <c r="Y102">
        <v>-4.3138982035928146</v>
      </c>
      <c r="Z102">
        <v>-4.3460089820359284</v>
      </c>
      <c r="AA102">
        <v>-4.3781197604790414</v>
      </c>
      <c r="AB102">
        <v>-4.4102305389221552</v>
      </c>
      <c r="AC102">
        <v>-4.442341317365269</v>
      </c>
      <c r="AD102">
        <v>-4.4744520958083829</v>
      </c>
      <c r="AE102">
        <v>-4.5065628742514967</v>
      </c>
      <c r="AF102">
        <v>-4.5386736526946105</v>
      </c>
      <c r="AG102">
        <v>-4.5702584269662925</v>
      </c>
      <c r="AH102">
        <v>-4.6014194756554305</v>
      </c>
      <c r="AI102">
        <v>-4.6325805243445695</v>
      </c>
      <c r="AJ102">
        <v>-4.6637415730337084</v>
      </c>
      <c r="AK102">
        <v>-4.6949026217228464</v>
      </c>
      <c r="AL102">
        <v>-4.7260636704119854</v>
      </c>
      <c r="AM102">
        <v>-4.7572247191011234</v>
      </c>
      <c r="AN102">
        <v>-4.7883857677902624</v>
      </c>
      <c r="AO102">
        <v>-4.8195468164794013</v>
      </c>
      <c r="AP102">
        <v>-4.8507078651685394</v>
      </c>
      <c r="AQ102">
        <v>-4.8813700374531841</v>
      </c>
      <c r="AR102">
        <v>-4.9107782771535584</v>
      </c>
      <c r="AS102">
        <v>-4.9401865168539327</v>
      </c>
      <c r="AT102">
        <v>-4.969594756554307</v>
      </c>
      <c r="AU102">
        <v>-4.9990029962546814</v>
      </c>
      <c r="AV102">
        <v>-5.0284112359550566</v>
      </c>
      <c r="AW102">
        <v>-5.0578194756554309</v>
      </c>
      <c r="AX102">
        <v>-5.0872277153558052</v>
      </c>
      <c r="AY102">
        <v>-5.1166359550561795</v>
      </c>
      <c r="AZ102">
        <v>-5.1460441947565538</v>
      </c>
      <c r="BA102">
        <v>-5.1754311377245505</v>
      </c>
      <c r="BB102">
        <v>-5.2034550898203591</v>
      </c>
      <c r="BC102">
        <v>-5.2314790419161676</v>
      </c>
      <c r="BD102">
        <v>-5.2591834319526622</v>
      </c>
      <c r="BE102">
        <v>-5.2864911242603547</v>
      </c>
      <c r="BF102">
        <v>-5.3137988165680472</v>
      </c>
      <c r="BG102">
        <v>-5.3416666666666668</v>
      </c>
      <c r="BH102">
        <v>-5.3696363636363635</v>
      </c>
      <c r="BI102">
        <v>-5.3973636363636368</v>
      </c>
      <c r="BJ102">
        <v>-5.4245454545454548</v>
      </c>
      <c r="BK102">
        <v>-5.4517272727272728</v>
      </c>
      <c r="BL102">
        <v>-5.4825522388059706</v>
      </c>
      <c r="BM102">
        <v>-5.5144701492537314</v>
      </c>
      <c r="BN102">
        <v>-5.546388059701493</v>
      </c>
      <c r="BO102">
        <v>-5.5783059701492537</v>
      </c>
      <c r="BP102">
        <v>-5.6102238805970153</v>
      </c>
      <c r="BQ102">
        <v>-5.642141791044776</v>
      </c>
      <c r="BR102">
        <v>-5.6740597014925376</v>
      </c>
      <c r="BS102">
        <v>-5.7059776119402983</v>
      </c>
      <c r="BT102">
        <v>-5.7378955223880599</v>
      </c>
      <c r="BU102">
        <v>-5.7698134328358206</v>
      </c>
      <c r="BV102">
        <v>-5.8141127819548872</v>
      </c>
      <c r="BW102">
        <v>-5.8728571428571428</v>
      </c>
      <c r="BX102">
        <v>-5.9316015037593983</v>
      </c>
      <c r="BY102">
        <v>-5.9903458646616539</v>
      </c>
      <c r="BZ102">
        <v>-6.0490902255639094</v>
      </c>
      <c r="CA102">
        <v>-6.107834586466165</v>
      </c>
      <c r="CB102">
        <v>-6.1665789473684214</v>
      </c>
      <c r="CC102">
        <v>-6.2253233082706769</v>
      </c>
      <c r="CD102">
        <v>-6.2840676691729325</v>
      </c>
      <c r="CE102">
        <v>-6.342812030075188</v>
      </c>
      <c r="CF102">
        <v>-6.4000882352941177</v>
      </c>
      <c r="CG102">
        <v>-6.4524705882352942</v>
      </c>
      <c r="CH102">
        <v>-6.5048529411764706</v>
      </c>
      <c r="CI102">
        <v>-6.5572424242424248</v>
      </c>
      <c r="CJ102">
        <v>-6.6096363636363638</v>
      </c>
      <c r="CK102">
        <v>-6.6617941176470588</v>
      </c>
      <c r="CL102">
        <v>-6.7111176470588241</v>
      </c>
      <c r="CM102">
        <v>-6.7604411764705885</v>
      </c>
      <c r="CN102">
        <v>-6.8095454545454546</v>
      </c>
      <c r="CO102">
        <v>-6.858393939393939</v>
      </c>
      <c r="CP102">
        <v>-6.9072424242424235</v>
      </c>
    </row>
    <row r="103" spans="1:94" ht="21.75" thickBot="1" x14ac:dyDescent="0.4">
      <c r="A103" s="30" t="s">
        <v>41</v>
      </c>
      <c r="B103" s="62">
        <v>-36.840720720720718</v>
      </c>
      <c r="C103" s="62">
        <v>-35.759339339339341</v>
      </c>
      <c r="D103">
        <v>-34.677957957957958</v>
      </c>
      <c r="E103">
        <v>-33.778383233532935</v>
      </c>
      <c r="F103">
        <v>-32.922095808383233</v>
      </c>
      <c r="G103">
        <v>-32.103862275449096</v>
      </c>
      <c r="H103">
        <v>-31.407155688622751</v>
      </c>
      <c r="I103">
        <v>-30.710449101796403</v>
      </c>
      <c r="J103">
        <v>-30.094751497005987</v>
      </c>
      <c r="K103">
        <v>-29.519092814371255</v>
      </c>
      <c r="L103">
        <v>-28.953086826347306</v>
      </c>
      <c r="M103">
        <v>-28.473955089820361</v>
      </c>
      <c r="N103">
        <v>-27.994823353293413</v>
      </c>
      <c r="O103">
        <v>-27.55845508982036</v>
      </c>
      <c r="P103">
        <v>-27.159892215568863</v>
      </c>
      <c r="Q103">
        <v>-26.761329341317367</v>
      </c>
      <c r="R103">
        <v>-26.710339339339342</v>
      </c>
      <c r="S103">
        <v>-26.673252252252254</v>
      </c>
      <c r="T103">
        <v>-26.743167664670661</v>
      </c>
      <c r="U103">
        <v>-26.973586826347304</v>
      </c>
      <c r="V103">
        <v>-27.204005988023951</v>
      </c>
      <c r="W103">
        <v>-27.426502994011976</v>
      </c>
      <c r="X103">
        <v>-27.64738622754491</v>
      </c>
      <c r="Y103">
        <v>-27.868269461077844</v>
      </c>
      <c r="Z103">
        <v>-28.089152694610778</v>
      </c>
      <c r="AA103">
        <v>-28.310035928143712</v>
      </c>
      <c r="AB103">
        <v>-28.530919161676646</v>
      </c>
      <c r="AC103">
        <v>-28.75180239520958</v>
      </c>
      <c r="AD103">
        <v>-28.972685628742518</v>
      </c>
      <c r="AE103">
        <v>-29.193568862275452</v>
      </c>
      <c r="AF103">
        <v>-29.414452095808386</v>
      </c>
      <c r="AG103">
        <v>-29.627876404494383</v>
      </c>
      <c r="AH103">
        <v>-29.835292134831462</v>
      </c>
      <c r="AI103">
        <v>-30.042707865168541</v>
      </c>
      <c r="AJ103">
        <v>-30.25012359550562</v>
      </c>
      <c r="AK103">
        <v>-30.457539325842699</v>
      </c>
      <c r="AL103">
        <v>-30.664955056179778</v>
      </c>
      <c r="AM103">
        <v>-30.872370786516857</v>
      </c>
      <c r="AN103">
        <v>-31.079786516853936</v>
      </c>
      <c r="AO103">
        <v>-31.287202247191011</v>
      </c>
      <c r="AP103">
        <v>-31.49461797752809</v>
      </c>
      <c r="AQ103">
        <v>-31.699040449438204</v>
      </c>
      <c r="AR103">
        <v>-31.895939325842697</v>
      </c>
      <c r="AS103">
        <v>-32.092838202247194</v>
      </c>
      <c r="AT103">
        <v>-32.289737078651683</v>
      </c>
      <c r="AU103">
        <v>-32.48663595505618</v>
      </c>
      <c r="AV103">
        <v>-32.683534831460676</v>
      </c>
      <c r="AW103">
        <v>-32.880433707865166</v>
      </c>
      <c r="AX103">
        <v>-33.077332584269662</v>
      </c>
      <c r="AY103">
        <v>-33.274231460674159</v>
      </c>
      <c r="AZ103">
        <v>-33.471130337078648</v>
      </c>
      <c r="BA103">
        <v>-33.667886227544912</v>
      </c>
      <c r="BB103">
        <v>-33.85549101796407</v>
      </c>
      <c r="BC103">
        <v>-34.043095808383235</v>
      </c>
      <c r="BD103">
        <v>-34.229538461538461</v>
      </c>
      <c r="BE103">
        <v>-34.414538461538463</v>
      </c>
      <c r="BF103">
        <v>-34.599538461538458</v>
      </c>
      <c r="BG103">
        <v>-34.788333333333334</v>
      </c>
      <c r="BH103">
        <v>-34.977818181818186</v>
      </c>
      <c r="BI103">
        <v>-35.165848484848489</v>
      </c>
      <c r="BJ103">
        <v>-35.350606060606061</v>
      </c>
      <c r="BK103">
        <v>-35.535363636363641</v>
      </c>
      <c r="BL103">
        <v>-35.719716417910448</v>
      </c>
      <c r="BM103">
        <v>-35.903947761194033</v>
      </c>
      <c r="BN103">
        <v>-36.088179104477618</v>
      </c>
      <c r="BO103">
        <v>-36.272410447761196</v>
      </c>
      <c r="BP103">
        <v>-36.456641791044781</v>
      </c>
      <c r="BQ103">
        <v>-36.640873134328359</v>
      </c>
      <c r="BR103">
        <v>-36.825104477611944</v>
      </c>
      <c r="BS103">
        <v>-37.009335820895529</v>
      </c>
      <c r="BT103">
        <v>-37.193567164179107</v>
      </c>
      <c r="BU103">
        <v>-37.377798507462693</v>
      </c>
      <c r="BV103">
        <v>-37.573135338345871</v>
      </c>
      <c r="BW103">
        <v>-37.781428571428577</v>
      </c>
      <c r="BX103">
        <v>-37.989721804511284</v>
      </c>
      <c r="BY103">
        <v>-38.19801503759399</v>
      </c>
      <c r="BZ103">
        <v>-38.406308270676689</v>
      </c>
      <c r="CA103">
        <v>-38.614601503759395</v>
      </c>
      <c r="CB103">
        <v>-38.822894736842102</v>
      </c>
      <c r="CC103">
        <v>-39.031187969924808</v>
      </c>
      <c r="CD103">
        <v>-39.239481203007514</v>
      </c>
      <c r="CE103">
        <v>-39.447774436090221</v>
      </c>
      <c r="CF103">
        <v>-39.652735294117647</v>
      </c>
      <c r="CG103">
        <v>-39.846588235294114</v>
      </c>
      <c r="CH103">
        <v>-40.040441176470587</v>
      </c>
      <c r="CI103">
        <v>-40.239363636363635</v>
      </c>
      <c r="CJ103">
        <v>-40.441454545454548</v>
      </c>
      <c r="CK103">
        <v>-40.642676470588235</v>
      </c>
      <c r="CL103">
        <v>-40.833470588235294</v>
      </c>
      <c r="CM103">
        <v>-41.024264705882352</v>
      </c>
      <c r="CN103">
        <v>-41.216818181818184</v>
      </c>
      <c r="CO103">
        <v>-41.411424242424246</v>
      </c>
      <c r="CP103">
        <v>-41.606030303030302</v>
      </c>
    </row>
    <row r="104" spans="1:94" ht="21.75" thickBot="1" x14ac:dyDescent="0.4">
      <c r="A104" s="30" t="s">
        <v>66</v>
      </c>
      <c r="B104" s="62">
        <v>-60.182792792792796</v>
      </c>
      <c r="C104" s="62">
        <v>-57.996606606606605</v>
      </c>
      <c r="D104">
        <v>-55.810420420420421</v>
      </c>
      <c r="E104">
        <v>-53.356017964071853</v>
      </c>
      <c r="F104">
        <v>-50.837754491017961</v>
      </c>
      <c r="G104">
        <v>-48.33898203592814</v>
      </c>
      <c r="H104">
        <v>-45.902455089820357</v>
      </c>
      <c r="I104">
        <v>-43.465928143712574</v>
      </c>
      <c r="J104">
        <v>-41.258622754491014</v>
      </c>
      <c r="K104">
        <v>-39.164610778443112</v>
      </c>
      <c r="L104">
        <v>-37.097844311377244</v>
      </c>
      <c r="M104">
        <v>-35.276287425149704</v>
      </c>
      <c r="N104">
        <v>-33.454730538922156</v>
      </c>
      <c r="O104">
        <v>-31.748862275449106</v>
      </c>
      <c r="P104">
        <v>-30.145269461077845</v>
      </c>
      <c r="Q104">
        <v>-28.541676646706588</v>
      </c>
      <c r="R104">
        <v>-27.327597597597595</v>
      </c>
      <c r="S104">
        <v>-26.129099099099097</v>
      </c>
      <c r="T104">
        <v>-25.61550898203593</v>
      </c>
      <c r="U104">
        <v>-26.129281437125748</v>
      </c>
      <c r="V104">
        <v>-26.643053892215569</v>
      </c>
      <c r="W104">
        <v>-27.13823353293413</v>
      </c>
      <c r="X104">
        <v>-27.629625748502992</v>
      </c>
      <c r="Y104">
        <v>-28.121017964071857</v>
      </c>
      <c r="Z104">
        <v>-28.612410179640719</v>
      </c>
      <c r="AA104">
        <v>-29.103802395209581</v>
      </c>
      <c r="AB104">
        <v>-29.595194610778446</v>
      </c>
      <c r="AC104">
        <v>-30.086586826347308</v>
      </c>
      <c r="AD104">
        <v>-30.577979041916169</v>
      </c>
      <c r="AE104">
        <v>-31.069371257485031</v>
      </c>
      <c r="AF104">
        <v>-31.560763473053896</v>
      </c>
      <c r="AG104">
        <v>-32.022696629213485</v>
      </c>
      <c r="AH104">
        <v>-32.460898876404499</v>
      </c>
      <c r="AI104">
        <v>-32.899101123595507</v>
      </c>
      <c r="AJ104">
        <v>-33.337303370786522</v>
      </c>
      <c r="AK104">
        <v>-33.775505617977529</v>
      </c>
      <c r="AL104">
        <v>-34.213707865168544</v>
      </c>
      <c r="AM104">
        <v>-34.651910112359552</v>
      </c>
      <c r="AN104">
        <v>-35.090112359550567</v>
      </c>
      <c r="AO104">
        <v>-35.528314606741574</v>
      </c>
      <c r="AP104">
        <v>-35.966516853932589</v>
      </c>
      <c r="AQ104">
        <v>-36.38448689138577</v>
      </c>
      <c r="AR104">
        <v>-36.751602996254682</v>
      </c>
      <c r="AS104">
        <v>-37.118719101123595</v>
      </c>
      <c r="AT104">
        <v>-37.485835205992508</v>
      </c>
      <c r="AU104">
        <v>-37.852951310861421</v>
      </c>
      <c r="AV104">
        <v>-38.220067415730334</v>
      </c>
      <c r="AW104">
        <v>-38.587183520599254</v>
      </c>
      <c r="AX104">
        <v>-38.954299625468167</v>
      </c>
      <c r="AY104">
        <v>-39.32141573033708</v>
      </c>
      <c r="AZ104">
        <v>-39.688531835205993</v>
      </c>
      <c r="BA104">
        <v>-40.054850299401195</v>
      </c>
      <c r="BB104">
        <v>-40.370119760479042</v>
      </c>
      <c r="BC104">
        <v>-40.685389221556882</v>
      </c>
      <c r="BD104">
        <v>-40.988698224852072</v>
      </c>
      <c r="BE104">
        <v>-41.277159763313605</v>
      </c>
      <c r="BF104">
        <v>-41.565621301775145</v>
      </c>
      <c r="BG104">
        <v>-41.843333333333334</v>
      </c>
      <c r="BH104">
        <v>-42.119090909090907</v>
      </c>
      <c r="BI104">
        <v>-42.38636363636364</v>
      </c>
      <c r="BJ104">
        <v>-42.634545454545453</v>
      </c>
      <c r="BK104">
        <v>-42.882727272727273</v>
      </c>
      <c r="BL104">
        <v>-43.08328358208955</v>
      </c>
      <c r="BM104">
        <v>-43.269552238805971</v>
      </c>
      <c r="BN104">
        <v>-43.455820895522386</v>
      </c>
      <c r="BO104">
        <v>-43.642089552238801</v>
      </c>
      <c r="BP104">
        <v>-43.828358208955223</v>
      </c>
      <c r="BQ104">
        <v>-44.014626865671637</v>
      </c>
      <c r="BR104">
        <v>-44.200895522388059</v>
      </c>
      <c r="BS104">
        <v>-44.387164179104474</v>
      </c>
      <c r="BT104">
        <v>-44.573432835820896</v>
      </c>
      <c r="BU104">
        <v>-44.75970149253731</v>
      </c>
      <c r="BV104">
        <v>-44.898796992481202</v>
      </c>
      <c r="BW104">
        <v>-44.982857142857142</v>
      </c>
      <c r="BX104">
        <v>-45.066917293233082</v>
      </c>
      <c r="BY104">
        <v>-45.150977443609023</v>
      </c>
      <c r="BZ104">
        <v>-45.235037593984963</v>
      </c>
      <c r="CA104">
        <v>-45.319097744360903</v>
      </c>
      <c r="CB104">
        <v>-45.403157894736843</v>
      </c>
      <c r="CC104">
        <v>-45.487218045112783</v>
      </c>
      <c r="CD104">
        <v>-45.571278195488723</v>
      </c>
      <c r="CE104">
        <v>-45.655338345864664</v>
      </c>
      <c r="CF104">
        <v>-45.723529411764702</v>
      </c>
      <c r="CG104">
        <v>-45.738823529411761</v>
      </c>
      <c r="CH104">
        <v>-45.75411764705882</v>
      </c>
      <c r="CI104">
        <v>-45.755151515151518</v>
      </c>
      <c r="CJ104">
        <v>-45.74727272727273</v>
      </c>
      <c r="CK104">
        <v>-45.737058823529416</v>
      </c>
      <c r="CL104">
        <v>-45.698823529411769</v>
      </c>
      <c r="CM104">
        <v>-45.660588235294121</v>
      </c>
      <c r="CN104">
        <v>-45.609090909090909</v>
      </c>
      <c r="CO104">
        <v>-45.542121212121209</v>
      </c>
      <c r="CP104">
        <v>-45.475151515151516</v>
      </c>
    </row>
    <row r="105" spans="1:94" ht="21.75" thickBot="1" x14ac:dyDescent="0.4">
      <c r="A105" s="30" t="s">
        <v>67</v>
      </c>
      <c r="B105" s="62">
        <v>-15.207297297297297</v>
      </c>
      <c r="C105" s="62">
        <v>-14.82081081081081</v>
      </c>
      <c r="D105">
        <v>-14.434324324324324</v>
      </c>
      <c r="E105">
        <v>-13.712395209580837</v>
      </c>
      <c r="F105">
        <v>-12.910598802395208</v>
      </c>
      <c r="G105">
        <v>-12.087455089820359</v>
      </c>
      <c r="H105">
        <v>-11.196137724550898</v>
      </c>
      <c r="I105">
        <v>-10.304820359281438</v>
      </c>
      <c r="J105">
        <v>-9.491907185628742</v>
      </c>
      <c r="K105">
        <v>-8.7177455089820359</v>
      </c>
      <c r="L105">
        <v>-7.9532365269461076</v>
      </c>
      <c r="M105">
        <v>-7.2756017964071864</v>
      </c>
      <c r="N105">
        <v>-6.5979670658682643</v>
      </c>
      <c r="O105">
        <v>-5.9610299401197615</v>
      </c>
      <c r="P105">
        <v>-5.3600718562874254</v>
      </c>
      <c r="Q105">
        <v>-4.7591137724550894</v>
      </c>
      <c r="R105">
        <v>-4.5126516516516508</v>
      </c>
      <c r="S105">
        <v>-4.2803693693693692</v>
      </c>
      <c r="T105">
        <v>-4.1537664670658687</v>
      </c>
      <c r="U105">
        <v>-4.1856826347305391</v>
      </c>
      <c r="V105">
        <v>-4.2175988023952096</v>
      </c>
      <c r="W105">
        <v>-4.249676646706587</v>
      </c>
      <c r="X105">
        <v>-4.2817874251497008</v>
      </c>
      <c r="Y105">
        <v>-4.3138982035928146</v>
      </c>
      <c r="Z105">
        <v>-4.3460089820359284</v>
      </c>
      <c r="AA105">
        <v>-4.3781197604790414</v>
      </c>
      <c r="AB105">
        <v>-4.4102305389221552</v>
      </c>
      <c r="AC105">
        <v>-4.442341317365269</v>
      </c>
      <c r="AD105">
        <v>-4.4744520958083829</v>
      </c>
      <c r="AE105">
        <v>-4.5065628742514967</v>
      </c>
      <c r="AF105">
        <v>-4.5386736526946105</v>
      </c>
      <c r="AG105">
        <v>-4.5702584269662925</v>
      </c>
      <c r="AH105">
        <v>-4.6014194756554305</v>
      </c>
      <c r="AI105">
        <v>-4.6325805243445695</v>
      </c>
      <c r="AJ105">
        <v>-4.6637415730337084</v>
      </c>
      <c r="AK105">
        <v>-4.6949026217228464</v>
      </c>
      <c r="AL105">
        <v>-4.7260636704119854</v>
      </c>
      <c r="AM105">
        <v>-4.7572247191011234</v>
      </c>
      <c r="AN105">
        <v>-4.7883857677902624</v>
      </c>
      <c r="AO105">
        <v>-4.8195468164794013</v>
      </c>
      <c r="AP105">
        <v>-4.8507078651685394</v>
      </c>
      <c r="AQ105">
        <v>-4.8813700374531841</v>
      </c>
      <c r="AR105">
        <v>-4.9107782771535584</v>
      </c>
      <c r="AS105">
        <v>-4.9401865168539327</v>
      </c>
      <c r="AT105">
        <v>-4.969594756554307</v>
      </c>
      <c r="AU105">
        <v>-4.9990029962546814</v>
      </c>
      <c r="AV105">
        <v>-5.0284112359550566</v>
      </c>
      <c r="AW105">
        <v>-5.0578194756554309</v>
      </c>
      <c r="AX105">
        <v>-5.0872277153558052</v>
      </c>
      <c r="AY105">
        <v>-5.1166359550561795</v>
      </c>
      <c r="AZ105">
        <v>-5.1460441947565538</v>
      </c>
      <c r="BA105">
        <v>-5.1754311377245505</v>
      </c>
      <c r="BB105">
        <v>-5.2034550898203591</v>
      </c>
      <c r="BC105">
        <v>-5.2314790419161676</v>
      </c>
      <c r="BD105">
        <v>-5.2591834319526622</v>
      </c>
      <c r="BE105">
        <v>-5.2864911242603547</v>
      </c>
      <c r="BF105">
        <v>-5.3137988165680472</v>
      </c>
      <c r="BG105">
        <v>-5.3416666666666668</v>
      </c>
      <c r="BH105">
        <v>-5.3696363636363635</v>
      </c>
      <c r="BI105">
        <v>-5.3973636363636368</v>
      </c>
      <c r="BJ105">
        <v>-5.4245454545454548</v>
      </c>
      <c r="BK105">
        <v>-5.4517272727272728</v>
      </c>
      <c r="BL105">
        <v>-5.4825522388059706</v>
      </c>
      <c r="BM105">
        <v>-5.5144701492537314</v>
      </c>
      <c r="BN105">
        <v>-5.546388059701493</v>
      </c>
      <c r="BO105">
        <v>-5.5783059701492537</v>
      </c>
      <c r="BP105">
        <v>-5.6102238805970153</v>
      </c>
      <c r="BQ105">
        <v>-5.642141791044776</v>
      </c>
      <c r="BR105">
        <v>-5.6740597014925376</v>
      </c>
      <c r="BS105">
        <v>-5.7059776119402983</v>
      </c>
      <c r="BT105">
        <v>-5.7378955223880599</v>
      </c>
      <c r="BU105">
        <v>-5.7698134328358206</v>
      </c>
      <c r="BV105">
        <v>-5.8141127819548872</v>
      </c>
      <c r="BW105">
        <v>-5.8728571428571428</v>
      </c>
      <c r="BX105">
        <v>-5.9316015037593983</v>
      </c>
      <c r="BY105">
        <v>-5.9903458646616539</v>
      </c>
      <c r="BZ105">
        <v>-6.0490902255639094</v>
      </c>
      <c r="CA105">
        <v>-6.107834586466165</v>
      </c>
      <c r="CB105">
        <v>-6.1665789473684214</v>
      </c>
      <c r="CC105">
        <v>-6.2253233082706769</v>
      </c>
      <c r="CD105">
        <v>-6.2840676691729325</v>
      </c>
      <c r="CE105">
        <v>-6.342812030075188</v>
      </c>
      <c r="CF105">
        <v>-6.4000882352941177</v>
      </c>
      <c r="CG105">
        <v>-6.4524705882352942</v>
      </c>
      <c r="CH105">
        <v>-6.5048529411764706</v>
      </c>
      <c r="CI105">
        <v>-6.5572424242424248</v>
      </c>
      <c r="CJ105">
        <v>-6.6096363636363638</v>
      </c>
      <c r="CK105">
        <v>-6.6617941176470588</v>
      </c>
      <c r="CL105">
        <v>-6.7111176470588241</v>
      </c>
      <c r="CM105">
        <v>-6.7604411764705885</v>
      </c>
      <c r="CN105">
        <v>-6.8095454545454546</v>
      </c>
      <c r="CO105">
        <v>-6.858393939393939</v>
      </c>
      <c r="CP105">
        <v>-6.9072424242424235</v>
      </c>
    </row>
    <row r="106" spans="1:94" ht="21.75" thickBot="1" x14ac:dyDescent="0.4">
      <c r="A106" s="30" t="s">
        <v>42</v>
      </c>
      <c r="B106" s="62">
        <v>-21.633423423423423</v>
      </c>
      <c r="C106" s="62">
        <v>-20.938528528528529</v>
      </c>
      <c r="D106">
        <v>-20.243633633633632</v>
      </c>
      <c r="E106">
        <v>-20.065988023952094</v>
      </c>
      <c r="F106">
        <v>-20.011497005988023</v>
      </c>
      <c r="G106">
        <v>-20.01640718562874</v>
      </c>
      <c r="H106">
        <v>-20.211017964071857</v>
      </c>
      <c r="I106">
        <v>-20.40562874251497</v>
      </c>
      <c r="J106">
        <v>-20.602844311377243</v>
      </c>
      <c r="K106">
        <v>-20.801347305389221</v>
      </c>
      <c r="L106">
        <v>-20.999850299401199</v>
      </c>
      <c r="M106">
        <v>-21.198353293413174</v>
      </c>
      <c r="N106">
        <v>-21.396856287425148</v>
      </c>
      <c r="O106">
        <v>-21.597425149700598</v>
      </c>
      <c r="P106">
        <v>-21.799820359281437</v>
      </c>
      <c r="Q106">
        <v>-22.002215568862276</v>
      </c>
      <c r="R106">
        <v>-22.19768768768769</v>
      </c>
      <c r="S106">
        <v>-22.392882882882883</v>
      </c>
      <c r="T106">
        <v>-22.589401197604793</v>
      </c>
      <c r="U106">
        <v>-22.787904191616768</v>
      </c>
      <c r="V106">
        <v>-22.986407185628742</v>
      </c>
      <c r="W106">
        <v>-23.17682634730539</v>
      </c>
      <c r="X106">
        <v>-23.365598802395208</v>
      </c>
      <c r="Y106">
        <v>-23.55437125748503</v>
      </c>
      <c r="Z106">
        <v>-23.743143712574849</v>
      </c>
      <c r="AA106">
        <v>-23.931916167664671</v>
      </c>
      <c r="AB106">
        <v>-24.120688622754493</v>
      </c>
      <c r="AC106">
        <v>-24.309461077844311</v>
      </c>
      <c r="AD106">
        <v>-24.498233532934133</v>
      </c>
      <c r="AE106">
        <v>-24.687005988023952</v>
      </c>
      <c r="AF106">
        <v>-24.875778443113774</v>
      </c>
      <c r="AG106">
        <v>-25.057617977528093</v>
      </c>
      <c r="AH106">
        <v>-25.233872659176033</v>
      </c>
      <c r="AI106">
        <v>-25.410127340823973</v>
      </c>
      <c r="AJ106">
        <v>-25.586382022471913</v>
      </c>
      <c r="AK106">
        <v>-25.762636704119853</v>
      </c>
      <c r="AL106">
        <v>-25.938891385767793</v>
      </c>
      <c r="AM106">
        <v>-26.115146067415729</v>
      </c>
      <c r="AN106">
        <v>-26.291400749063669</v>
      </c>
      <c r="AO106">
        <v>-26.467655430711609</v>
      </c>
      <c r="AP106">
        <v>-26.643910112359549</v>
      </c>
      <c r="AQ106">
        <v>-26.81767041198502</v>
      </c>
      <c r="AR106">
        <v>-26.98516104868914</v>
      </c>
      <c r="AS106">
        <v>-27.152651685393259</v>
      </c>
      <c r="AT106">
        <v>-27.320142322097379</v>
      </c>
      <c r="AU106">
        <v>-27.487632958801498</v>
      </c>
      <c r="AV106">
        <v>-27.655123595505618</v>
      </c>
      <c r="AW106">
        <v>-27.822614232209737</v>
      </c>
      <c r="AX106">
        <v>-27.990104868913857</v>
      </c>
      <c r="AY106">
        <v>-28.157595505617977</v>
      </c>
      <c r="AZ106">
        <v>-28.325086142322096</v>
      </c>
      <c r="BA106">
        <v>-28.492455089820357</v>
      </c>
      <c r="BB106">
        <v>-28.652035928143711</v>
      </c>
      <c r="BC106">
        <v>-28.811616766467065</v>
      </c>
      <c r="BD106">
        <v>-28.970355029585797</v>
      </c>
      <c r="BE106">
        <v>-29.128047337278105</v>
      </c>
      <c r="BF106">
        <v>-29.285739644970413</v>
      </c>
      <c r="BG106">
        <v>-29.446666666666665</v>
      </c>
      <c r="BH106">
        <v>-29.608181818181816</v>
      </c>
      <c r="BI106">
        <v>-29.768484848484846</v>
      </c>
      <c r="BJ106">
        <v>-29.926060606060606</v>
      </c>
      <c r="BK106">
        <v>-30.083636363636366</v>
      </c>
      <c r="BL106">
        <v>-30.237164179104479</v>
      </c>
      <c r="BM106">
        <v>-30.389477611940301</v>
      </c>
      <c r="BN106">
        <v>-30.541791044776119</v>
      </c>
      <c r="BO106">
        <v>-30.69410447761194</v>
      </c>
      <c r="BP106">
        <v>-30.846417910447762</v>
      </c>
      <c r="BQ106">
        <v>-30.998731343283584</v>
      </c>
      <c r="BR106">
        <v>-31.151044776119406</v>
      </c>
      <c r="BS106">
        <v>-31.303358208955224</v>
      </c>
      <c r="BT106">
        <v>-31.455671641791046</v>
      </c>
      <c r="BU106">
        <v>-31.607985074626868</v>
      </c>
      <c r="BV106">
        <v>-31.759022556390978</v>
      </c>
      <c r="BW106">
        <v>-31.908571428571431</v>
      </c>
      <c r="BX106">
        <v>-32.058120300751881</v>
      </c>
      <c r="BY106">
        <v>-32.207669172932334</v>
      </c>
      <c r="BZ106">
        <v>-32.357218045112781</v>
      </c>
      <c r="CA106">
        <v>-32.506766917293234</v>
      </c>
      <c r="CB106">
        <v>-32.65631578947368</v>
      </c>
      <c r="CC106">
        <v>-32.805864661654134</v>
      </c>
      <c r="CD106">
        <v>-32.955413533834587</v>
      </c>
      <c r="CE106">
        <v>-33.104962406015034</v>
      </c>
      <c r="CF106">
        <v>-33.252647058823527</v>
      </c>
      <c r="CG106">
        <v>-33.394117647058827</v>
      </c>
      <c r="CH106">
        <v>-33.535588235294121</v>
      </c>
      <c r="CI106">
        <v>-33.682121212121217</v>
      </c>
      <c r="CJ106">
        <v>-33.831818181818186</v>
      </c>
      <c r="CK106">
        <v>-33.980882352941173</v>
      </c>
      <c r="CL106">
        <v>-34.122352941176473</v>
      </c>
      <c r="CM106">
        <v>-34.263823529411766</v>
      </c>
      <c r="CN106">
        <v>-34.407272727272733</v>
      </c>
      <c r="CO106">
        <v>-34.553030303030305</v>
      </c>
      <c r="CP106">
        <v>-34.698787878787883</v>
      </c>
    </row>
    <row r="107" spans="1:94" ht="21.75" thickBot="1" x14ac:dyDescent="0.4">
      <c r="A107" s="30" t="s">
        <v>68</v>
      </c>
      <c r="B107" s="62">
        <v>-58.474144144144148</v>
      </c>
      <c r="C107" s="62">
        <v>-56.69786786786787</v>
      </c>
      <c r="D107">
        <v>-54.921591591591593</v>
      </c>
      <c r="E107">
        <v>-53.84437125748503</v>
      </c>
      <c r="F107">
        <v>-52.933592814371252</v>
      </c>
      <c r="G107">
        <v>-52.120269461077839</v>
      </c>
      <c r="H107">
        <v>-51.618173652694608</v>
      </c>
      <c r="I107">
        <v>-51.11607784431137</v>
      </c>
      <c r="J107">
        <v>-50.697595808383234</v>
      </c>
      <c r="K107">
        <v>-50.320440119760477</v>
      </c>
      <c r="L107">
        <v>-49.952937125748505</v>
      </c>
      <c r="M107">
        <v>-49.672308383233535</v>
      </c>
      <c r="N107">
        <v>-49.391679640718564</v>
      </c>
      <c r="O107">
        <v>-49.155880239520954</v>
      </c>
      <c r="P107">
        <v>-48.9597125748503</v>
      </c>
      <c r="Q107">
        <v>-48.76354491017964</v>
      </c>
      <c r="R107">
        <v>-48.908027027027025</v>
      </c>
      <c r="S107">
        <v>-49.066135135135134</v>
      </c>
      <c r="T107">
        <v>-49.332568862275451</v>
      </c>
      <c r="U107">
        <v>-49.761491017964069</v>
      </c>
      <c r="V107">
        <v>-50.190413173652694</v>
      </c>
      <c r="W107">
        <v>-50.603329341317362</v>
      </c>
      <c r="X107">
        <v>-51.012985029940118</v>
      </c>
      <c r="Y107">
        <v>-51.422640718562874</v>
      </c>
      <c r="Z107">
        <v>-51.832296407185623</v>
      </c>
      <c r="AA107">
        <v>-52.241952095808379</v>
      </c>
      <c r="AB107">
        <v>-52.651607784431135</v>
      </c>
      <c r="AC107">
        <v>-53.061263473053891</v>
      </c>
      <c r="AD107">
        <v>-53.470919161676647</v>
      </c>
      <c r="AE107">
        <v>-53.880574850299404</v>
      </c>
      <c r="AF107">
        <v>-54.29023053892216</v>
      </c>
      <c r="AG107">
        <v>-54.685494382022469</v>
      </c>
      <c r="AH107">
        <v>-55.069164794007492</v>
      </c>
      <c r="AI107">
        <v>-55.452835205992507</v>
      </c>
      <c r="AJ107">
        <v>-55.836505617977529</v>
      </c>
      <c r="AK107">
        <v>-56.220176029962545</v>
      </c>
      <c r="AL107">
        <v>-56.603846441947567</v>
      </c>
      <c r="AM107">
        <v>-56.987516853932583</v>
      </c>
      <c r="AN107">
        <v>-57.371187265917598</v>
      </c>
      <c r="AO107">
        <v>-57.754857677902621</v>
      </c>
      <c r="AP107">
        <v>-58.138528089887636</v>
      </c>
      <c r="AQ107">
        <v>-58.516710861423221</v>
      </c>
      <c r="AR107">
        <v>-58.881100374531833</v>
      </c>
      <c r="AS107">
        <v>-59.245489887640446</v>
      </c>
      <c r="AT107">
        <v>-59.609879400749058</v>
      </c>
      <c r="AU107">
        <v>-59.974268913857678</v>
      </c>
      <c r="AV107">
        <v>-60.33865842696629</v>
      </c>
      <c r="AW107">
        <v>-60.703047940074903</v>
      </c>
      <c r="AX107">
        <v>-61.067437453183516</v>
      </c>
      <c r="AY107">
        <v>-61.431826966292128</v>
      </c>
      <c r="AZ107">
        <v>-61.796216479400748</v>
      </c>
      <c r="BA107">
        <v>-62.160341317365265</v>
      </c>
      <c r="BB107">
        <v>-62.507526946107781</v>
      </c>
      <c r="BC107">
        <v>-62.854712574850296</v>
      </c>
      <c r="BD107">
        <v>-63.199893491124257</v>
      </c>
      <c r="BE107">
        <v>-63.54258579881656</v>
      </c>
      <c r="BF107">
        <v>-63.885278106508871</v>
      </c>
      <c r="BG107">
        <v>-64.234999999999999</v>
      </c>
      <c r="BH107">
        <v>-64.585999999999999</v>
      </c>
      <c r="BI107">
        <v>-64.934333333333328</v>
      </c>
      <c r="BJ107">
        <v>-65.276666666666671</v>
      </c>
      <c r="BK107">
        <v>-65.619</v>
      </c>
      <c r="BL107">
        <v>-65.95688059701493</v>
      </c>
      <c r="BM107">
        <v>-66.29342537313434</v>
      </c>
      <c r="BN107">
        <v>-66.629970149253737</v>
      </c>
      <c r="BO107">
        <v>-66.966514925373133</v>
      </c>
      <c r="BP107">
        <v>-67.303059701492543</v>
      </c>
      <c r="BQ107">
        <v>-67.63960447761194</v>
      </c>
      <c r="BR107">
        <v>-67.97614925373135</v>
      </c>
      <c r="BS107">
        <v>-68.312694029850746</v>
      </c>
      <c r="BT107">
        <v>-68.649238805970157</v>
      </c>
      <c r="BU107">
        <v>-68.985783582089553</v>
      </c>
      <c r="BV107">
        <v>-69.332157894736838</v>
      </c>
      <c r="BW107">
        <v>-69.69</v>
      </c>
      <c r="BX107">
        <v>-70.047842105263157</v>
      </c>
      <c r="BY107">
        <v>-70.405684210526317</v>
      </c>
      <c r="BZ107">
        <v>-70.763526315789477</v>
      </c>
      <c r="CA107">
        <v>-71.121368421052637</v>
      </c>
      <c r="CB107">
        <v>-71.479210526315796</v>
      </c>
      <c r="CC107">
        <v>-71.837052631578956</v>
      </c>
      <c r="CD107">
        <v>-72.194894736842102</v>
      </c>
      <c r="CE107">
        <v>-72.552736842105261</v>
      </c>
      <c r="CF107">
        <v>-72.905382352941174</v>
      </c>
      <c r="CG107">
        <v>-73.240705882352955</v>
      </c>
      <c r="CH107">
        <v>-73.576029411764722</v>
      </c>
      <c r="CI107">
        <v>-73.921484848484852</v>
      </c>
      <c r="CJ107">
        <v>-74.273272727272726</v>
      </c>
      <c r="CK107">
        <v>-74.623558823529407</v>
      </c>
      <c r="CL107">
        <v>-74.955823529411774</v>
      </c>
      <c r="CM107">
        <v>-75.288088235294126</v>
      </c>
      <c r="CN107">
        <v>-75.624090909090924</v>
      </c>
      <c r="CO107">
        <v>-75.964454545454558</v>
      </c>
      <c r="CP107">
        <v>-76.304818181818192</v>
      </c>
    </row>
    <row r="108" spans="1:94" ht="21.75" thickBot="1" x14ac:dyDescent="0.4">
      <c r="A108" s="30" t="s">
        <v>77</v>
      </c>
      <c r="B108" s="62">
        <v>-185.26585585585585</v>
      </c>
      <c r="C108" s="62">
        <v>-178.80879879879882</v>
      </c>
      <c r="D108">
        <v>-172.35174174174176</v>
      </c>
      <c r="E108">
        <v>-166.91</v>
      </c>
      <c r="F108">
        <v>-161.71</v>
      </c>
      <c r="G108">
        <v>-156.72718562874252</v>
      </c>
      <c r="H108">
        <v>-152.43796407185627</v>
      </c>
      <c r="I108">
        <v>-148.14874251497005</v>
      </c>
      <c r="J108">
        <v>-144.32577844311376</v>
      </c>
      <c r="K108">
        <v>-140.73326347305388</v>
      </c>
      <c r="L108">
        <v>-137.19523952095807</v>
      </c>
      <c r="M108">
        <v>-134.14763473053893</v>
      </c>
      <c r="N108">
        <v>-131.10002994011978</v>
      </c>
      <c r="O108">
        <v>-128.29000000000002</v>
      </c>
      <c r="P108">
        <v>-125.69000000000001</v>
      </c>
      <c r="Q108">
        <v>-123.09</v>
      </c>
      <c r="R108">
        <v>-121.24825825825826</v>
      </c>
      <c r="S108">
        <v>-119.43684684684683</v>
      </c>
      <c r="T108">
        <v>-118.99922155688623</v>
      </c>
      <c r="U108">
        <v>-120.62227544910179</v>
      </c>
      <c r="V108">
        <v>-122.24532934131737</v>
      </c>
      <c r="W108">
        <v>-123.80694610778444</v>
      </c>
      <c r="X108">
        <v>-125.35604790419163</v>
      </c>
      <c r="Y108">
        <v>-126.90514970059881</v>
      </c>
      <c r="Z108">
        <v>-128.454251497006</v>
      </c>
      <c r="AA108">
        <v>-130.00335329341317</v>
      </c>
      <c r="AB108">
        <v>-131.55245508982037</v>
      </c>
      <c r="AC108">
        <v>-133.10155688622754</v>
      </c>
      <c r="AD108">
        <v>-134.65065868263474</v>
      </c>
      <c r="AE108">
        <v>-136.19976047904191</v>
      </c>
      <c r="AF108">
        <v>-137.74886227544911</v>
      </c>
      <c r="AG108">
        <v>-139.21824719101124</v>
      </c>
      <c r="AH108">
        <v>-140.62341573033709</v>
      </c>
      <c r="AI108">
        <v>-142.02858426966293</v>
      </c>
      <c r="AJ108">
        <v>-143.43375280898877</v>
      </c>
      <c r="AK108">
        <v>-144.83892134831461</v>
      </c>
      <c r="AL108">
        <v>-146.24408988764046</v>
      </c>
      <c r="AM108">
        <v>-147.6492584269663</v>
      </c>
      <c r="AN108">
        <v>-149.05442696629214</v>
      </c>
      <c r="AO108">
        <v>-150.45959550561798</v>
      </c>
      <c r="AP108">
        <v>-151.86476404494383</v>
      </c>
      <c r="AQ108">
        <v>-153.2219850187266</v>
      </c>
      <c r="AR108">
        <v>-154.45868913857677</v>
      </c>
      <c r="AS108">
        <v>-155.69539325842698</v>
      </c>
      <c r="AT108">
        <v>-156.93209737827715</v>
      </c>
      <c r="AU108">
        <v>-158.16880149812735</v>
      </c>
      <c r="AV108">
        <v>-159.40550561797752</v>
      </c>
      <c r="AW108">
        <v>-160.64220973782773</v>
      </c>
      <c r="AX108">
        <v>-161.8789138576779</v>
      </c>
      <c r="AY108">
        <v>-163.1156179775281</v>
      </c>
      <c r="AZ108">
        <v>-164.35232209737828</v>
      </c>
      <c r="BA108">
        <v>-165.58706586826347</v>
      </c>
      <c r="BB108">
        <v>-166.69634730538922</v>
      </c>
      <c r="BC108">
        <v>-167.80562874251495</v>
      </c>
      <c r="BD108">
        <v>-168.88846153846151</v>
      </c>
      <c r="BE108">
        <v>-169.93846153846152</v>
      </c>
      <c r="BF108">
        <v>-170.98846153846151</v>
      </c>
      <c r="BG108">
        <v>-172.02666666666664</v>
      </c>
      <c r="BH108">
        <v>-173.06272727272727</v>
      </c>
      <c r="BI108">
        <v>-174.07818181818183</v>
      </c>
      <c r="BJ108">
        <v>-175.04727272727274</v>
      </c>
      <c r="BK108">
        <v>-176.01636363636365</v>
      </c>
      <c r="BL108">
        <v>-176.87805970149256</v>
      </c>
      <c r="BM108">
        <v>-177.70753731343285</v>
      </c>
      <c r="BN108">
        <v>-178.53701492537314</v>
      </c>
      <c r="BO108">
        <v>-179.36649253731343</v>
      </c>
      <c r="BP108">
        <v>-180.19597014925375</v>
      </c>
      <c r="BQ108">
        <v>-181.02544776119404</v>
      </c>
      <c r="BR108">
        <v>-181.85492537313434</v>
      </c>
      <c r="BS108">
        <v>-182.68440298507466</v>
      </c>
      <c r="BT108">
        <v>-183.51388059701495</v>
      </c>
      <c r="BU108">
        <v>-184.34335820895524</v>
      </c>
      <c r="BV108">
        <v>-185.07466165413535</v>
      </c>
      <c r="BW108">
        <v>-185.69142857142859</v>
      </c>
      <c r="BX108">
        <v>-186.30819548872182</v>
      </c>
      <c r="BY108">
        <v>-186.92496240601506</v>
      </c>
      <c r="BZ108">
        <v>-187.54172932330829</v>
      </c>
      <c r="CA108">
        <v>-188.15849624060152</v>
      </c>
      <c r="CB108">
        <v>-188.77526315789473</v>
      </c>
      <c r="CC108">
        <v>-189.39203007518796</v>
      </c>
      <c r="CD108">
        <v>-190.00879699248119</v>
      </c>
      <c r="CE108">
        <v>-190.62556390977443</v>
      </c>
      <c r="CF108">
        <v>-191.20499999999998</v>
      </c>
      <c r="CG108">
        <v>-191.66</v>
      </c>
      <c r="CH108">
        <v>-192.11500000000001</v>
      </c>
      <c r="CI108">
        <v>-192.55666666666667</v>
      </c>
      <c r="CJ108">
        <v>-192.99</v>
      </c>
      <c r="CK108">
        <v>-193.41676470588234</v>
      </c>
      <c r="CL108">
        <v>-193.76470588235293</v>
      </c>
      <c r="CM108">
        <v>-194.11264705882354</v>
      </c>
      <c r="CN108">
        <v>-194.44</v>
      </c>
      <c r="CO108">
        <v>-194.74333333333334</v>
      </c>
      <c r="CP108">
        <v>-195.04666666666665</v>
      </c>
    </row>
    <row r="109" spans="1:94" ht="21.75" thickBot="1" x14ac:dyDescent="0.4">
      <c r="A109" s="30" t="s">
        <v>69</v>
      </c>
      <c r="B109" s="62">
        <v>-30.414594594594593</v>
      </c>
      <c r="C109" s="62">
        <v>-29.641621621621621</v>
      </c>
      <c r="D109">
        <v>-28.868648648648648</v>
      </c>
      <c r="E109">
        <v>-27.424790419161674</v>
      </c>
      <c r="F109">
        <v>-25.821197604790417</v>
      </c>
      <c r="G109">
        <v>-24.174910179640719</v>
      </c>
      <c r="H109">
        <v>-22.392275449101795</v>
      </c>
      <c r="I109">
        <v>-20.609640718562876</v>
      </c>
      <c r="J109">
        <v>-18.983814371257484</v>
      </c>
      <c r="K109">
        <v>-17.435491017964072</v>
      </c>
      <c r="L109">
        <v>-15.906473053892215</v>
      </c>
      <c r="M109">
        <v>-14.551203592814373</v>
      </c>
      <c r="N109">
        <v>-13.195934131736529</v>
      </c>
      <c r="O109">
        <v>-11.922059880239523</v>
      </c>
      <c r="P109">
        <v>-10.720143712574851</v>
      </c>
      <c r="Q109">
        <v>-9.5182275449101788</v>
      </c>
      <c r="R109">
        <v>-9.0253033033033017</v>
      </c>
      <c r="S109">
        <v>-8.5607387387387384</v>
      </c>
      <c r="T109">
        <v>-8.3075329341317374</v>
      </c>
      <c r="U109">
        <v>-8.3713652694610783</v>
      </c>
      <c r="V109">
        <v>-8.4351976047904191</v>
      </c>
      <c r="W109">
        <v>-8.4993532934131739</v>
      </c>
      <c r="X109">
        <v>-8.5635748502994016</v>
      </c>
      <c r="Y109">
        <v>-8.6277964071856292</v>
      </c>
      <c r="Z109">
        <v>-8.6920179640718569</v>
      </c>
      <c r="AA109">
        <v>-8.7562395209580828</v>
      </c>
      <c r="AB109">
        <v>-8.8204610778443104</v>
      </c>
      <c r="AC109">
        <v>-8.8846826347305381</v>
      </c>
      <c r="AD109">
        <v>-8.9489041916167658</v>
      </c>
      <c r="AE109">
        <v>-9.0131257485029934</v>
      </c>
      <c r="AF109">
        <v>-9.0773473053892211</v>
      </c>
      <c r="AG109">
        <v>-9.140516853932585</v>
      </c>
      <c r="AH109">
        <v>-9.202838951310861</v>
      </c>
      <c r="AI109">
        <v>-9.2651610486891389</v>
      </c>
      <c r="AJ109">
        <v>-9.3274831460674168</v>
      </c>
      <c r="AK109">
        <v>-9.3898052434456929</v>
      </c>
      <c r="AL109">
        <v>-9.4521273408239708</v>
      </c>
      <c r="AM109">
        <v>-9.5144494382022469</v>
      </c>
      <c r="AN109">
        <v>-9.5767715355805247</v>
      </c>
      <c r="AO109">
        <v>-9.6390936329588026</v>
      </c>
      <c r="AP109">
        <v>-9.7014157303370787</v>
      </c>
      <c r="AQ109">
        <v>-9.7627400749063682</v>
      </c>
      <c r="AR109">
        <v>-9.8215565543071168</v>
      </c>
      <c r="AS109">
        <v>-9.8803730337078655</v>
      </c>
      <c r="AT109">
        <v>-9.9391895131086141</v>
      </c>
      <c r="AU109">
        <v>-9.9980059925093627</v>
      </c>
      <c r="AV109">
        <v>-10.056822471910113</v>
      </c>
      <c r="AW109">
        <v>-10.115638951310862</v>
      </c>
      <c r="AX109">
        <v>-10.17445543071161</v>
      </c>
      <c r="AY109">
        <v>-10.233271910112359</v>
      </c>
      <c r="AZ109">
        <v>-10.292088389513108</v>
      </c>
      <c r="BA109">
        <v>-10.350862275449101</v>
      </c>
      <c r="BB109">
        <v>-10.406910179640718</v>
      </c>
      <c r="BC109">
        <v>-10.462958083832335</v>
      </c>
      <c r="BD109">
        <v>-10.518366863905324</v>
      </c>
      <c r="BE109">
        <v>-10.572982248520709</v>
      </c>
      <c r="BF109">
        <v>-10.627597633136094</v>
      </c>
      <c r="BG109">
        <v>-10.683333333333334</v>
      </c>
      <c r="BH109">
        <v>-10.739272727272727</v>
      </c>
      <c r="BI109">
        <v>-10.794727272727274</v>
      </c>
      <c r="BJ109">
        <v>-10.84909090909091</v>
      </c>
      <c r="BK109">
        <v>-10.903454545454546</v>
      </c>
      <c r="BL109">
        <v>-10.965104477611941</v>
      </c>
      <c r="BM109">
        <v>-11.028940298507463</v>
      </c>
      <c r="BN109">
        <v>-11.092776119402986</v>
      </c>
      <c r="BO109">
        <v>-11.156611940298507</v>
      </c>
      <c r="BP109">
        <v>-11.220447761194031</v>
      </c>
      <c r="BQ109">
        <v>-11.284283582089552</v>
      </c>
      <c r="BR109">
        <v>-11.348119402985075</v>
      </c>
      <c r="BS109">
        <v>-11.411955223880597</v>
      </c>
      <c r="BT109">
        <v>-11.47579104477612</v>
      </c>
      <c r="BU109">
        <v>-11.539626865671641</v>
      </c>
      <c r="BV109">
        <v>-11.628225563909774</v>
      </c>
      <c r="BW109">
        <v>-11.745714285714286</v>
      </c>
      <c r="BX109">
        <v>-11.863203007518797</v>
      </c>
      <c r="BY109">
        <v>-11.980691729323308</v>
      </c>
      <c r="BZ109">
        <v>-12.098180451127819</v>
      </c>
      <c r="CA109">
        <v>-12.21566917293233</v>
      </c>
      <c r="CB109">
        <v>-12.333157894736843</v>
      </c>
      <c r="CC109">
        <v>-12.450646616541354</v>
      </c>
      <c r="CD109">
        <v>-12.568135338345865</v>
      </c>
      <c r="CE109">
        <v>-12.685624060150376</v>
      </c>
      <c r="CF109">
        <v>-12.800176470588235</v>
      </c>
      <c r="CG109">
        <v>-12.904941176470588</v>
      </c>
      <c r="CH109">
        <v>-13.009705882352941</v>
      </c>
      <c r="CI109">
        <v>-13.11448484848485</v>
      </c>
      <c r="CJ109">
        <v>-13.219272727272728</v>
      </c>
      <c r="CK109">
        <v>-13.323588235294118</v>
      </c>
      <c r="CL109">
        <v>-13.422235294117648</v>
      </c>
      <c r="CM109">
        <v>-13.520882352941177</v>
      </c>
      <c r="CN109">
        <v>-13.619090909090909</v>
      </c>
      <c r="CO109">
        <v>-13.716787878787878</v>
      </c>
      <c r="CP109">
        <v>-13.814484848484847</v>
      </c>
    </row>
    <row r="110" spans="1:94" ht="21.75" thickBot="1" x14ac:dyDescent="0.4">
      <c r="A110" s="30" t="s">
        <v>3</v>
      </c>
      <c r="B110" s="62">
        <v>-15.207297297297297</v>
      </c>
      <c r="C110" s="62">
        <v>-14.82081081081081</v>
      </c>
      <c r="D110">
        <v>-14.434324324324324</v>
      </c>
      <c r="E110">
        <v>-13.712395209580837</v>
      </c>
      <c r="F110">
        <v>-12.910598802395208</v>
      </c>
      <c r="G110">
        <v>-12.087455089820359</v>
      </c>
      <c r="H110">
        <v>-11.196137724550898</v>
      </c>
      <c r="I110">
        <v>-10.304820359281438</v>
      </c>
      <c r="J110">
        <v>-9.491907185628742</v>
      </c>
      <c r="K110">
        <v>-8.7177455089820359</v>
      </c>
      <c r="L110">
        <v>-7.9532365269461076</v>
      </c>
      <c r="M110">
        <v>-7.2756017964071864</v>
      </c>
      <c r="N110">
        <v>-6.5979670658682643</v>
      </c>
      <c r="O110">
        <v>-5.9610299401197615</v>
      </c>
      <c r="P110">
        <v>-5.3600718562874254</v>
      </c>
      <c r="Q110">
        <v>-4.7591137724550894</v>
      </c>
      <c r="R110">
        <v>-4.5126516516516508</v>
      </c>
      <c r="S110">
        <v>-4.2803693693693692</v>
      </c>
      <c r="T110">
        <v>-4.1537664670658687</v>
      </c>
      <c r="U110">
        <v>-4.1856826347305391</v>
      </c>
      <c r="V110">
        <v>-4.2175988023952096</v>
      </c>
      <c r="W110">
        <v>-4.249676646706587</v>
      </c>
      <c r="X110">
        <v>-4.2817874251497008</v>
      </c>
      <c r="Y110">
        <v>-4.3138982035928146</v>
      </c>
      <c r="Z110">
        <v>-4.3460089820359284</v>
      </c>
      <c r="AA110">
        <v>-4.3781197604790414</v>
      </c>
      <c r="AB110">
        <v>-4.4102305389221552</v>
      </c>
      <c r="AC110">
        <v>-4.442341317365269</v>
      </c>
      <c r="AD110">
        <v>-4.4744520958083829</v>
      </c>
      <c r="AE110">
        <v>-4.5065628742514967</v>
      </c>
      <c r="AF110">
        <v>-4.5386736526946105</v>
      </c>
      <c r="AG110">
        <v>-4.5702584269662925</v>
      </c>
      <c r="AH110">
        <v>-4.6014194756554305</v>
      </c>
      <c r="AI110">
        <v>-4.6325805243445695</v>
      </c>
      <c r="AJ110">
        <v>-4.6637415730337084</v>
      </c>
      <c r="AK110">
        <v>-4.6949026217228464</v>
      </c>
      <c r="AL110">
        <v>-4.7260636704119854</v>
      </c>
      <c r="AM110">
        <v>-4.7572247191011234</v>
      </c>
      <c r="AN110">
        <v>-4.7883857677902624</v>
      </c>
      <c r="AO110">
        <v>-4.8195468164794013</v>
      </c>
      <c r="AP110">
        <v>-4.8507078651685394</v>
      </c>
      <c r="AQ110">
        <v>-4.8813700374531841</v>
      </c>
      <c r="AR110">
        <v>-4.9107782771535584</v>
      </c>
      <c r="AS110">
        <v>-4.9401865168539327</v>
      </c>
      <c r="AT110">
        <v>-4.969594756554307</v>
      </c>
      <c r="AU110">
        <v>-4.9990029962546814</v>
      </c>
      <c r="AV110">
        <v>-5.0284112359550566</v>
      </c>
      <c r="AW110">
        <v>-5.0578194756554309</v>
      </c>
      <c r="AX110">
        <v>-5.0872277153558052</v>
      </c>
      <c r="AY110">
        <v>-5.1166359550561795</v>
      </c>
      <c r="AZ110">
        <v>-5.1460441947565538</v>
      </c>
      <c r="BA110">
        <v>-5.1754311377245505</v>
      </c>
      <c r="BB110">
        <v>-5.2034550898203591</v>
      </c>
      <c r="BC110">
        <v>-5.2314790419161676</v>
      </c>
      <c r="BD110">
        <v>-5.2591834319526622</v>
      </c>
      <c r="BE110">
        <v>-5.2864911242603547</v>
      </c>
      <c r="BF110">
        <v>-5.3137988165680472</v>
      </c>
      <c r="BG110">
        <v>-5.3416666666666668</v>
      </c>
      <c r="BH110">
        <v>-5.3696363636363635</v>
      </c>
      <c r="BI110">
        <v>-5.3973636363636368</v>
      </c>
      <c r="BJ110">
        <v>-5.4245454545454548</v>
      </c>
      <c r="BK110">
        <v>-5.4517272727272728</v>
      </c>
      <c r="BL110">
        <v>-5.4825522388059706</v>
      </c>
      <c r="BM110">
        <v>-5.5144701492537314</v>
      </c>
      <c r="BN110">
        <v>-5.546388059701493</v>
      </c>
      <c r="BO110">
        <v>-5.5783059701492537</v>
      </c>
      <c r="BP110">
        <v>-5.6102238805970153</v>
      </c>
      <c r="BQ110">
        <v>-5.642141791044776</v>
      </c>
      <c r="BR110">
        <v>-5.6740597014925376</v>
      </c>
      <c r="BS110">
        <v>-5.7059776119402983</v>
      </c>
      <c r="BT110">
        <v>-5.7378955223880599</v>
      </c>
      <c r="BU110">
        <v>-5.7698134328358206</v>
      </c>
      <c r="BV110">
        <v>-5.8141127819548872</v>
      </c>
      <c r="BW110">
        <v>-5.8728571428571428</v>
      </c>
      <c r="BX110">
        <v>-5.9316015037593983</v>
      </c>
      <c r="BY110">
        <v>-5.9903458646616539</v>
      </c>
      <c r="BZ110">
        <v>-6.0490902255639094</v>
      </c>
      <c r="CA110">
        <v>-6.107834586466165</v>
      </c>
      <c r="CB110">
        <v>-6.1665789473684214</v>
      </c>
      <c r="CC110">
        <v>-6.2253233082706769</v>
      </c>
      <c r="CD110">
        <v>-6.2840676691729325</v>
      </c>
      <c r="CE110">
        <v>-6.342812030075188</v>
      </c>
      <c r="CF110">
        <v>-6.4000882352941177</v>
      </c>
      <c r="CG110">
        <v>-6.4524705882352942</v>
      </c>
      <c r="CH110">
        <v>-6.5048529411764706</v>
      </c>
      <c r="CI110">
        <v>-6.5572424242424248</v>
      </c>
      <c r="CJ110">
        <v>-6.6096363636363638</v>
      </c>
      <c r="CK110">
        <v>-6.6617941176470588</v>
      </c>
      <c r="CL110">
        <v>-6.7111176470588241</v>
      </c>
      <c r="CM110">
        <v>-6.7604411764705885</v>
      </c>
      <c r="CN110">
        <v>-6.8095454545454546</v>
      </c>
      <c r="CO110">
        <v>-6.858393939393939</v>
      </c>
      <c r="CP110">
        <v>-6.9072424242424235</v>
      </c>
    </row>
    <row r="111" spans="1:94" ht="21.75" thickBot="1" x14ac:dyDescent="0.4">
      <c r="A111" s="30" t="s">
        <v>1</v>
      </c>
      <c r="B111" s="62">
        <v>-19.021441441441443</v>
      </c>
      <c r="C111" s="62">
        <v>-19.025345345345347</v>
      </c>
      <c r="D111">
        <v>-19.029249249249251</v>
      </c>
      <c r="E111">
        <v>-19.039431137724552</v>
      </c>
      <c r="F111">
        <v>-19.051107784431139</v>
      </c>
      <c r="G111">
        <v>-19.064640718562874</v>
      </c>
      <c r="H111">
        <v>-19.084101796407186</v>
      </c>
      <c r="I111">
        <v>-19.103562874251498</v>
      </c>
      <c r="J111">
        <v>-19.125628742514969</v>
      </c>
      <c r="K111">
        <v>-19.148982035928146</v>
      </c>
      <c r="L111">
        <v>-19.172335329341319</v>
      </c>
      <c r="M111">
        <v>-19.195688622754492</v>
      </c>
      <c r="N111">
        <v>-19.219041916167665</v>
      </c>
      <c r="O111">
        <v>-19.244461077844313</v>
      </c>
      <c r="P111">
        <v>-19.271706586826348</v>
      </c>
      <c r="Q111">
        <v>-19.298952095808385</v>
      </c>
      <c r="R111">
        <v>-19.213663663663663</v>
      </c>
      <c r="S111">
        <v>-19.123873873873872</v>
      </c>
      <c r="T111">
        <v>-19.063772455089822</v>
      </c>
      <c r="U111">
        <v>-19.048203592814371</v>
      </c>
      <c r="V111">
        <v>-19.032634730538923</v>
      </c>
      <c r="W111">
        <v>-19.052634730538923</v>
      </c>
      <c r="X111">
        <v>-19.079880239520957</v>
      </c>
      <c r="Y111">
        <v>-19.107125748502995</v>
      </c>
      <c r="Z111">
        <v>-19.134371257485029</v>
      </c>
      <c r="AA111">
        <v>-19.161616766467066</v>
      </c>
      <c r="AB111">
        <v>-19.1888622754491</v>
      </c>
      <c r="AC111">
        <v>-19.216107784431138</v>
      </c>
      <c r="AD111">
        <v>-19.243353293413172</v>
      </c>
      <c r="AE111">
        <v>-19.27059880239521</v>
      </c>
      <c r="AF111">
        <v>-19.297844311377244</v>
      </c>
      <c r="AG111">
        <v>-19.324022471910112</v>
      </c>
      <c r="AH111">
        <v>-19.349340823970035</v>
      </c>
      <c r="AI111">
        <v>-19.374659176029962</v>
      </c>
      <c r="AJ111">
        <v>-19.399977528089888</v>
      </c>
      <c r="AK111">
        <v>-19.425295880149811</v>
      </c>
      <c r="AL111">
        <v>-19.450614232209738</v>
      </c>
      <c r="AM111">
        <v>-19.475932584269664</v>
      </c>
      <c r="AN111">
        <v>-19.501250936329587</v>
      </c>
      <c r="AO111">
        <v>-19.526569288389513</v>
      </c>
      <c r="AP111">
        <v>-19.55188764044944</v>
      </c>
      <c r="AQ111">
        <v>-19.576928838951311</v>
      </c>
      <c r="AR111">
        <v>-19.601273408239702</v>
      </c>
      <c r="AS111">
        <v>-19.625617977528091</v>
      </c>
      <c r="AT111">
        <v>-19.649962546816479</v>
      </c>
      <c r="AU111">
        <v>-19.67430711610487</v>
      </c>
      <c r="AV111">
        <v>-19.698651685393259</v>
      </c>
      <c r="AW111">
        <v>-19.722996254681647</v>
      </c>
      <c r="AX111">
        <v>-19.747340823970038</v>
      </c>
      <c r="AY111">
        <v>-19.771685393258426</v>
      </c>
      <c r="AZ111">
        <v>-19.796029962546818</v>
      </c>
      <c r="BA111">
        <v>-19.820359281437128</v>
      </c>
      <c r="BB111">
        <v>-19.843712574850301</v>
      </c>
      <c r="BC111">
        <v>-19.867065868263474</v>
      </c>
      <c r="BD111">
        <v>-19.890295857988164</v>
      </c>
      <c r="BE111">
        <v>-19.913372781065089</v>
      </c>
      <c r="BF111">
        <v>-19.936449704142014</v>
      </c>
      <c r="BG111">
        <v>-19.96</v>
      </c>
      <c r="BH111">
        <v>-19.983636363636364</v>
      </c>
      <c r="BI111">
        <v>-20.006060606060608</v>
      </c>
      <c r="BJ111">
        <v>-20.025757575757577</v>
      </c>
      <c r="BK111">
        <v>-20.045454545454547</v>
      </c>
      <c r="BL111">
        <v>-20.065671641791045</v>
      </c>
      <c r="BM111">
        <v>-20.086044776119405</v>
      </c>
      <c r="BN111">
        <v>-20.106417910447764</v>
      </c>
      <c r="BO111">
        <v>-20.12679104477612</v>
      </c>
      <c r="BP111">
        <v>-20.147164179104479</v>
      </c>
      <c r="BQ111">
        <v>-20.167537313432838</v>
      </c>
      <c r="BR111">
        <v>-20.187910447761194</v>
      </c>
      <c r="BS111">
        <v>-20.208283582089553</v>
      </c>
      <c r="BT111">
        <v>-20.228656716417913</v>
      </c>
      <c r="BU111">
        <v>-20.249029850746272</v>
      </c>
      <c r="BV111">
        <v>-20.269022556390979</v>
      </c>
      <c r="BW111">
        <v>-20.28857142857143</v>
      </c>
      <c r="BX111">
        <v>-20.308120300751881</v>
      </c>
      <c r="BY111">
        <v>-20.327669172932332</v>
      </c>
      <c r="BZ111">
        <v>-20.347218045112783</v>
      </c>
      <c r="CA111">
        <v>-20.366766917293234</v>
      </c>
      <c r="CB111">
        <v>-20.386315789473684</v>
      </c>
      <c r="CC111">
        <v>-20.405864661654135</v>
      </c>
      <c r="CD111">
        <v>-20.425413533834586</v>
      </c>
      <c r="CE111">
        <v>-20.444962406015037</v>
      </c>
      <c r="CF111">
        <v>-20.464411764705883</v>
      </c>
      <c r="CG111">
        <v>-20.483529411764707</v>
      </c>
      <c r="CH111">
        <v>-20.502647058823531</v>
      </c>
      <c r="CI111">
        <v>-20.522121212121213</v>
      </c>
      <c r="CJ111">
        <v>-20.541818181818183</v>
      </c>
      <c r="CK111">
        <v>-20.561176470588233</v>
      </c>
      <c r="CL111">
        <v>-20.576470588235296</v>
      </c>
      <c r="CM111">
        <v>-20.591764705882355</v>
      </c>
      <c r="CN111">
        <v>-20.609090909090909</v>
      </c>
      <c r="CO111">
        <v>-20.628787878787879</v>
      </c>
      <c r="CP111">
        <v>-20.648484848484848</v>
      </c>
    </row>
    <row r="112" spans="1:94" ht="21.75" thickBot="1" x14ac:dyDescent="0.4">
      <c r="A112" s="30" t="s">
        <v>62</v>
      </c>
      <c r="B112" s="62">
        <v>-15.207297297297297</v>
      </c>
      <c r="C112" s="62">
        <v>-14.82081081081081</v>
      </c>
      <c r="D112">
        <v>-14.434324324324324</v>
      </c>
      <c r="E112">
        <v>-13.712395209580837</v>
      </c>
      <c r="F112">
        <v>-12.910598802395208</v>
      </c>
      <c r="G112">
        <v>-12.087455089820359</v>
      </c>
      <c r="H112">
        <v>-11.196137724550898</v>
      </c>
      <c r="I112">
        <v>-10.304820359281438</v>
      </c>
      <c r="J112">
        <v>-9.491907185628742</v>
      </c>
      <c r="K112">
        <v>-8.7177455089820359</v>
      </c>
      <c r="L112">
        <v>-7.9532365269461076</v>
      </c>
      <c r="M112">
        <v>-7.2756017964071864</v>
      </c>
      <c r="N112">
        <v>-6.5979670658682643</v>
      </c>
      <c r="O112">
        <v>-5.9610299401197615</v>
      </c>
      <c r="P112">
        <v>-5.3600718562874254</v>
      </c>
      <c r="Q112">
        <v>-4.7591137724550894</v>
      </c>
      <c r="R112">
        <v>-4.5126516516516508</v>
      </c>
      <c r="S112">
        <v>-4.2803693693693692</v>
      </c>
      <c r="T112">
        <v>-4.1537664670658687</v>
      </c>
      <c r="U112">
        <v>-4.1856826347305391</v>
      </c>
      <c r="V112">
        <v>-4.2175988023952096</v>
      </c>
      <c r="W112">
        <v>-4.249676646706587</v>
      </c>
      <c r="X112">
        <v>-4.2817874251497008</v>
      </c>
      <c r="Y112">
        <v>-4.3138982035928146</v>
      </c>
      <c r="Z112">
        <v>-4.3460089820359284</v>
      </c>
      <c r="AA112">
        <v>-4.3781197604790414</v>
      </c>
      <c r="AB112">
        <v>-4.4102305389221552</v>
      </c>
      <c r="AC112">
        <v>-4.442341317365269</v>
      </c>
      <c r="AD112">
        <v>-4.4744520958083829</v>
      </c>
      <c r="AE112">
        <v>-4.5065628742514967</v>
      </c>
      <c r="AF112">
        <v>-4.5386736526946105</v>
      </c>
      <c r="AG112">
        <v>-4.5702584269662925</v>
      </c>
      <c r="AH112">
        <v>-4.6014194756554305</v>
      </c>
      <c r="AI112">
        <v>-4.6325805243445695</v>
      </c>
      <c r="AJ112">
        <v>-4.6637415730337084</v>
      </c>
      <c r="AK112">
        <v>-4.6949026217228464</v>
      </c>
      <c r="AL112">
        <v>-4.7260636704119854</v>
      </c>
      <c r="AM112">
        <v>-4.7572247191011234</v>
      </c>
      <c r="AN112">
        <v>-4.7883857677902624</v>
      </c>
      <c r="AO112">
        <v>-4.8195468164794013</v>
      </c>
      <c r="AP112">
        <v>-4.8507078651685394</v>
      </c>
      <c r="AQ112">
        <v>-4.8813700374531841</v>
      </c>
      <c r="AR112">
        <v>-4.9107782771535584</v>
      </c>
      <c r="AS112">
        <v>-4.9401865168539327</v>
      </c>
      <c r="AT112">
        <v>-4.969594756554307</v>
      </c>
      <c r="AU112">
        <v>-4.9990029962546814</v>
      </c>
      <c r="AV112">
        <v>-5.0284112359550566</v>
      </c>
      <c r="AW112">
        <v>-5.0578194756554309</v>
      </c>
      <c r="AX112">
        <v>-5.0872277153558052</v>
      </c>
      <c r="AY112">
        <v>-5.1166359550561795</v>
      </c>
      <c r="AZ112">
        <v>-5.1460441947565538</v>
      </c>
      <c r="BA112">
        <v>-5.1754311377245505</v>
      </c>
      <c r="BB112">
        <v>-5.2034550898203591</v>
      </c>
      <c r="BC112">
        <v>-5.2314790419161676</v>
      </c>
      <c r="BD112">
        <v>-5.2591834319526622</v>
      </c>
      <c r="BE112">
        <v>-5.2864911242603547</v>
      </c>
      <c r="BF112">
        <v>-5.3137988165680472</v>
      </c>
      <c r="BG112">
        <v>-5.3416666666666668</v>
      </c>
      <c r="BH112">
        <v>-5.3696363636363635</v>
      </c>
      <c r="BI112">
        <v>-5.3973636363636368</v>
      </c>
      <c r="BJ112">
        <v>-5.4245454545454548</v>
      </c>
      <c r="BK112">
        <v>-5.4517272727272728</v>
      </c>
      <c r="BL112">
        <v>-5.4825522388059706</v>
      </c>
      <c r="BM112">
        <v>-5.5144701492537314</v>
      </c>
      <c r="BN112">
        <v>-5.546388059701493</v>
      </c>
      <c r="BO112">
        <v>-5.5783059701492537</v>
      </c>
      <c r="BP112">
        <v>-5.6102238805970153</v>
      </c>
      <c r="BQ112">
        <v>-5.642141791044776</v>
      </c>
      <c r="BR112">
        <v>-5.6740597014925376</v>
      </c>
      <c r="BS112">
        <v>-5.7059776119402983</v>
      </c>
      <c r="BT112">
        <v>-5.7378955223880599</v>
      </c>
      <c r="BU112">
        <v>-5.7698134328358206</v>
      </c>
      <c r="BV112">
        <v>-5.8141127819548872</v>
      </c>
      <c r="BW112">
        <v>-5.8728571428571428</v>
      </c>
      <c r="BX112">
        <v>-5.9316015037593983</v>
      </c>
      <c r="BY112">
        <v>-5.9903458646616539</v>
      </c>
      <c r="BZ112">
        <v>-6.0490902255639094</v>
      </c>
      <c r="CA112">
        <v>-6.107834586466165</v>
      </c>
      <c r="CB112">
        <v>-6.1665789473684214</v>
      </c>
      <c r="CC112">
        <v>-6.2253233082706769</v>
      </c>
      <c r="CD112">
        <v>-6.2840676691729325</v>
      </c>
      <c r="CE112">
        <v>-6.342812030075188</v>
      </c>
      <c r="CF112">
        <v>-6.4000882352941177</v>
      </c>
      <c r="CG112">
        <v>-6.4524705882352942</v>
      </c>
      <c r="CH112">
        <v>-6.5048529411764706</v>
      </c>
      <c r="CI112">
        <v>-6.5572424242424248</v>
      </c>
      <c r="CJ112">
        <v>-6.6096363636363638</v>
      </c>
      <c r="CK112">
        <v>-6.6617941176470588</v>
      </c>
      <c r="CL112">
        <v>-6.7111176470588241</v>
      </c>
      <c r="CM112">
        <v>-6.7604411764705885</v>
      </c>
      <c r="CN112">
        <v>-6.8095454545454546</v>
      </c>
      <c r="CO112">
        <v>-6.858393939393939</v>
      </c>
      <c r="CP112">
        <v>-6.9072424242424235</v>
      </c>
    </row>
    <row r="113" spans="1:94" ht="21.75" thickBot="1" x14ac:dyDescent="0.4">
      <c r="A113" s="30" t="s">
        <v>36</v>
      </c>
      <c r="B113" s="62">
        <v>-19.021441441441443</v>
      </c>
      <c r="C113" s="62">
        <v>-19.025345345345347</v>
      </c>
      <c r="D113">
        <v>-19.029249249249251</v>
      </c>
      <c r="E113">
        <v>-19.039431137724552</v>
      </c>
      <c r="F113">
        <v>-19.051107784431139</v>
      </c>
      <c r="G113">
        <v>-19.064640718562874</v>
      </c>
      <c r="H113">
        <v>-19.084101796407186</v>
      </c>
      <c r="I113">
        <v>-19.103562874251498</v>
      </c>
      <c r="J113">
        <v>-19.125628742514969</v>
      </c>
      <c r="K113">
        <v>-19.148982035928146</v>
      </c>
      <c r="L113">
        <v>-19.172335329341319</v>
      </c>
      <c r="M113">
        <v>-19.195688622754492</v>
      </c>
      <c r="N113">
        <v>-19.219041916167665</v>
      </c>
      <c r="O113">
        <v>-19.244461077844313</v>
      </c>
      <c r="P113">
        <v>-19.271706586826348</v>
      </c>
      <c r="Q113">
        <v>-19.298952095808385</v>
      </c>
      <c r="R113">
        <v>-19.213663663663663</v>
      </c>
      <c r="S113">
        <v>-19.123873873873872</v>
      </c>
      <c r="T113">
        <v>-19.063772455089822</v>
      </c>
      <c r="U113">
        <v>-19.048203592814371</v>
      </c>
      <c r="V113">
        <v>-19.032634730538923</v>
      </c>
      <c r="W113">
        <v>-19.052634730538923</v>
      </c>
      <c r="X113">
        <v>-19.079880239520957</v>
      </c>
      <c r="Y113">
        <v>-19.107125748502995</v>
      </c>
      <c r="Z113">
        <v>-19.134371257485029</v>
      </c>
      <c r="AA113">
        <v>-19.161616766467066</v>
      </c>
      <c r="AB113">
        <v>-19.1888622754491</v>
      </c>
      <c r="AC113">
        <v>-19.216107784431138</v>
      </c>
      <c r="AD113">
        <v>-19.243353293413172</v>
      </c>
      <c r="AE113">
        <v>-19.27059880239521</v>
      </c>
      <c r="AF113">
        <v>-19.297844311377244</v>
      </c>
      <c r="AG113">
        <v>-19.324022471910112</v>
      </c>
      <c r="AH113">
        <v>-19.349340823970035</v>
      </c>
      <c r="AI113">
        <v>-19.374659176029962</v>
      </c>
      <c r="AJ113">
        <v>-19.399977528089888</v>
      </c>
      <c r="AK113">
        <v>-19.425295880149811</v>
      </c>
      <c r="AL113">
        <v>-19.450614232209738</v>
      </c>
      <c r="AM113">
        <v>-19.475932584269664</v>
      </c>
      <c r="AN113">
        <v>-19.501250936329587</v>
      </c>
      <c r="AO113">
        <v>-19.526569288389513</v>
      </c>
      <c r="AP113">
        <v>-19.55188764044944</v>
      </c>
      <c r="AQ113">
        <v>-19.576928838951311</v>
      </c>
      <c r="AR113">
        <v>-19.601273408239702</v>
      </c>
      <c r="AS113">
        <v>-19.625617977528091</v>
      </c>
      <c r="AT113">
        <v>-19.649962546816479</v>
      </c>
      <c r="AU113">
        <v>-19.67430711610487</v>
      </c>
      <c r="AV113">
        <v>-19.698651685393259</v>
      </c>
      <c r="AW113">
        <v>-19.722996254681647</v>
      </c>
      <c r="AX113">
        <v>-19.747340823970038</v>
      </c>
      <c r="AY113">
        <v>-19.771685393258426</v>
      </c>
      <c r="AZ113">
        <v>-19.796029962546818</v>
      </c>
      <c r="BA113">
        <v>-19.820359281437128</v>
      </c>
      <c r="BB113">
        <v>-19.843712574850301</v>
      </c>
      <c r="BC113">
        <v>-19.867065868263474</v>
      </c>
      <c r="BD113">
        <v>-19.890295857988164</v>
      </c>
      <c r="BE113">
        <v>-19.913372781065089</v>
      </c>
      <c r="BF113">
        <v>-19.936449704142014</v>
      </c>
      <c r="BG113">
        <v>-19.96</v>
      </c>
      <c r="BH113">
        <v>-19.983636363636364</v>
      </c>
      <c r="BI113">
        <v>-20.006060606060608</v>
      </c>
      <c r="BJ113">
        <v>-20.025757575757577</v>
      </c>
      <c r="BK113">
        <v>-20.045454545454547</v>
      </c>
      <c r="BL113">
        <v>-20.065671641791045</v>
      </c>
      <c r="BM113">
        <v>-20.086044776119405</v>
      </c>
      <c r="BN113">
        <v>-20.106417910447764</v>
      </c>
      <c r="BO113">
        <v>-20.12679104477612</v>
      </c>
      <c r="BP113">
        <v>-20.147164179104479</v>
      </c>
      <c r="BQ113">
        <v>-20.167537313432838</v>
      </c>
      <c r="BR113">
        <v>-20.187910447761194</v>
      </c>
      <c r="BS113">
        <v>-20.208283582089553</v>
      </c>
      <c r="BT113">
        <v>-20.228656716417913</v>
      </c>
      <c r="BU113">
        <v>-20.249029850746272</v>
      </c>
      <c r="BV113">
        <v>-20.269022556390979</v>
      </c>
      <c r="BW113">
        <v>-20.28857142857143</v>
      </c>
      <c r="BX113">
        <v>-20.308120300751881</v>
      </c>
      <c r="BY113">
        <v>-20.327669172932332</v>
      </c>
      <c r="BZ113">
        <v>-20.347218045112783</v>
      </c>
      <c r="CA113">
        <v>-20.366766917293234</v>
      </c>
      <c r="CB113">
        <v>-20.386315789473684</v>
      </c>
      <c r="CC113">
        <v>-20.405864661654135</v>
      </c>
      <c r="CD113">
        <v>-20.425413533834586</v>
      </c>
      <c r="CE113">
        <v>-20.444962406015037</v>
      </c>
      <c r="CF113">
        <v>-20.464411764705883</v>
      </c>
      <c r="CG113">
        <v>-20.483529411764707</v>
      </c>
      <c r="CH113">
        <v>-20.502647058823531</v>
      </c>
      <c r="CI113">
        <v>-20.522121212121213</v>
      </c>
      <c r="CJ113">
        <v>-20.541818181818183</v>
      </c>
      <c r="CK113">
        <v>-20.561176470588233</v>
      </c>
      <c r="CL113">
        <v>-20.576470588235296</v>
      </c>
      <c r="CM113">
        <v>-20.591764705882355</v>
      </c>
      <c r="CN113">
        <v>-20.609090909090909</v>
      </c>
      <c r="CO113">
        <v>-20.628787878787879</v>
      </c>
      <c r="CP113">
        <v>-20.648484848484848</v>
      </c>
    </row>
    <row r="114" spans="1:94" ht="21.75" thickBot="1" x14ac:dyDescent="0.4">
      <c r="A114" s="30" t="s">
        <v>5</v>
      </c>
      <c r="B114" s="62">
        <v>-60.182792792792796</v>
      </c>
      <c r="C114" s="62">
        <v>-57.996606606606605</v>
      </c>
      <c r="D114">
        <v>-55.810420420420421</v>
      </c>
      <c r="E114">
        <v>-53.356017964071853</v>
      </c>
      <c r="F114">
        <v>-50.837754491017961</v>
      </c>
      <c r="G114">
        <v>-48.33898203592814</v>
      </c>
      <c r="H114">
        <v>-45.902455089820357</v>
      </c>
      <c r="I114">
        <v>-43.465928143712574</v>
      </c>
      <c r="J114">
        <v>-41.258622754491014</v>
      </c>
      <c r="K114">
        <v>-39.164610778443112</v>
      </c>
      <c r="L114">
        <v>-37.097844311377244</v>
      </c>
      <c r="M114">
        <v>-35.276287425149704</v>
      </c>
      <c r="N114">
        <v>-33.454730538922156</v>
      </c>
      <c r="O114">
        <v>-31.748862275449106</v>
      </c>
      <c r="P114">
        <v>-30.145269461077845</v>
      </c>
      <c r="Q114">
        <v>-28.541676646706588</v>
      </c>
      <c r="R114">
        <v>-27.327597597597595</v>
      </c>
      <c r="S114">
        <v>-26.129099099099097</v>
      </c>
      <c r="T114">
        <v>-25.61550898203593</v>
      </c>
      <c r="U114">
        <v>-26.129281437125748</v>
      </c>
      <c r="V114">
        <v>-26.643053892215569</v>
      </c>
      <c r="W114">
        <v>-27.13823353293413</v>
      </c>
      <c r="X114">
        <v>-27.629625748502992</v>
      </c>
      <c r="Y114">
        <v>-28.121017964071857</v>
      </c>
      <c r="Z114">
        <v>-28.612410179640719</v>
      </c>
      <c r="AA114">
        <v>-29.103802395209581</v>
      </c>
      <c r="AB114">
        <v>-29.595194610778446</v>
      </c>
      <c r="AC114">
        <v>-30.086586826347308</v>
      </c>
      <c r="AD114">
        <v>-30.577979041916169</v>
      </c>
      <c r="AE114">
        <v>-31.069371257485031</v>
      </c>
      <c r="AF114">
        <v>-31.560763473053896</v>
      </c>
      <c r="AG114">
        <v>-32.022696629213485</v>
      </c>
      <c r="AH114">
        <v>-32.460898876404499</v>
      </c>
      <c r="AI114">
        <v>-32.899101123595507</v>
      </c>
      <c r="AJ114">
        <v>-33.337303370786522</v>
      </c>
      <c r="AK114">
        <v>-33.775505617977529</v>
      </c>
      <c r="AL114">
        <v>-34.213707865168544</v>
      </c>
      <c r="AM114">
        <v>-34.651910112359552</v>
      </c>
      <c r="AN114">
        <v>-35.090112359550567</v>
      </c>
      <c r="AO114">
        <v>-35.528314606741574</v>
      </c>
      <c r="AP114">
        <v>-35.966516853932589</v>
      </c>
      <c r="AQ114">
        <v>-36.38448689138577</v>
      </c>
      <c r="AR114">
        <v>-36.751602996254682</v>
      </c>
      <c r="AS114">
        <v>-37.118719101123595</v>
      </c>
      <c r="AT114">
        <v>-37.485835205992508</v>
      </c>
      <c r="AU114">
        <v>-37.852951310861421</v>
      </c>
      <c r="AV114">
        <v>-38.220067415730334</v>
      </c>
      <c r="AW114">
        <v>-38.587183520599254</v>
      </c>
      <c r="AX114">
        <v>-38.954299625468167</v>
      </c>
      <c r="AY114">
        <v>-39.32141573033708</v>
      </c>
      <c r="AZ114">
        <v>-39.688531835205993</v>
      </c>
      <c r="BA114">
        <v>-40.054850299401195</v>
      </c>
      <c r="BB114">
        <v>-40.370119760479042</v>
      </c>
      <c r="BC114">
        <v>-40.685389221556882</v>
      </c>
      <c r="BD114">
        <v>-40.988698224852072</v>
      </c>
      <c r="BE114">
        <v>-41.277159763313605</v>
      </c>
      <c r="BF114">
        <v>-41.565621301775145</v>
      </c>
      <c r="BG114">
        <v>-41.843333333333334</v>
      </c>
      <c r="BH114">
        <v>-42.119090909090907</v>
      </c>
      <c r="BI114">
        <v>-42.38636363636364</v>
      </c>
      <c r="BJ114">
        <v>-42.634545454545453</v>
      </c>
      <c r="BK114">
        <v>-42.882727272727273</v>
      </c>
      <c r="BL114">
        <v>-43.08328358208955</v>
      </c>
      <c r="BM114">
        <v>-43.269552238805971</v>
      </c>
      <c r="BN114">
        <v>-43.455820895522386</v>
      </c>
      <c r="BO114">
        <v>-43.642089552238801</v>
      </c>
      <c r="BP114">
        <v>-43.828358208955223</v>
      </c>
      <c r="BQ114">
        <v>-44.014626865671637</v>
      </c>
      <c r="BR114">
        <v>-44.200895522388059</v>
      </c>
      <c r="BS114">
        <v>-44.387164179104474</v>
      </c>
      <c r="BT114">
        <v>-44.573432835820896</v>
      </c>
      <c r="BU114">
        <v>-44.75970149253731</v>
      </c>
      <c r="BV114">
        <v>-44.898796992481202</v>
      </c>
      <c r="BW114">
        <v>-44.982857142857142</v>
      </c>
      <c r="BX114">
        <v>-45.066917293233082</v>
      </c>
      <c r="BY114">
        <v>-45.150977443609023</v>
      </c>
      <c r="BZ114">
        <v>-45.235037593984963</v>
      </c>
      <c r="CA114">
        <v>-45.319097744360903</v>
      </c>
      <c r="CB114">
        <v>-45.403157894736843</v>
      </c>
      <c r="CC114">
        <v>-45.487218045112783</v>
      </c>
      <c r="CD114">
        <v>-45.571278195488723</v>
      </c>
      <c r="CE114">
        <v>-45.655338345864664</v>
      </c>
      <c r="CF114">
        <v>-45.723529411764702</v>
      </c>
      <c r="CG114">
        <v>-45.738823529411761</v>
      </c>
      <c r="CH114">
        <v>-45.75411764705882</v>
      </c>
      <c r="CI114">
        <v>-45.755151515151518</v>
      </c>
      <c r="CJ114">
        <v>-45.74727272727273</v>
      </c>
      <c r="CK114">
        <v>-45.737058823529416</v>
      </c>
      <c r="CL114">
        <v>-45.698823529411769</v>
      </c>
      <c r="CM114">
        <v>-45.660588235294121</v>
      </c>
      <c r="CN114">
        <v>-45.609090909090909</v>
      </c>
      <c r="CO114">
        <v>-45.542121212121209</v>
      </c>
      <c r="CP114">
        <v>-45.475151515151516</v>
      </c>
    </row>
    <row r="115" spans="1:94" ht="21.75" thickBot="1" x14ac:dyDescent="0.4">
      <c r="A115" s="30" t="s">
        <v>6</v>
      </c>
      <c r="B115" s="62">
        <v>-15.207297297297297</v>
      </c>
      <c r="C115" s="62">
        <v>-14.82081081081081</v>
      </c>
      <c r="D115">
        <v>-14.434324324324324</v>
      </c>
      <c r="E115">
        <v>-13.712395209580837</v>
      </c>
      <c r="F115">
        <v>-12.910598802395208</v>
      </c>
      <c r="G115">
        <v>-12.087455089820359</v>
      </c>
      <c r="H115">
        <v>-11.196137724550898</v>
      </c>
      <c r="I115">
        <v>-10.304820359281438</v>
      </c>
      <c r="J115">
        <v>-9.491907185628742</v>
      </c>
      <c r="K115">
        <v>-8.7177455089820359</v>
      </c>
      <c r="L115">
        <v>-7.9532365269461076</v>
      </c>
      <c r="M115">
        <v>-7.2756017964071864</v>
      </c>
      <c r="N115">
        <v>-6.5979670658682643</v>
      </c>
      <c r="O115">
        <v>-5.9610299401197615</v>
      </c>
      <c r="P115">
        <v>-5.3600718562874254</v>
      </c>
      <c r="Q115">
        <v>-4.7591137724550894</v>
      </c>
      <c r="R115">
        <v>-4.5126516516516508</v>
      </c>
      <c r="S115">
        <v>-4.2803693693693692</v>
      </c>
      <c r="T115">
        <v>-4.1537664670658687</v>
      </c>
      <c r="U115">
        <v>-4.1856826347305391</v>
      </c>
      <c r="V115">
        <v>-4.2175988023952096</v>
      </c>
      <c r="W115">
        <v>-4.249676646706587</v>
      </c>
      <c r="X115">
        <v>-4.2817874251497008</v>
      </c>
      <c r="Y115">
        <v>-4.3138982035928146</v>
      </c>
      <c r="Z115">
        <v>-4.3460089820359284</v>
      </c>
      <c r="AA115">
        <v>-4.3781197604790414</v>
      </c>
      <c r="AB115">
        <v>-4.4102305389221552</v>
      </c>
      <c r="AC115">
        <v>-4.442341317365269</v>
      </c>
      <c r="AD115">
        <v>-4.4744520958083829</v>
      </c>
      <c r="AE115">
        <v>-4.5065628742514967</v>
      </c>
      <c r="AF115">
        <v>-4.5386736526946105</v>
      </c>
      <c r="AG115">
        <v>-4.5702584269662925</v>
      </c>
      <c r="AH115">
        <v>-4.6014194756554305</v>
      </c>
      <c r="AI115">
        <v>-4.6325805243445695</v>
      </c>
      <c r="AJ115">
        <v>-4.6637415730337084</v>
      </c>
      <c r="AK115">
        <v>-4.6949026217228464</v>
      </c>
      <c r="AL115">
        <v>-4.7260636704119854</v>
      </c>
      <c r="AM115">
        <v>-4.7572247191011234</v>
      </c>
      <c r="AN115">
        <v>-4.7883857677902624</v>
      </c>
      <c r="AO115">
        <v>-4.8195468164794013</v>
      </c>
      <c r="AP115">
        <v>-4.8507078651685394</v>
      </c>
      <c r="AQ115">
        <v>-4.8813700374531841</v>
      </c>
      <c r="AR115">
        <v>-4.9107782771535584</v>
      </c>
      <c r="AS115">
        <v>-4.9401865168539327</v>
      </c>
      <c r="AT115">
        <v>-4.969594756554307</v>
      </c>
      <c r="AU115">
        <v>-4.9990029962546814</v>
      </c>
      <c r="AV115">
        <v>-5.0284112359550566</v>
      </c>
      <c r="AW115">
        <v>-5.0578194756554309</v>
      </c>
      <c r="AX115">
        <v>-5.0872277153558052</v>
      </c>
      <c r="AY115">
        <v>-5.1166359550561795</v>
      </c>
      <c r="AZ115">
        <v>-5.1460441947565538</v>
      </c>
      <c r="BA115">
        <v>-5.1754311377245505</v>
      </c>
      <c r="BB115">
        <v>-5.2034550898203591</v>
      </c>
      <c r="BC115">
        <v>-5.2314790419161676</v>
      </c>
      <c r="BD115">
        <v>-5.2591834319526622</v>
      </c>
      <c r="BE115">
        <v>-5.2864911242603547</v>
      </c>
      <c r="BF115">
        <v>-5.3137988165680472</v>
      </c>
      <c r="BG115">
        <v>-5.3416666666666668</v>
      </c>
      <c r="BH115">
        <v>-5.3696363636363635</v>
      </c>
      <c r="BI115">
        <v>-5.3973636363636368</v>
      </c>
      <c r="BJ115">
        <v>-5.4245454545454548</v>
      </c>
      <c r="BK115">
        <v>-5.4517272727272728</v>
      </c>
      <c r="BL115">
        <v>-5.4825522388059706</v>
      </c>
      <c r="BM115">
        <v>-5.5144701492537314</v>
      </c>
      <c r="BN115">
        <v>-5.546388059701493</v>
      </c>
      <c r="BO115">
        <v>-5.5783059701492537</v>
      </c>
      <c r="BP115">
        <v>-5.6102238805970153</v>
      </c>
      <c r="BQ115">
        <v>-5.642141791044776</v>
      </c>
      <c r="BR115">
        <v>-5.6740597014925376</v>
      </c>
      <c r="BS115">
        <v>-5.7059776119402983</v>
      </c>
      <c r="BT115">
        <v>-5.7378955223880599</v>
      </c>
      <c r="BU115">
        <v>-5.7698134328358206</v>
      </c>
      <c r="BV115">
        <v>-5.8141127819548872</v>
      </c>
      <c r="BW115">
        <v>-5.8728571428571428</v>
      </c>
      <c r="BX115">
        <v>-5.9316015037593983</v>
      </c>
      <c r="BY115">
        <v>-5.9903458646616539</v>
      </c>
      <c r="BZ115">
        <v>-6.0490902255639094</v>
      </c>
      <c r="CA115">
        <v>-6.107834586466165</v>
      </c>
      <c r="CB115">
        <v>-6.1665789473684214</v>
      </c>
      <c r="CC115">
        <v>-6.2253233082706769</v>
      </c>
      <c r="CD115">
        <v>-6.2840676691729325</v>
      </c>
      <c r="CE115">
        <v>-6.342812030075188</v>
      </c>
      <c r="CF115">
        <v>-6.4000882352941177</v>
      </c>
      <c r="CG115">
        <v>-6.4524705882352942</v>
      </c>
      <c r="CH115">
        <v>-6.5048529411764706</v>
      </c>
      <c r="CI115">
        <v>-6.5572424242424248</v>
      </c>
      <c r="CJ115">
        <v>-6.6096363636363638</v>
      </c>
      <c r="CK115">
        <v>-6.6617941176470588</v>
      </c>
      <c r="CL115">
        <v>-6.7111176470588241</v>
      </c>
      <c r="CM115">
        <v>-6.7604411764705885</v>
      </c>
      <c r="CN115">
        <v>-6.8095454545454546</v>
      </c>
      <c r="CO115">
        <v>-6.858393939393939</v>
      </c>
      <c r="CP115">
        <v>-6.9072424242424235</v>
      </c>
    </row>
    <row r="116" spans="1:94" ht="21.75" thickBot="1" x14ac:dyDescent="0.4">
      <c r="A116" s="30" t="s">
        <v>7</v>
      </c>
      <c r="B116" s="62">
        <v>-21.633423423423423</v>
      </c>
      <c r="C116" s="62">
        <v>-20.938528528528529</v>
      </c>
      <c r="D116">
        <v>-20.243633633633632</v>
      </c>
      <c r="E116">
        <v>-20.065988023952094</v>
      </c>
      <c r="F116">
        <v>-20.011497005988023</v>
      </c>
      <c r="G116">
        <v>-20.01640718562874</v>
      </c>
      <c r="H116">
        <v>-20.211017964071857</v>
      </c>
      <c r="I116">
        <v>-20.40562874251497</v>
      </c>
      <c r="J116">
        <v>-20.602844311377243</v>
      </c>
      <c r="K116">
        <v>-20.801347305389221</v>
      </c>
      <c r="L116">
        <v>-20.999850299401199</v>
      </c>
      <c r="M116">
        <v>-21.198353293413174</v>
      </c>
      <c r="N116">
        <v>-21.396856287425148</v>
      </c>
      <c r="O116">
        <v>-21.597425149700598</v>
      </c>
      <c r="P116">
        <v>-21.799820359281437</v>
      </c>
      <c r="Q116">
        <v>-22.002215568862276</v>
      </c>
      <c r="R116">
        <v>-22.19768768768769</v>
      </c>
      <c r="S116">
        <v>-22.392882882882883</v>
      </c>
      <c r="T116">
        <v>-22.589401197604793</v>
      </c>
      <c r="U116">
        <v>-22.787904191616768</v>
      </c>
      <c r="V116">
        <v>-22.986407185628742</v>
      </c>
      <c r="W116">
        <v>-23.17682634730539</v>
      </c>
      <c r="X116">
        <v>-23.365598802395208</v>
      </c>
      <c r="Y116">
        <v>-23.55437125748503</v>
      </c>
      <c r="Z116">
        <v>-23.743143712574849</v>
      </c>
      <c r="AA116">
        <v>-23.931916167664671</v>
      </c>
      <c r="AB116">
        <v>-24.120688622754493</v>
      </c>
      <c r="AC116">
        <v>-24.309461077844311</v>
      </c>
      <c r="AD116">
        <v>-24.498233532934133</v>
      </c>
      <c r="AE116">
        <v>-24.687005988023952</v>
      </c>
      <c r="AF116">
        <v>-24.875778443113774</v>
      </c>
      <c r="AG116">
        <v>-25.057617977528093</v>
      </c>
      <c r="AH116">
        <v>-25.233872659176033</v>
      </c>
      <c r="AI116">
        <v>-25.410127340823973</v>
      </c>
      <c r="AJ116">
        <v>-25.586382022471913</v>
      </c>
      <c r="AK116">
        <v>-25.762636704119853</v>
      </c>
      <c r="AL116">
        <v>-25.938891385767793</v>
      </c>
      <c r="AM116">
        <v>-26.115146067415729</v>
      </c>
      <c r="AN116">
        <v>-26.291400749063669</v>
      </c>
      <c r="AO116">
        <v>-26.467655430711609</v>
      </c>
      <c r="AP116">
        <v>-26.643910112359549</v>
      </c>
      <c r="AQ116">
        <v>-26.81767041198502</v>
      </c>
      <c r="AR116">
        <v>-26.98516104868914</v>
      </c>
      <c r="AS116">
        <v>-27.152651685393259</v>
      </c>
      <c r="AT116">
        <v>-27.320142322097379</v>
      </c>
      <c r="AU116">
        <v>-27.487632958801498</v>
      </c>
      <c r="AV116">
        <v>-27.655123595505618</v>
      </c>
      <c r="AW116">
        <v>-27.822614232209737</v>
      </c>
      <c r="AX116">
        <v>-27.990104868913857</v>
      </c>
      <c r="AY116">
        <v>-28.157595505617977</v>
      </c>
      <c r="AZ116">
        <v>-28.325086142322096</v>
      </c>
      <c r="BA116">
        <v>-28.492455089820357</v>
      </c>
      <c r="BB116">
        <v>-28.652035928143711</v>
      </c>
      <c r="BC116">
        <v>-28.811616766467065</v>
      </c>
      <c r="BD116">
        <v>-28.970355029585797</v>
      </c>
      <c r="BE116">
        <v>-29.128047337278105</v>
      </c>
      <c r="BF116">
        <v>-29.285739644970413</v>
      </c>
      <c r="BG116">
        <v>-29.446666666666665</v>
      </c>
      <c r="BH116">
        <v>-29.608181818181816</v>
      </c>
      <c r="BI116">
        <v>-29.768484848484846</v>
      </c>
      <c r="BJ116">
        <v>-29.926060606060606</v>
      </c>
      <c r="BK116">
        <v>-30.083636363636366</v>
      </c>
      <c r="BL116">
        <v>-30.237164179104479</v>
      </c>
      <c r="BM116">
        <v>-30.389477611940301</v>
      </c>
      <c r="BN116">
        <v>-30.541791044776119</v>
      </c>
      <c r="BO116">
        <v>-30.69410447761194</v>
      </c>
      <c r="BP116">
        <v>-30.846417910447762</v>
      </c>
      <c r="BQ116">
        <v>-30.998731343283584</v>
      </c>
      <c r="BR116">
        <v>-31.151044776119406</v>
      </c>
      <c r="BS116">
        <v>-31.303358208955224</v>
      </c>
      <c r="BT116">
        <v>-31.455671641791046</v>
      </c>
      <c r="BU116">
        <v>-31.607985074626868</v>
      </c>
      <c r="BV116">
        <v>-31.759022556390978</v>
      </c>
      <c r="BW116">
        <v>-31.908571428571431</v>
      </c>
      <c r="BX116">
        <v>-32.058120300751881</v>
      </c>
      <c r="BY116">
        <v>-32.207669172932334</v>
      </c>
      <c r="BZ116">
        <v>-32.357218045112781</v>
      </c>
      <c r="CA116">
        <v>-32.506766917293234</v>
      </c>
      <c r="CB116">
        <v>-32.65631578947368</v>
      </c>
      <c r="CC116">
        <v>-32.805864661654134</v>
      </c>
      <c r="CD116">
        <v>-32.955413533834587</v>
      </c>
      <c r="CE116">
        <v>-33.104962406015034</v>
      </c>
      <c r="CF116">
        <v>-33.252647058823527</v>
      </c>
      <c r="CG116">
        <v>-33.394117647058827</v>
      </c>
      <c r="CH116">
        <v>-33.535588235294121</v>
      </c>
      <c r="CI116">
        <v>-33.682121212121217</v>
      </c>
      <c r="CJ116">
        <v>-33.831818181818186</v>
      </c>
      <c r="CK116">
        <v>-33.980882352941173</v>
      </c>
      <c r="CL116">
        <v>-34.122352941176473</v>
      </c>
      <c r="CM116">
        <v>-34.263823529411766</v>
      </c>
      <c r="CN116">
        <v>-34.407272727272733</v>
      </c>
      <c r="CO116">
        <v>-34.553030303030305</v>
      </c>
      <c r="CP116">
        <v>-34.698787878787883</v>
      </c>
    </row>
    <row r="117" spans="1:94" ht="21.75" thickBot="1" x14ac:dyDescent="0.4">
      <c r="A117" s="30"/>
    </row>
    <row r="118" spans="1:94" ht="21.75" thickBot="1" x14ac:dyDescent="0.4">
      <c r="A118" s="30"/>
    </row>
    <row r="119" spans="1:94" ht="21.75" thickBot="1" x14ac:dyDescent="0.4">
      <c r="A119" s="30"/>
    </row>
    <row r="120" spans="1:94" ht="21.75" thickBot="1" x14ac:dyDescent="0.4">
      <c r="A120" s="30"/>
    </row>
    <row r="121" spans="1:94" ht="21.75" thickBot="1" x14ac:dyDescent="0.4">
      <c r="A121" s="30"/>
    </row>
    <row r="122" spans="1:94" ht="21.75" thickBot="1" x14ac:dyDescent="0.4">
      <c r="A122" s="30"/>
    </row>
    <row r="123" spans="1:94" ht="21.75" thickBot="1" x14ac:dyDescent="0.4">
      <c r="A123" s="30"/>
    </row>
    <row r="124" spans="1:94" ht="21.75" thickBot="1" x14ac:dyDescent="0.4">
      <c r="A124" s="30"/>
    </row>
    <row r="125" spans="1:94" ht="21.75" thickBot="1" x14ac:dyDescent="0.4">
      <c r="A125" s="30"/>
    </row>
    <row r="126" spans="1:94" ht="21.75" thickBot="1" x14ac:dyDescent="0.4">
      <c r="A126" s="30"/>
    </row>
    <row r="127" spans="1:94" ht="21.75" thickBot="1" x14ac:dyDescent="0.4">
      <c r="A127" s="30"/>
    </row>
    <row r="128" spans="1:94" ht="21.75" thickBot="1" x14ac:dyDescent="0.4">
      <c r="A128" s="30"/>
    </row>
    <row r="129" spans="1:94" ht="21.75" thickBot="1" x14ac:dyDescent="0.4">
      <c r="A129" s="30"/>
    </row>
    <row r="130" spans="1:94" ht="21.75" thickBot="1" x14ac:dyDescent="0.4">
      <c r="A130" s="30"/>
    </row>
    <row r="131" spans="1:94" ht="21.75" thickBot="1" x14ac:dyDescent="0.4"/>
    <row r="132" spans="1:94" ht="21.75" thickBot="1" x14ac:dyDescent="0.4">
      <c r="A132" s="30" t="s">
        <v>41</v>
      </c>
      <c r="B132" s="62">
        <v>-37.719099099099097</v>
      </c>
      <c r="C132" s="62">
        <v>-36.579159159159161</v>
      </c>
      <c r="D132">
        <v>-35.439219219219218</v>
      </c>
      <c r="E132">
        <v>-34.500089820359278</v>
      </c>
      <c r="F132">
        <v>-33.60877245508982</v>
      </c>
      <c r="G132">
        <v>-32.764419161676642</v>
      </c>
      <c r="H132">
        <v>-32.070047904191618</v>
      </c>
      <c r="I132">
        <v>-31.375676646706587</v>
      </c>
      <c r="J132">
        <v>-30.795916167664672</v>
      </c>
      <c r="K132">
        <v>-30.272802395209581</v>
      </c>
      <c r="L132">
        <v>-29.77206886227545</v>
      </c>
      <c r="M132">
        <v>-29.472757485029941</v>
      </c>
      <c r="N132">
        <v>-29.173446107784432</v>
      </c>
      <c r="O132">
        <v>-29.019158682634732</v>
      </c>
      <c r="P132">
        <v>-28.993080838323355</v>
      </c>
      <c r="Q132">
        <v>-28.967002994011978</v>
      </c>
      <c r="R132">
        <v>-29.306465465465465</v>
      </c>
      <c r="S132">
        <v>-29.66054954954955</v>
      </c>
      <c r="T132">
        <v>-29.950844311377246</v>
      </c>
      <c r="U132">
        <v>-30.145455089820359</v>
      </c>
      <c r="V132">
        <v>-30.340065868263473</v>
      </c>
      <c r="W132">
        <v>-30.55440119760479</v>
      </c>
      <c r="X132">
        <v>-30.772754491017963</v>
      </c>
      <c r="Y132">
        <v>-30.990700598802395</v>
      </c>
      <c r="Z132">
        <v>-31.207497005988024</v>
      </c>
      <c r="AA132">
        <v>-31.424293413173654</v>
      </c>
      <c r="AB132">
        <v>-31.642167664670659</v>
      </c>
      <c r="AC132">
        <v>-31.860520958083832</v>
      </c>
      <c r="AD132">
        <v>-32.078874251497005</v>
      </c>
      <c r="AE132">
        <v>-32.297227544910179</v>
      </c>
      <c r="AF132">
        <v>-32.515580838323352</v>
      </c>
      <c r="AG132">
        <v>-32.727876404494381</v>
      </c>
      <c r="AH132">
        <v>-32.935292134831464</v>
      </c>
      <c r="AI132">
        <v>-33.142707865168539</v>
      </c>
      <c r="AJ132">
        <v>-33.350123595505622</v>
      </c>
      <c r="AK132">
        <v>-33.557539325842697</v>
      </c>
      <c r="AL132">
        <v>-33.76495505617978</v>
      </c>
      <c r="AM132">
        <v>-33.972370786516855</v>
      </c>
      <c r="AN132">
        <v>-34.179786516853937</v>
      </c>
      <c r="AO132">
        <v>-34.387202247191013</v>
      </c>
      <c r="AP132">
        <v>-34.594617977528095</v>
      </c>
      <c r="AQ132">
        <v>-34.799040449438202</v>
      </c>
      <c r="AR132">
        <v>-34.995939325842699</v>
      </c>
      <c r="AS132">
        <v>-35.192838202247195</v>
      </c>
      <c r="AT132">
        <v>-35.389737078651684</v>
      </c>
      <c r="AU132">
        <v>-35.586635955056181</v>
      </c>
      <c r="AV132">
        <v>-35.783534831460678</v>
      </c>
      <c r="AW132">
        <v>-35.980433707865167</v>
      </c>
      <c r="AX132">
        <v>-36.177332584269664</v>
      </c>
      <c r="AY132">
        <v>-36.37423146067416</v>
      </c>
      <c r="AZ132">
        <v>-36.571130337078657</v>
      </c>
      <c r="BA132">
        <v>-36.767872372372373</v>
      </c>
      <c r="BB132">
        <v>-36.954576576576578</v>
      </c>
      <c r="BC132">
        <v>-37.141280780780782</v>
      </c>
      <c r="BD132">
        <v>-37.327984984984987</v>
      </c>
      <c r="BE132">
        <v>-37.514689189189191</v>
      </c>
      <c r="BF132">
        <v>-37.701393393393396</v>
      </c>
      <c r="BG132">
        <v>-37.888097597597593</v>
      </c>
      <c r="BH132">
        <v>-38.074801801801797</v>
      </c>
      <c r="BI132">
        <v>-38.261506006006002</v>
      </c>
      <c r="BJ132">
        <v>-38.448210210210206</v>
      </c>
      <c r="BK132">
        <v>-38.634914414414411</v>
      </c>
      <c r="BL132">
        <v>-38.815647058823529</v>
      </c>
      <c r="BM132">
        <v>-38.994588235294117</v>
      </c>
      <c r="BN132">
        <v>-39.173636363636362</v>
      </c>
      <c r="BO132">
        <v>-39.353272727272731</v>
      </c>
      <c r="BP132">
        <v>-39.532909090909094</v>
      </c>
      <c r="BQ132">
        <v>-39.709294117647062</v>
      </c>
      <c r="BR132">
        <v>-39.883647058823527</v>
      </c>
      <c r="BS132">
        <v>-40.058</v>
      </c>
      <c r="BT132">
        <v>-40.237242424242424</v>
      </c>
      <c r="BU132">
        <v>-40.416484848484849</v>
      </c>
      <c r="BV132">
        <v>-40.593210526315794</v>
      </c>
      <c r="BW132">
        <v>-40.767000000000003</v>
      </c>
      <c r="BX132">
        <v>-40.940789473684212</v>
      </c>
      <c r="BY132">
        <v>-41.114578947368422</v>
      </c>
      <c r="BZ132">
        <v>-41.288368421052631</v>
      </c>
      <c r="CA132">
        <v>-41.462157894736841</v>
      </c>
      <c r="CB132">
        <v>-41.63594736842105</v>
      </c>
      <c r="CC132">
        <v>-41.809736842105259</v>
      </c>
      <c r="CD132">
        <v>-41.983526315789469</v>
      </c>
      <c r="CE132">
        <v>-42.157315789473685</v>
      </c>
      <c r="CF132">
        <v>-42.329597014925369</v>
      </c>
      <c r="CG132">
        <v>-42.496850746268656</v>
      </c>
      <c r="CH132">
        <v>-42.664104477611936</v>
      </c>
      <c r="CI132">
        <v>-42.831358208955223</v>
      </c>
      <c r="CJ132">
        <v>-42.998611940298503</v>
      </c>
      <c r="CK132">
        <v>-43.165865671641789</v>
      </c>
      <c r="CL132">
        <v>-43.333119402985076</v>
      </c>
      <c r="CM132">
        <v>-43.500373134328356</v>
      </c>
      <c r="CN132">
        <v>-43.667626865671643</v>
      </c>
      <c r="CO132">
        <v>-43.834880597014923</v>
      </c>
      <c r="CP132">
        <v>-44.00213432835821</v>
      </c>
    </row>
    <row r="133" spans="1:94" ht="21.75" thickBot="1" x14ac:dyDescent="0.4">
      <c r="A133" s="30" t="s">
        <v>42</v>
      </c>
      <c r="B133" s="62">
        <v>-22.018918918918921</v>
      </c>
      <c r="C133" s="62">
        <v>-21.69099099099099</v>
      </c>
      <c r="D133">
        <v>-21.363063063063063</v>
      </c>
      <c r="E133">
        <v>-21.328293413173654</v>
      </c>
      <c r="F133">
        <v>-21.363323353293413</v>
      </c>
      <c r="G133">
        <v>-21.428053892215569</v>
      </c>
      <c r="H133">
        <v>-21.587634730538923</v>
      </c>
      <c r="I133">
        <v>-21.747215568862277</v>
      </c>
      <c r="J133">
        <v>-21.901586826347305</v>
      </c>
      <c r="K133">
        <v>-22.053383233532934</v>
      </c>
      <c r="L133">
        <v>-22.201287425149701</v>
      </c>
      <c r="M133">
        <v>-22.314161676646709</v>
      </c>
      <c r="N133">
        <v>-22.427035928143713</v>
      </c>
      <c r="O133">
        <v>-22.544041916167664</v>
      </c>
      <c r="P133">
        <v>-22.664700598802394</v>
      </c>
      <c r="Q133">
        <v>-22.785359281437124</v>
      </c>
      <c r="R133">
        <v>-22.883843843843842</v>
      </c>
      <c r="S133">
        <v>-22.98144144144144</v>
      </c>
      <c r="T133">
        <v>-23.1162874251497</v>
      </c>
      <c r="U133">
        <v>-23.307005988023953</v>
      </c>
      <c r="V133">
        <v>-23.497724550898205</v>
      </c>
      <c r="W133">
        <v>-23.691676646706586</v>
      </c>
      <c r="X133">
        <v>-23.8862874251497</v>
      </c>
      <c r="Y133">
        <v>-24.078862275449104</v>
      </c>
      <c r="Z133">
        <v>-24.265688622754492</v>
      </c>
      <c r="AA133">
        <v>-24.45251497005988</v>
      </c>
      <c r="AB133">
        <v>-24.639341317365272</v>
      </c>
      <c r="AC133">
        <v>-24.82616766467066</v>
      </c>
      <c r="AD133">
        <v>-25.012994011976048</v>
      </c>
      <c r="AE133">
        <v>-25.199820359281436</v>
      </c>
      <c r="AF133">
        <v>-25.386646706586827</v>
      </c>
      <c r="AG133">
        <v>-25.567617977528091</v>
      </c>
      <c r="AH133">
        <v>-25.743872659176031</v>
      </c>
      <c r="AI133">
        <v>-25.920127340823971</v>
      </c>
      <c r="AJ133">
        <v>-26.096382022471911</v>
      </c>
      <c r="AK133">
        <v>-26.272636704119851</v>
      </c>
      <c r="AL133">
        <v>-26.448891385767791</v>
      </c>
      <c r="AM133">
        <v>-26.625146067415731</v>
      </c>
      <c r="AN133">
        <v>-26.801400749063671</v>
      </c>
      <c r="AO133">
        <v>-26.977655430711611</v>
      </c>
      <c r="AP133">
        <v>-27.153910112359551</v>
      </c>
      <c r="AQ133">
        <v>-27.327670411985022</v>
      </c>
      <c r="AR133">
        <v>-27.495161048689141</v>
      </c>
      <c r="AS133">
        <v>-27.662651685393261</v>
      </c>
      <c r="AT133">
        <v>-27.83014232209738</v>
      </c>
      <c r="AU133">
        <v>-27.9976329588015</v>
      </c>
      <c r="AV133">
        <v>-28.165123595505619</v>
      </c>
      <c r="AW133">
        <v>-28.332614232209739</v>
      </c>
      <c r="AX133">
        <v>-28.500104868913859</v>
      </c>
      <c r="AY133">
        <v>-28.667595505617978</v>
      </c>
      <c r="AZ133">
        <v>-28.835086142322098</v>
      </c>
      <c r="BA133">
        <v>-29.002447447447448</v>
      </c>
      <c r="BB133">
        <v>-29.161531531531534</v>
      </c>
      <c r="BC133">
        <v>-29.320615615615615</v>
      </c>
      <c r="BD133">
        <v>-29.479699699699701</v>
      </c>
      <c r="BE133">
        <v>-29.638783783783783</v>
      </c>
      <c r="BF133">
        <v>-29.797867867867868</v>
      </c>
      <c r="BG133">
        <v>-29.95695195195195</v>
      </c>
      <c r="BH133">
        <v>-30.116036036036036</v>
      </c>
      <c r="BI133">
        <v>-30.275120120120121</v>
      </c>
      <c r="BJ133">
        <v>-30.434204204204203</v>
      </c>
      <c r="BK133">
        <v>-30.593288288288289</v>
      </c>
      <c r="BL133">
        <v>-30.747647058823528</v>
      </c>
      <c r="BM133">
        <v>-30.900588235294119</v>
      </c>
      <c r="BN133">
        <v>-31.053636363636365</v>
      </c>
      <c r="BO133">
        <v>-31.207272727272727</v>
      </c>
      <c r="BP133">
        <v>-31.360909090909093</v>
      </c>
      <c r="BQ133">
        <v>-31.511764705882353</v>
      </c>
      <c r="BR133">
        <v>-31.660882352941176</v>
      </c>
      <c r="BS133">
        <v>-31.81</v>
      </c>
      <c r="BT133">
        <v>-31.963636363636365</v>
      </c>
      <c r="BU133">
        <v>-32.117272727272727</v>
      </c>
      <c r="BV133">
        <v>-32.269022556390979</v>
      </c>
      <c r="BW133">
        <v>-32.418571428571433</v>
      </c>
      <c r="BX133">
        <v>-32.568120300751879</v>
      </c>
      <c r="BY133">
        <v>-32.717669172932332</v>
      </c>
      <c r="BZ133">
        <v>-32.867218045112779</v>
      </c>
      <c r="CA133">
        <v>-33.016766917293232</v>
      </c>
      <c r="CB133">
        <v>-33.166315789473686</v>
      </c>
      <c r="CC133">
        <v>-33.315864661654132</v>
      </c>
      <c r="CD133">
        <v>-33.465413533834585</v>
      </c>
      <c r="CE133">
        <v>-33.614962406015032</v>
      </c>
      <c r="CF133">
        <v>-33.763358208955218</v>
      </c>
      <c r="CG133">
        <v>-33.907910447761189</v>
      </c>
      <c r="CH133">
        <v>-34.052462686567161</v>
      </c>
      <c r="CI133">
        <v>-34.197014925373132</v>
      </c>
      <c r="CJ133">
        <v>-34.341567164179104</v>
      </c>
      <c r="CK133">
        <v>-34.486119402985075</v>
      </c>
      <c r="CL133">
        <v>-34.630671641791039</v>
      </c>
      <c r="CM133">
        <v>-34.775223880597011</v>
      </c>
      <c r="CN133">
        <v>-34.919776119402982</v>
      </c>
      <c r="CO133">
        <v>-35.064328358208954</v>
      </c>
      <c r="CP133">
        <v>-35.208880597014925</v>
      </c>
    </row>
    <row r="134" spans="1:94" ht="21.75" thickBot="1" x14ac:dyDescent="0.4">
      <c r="A134" s="30" t="s">
        <v>77</v>
      </c>
      <c r="B134" s="62">
        <v>-185.62738738738739</v>
      </c>
      <c r="C134" s="62">
        <v>-179.20156156156156</v>
      </c>
      <c r="D134">
        <v>-172.77573573573576</v>
      </c>
      <c r="E134">
        <v>-167.34314371257486</v>
      </c>
      <c r="F134">
        <v>-162.14703592814371</v>
      </c>
      <c r="G134">
        <v>-157.16997005988023</v>
      </c>
      <c r="H134">
        <v>-152.89242514970059</v>
      </c>
      <c r="I134">
        <v>-148.61488023952094</v>
      </c>
      <c r="J134">
        <v>-144.8009880239521</v>
      </c>
      <c r="K134">
        <v>-141.21625748502993</v>
      </c>
      <c r="L134">
        <v>-137.6875748502994</v>
      </c>
      <c r="M134">
        <v>-134.66332335329341</v>
      </c>
      <c r="N134">
        <v>-131.63907185628744</v>
      </c>
      <c r="O134">
        <v>-128.87098802395209</v>
      </c>
      <c r="P134">
        <v>-126.32937125748504</v>
      </c>
      <c r="Q134">
        <v>-123.78775449101796</v>
      </c>
      <c r="R134">
        <v>-123.31837837837838</v>
      </c>
      <c r="S134">
        <v>-122.93189189189189</v>
      </c>
      <c r="T134">
        <v>-123.33988023952097</v>
      </c>
      <c r="U134">
        <v>-124.93958083832335</v>
      </c>
      <c r="V134">
        <v>-126.53928143712575</v>
      </c>
      <c r="W134">
        <v>-128.13574850299401</v>
      </c>
      <c r="X134">
        <v>-129.73155688622754</v>
      </c>
      <c r="Y134">
        <v>-131.31718562874252</v>
      </c>
      <c r="Z134">
        <v>-132.87407185628743</v>
      </c>
      <c r="AA134">
        <v>-134.43095808383234</v>
      </c>
      <c r="AB134">
        <v>-135.97167664670658</v>
      </c>
      <c r="AC134">
        <v>-137.50520958083831</v>
      </c>
      <c r="AD134">
        <v>-139.03586826347305</v>
      </c>
      <c r="AE134">
        <v>-140.54604790419162</v>
      </c>
      <c r="AF134">
        <v>-142.05622754491017</v>
      </c>
      <c r="AG134">
        <v>-143.50932584269663</v>
      </c>
      <c r="AH134">
        <v>-144.91644194756554</v>
      </c>
      <c r="AI134">
        <v>-146.32355805243446</v>
      </c>
      <c r="AJ134">
        <v>-147.73067415730338</v>
      </c>
      <c r="AK134">
        <v>-149.13779026217227</v>
      </c>
      <c r="AL134">
        <v>-150.54490636704119</v>
      </c>
      <c r="AM134">
        <v>-151.95202247191011</v>
      </c>
      <c r="AN134">
        <v>-153.35913857677903</v>
      </c>
      <c r="AO134">
        <v>-154.76625468164795</v>
      </c>
      <c r="AP134">
        <v>-156.17337078651687</v>
      </c>
      <c r="AQ134">
        <v>-157.53143071161051</v>
      </c>
      <c r="AR134">
        <v>-158.76618726591761</v>
      </c>
      <c r="AS134">
        <v>-160.00094382022473</v>
      </c>
      <c r="AT134">
        <v>-161.23570037453186</v>
      </c>
      <c r="AU134">
        <v>-162.47045692883896</v>
      </c>
      <c r="AV134">
        <v>-163.70521348314608</v>
      </c>
      <c r="AW134">
        <v>-164.93997003745321</v>
      </c>
      <c r="AX134">
        <v>-166.1747265917603</v>
      </c>
      <c r="AY134">
        <v>-167.40948314606743</v>
      </c>
      <c r="AZ134">
        <v>-168.64423970037456</v>
      </c>
      <c r="BA134">
        <v>-169.87605105105106</v>
      </c>
      <c r="BB134">
        <v>-170.91936936936938</v>
      </c>
      <c r="BC134">
        <v>-171.96268768768769</v>
      </c>
      <c r="BD134">
        <v>-173.00600600600603</v>
      </c>
      <c r="BE134">
        <v>-174.04932432432435</v>
      </c>
      <c r="BF134">
        <v>-175.09264264264266</v>
      </c>
      <c r="BG134">
        <v>-176.13596096096097</v>
      </c>
      <c r="BH134">
        <v>-177.17927927927929</v>
      </c>
      <c r="BI134">
        <v>-178.2225975975976</v>
      </c>
      <c r="BJ134">
        <v>-179.26591591591594</v>
      </c>
      <c r="BK134">
        <v>-180.30923423423425</v>
      </c>
      <c r="BL134">
        <v>-181.23823529411766</v>
      </c>
      <c r="BM134">
        <v>-182.13294117647058</v>
      </c>
      <c r="BN134">
        <v>-183.02393939393937</v>
      </c>
      <c r="BO134">
        <v>-183.89454545454547</v>
      </c>
      <c r="BP134">
        <v>-184.76515151515153</v>
      </c>
      <c r="BQ134">
        <v>-185.58235294117648</v>
      </c>
      <c r="BR134">
        <v>-186.36617647058824</v>
      </c>
      <c r="BS134">
        <v>-187.14999999999998</v>
      </c>
      <c r="BT134">
        <v>-187.91818181818181</v>
      </c>
      <c r="BU134">
        <v>-188.68636363636364</v>
      </c>
      <c r="BV134">
        <v>-189.38466165413536</v>
      </c>
      <c r="BW134">
        <v>-190.00142857142859</v>
      </c>
      <c r="BX134">
        <v>-190.61819548872182</v>
      </c>
      <c r="BY134">
        <v>-191.23496240601506</v>
      </c>
      <c r="BZ134">
        <v>-191.85172932330829</v>
      </c>
      <c r="CA134">
        <v>-192.46849624060152</v>
      </c>
      <c r="CB134">
        <v>-193.08526315789473</v>
      </c>
      <c r="CC134">
        <v>-193.70203007518796</v>
      </c>
      <c r="CD134">
        <v>-194.3187969924812</v>
      </c>
      <c r="CE134">
        <v>-194.93556390977443</v>
      </c>
      <c r="CF134">
        <v>-195.49843283582089</v>
      </c>
      <c r="CG134">
        <v>-195.88164179104479</v>
      </c>
      <c r="CH134">
        <v>-196.26485074626865</v>
      </c>
      <c r="CI134">
        <v>-196.64805970149254</v>
      </c>
      <c r="CJ134">
        <v>-197.03126865671643</v>
      </c>
      <c r="CK134">
        <v>-197.4144776119403</v>
      </c>
      <c r="CL134">
        <v>-197.79768656716419</v>
      </c>
      <c r="CM134">
        <v>-198.18089552238806</v>
      </c>
      <c r="CN134">
        <v>-198.56410447761195</v>
      </c>
      <c r="CO134">
        <v>-198.94731343283584</v>
      </c>
      <c r="CP134">
        <v>-199.33052238805971</v>
      </c>
    </row>
    <row r="135" spans="1:94" ht="21.75" thickBot="1" x14ac:dyDescent="0.4">
      <c r="A135" s="30" t="s">
        <v>3</v>
      </c>
      <c r="B135" s="62">
        <v>-15.70018018018018</v>
      </c>
      <c r="C135" s="62">
        <v>-14.888168168168168</v>
      </c>
      <c r="D135">
        <v>-14.076156156156156</v>
      </c>
      <c r="E135">
        <v>-13.171796407185628</v>
      </c>
      <c r="F135">
        <v>-12.245449101796405</v>
      </c>
      <c r="G135">
        <v>-11.336365269461076</v>
      </c>
      <c r="H135">
        <v>-10.482413173652693</v>
      </c>
      <c r="I135">
        <v>-9.628461077844312</v>
      </c>
      <c r="J135">
        <v>-8.8943293413173663</v>
      </c>
      <c r="K135">
        <v>-8.2194191616766474</v>
      </c>
      <c r="L135">
        <v>-7.5707814371257482</v>
      </c>
      <c r="M135">
        <v>-7.1585958083832333</v>
      </c>
      <c r="N135">
        <v>-6.7464101796407192</v>
      </c>
      <c r="O135">
        <v>-6.4751167664670657</v>
      </c>
      <c r="P135">
        <v>-6.3283802395209579</v>
      </c>
      <c r="Q135">
        <v>-6.18164371257485</v>
      </c>
      <c r="R135">
        <v>-6.4226216216216221</v>
      </c>
      <c r="S135">
        <v>-6.6791081081081085</v>
      </c>
      <c r="T135">
        <v>-6.8345568862275448</v>
      </c>
      <c r="U135">
        <v>-6.8384491017964075</v>
      </c>
      <c r="V135">
        <v>-6.8423413173652694</v>
      </c>
      <c r="W135">
        <v>-6.8627245508982035</v>
      </c>
      <c r="X135">
        <v>-6.8864670658682634</v>
      </c>
      <c r="Y135">
        <v>-6.911838323353293</v>
      </c>
      <c r="Z135">
        <v>-6.9418083832335329</v>
      </c>
      <c r="AA135">
        <v>-6.9717784431137719</v>
      </c>
      <c r="AB135">
        <v>-7.0028263473053896</v>
      </c>
      <c r="AC135">
        <v>-7.0343532934131741</v>
      </c>
      <c r="AD135">
        <v>-7.0658802395209586</v>
      </c>
      <c r="AE135">
        <v>-7.0974071856287431</v>
      </c>
      <c r="AF135">
        <v>-7.1289341317365267</v>
      </c>
      <c r="AG135">
        <v>-7.1602584269662923</v>
      </c>
      <c r="AH135">
        <v>-7.1914194756554304</v>
      </c>
      <c r="AI135">
        <v>-7.2225805243445693</v>
      </c>
      <c r="AJ135">
        <v>-7.2537415730337083</v>
      </c>
      <c r="AK135">
        <v>-7.2849026217228463</v>
      </c>
      <c r="AL135">
        <v>-7.3160636704119852</v>
      </c>
      <c r="AM135">
        <v>-7.3472247191011233</v>
      </c>
      <c r="AN135">
        <v>-7.3783857677902622</v>
      </c>
      <c r="AO135">
        <v>-7.4095468164794012</v>
      </c>
      <c r="AP135">
        <v>-7.4407078651685392</v>
      </c>
      <c r="AQ135">
        <v>-7.471370037453184</v>
      </c>
      <c r="AR135">
        <v>-7.5007782771535583</v>
      </c>
      <c r="AS135">
        <v>-7.5301865168539326</v>
      </c>
      <c r="AT135">
        <v>-7.5595947565543069</v>
      </c>
      <c r="AU135">
        <v>-7.5890029962546812</v>
      </c>
      <c r="AV135">
        <v>-7.6184112359550564</v>
      </c>
      <c r="AW135">
        <v>-7.6478194756554307</v>
      </c>
      <c r="AX135">
        <v>-7.6772277153558051</v>
      </c>
      <c r="AY135">
        <v>-7.7066359550561794</v>
      </c>
      <c r="AZ135">
        <v>-7.7360441947565537</v>
      </c>
      <c r="BA135">
        <v>-7.7654249249249245</v>
      </c>
      <c r="BB135">
        <v>-7.7930450450450452</v>
      </c>
      <c r="BC135">
        <v>-7.8206651651651651</v>
      </c>
      <c r="BD135">
        <v>-7.8482852852852849</v>
      </c>
      <c r="BE135">
        <v>-7.8759054054054056</v>
      </c>
      <c r="BF135">
        <v>-7.9035255255255255</v>
      </c>
      <c r="BG135">
        <v>-7.9311456456456453</v>
      </c>
      <c r="BH135">
        <v>-7.958765765765766</v>
      </c>
      <c r="BI135">
        <v>-7.9863858858858858</v>
      </c>
      <c r="BJ135">
        <v>-8.0140060060060065</v>
      </c>
      <c r="BK135">
        <v>-8.0416261261261255</v>
      </c>
      <c r="BL135">
        <v>-8.0679999999999996</v>
      </c>
      <c r="BM135">
        <v>-8.0939999999999994</v>
      </c>
      <c r="BN135">
        <v>-8.1199999999999992</v>
      </c>
      <c r="BO135">
        <v>-8.1460000000000008</v>
      </c>
      <c r="BP135">
        <v>-8.1720000000000006</v>
      </c>
      <c r="BQ135">
        <v>-8.1975294117647053</v>
      </c>
      <c r="BR135">
        <v>-8.2227647058823532</v>
      </c>
      <c r="BS135">
        <v>-8.2479999999999993</v>
      </c>
      <c r="BT135">
        <v>-8.2736060606060597</v>
      </c>
      <c r="BU135">
        <v>-8.2992121212121219</v>
      </c>
      <c r="BV135">
        <v>-8.3241879699248127</v>
      </c>
      <c r="BW135">
        <v>-8.3484285714285722</v>
      </c>
      <c r="BX135">
        <v>-8.3726691729323317</v>
      </c>
      <c r="BY135">
        <v>-8.3969097744360912</v>
      </c>
      <c r="BZ135">
        <v>-8.4211503759398507</v>
      </c>
      <c r="CA135">
        <v>-8.4453909774436084</v>
      </c>
      <c r="CB135">
        <v>-8.469631578947368</v>
      </c>
      <c r="CC135">
        <v>-8.4938721804511275</v>
      </c>
      <c r="CD135">
        <v>-8.518112781954887</v>
      </c>
      <c r="CE135">
        <v>-8.5423533834586465</v>
      </c>
      <c r="CF135">
        <v>-8.5662388059701495</v>
      </c>
      <c r="CG135">
        <v>-8.5889402985074632</v>
      </c>
      <c r="CH135">
        <v>-8.6116417910447769</v>
      </c>
      <c r="CI135">
        <v>-8.6343432835820888</v>
      </c>
      <c r="CJ135">
        <v>-8.6570447761194025</v>
      </c>
      <c r="CK135">
        <v>-8.6797462686567162</v>
      </c>
      <c r="CL135">
        <v>-8.7024477611940299</v>
      </c>
      <c r="CM135">
        <v>-8.7251492537313435</v>
      </c>
      <c r="CN135">
        <v>-8.7478507462686572</v>
      </c>
      <c r="CO135">
        <v>-8.7705522388059709</v>
      </c>
      <c r="CP135">
        <v>-8.7932537313432828</v>
      </c>
    </row>
    <row r="136" spans="1:94" ht="21.75" thickBot="1" x14ac:dyDescent="0.4">
      <c r="A136" s="30" t="s">
        <v>1</v>
      </c>
      <c r="B136" s="62">
        <v>-18.878558558558559</v>
      </c>
      <c r="C136" s="62">
        <v>-18.874654654654655</v>
      </c>
      <c r="D136">
        <v>-18.870750750750751</v>
      </c>
      <c r="E136">
        <v>-18.879431137724552</v>
      </c>
      <c r="F136">
        <v>-18.891107784431139</v>
      </c>
      <c r="G136">
        <v>-18.903712574850299</v>
      </c>
      <c r="H136">
        <v>-18.919281437125747</v>
      </c>
      <c r="I136">
        <v>-18.934850299401198</v>
      </c>
      <c r="J136">
        <v>-18.953023952095808</v>
      </c>
      <c r="K136">
        <v>-18.97248502994012</v>
      </c>
      <c r="L136">
        <v>-18.991946107784429</v>
      </c>
      <c r="M136">
        <v>-19.011407185628741</v>
      </c>
      <c r="N136">
        <v>-19.030868263473053</v>
      </c>
      <c r="O136">
        <v>-19.046197604790418</v>
      </c>
      <c r="P136">
        <v>-19.057874251497005</v>
      </c>
      <c r="Q136">
        <v>-19.069550898203595</v>
      </c>
      <c r="R136">
        <v>-19.028708708708709</v>
      </c>
      <c r="S136">
        <v>-18.985765765765766</v>
      </c>
      <c r="T136">
        <v>-18.970898203592814</v>
      </c>
      <c r="U136">
        <v>-18.998143712574851</v>
      </c>
      <c r="V136">
        <v>-19.025389221556889</v>
      </c>
      <c r="W136">
        <v>-19.052634730538923</v>
      </c>
      <c r="X136">
        <v>-19.079880239520961</v>
      </c>
      <c r="Y136">
        <v>-19.107125748502995</v>
      </c>
      <c r="Z136">
        <v>-19.134371257485032</v>
      </c>
      <c r="AA136">
        <v>-19.161616766467066</v>
      </c>
      <c r="AB136">
        <v>-19.188862275449104</v>
      </c>
      <c r="AC136">
        <v>-19.216107784431138</v>
      </c>
      <c r="AD136">
        <v>-19.243353293413172</v>
      </c>
      <c r="AE136">
        <v>-19.27059880239521</v>
      </c>
      <c r="AF136">
        <v>-19.297844311377244</v>
      </c>
      <c r="AG136">
        <v>-19.324022471910112</v>
      </c>
      <c r="AH136">
        <v>-19.349340823970035</v>
      </c>
      <c r="AI136">
        <v>-19.374659176029962</v>
      </c>
      <c r="AJ136">
        <v>-19.399977528089888</v>
      </c>
      <c r="AK136">
        <v>-19.425295880149811</v>
      </c>
      <c r="AL136">
        <v>-19.450614232209738</v>
      </c>
      <c r="AM136">
        <v>-19.475932584269664</v>
      </c>
      <c r="AN136">
        <v>-19.501250936329587</v>
      </c>
      <c r="AO136">
        <v>-19.526569288389513</v>
      </c>
      <c r="AP136">
        <v>-19.55188764044944</v>
      </c>
      <c r="AQ136">
        <v>-19.576928838951311</v>
      </c>
      <c r="AR136">
        <v>-19.601273408239702</v>
      </c>
      <c r="AS136">
        <v>-19.625617977528091</v>
      </c>
      <c r="AT136">
        <v>-19.649962546816479</v>
      </c>
      <c r="AU136">
        <v>-19.67430711610487</v>
      </c>
      <c r="AV136">
        <v>-19.698651685393259</v>
      </c>
      <c r="AW136">
        <v>-19.722996254681647</v>
      </c>
      <c r="AX136">
        <v>-19.747340823970038</v>
      </c>
      <c r="AY136">
        <v>-19.771685393258426</v>
      </c>
      <c r="AZ136">
        <v>-19.796029962546818</v>
      </c>
      <c r="BA136">
        <v>-19.820345345345345</v>
      </c>
      <c r="BB136">
        <v>-19.842792792792793</v>
      </c>
      <c r="BC136">
        <v>-19.86524024024024</v>
      </c>
      <c r="BD136">
        <v>-19.887687687687688</v>
      </c>
      <c r="BE136">
        <v>-19.910135135135135</v>
      </c>
      <c r="BF136">
        <v>-19.932582582582583</v>
      </c>
      <c r="BG136">
        <v>-19.955030030030031</v>
      </c>
      <c r="BH136">
        <v>-19.977477477477478</v>
      </c>
      <c r="BI136">
        <v>-19.999924924924926</v>
      </c>
      <c r="BJ136">
        <v>-20.022372372372374</v>
      </c>
      <c r="BK136">
        <v>-20.044819819819821</v>
      </c>
      <c r="BL136">
        <v>-20.067647058823528</v>
      </c>
      <c r="BM136">
        <v>-20.090588235294117</v>
      </c>
      <c r="BN136">
        <v>-20.113030303030303</v>
      </c>
      <c r="BO136">
        <v>-20.132727272727273</v>
      </c>
      <c r="BP136">
        <v>-20.152424242424242</v>
      </c>
      <c r="BQ136">
        <v>-20.171764705882353</v>
      </c>
      <c r="BR136">
        <v>-20.190882352941177</v>
      </c>
      <c r="BS136">
        <v>-20.21</v>
      </c>
      <c r="BT136">
        <v>-20.22969696969697</v>
      </c>
      <c r="BU136">
        <v>-20.24939393939394</v>
      </c>
      <c r="BV136">
        <v>-20.269022556390979</v>
      </c>
      <c r="BW136">
        <v>-20.28857142857143</v>
      </c>
      <c r="BX136">
        <v>-20.308120300751881</v>
      </c>
      <c r="BY136">
        <v>-20.327669172932332</v>
      </c>
      <c r="BZ136">
        <v>-20.347218045112783</v>
      </c>
      <c r="CA136">
        <v>-20.366766917293234</v>
      </c>
      <c r="CB136">
        <v>-20.386315789473684</v>
      </c>
      <c r="CC136">
        <v>-20.405864661654135</v>
      </c>
      <c r="CD136">
        <v>-20.425413533834586</v>
      </c>
      <c r="CE136">
        <v>-20.444962406015037</v>
      </c>
      <c r="CF136">
        <v>-20.464253731343284</v>
      </c>
      <c r="CG136">
        <v>-20.48268656716418</v>
      </c>
      <c r="CH136">
        <v>-20.501119402985076</v>
      </c>
      <c r="CI136">
        <v>-20.519552238805971</v>
      </c>
      <c r="CJ136">
        <v>-20.537985074626867</v>
      </c>
      <c r="CK136">
        <v>-20.55641791044776</v>
      </c>
      <c r="CL136">
        <v>-20.574850746268655</v>
      </c>
      <c r="CM136">
        <v>-20.593283582089551</v>
      </c>
      <c r="CN136">
        <v>-20.611716417910447</v>
      </c>
      <c r="CO136">
        <v>-20.630149253731343</v>
      </c>
      <c r="CP136">
        <v>-20.648582089552239</v>
      </c>
    </row>
    <row r="137" spans="1:94" ht="21.75" thickBot="1" x14ac:dyDescent="0.4">
      <c r="A137" s="30" t="s">
        <v>43</v>
      </c>
      <c r="B137" s="62">
        <v>-59.738018018018018</v>
      </c>
      <c r="C137" s="62">
        <v>-58.270150150150151</v>
      </c>
      <c r="D137">
        <v>-56.802282282282285</v>
      </c>
      <c r="E137">
        <v>-55.828383233532939</v>
      </c>
      <c r="F137">
        <v>-54.97209580838323</v>
      </c>
      <c r="G137">
        <v>-54.192473053892215</v>
      </c>
      <c r="H137">
        <v>-53.657682634730534</v>
      </c>
      <c r="I137">
        <v>-53.122892215568861</v>
      </c>
      <c r="J137">
        <v>-52.697502994011977</v>
      </c>
      <c r="K137">
        <v>-52.326185628742515</v>
      </c>
      <c r="L137">
        <v>-51.973356287425155</v>
      </c>
      <c r="M137">
        <v>-51.78691916167665</v>
      </c>
      <c r="N137">
        <v>-51.600482035928145</v>
      </c>
      <c r="O137">
        <v>-51.563200598802396</v>
      </c>
      <c r="P137">
        <v>-51.657781437125749</v>
      </c>
      <c r="Q137">
        <v>-51.752362275449102</v>
      </c>
      <c r="R137">
        <v>-52.190309309309306</v>
      </c>
      <c r="S137">
        <v>-52.64199099099099</v>
      </c>
      <c r="T137">
        <v>-53.067131736526946</v>
      </c>
      <c r="U137">
        <v>-53.452461077844312</v>
      </c>
      <c r="V137">
        <v>-53.837790419161678</v>
      </c>
      <c r="W137">
        <v>-54.24607784431138</v>
      </c>
      <c r="X137">
        <v>-54.659041916167666</v>
      </c>
      <c r="Y137">
        <v>-55.069562874251496</v>
      </c>
      <c r="Z137">
        <v>-55.473185628742513</v>
      </c>
      <c r="AA137">
        <v>-55.876808383233538</v>
      </c>
      <c r="AB137">
        <v>-56.28150898203593</v>
      </c>
      <c r="AC137">
        <v>-56.686688622754488</v>
      </c>
      <c r="AD137">
        <v>-57.091868263473046</v>
      </c>
      <c r="AE137">
        <v>-57.497047904191611</v>
      </c>
      <c r="AF137">
        <v>-57.902227544910176</v>
      </c>
      <c r="AG137">
        <v>-58.295494382022468</v>
      </c>
      <c r="AH137">
        <v>-58.679164794007491</v>
      </c>
      <c r="AI137">
        <v>-59.062835205992513</v>
      </c>
      <c r="AJ137">
        <v>-59.446505617977529</v>
      </c>
      <c r="AK137">
        <v>-59.830176029962551</v>
      </c>
      <c r="AL137">
        <v>-60.213846441947567</v>
      </c>
      <c r="AM137">
        <v>-60.597516853932589</v>
      </c>
      <c r="AN137">
        <v>-60.981187265917605</v>
      </c>
      <c r="AO137">
        <v>-61.364857677902627</v>
      </c>
      <c r="AP137">
        <v>-61.748528089887643</v>
      </c>
      <c r="AQ137">
        <v>-62.126710861423227</v>
      </c>
      <c r="AR137">
        <v>-62.49110037453184</v>
      </c>
      <c r="AS137">
        <v>-62.855489887640452</v>
      </c>
      <c r="AT137">
        <v>-63.219879400749065</v>
      </c>
      <c r="AU137">
        <v>-63.584268913857684</v>
      </c>
      <c r="AV137">
        <v>-63.948658426966297</v>
      </c>
      <c r="AW137">
        <v>-64.31304794007491</v>
      </c>
      <c r="AX137">
        <v>-64.677437453183529</v>
      </c>
      <c r="AY137">
        <v>-65.041826966292135</v>
      </c>
      <c r="AZ137">
        <v>-65.406216479400754</v>
      </c>
      <c r="BA137">
        <v>-65.770319819819818</v>
      </c>
      <c r="BB137">
        <v>-66.116108108108108</v>
      </c>
      <c r="BC137">
        <v>-66.461896396396398</v>
      </c>
      <c r="BD137">
        <v>-66.807684684684688</v>
      </c>
      <c r="BE137">
        <v>-67.153472972972978</v>
      </c>
      <c r="BF137">
        <v>-67.499261261261253</v>
      </c>
      <c r="BG137">
        <v>-67.845049549549543</v>
      </c>
      <c r="BH137">
        <v>-68.190837837837833</v>
      </c>
      <c r="BI137">
        <v>-68.536626126126123</v>
      </c>
      <c r="BJ137">
        <v>-68.882414414414413</v>
      </c>
      <c r="BK137">
        <v>-69.228202702702703</v>
      </c>
      <c r="BL137">
        <v>-69.563294117647061</v>
      </c>
      <c r="BM137">
        <v>-69.89517647058824</v>
      </c>
      <c r="BN137">
        <v>-70.227272727272734</v>
      </c>
      <c r="BO137">
        <v>-70.560545454545462</v>
      </c>
      <c r="BP137">
        <v>-70.89381818181819</v>
      </c>
      <c r="BQ137">
        <v>-71.221058823529418</v>
      </c>
      <c r="BR137">
        <v>-71.544529411764699</v>
      </c>
      <c r="BS137">
        <v>-71.867999999999995</v>
      </c>
      <c r="BT137">
        <v>-72.200878787878793</v>
      </c>
      <c r="BU137">
        <v>-72.533757575757576</v>
      </c>
      <c r="BV137">
        <v>-72.86223308270678</v>
      </c>
      <c r="BW137">
        <v>-73.185571428571436</v>
      </c>
      <c r="BX137">
        <v>-73.508909774436091</v>
      </c>
      <c r="BY137">
        <v>-73.832248120300747</v>
      </c>
      <c r="BZ137">
        <v>-74.155586466165417</v>
      </c>
      <c r="CA137">
        <v>-74.478924812030073</v>
      </c>
      <c r="CB137">
        <v>-74.802263157894728</v>
      </c>
      <c r="CC137">
        <v>-75.125601503759384</v>
      </c>
      <c r="CD137">
        <v>-75.448939849624054</v>
      </c>
      <c r="CE137">
        <v>-75.77227819548871</v>
      </c>
      <c r="CF137">
        <v>-76.09295522388058</v>
      </c>
      <c r="CG137">
        <v>-76.404761194029845</v>
      </c>
      <c r="CH137">
        <v>-76.716567164179096</v>
      </c>
      <c r="CI137">
        <v>-77.028373134328348</v>
      </c>
      <c r="CJ137">
        <v>-77.340179104477599</v>
      </c>
      <c r="CK137">
        <v>-77.651985074626865</v>
      </c>
      <c r="CL137">
        <v>-77.963791044776116</v>
      </c>
      <c r="CM137">
        <v>-78.275597014925367</v>
      </c>
      <c r="CN137">
        <v>-78.587402985074618</v>
      </c>
      <c r="CO137">
        <v>-78.899208955223884</v>
      </c>
      <c r="CP137">
        <v>-79.211014925373135</v>
      </c>
    </row>
    <row r="138" spans="1:94" ht="21.75" thickBot="1" x14ac:dyDescent="0.4">
      <c r="A138" s="30" t="s">
        <v>44</v>
      </c>
      <c r="B138" s="62">
        <v>-37.719099099099097</v>
      </c>
      <c r="C138" s="62">
        <v>-36.579159159159161</v>
      </c>
      <c r="D138">
        <v>-35.439219219219218</v>
      </c>
      <c r="E138">
        <v>-34.500089820359278</v>
      </c>
      <c r="F138">
        <v>-33.60877245508982</v>
      </c>
      <c r="G138">
        <v>-32.764419161676642</v>
      </c>
      <c r="H138">
        <v>-32.070047904191618</v>
      </c>
      <c r="I138">
        <v>-31.375676646706587</v>
      </c>
      <c r="J138">
        <v>-30.795916167664672</v>
      </c>
      <c r="K138">
        <v>-30.272802395209581</v>
      </c>
      <c r="L138">
        <v>-29.77206886227545</v>
      </c>
      <c r="M138">
        <v>-29.472757485029941</v>
      </c>
      <c r="N138">
        <v>-29.173446107784432</v>
      </c>
      <c r="O138">
        <v>-29.019158682634732</v>
      </c>
      <c r="P138">
        <v>-28.993080838323355</v>
      </c>
      <c r="Q138">
        <v>-28.967002994011978</v>
      </c>
      <c r="R138">
        <v>-29.306465465465465</v>
      </c>
      <c r="S138">
        <v>-29.66054954954955</v>
      </c>
      <c r="T138">
        <v>-29.950844311377246</v>
      </c>
      <c r="U138">
        <v>-30.145455089820359</v>
      </c>
      <c r="V138">
        <v>-30.340065868263473</v>
      </c>
      <c r="W138">
        <v>-30.55440119760479</v>
      </c>
      <c r="X138">
        <v>-30.772754491017963</v>
      </c>
      <c r="Y138">
        <v>-30.990700598802395</v>
      </c>
      <c r="Z138">
        <v>-31.207497005988024</v>
      </c>
      <c r="AA138">
        <v>-31.424293413173654</v>
      </c>
      <c r="AB138">
        <v>-31.642167664670659</v>
      </c>
      <c r="AC138">
        <v>-31.860520958083832</v>
      </c>
      <c r="AD138">
        <v>-32.078874251497005</v>
      </c>
      <c r="AE138">
        <v>-32.297227544910179</v>
      </c>
      <c r="AF138">
        <v>-32.515580838323352</v>
      </c>
      <c r="AG138">
        <v>-32.727876404494381</v>
      </c>
      <c r="AH138">
        <v>-32.935292134831464</v>
      </c>
      <c r="AI138">
        <v>-33.142707865168539</v>
      </c>
      <c r="AJ138">
        <v>-33.350123595505622</v>
      </c>
      <c r="AK138">
        <v>-33.557539325842697</v>
      </c>
      <c r="AL138">
        <v>-33.76495505617978</v>
      </c>
      <c r="AM138">
        <v>-33.972370786516855</v>
      </c>
      <c r="AN138">
        <v>-34.179786516853937</v>
      </c>
      <c r="AO138">
        <v>-34.387202247191013</v>
      </c>
      <c r="AP138">
        <v>-34.594617977528095</v>
      </c>
      <c r="AQ138">
        <v>-34.799040449438202</v>
      </c>
      <c r="AR138">
        <v>-34.995939325842699</v>
      </c>
      <c r="AS138">
        <v>-35.192838202247195</v>
      </c>
      <c r="AT138">
        <v>-35.389737078651684</v>
      </c>
      <c r="AU138">
        <v>-35.586635955056181</v>
      </c>
      <c r="AV138">
        <v>-35.783534831460678</v>
      </c>
      <c r="AW138">
        <v>-35.980433707865167</v>
      </c>
      <c r="AX138">
        <v>-36.177332584269664</v>
      </c>
      <c r="AY138">
        <v>-36.37423146067416</v>
      </c>
      <c r="AZ138">
        <v>-36.571130337078657</v>
      </c>
      <c r="BA138">
        <v>-36.767872372372373</v>
      </c>
      <c r="BB138">
        <v>-36.954576576576578</v>
      </c>
      <c r="BC138">
        <v>-37.141280780780782</v>
      </c>
      <c r="BD138">
        <v>-37.327984984984987</v>
      </c>
      <c r="BE138">
        <v>-37.514689189189191</v>
      </c>
      <c r="BF138">
        <v>-37.701393393393396</v>
      </c>
      <c r="BG138">
        <v>-37.888097597597593</v>
      </c>
      <c r="BH138">
        <v>-38.074801801801797</v>
      </c>
      <c r="BI138">
        <v>-38.261506006006002</v>
      </c>
      <c r="BJ138">
        <v>-38.448210210210206</v>
      </c>
      <c r="BK138">
        <v>-38.634914414414411</v>
      </c>
      <c r="BL138">
        <v>-38.815647058823529</v>
      </c>
      <c r="BM138">
        <v>-38.994588235294117</v>
      </c>
      <c r="BN138">
        <v>-39.173636363636362</v>
      </c>
      <c r="BO138">
        <v>-39.353272727272731</v>
      </c>
      <c r="BP138">
        <v>-39.532909090909094</v>
      </c>
      <c r="BQ138">
        <v>-39.709294117647062</v>
      </c>
      <c r="BR138">
        <v>-39.883647058823527</v>
      </c>
      <c r="BS138">
        <v>-40.058</v>
      </c>
      <c r="BT138">
        <v>-40.237242424242424</v>
      </c>
      <c r="BU138">
        <v>-40.416484848484849</v>
      </c>
      <c r="BV138">
        <v>-40.593210526315794</v>
      </c>
      <c r="BW138">
        <v>-40.767000000000003</v>
      </c>
      <c r="BX138">
        <v>-40.940789473684212</v>
      </c>
      <c r="BY138">
        <v>-41.114578947368422</v>
      </c>
      <c r="BZ138">
        <v>-41.288368421052631</v>
      </c>
      <c r="CA138">
        <v>-41.462157894736841</v>
      </c>
      <c r="CB138">
        <v>-41.63594736842105</v>
      </c>
      <c r="CC138">
        <v>-41.809736842105259</v>
      </c>
      <c r="CD138">
        <v>-41.983526315789469</v>
      </c>
      <c r="CE138">
        <v>-42.157315789473685</v>
      </c>
      <c r="CF138">
        <v>-42.329597014925369</v>
      </c>
      <c r="CG138">
        <v>-42.496850746268656</v>
      </c>
      <c r="CH138">
        <v>-42.664104477611936</v>
      </c>
      <c r="CI138">
        <v>-42.831358208955223</v>
      </c>
      <c r="CJ138">
        <v>-42.998611940298503</v>
      </c>
      <c r="CK138">
        <v>-43.165865671641789</v>
      </c>
      <c r="CL138">
        <v>-43.333119402985076</v>
      </c>
      <c r="CM138">
        <v>-43.500373134328356</v>
      </c>
      <c r="CN138">
        <v>-43.667626865671643</v>
      </c>
      <c r="CO138">
        <v>-43.834880597014923</v>
      </c>
      <c r="CP138">
        <v>-44.00213432835821</v>
      </c>
    </row>
    <row r="139" spans="1:94" ht="21.75" thickBot="1" x14ac:dyDescent="0.4">
      <c r="A139" s="30" t="s">
        <v>45</v>
      </c>
      <c r="B139" s="62">
        <v>-185.62738738738739</v>
      </c>
      <c r="C139" s="62">
        <v>-179.20156156156156</v>
      </c>
      <c r="D139">
        <v>-172.77573573573576</v>
      </c>
      <c r="E139">
        <v>-167.34314371257486</v>
      </c>
      <c r="F139">
        <v>-162.14703592814371</v>
      </c>
      <c r="G139">
        <v>-157.16997005988023</v>
      </c>
      <c r="H139">
        <v>-152.89242514970059</v>
      </c>
      <c r="I139">
        <v>-148.61488023952094</v>
      </c>
      <c r="J139">
        <v>-144.8009880239521</v>
      </c>
      <c r="K139">
        <v>-141.21625748502993</v>
      </c>
      <c r="L139">
        <v>-137.6875748502994</v>
      </c>
      <c r="M139">
        <v>-134.66332335329341</v>
      </c>
      <c r="N139">
        <v>-131.63907185628744</v>
      </c>
      <c r="O139">
        <v>-128.87098802395209</v>
      </c>
      <c r="P139">
        <v>-126.32937125748504</v>
      </c>
      <c r="Q139">
        <v>-123.78775449101796</v>
      </c>
      <c r="R139">
        <v>-123.31837837837838</v>
      </c>
      <c r="S139">
        <v>-122.93189189189189</v>
      </c>
      <c r="T139">
        <v>-123.33988023952097</v>
      </c>
      <c r="U139">
        <v>-124.93958083832335</v>
      </c>
      <c r="V139">
        <v>-126.53928143712575</v>
      </c>
      <c r="W139">
        <v>-128.13574850299401</v>
      </c>
      <c r="X139">
        <v>-129.73155688622754</v>
      </c>
      <c r="Y139">
        <v>-131.31718562874252</v>
      </c>
      <c r="Z139">
        <v>-132.87407185628743</v>
      </c>
      <c r="AA139">
        <v>-134.43095808383234</v>
      </c>
      <c r="AB139">
        <v>-135.97167664670658</v>
      </c>
      <c r="AC139">
        <v>-137.50520958083831</v>
      </c>
      <c r="AD139">
        <v>-139.03586826347305</v>
      </c>
      <c r="AE139">
        <v>-140.54604790419162</v>
      </c>
      <c r="AF139">
        <v>-142.05622754491017</v>
      </c>
      <c r="AG139">
        <v>-143.50932584269663</v>
      </c>
      <c r="AH139">
        <v>-144.91644194756554</v>
      </c>
      <c r="AI139">
        <v>-146.32355805243446</v>
      </c>
      <c r="AJ139">
        <v>-147.73067415730338</v>
      </c>
      <c r="AK139">
        <v>-149.13779026217227</v>
      </c>
      <c r="AL139">
        <v>-150.54490636704119</v>
      </c>
      <c r="AM139">
        <v>-151.95202247191011</v>
      </c>
      <c r="AN139">
        <v>-153.35913857677903</v>
      </c>
      <c r="AO139">
        <v>-154.76625468164795</v>
      </c>
      <c r="AP139">
        <v>-156.17337078651687</v>
      </c>
      <c r="AQ139">
        <v>-157.53143071161051</v>
      </c>
      <c r="AR139">
        <v>-158.76618726591761</v>
      </c>
      <c r="AS139">
        <v>-160.00094382022473</v>
      </c>
      <c r="AT139">
        <v>-161.23570037453186</v>
      </c>
      <c r="AU139">
        <v>-162.47045692883896</v>
      </c>
      <c r="AV139">
        <v>-163.70521348314608</v>
      </c>
      <c r="AW139">
        <v>-164.93997003745321</v>
      </c>
      <c r="AX139">
        <v>-166.1747265917603</v>
      </c>
      <c r="AY139">
        <v>-167.40948314606743</v>
      </c>
      <c r="AZ139">
        <v>-168.64423970037456</v>
      </c>
      <c r="BA139">
        <v>-169.87605105105106</v>
      </c>
      <c r="BB139">
        <v>-170.91936936936938</v>
      </c>
      <c r="BC139">
        <v>-171.96268768768769</v>
      </c>
      <c r="BD139">
        <v>-173.00600600600603</v>
      </c>
      <c r="BE139">
        <v>-174.04932432432435</v>
      </c>
      <c r="BF139">
        <v>-175.09264264264266</v>
      </c>
      <c r="BG139">
        <v>-176.13596096096097</v>
      </c>
      <c r="BH139">
        <v>-177.17927927927929</v>
      </c>
      <c r="BI139">
        <v>-178.2225975975976</v>
      </c>
      <c r="BJ139">
        <v>-179.26591591591594</v>
      </c>
      <c r="BK139">
        <v>-180.30923423423425</v>
      </c>
      <c r="BL139">
        <v>-181.23823529411766</v>
      </c>
      <c r="BM139">
        <v>-182.13294117647058</v>
      </c>
      <c r="BN139">
        <v>-183.02393939393937</v>
      </c>
      <c r="BO139">
        <v>-183.89454545454547</v>
      </c>
      <c r="BP139">
        <v>-184.76515151515153</v>
      </c>
      <c r="BQ139">
        <v>-185.58235294117648</v>
      </c>
      <c r="BR139">
        <v>-186.36617647058824</v>
      </c>
      <c r="BS139">
        <v>-187.14999999999998</v>
      </c>
      <c r="BT139">
        <v>-187.91818181818181</v>
      </c>
      <c r="BU139">
        <v>-188.68636363636364</v>
      </c>
      <c r="BV139">
        <v>-189.38466165413536</v>
      </c>
      <c r="BW139">
        <v>-190.00142857142859</v>
      </c>
      <c r="BX139">
        <v>-190.61819548872182</v>
      </c>
      <c r="BY139">
        <v>-191.23496240601506</v>
      </c>
      <c r="BZ139">
        <v>-191.85172932330829</v>
      </c>
      <c r="CA139">
        <v>-192.46849624060152</v>
      </c>
      <c r="CB139">
        <v>-193.08526315789473</v>
      </c>
      <c r="CC139">
        <v>-193.70203007518796</v>
      </c>
      <c r="CD139">
        <v>-194.3187969924812</v>
      </c>
      <c r="CE139">
        <v>-194.93556390977443</v>
      </c>
      <c r="CF139">
        <v>-195.49843283582089</v>
      </c>
      <c r="CG139">
        <v>-195.88164179104479</v>
      </c>
      <c r="CH139">
        <v>-196.26485074626865</v>
      </c>
      <c r="CI139">
        <v>-196.64805970149254</v>
      </c>
      <c r="CJ139">
        <v>-197.03126865671643</v>
      </c>
      <c r="CK139">
        <v>-197.4144776119403</v>
      </c>
      <c r="CL139">
        <v>-197.79768656716419</v>
      </c>
      <c r="CM139">
        <v>-198.18089552238806</v>
      </c>
      <c r="CN139">
        <v>-198.56410447761195</v>
      </c>
      <c r="CO139">
        <v>-198.94731343283584</v>
      </c>
      <c r="CP139">
        <v>-199.33052238805971</v>
      </c>
    </row>
    <row r="140" spans="1:94" ht="21.75" thickBot="1" x14ac:dyDescent="0.4">
      <c r="A140" s="30" t="s">
        <v>46</v>
      </c>
      <c r="B140" s="62">
        <v>-15.70018018018018</v>
      </c>
      <c r="C140" s="62">
        <v>-14.888168168168168</v>
      </c>
      <c r="D140">
        <v>-14.076156156156156</v>
      </c>
      <c r="E140">
        <v>-13.171796407185628</v>
      </c>
      <c r="F140">
        <v>-12.245449101796405</v>
      </c>
      <c r="G140">
        <v>-11.336365269461076</v>
      </c>
      <c r="H140">
        <v>-10.482413173652693</v>
      </c>
      <c r="I140">
        <v>-9.628461077844312</v>
      </c>
      <c r="J140">
        <v>-8.8943293413173663</v>
      </c>
      <c r="K140">
        <v>-8.2194191616766474</v>
      </c>
      <c r="L140">
        <v>-7.5707814371257482</v>
      </c>
      <c r="M140">
        <v>-7.1585958083832333</v>
      </c>
      <c r="N140">
        <v>-6.7464101796407192</v>
      </c>
      <c r="O140">
        <v>-6.4751167664670657</v>
      </c>
      <c r="P140">
        <v>-6.3283802395209579</v>
      </c>
      <c r="Q140">
        <v>-6.18164371257485</v>
      </c>
      <c r="R140">
        <v>-6.4226216216216221</v>
      </c>
      <c r="S140">
        <v>-6.6791081081081085</v>
      </c>
      <c r="T140">
        <v>-6.8345568862275448</v>
      </c>
      <c r="U140">
        <v>-6.8384491017964075</v>
      </c>
      <c r="V140">
        <v>-6.8423413173652694</v>
      </c>
      <c r="W140">
        <v>-6.8627245508982035</v>
      </c>
      <c r="X140">
        <v>-6.8864670658682634</v>
      </c>
      <c r="Y140">
        <v>-6.911838323353293</v>
      </c>
      <c r="Z140">
        <v>-6.9418083832335329</v>
      </c>
      <c r="AA140">
        <v>-6.9717784431137719</v>
      </c>
      <c r="AB140">
        <v>-7.0028263473053896</v>
      </c>
      <c r="AC140">
        <v>-7.0343532934131741</v>
      </c>
      <c r="AD140">
        <v>-7.0658802395209586</v>
      </c>
      <c r="AE140">
        <v>-7.0974071856287431</v>
      </c>
      <c r="AF140">
        <v>-7.1289341317365267</v>
      </c>
      <c r="AG140">
        <v>-7.1602584269662923</v>
      </c>
      <c r="AH140">
        <v>-7.1914194756554304</v>
      </c>
      <c r="AI140">
        <v>-7.2225805243445693</v>
      </c>
      <c r="AJ140">
        <v>-7.2537415730337083</v>
      </c>
      <c r="AK140">
        <v>-7.2849026217228463</v>
      </c>
      <c r="AL140">
        <v>-7.3160636704119852</v>
      </c>
      <c r="AM140">
        <v>-7.3472247191011233</v>
      </c>
      <c r="AN140">
        <v>-7.3783857677902622</v>
      </c>
      <c r="AO140">
        <v>-7.4095468164794012</v>
      </c>
      <c r="AP140">
        <v>-7.4407078651685392</v>
      </c>
      <c r="AQ140">
        <v>-7.471370037453184</v>
      </c>
      <c r="AR140">
        <v>-7.5007782771535583</v>
      </c>
      <c r="AS140">
        <v>-7.5301865168539326</v>
      </c>
      <c r="AT140">
        <v>-7.5595947565543069</v>
      </c>
      <c r="AU140">
        <v>-7.5890029962546812</v>
      </c>
      <c r="AV140">
        <v>-7.6184112359550564</v>
      </c>
      <c r="AW140">
        <v>-7.6478194756554307</v>
      </c>
      <c r="AX140">
        <v>-7.6772277153558051</v>
      </c>
      <c r="AY140">
        <v>-7.7066359550561794</v>
      </c>
      <c r="AZ140">
        <v>-7.7360441947565537</v>
      </c>
      <c r="BA140">
        <v>-7.7654249249249245</v>
      </c>
      <c r="BB140">
        <v>-7.7930450450450452</v>
      </c>
      <c r="BC140">
        <v>-7.8206651651651651</v>
      </c>
      <c r="BD140">
        <v>-7.8482852852852849</v>
      </c>
      <c r="BE140">
        <v>-7.8759054054054056</v>
      </c>
      <c r="BF140">
        <v>-7.9035255255255255</v>
      </c>
      <c r="BG140">
        <v>-7.9311456456456453</v>
      </c>
      <c r="BH140">
        <v>-7.958765765765766</v>
      </c>
      <c r="BI140">
        <v>-7.9863858858858858</v>
      </c>
      <c r="BJ140">
        <v>-8.0140060060060065</v>
      </c>
      <c r="BK140">
        <v>-8.0416261261261255</v>
      </c>
      <c r="BL140">
        <v>-8.0679999999999996</v>
      </c>
      <c r="BM140">
        <v>-8.0939999999999994</v>
      </c>
      <c r="BN140">
        <v>-8.1199999999999992</v>
      </c>
      <c r="BO140">
        <v>-8.1460000000000008</v>
      </c>
      <c r="BP140">
        <v>-8.1720000000000006</v>
      </c>
      <c r="BQ140">
        <v>-8.1975294117647053</v>
      </c>
      <c r="BR140">
        <v>-8.2227647058823532</v>
      </c>
      <c r="BS140">
        <v>-8.2479999999999993</v>
      </c>
      <c r="BT140">
        <v>-8.2736060606060597</v>
      </c>
      <c r="BU140">
        <v>-8.2992121212121219</v>
      </c>
      <c r="BV140">
        <v>-8.3241879699248127</v>
      </c>
      <c r="BW140">
        <v>-8.3484285714285722</v>
      </c>
      <c r="BX140">
        <v>-8.3726691729323317</v>
      </c>
      <c r="BY140">
        <v>-8.3969097744360912</v>
      </c>
      <c r="BZ140">
        <v>-8.4211503759398507</v>
      </c>
      <c r="CA140">
        <v>-8.4453909774436084</v>
      </c>
      <c r="CB140">
        <v>-8.469631578947368</v>
      </c>
      <c r="CC140">
        <v>-8.4938721804511275</v>
      </c>
      <c r="CD140">
        <v>-8.518112781954887</v>
      </c>
      <c r="CE140">
        <v>-8.5423533834586465</v>
      </c>
      <c r="CF140">
        <v>-8.5662388059701495</v>
      </c>
      <c r="CG140">
        <v>-8.5889402985074632</v>
      </c>
      <c r="CH140">
        <v>-8.6116417910447769</v>
      </c>
      <c r="CI140">
        <v>-8.6343432835820888</v>
      </c>
      <c r="CJ140">
        <v>-8.6570447761194025</v>
      </c>
      <c r="CK140">
        <v>-8.6797462686567162</v>
      </c>
      <c r="CL140">
        <v>-8.7024477611940299</v>
      </c>
      <c r="CM140">
        <v>-8.7251492537313435</v>
      </c>
      <c r="CN140">
        <v>-8.7478507462686572</v>
      </c>
      <c r="CO140">
        <v>-8.7705522388059709</v>
      </c>
      <c r="CP140">
        <v>-8.7932537313432828</v>
      </c>
    </row>
    <row r="141" spans="1:94" ht="21.75" thickBot="1" x14ac:dyDescent="0.4">
      <c r="A141" s="30" t="s">
        <v>47</v>
      </c>
      <c r="B141" s="62">
        <v>-59.785315315315316</v>
      </c>
      <c r="C141" s="62">
        <v>-57.064294294294292</v>
      </c>
      <c r="D141">
        <v>-54.343273273273276</v>
      </c>
      <c r="E141">
        <v>-51.679131736526941</v>
      </c>
      <c r="F141">
        <v>-49.028532934131732</v>
      </c>
      <c r="G141">
        <v>-46.442904191616762</v>
      </c>
      <c r="H141">
        <v>-44.064760479041915</v>
      </c>
      <c r="I141">
        <v>-41.686616766467068</v>
      </c>
      <c r="J141">
        <v>-39.548113772455089</v>
      </c>
      <c r="K141">
        <v>-37.528053892215567</v>
      </c>
      <c r="L141">
        <v>-35.541856287425148</v>
      </c>
      <c r="M141">
        <v>-33.860419161676646</v>
      </c>
      <c r="N141">
        <v>-32.178982035928144</v>
      </c>
      <c r="O141">
        <v>-30.619431137724554</v>
      </c>
      <c r="P141">
        <v>-29.167634730538925</v>
      </c>
      <c r="Q141">
        <v>-27.715838323353292</v>
      </c>
      <c r="R141">
        <v>-27.333423423423422</v>
      </c>
      <c r="S141">
        <v>-26.993783783783783</v>
      </c>
      <c r="T141">
        <v>-26.995508982035929</v>
      </c>
      <c r="U141">
        <v>-27.509281437125747</v>
      </c>
      <c r="V141">
        <v>-28.023053892215568</v>
      </c>
      <c r="W141">
        <v>-28.530359281437125</v>
      </c>
      <c r="X141">
        <v>-29.036347305389221</v>
      </c>
      <c r="Y141">
        <v>-29.540299401197604</v>
      </c>
      <c r="Z141">
        <v>-30.038502994011978</v>
      </c>
      <c r="AA141">
        <v>-30.536706586826348</v>
      </c>
      <c r="AB141">
        <v>-31.026826347305391</v>
      </c>
      <c r="AC141">
        <v>-31.513353293413175</v>
      </c>
      <c r="AD141">
        <v>-31.998443113772456</v>
      </c>
      <c r="AE141">
        <v>-32.47329341317365</v>
      </c>
      <c r="AF141">
        <v>-32.948143712574847</v>
      </c>
      <c r="AG141">
        <v>-33.403235955056175</v>
      </c>
      <c r="AH141">
        <v>-33.842411985018728</v>
      </c>
      <c r="AI141">
        <v>-34.281588014981274</v>
      </c>
      <c r="AJ141">
        <v>-34.72076404494382</v>
      </c>
      <c r="AK141">
        <v>-35.159940074906366</v>
      </c>
      <c r="AL141">
        <v>-35.599116104868912</v>
      </c>
      <c r="AM141">
        <v>-36.038292134831465</v>
      </c>
      <c r="AN141">
        <v>-36.477468164794011</v>
      </c>
      <c r="AO141">
        <v>-36.916644194756557</v>
      </c>
      <c r="AP141">
        <v>-37.355820224719103</v>
      </c>
      <c r="AQ141">
        <v>-37.774209737827718</v>
      </c>
      <c r="AR141">
        <v>-38.1403520599251</v>
      </c>
      <c r="AS141">
        <v>-38.506494382022474</v>
      </c>
      <c r="AT141">
        <v>-38.872636704119856</v>
      </c>
      <c r="AU141">
        <v>-39.23877902621723</v>
      </c>
      <c r="AV141">
        <v>-39.604921348314612</v>
      </c>
      <c r="AW141">
        <v>-39.971063670411986</v>
      </c>
      <c r="AX141">
        <v>-40.337205992509368</v>
      </c>
      <c r="AY141">
        <v>-40.703348314606743</v>
      </c>
      <c r="AZ141">
        <v>-41.069490636704124</v>
      </c>
      <c r="BA141">
        <v>-41.434354354354355</v>
      </c>
      <c r="BB141">
        <v>-41.71738738738739</v>
      </c>
      <c r="BC141">
        <v>-42.000420420420419</v>
      </c>
      <c r="BD141">
        <v>-42.283453453453454</v>
      </c>
      <c r="BE141">
        <v>-42.56648648648649</v>
      </c>
      <c r="BF141">
        <v>-42.849519519519518</v>
      </c>
      <c r="BG141">
        <v>-43.132552552552553</v>
      </c>
      <c r="BH141">
        <v>-43.415585585585582</v>
      </c>
      <c r="BI141">
        <v>-43.698618618618617</v>
      </c>
      <c r="BJ141">
        <v>-43.981651651651653</v>
      </c>
      <c r="BK141">
        <v>-44.264684684684681</v>
      </c>
      <c r="BL141">
        <v>-44.497647058823524</v>
      </c>
      <c r="BM141">
        <v>-44.715588235294113</v>
      </c>
      <c r="BN141">
        <v>-44.93151515151515</v>
      </c>
      <c r="BO141">
        <v>-45.136363636363633</v>
      </c>
      <c r="BP141">
        <v>-45.341212121212124</v>
      </c>
      <c r="BQ141">
        <v>-45.523529411764706</v>
      </c>
      <c r="BR141">
        <v>-45.691764705882356</v>
      </c>
      <c r="BS141">
        <v>-45.86</v>
      </c>
      <c r="BT141">
        <v>-46.013636363636365</v>
      </c>
      <c r="BU141">
        <v>-46.167272727272724</v>
      </c>
      <c r="BV141">
        <v>-46.288796992481203</v>
      </c>
      <c r="BW141">
        <v>-46.372857142857143</v>
      </c>
      <c r="BX141">
        <v>-46.456917293233083</v>
      </c>
      <c r="BY141">
        <v>-46.540977443609023</v>
      </c>
      <c r="BZ141">
        <v>-46.625037593984963</v>
      </c>
      <c r="CA141">
        <v>-46.709097744360903</v>
      </c>
      <c r="CB141">
        <v>-46.793157894736844</v>
      </c>
      <c r="CC141">
        <v>-46.877218045112784</v>
      </c>
      <c r="CD141">
        <v>-46.961278195488724</v>
      </c>
      <c r="CE141">
        <v>-47.045338345864664</v>
      </c>
      <c r="CF141">
        <v>-47.104179104477609</v>
      </c>
      <c r="CG141">
        <v>-47.078955223880598</v>
      </c>
      <c r="CH141">
        <v>-47.05373134328358</v>
      </c>
      <c r="CI141">
        <v>-47.028507462686569</v>
      </c>
      <c r="CJ141">
        <v>-47.003283582089551</v>
      </c>
      <c r="CK141">
        <v>-46.978059701492541</v>
      </c>
      <c r="CL141">
        <v>-46.952835820895523</v>
      </c>
      <c r="CM141">
        <v>-46.927611940298512</v>
      </c>
      <c r="CN141">
        <v>-46.902388059701494</v>
      </c>
      <c r="CO141">
        <v>-46.877164179104476</v>
      </c>
      <c r="CP141">
        <v>-46.851940298507465</v>
      </c>
    </row>
    <row r="142" spans="1:94" ht="21.75" thickBot="1" x14ac:dyDescent="0.4">
      <c r="A142" s="30" t="s">
        <v>48</v>
      </c>
      <c r="B142" s="62">
        <v>-22.018918918918921</v>
      </c>
      <c r="C142" s="62">
        <v>-21.69099099099099</v>
      </c>
      <c r="D142">
        <v>-21.363063063063063</v>
      </c>
      <c r="E142">
        <v>-21.328293413173654</v>
      </c>
      <c r="F142">
        <v>-21.363323353293413</v>
      </c>
      <c r="G142">
        <v>-21.428053892215569</v>
      </c>
      <c r="H142">
        <v>-21.587634730538923</v>
      </c>
      <c r="I142">
        <v>-21.747215568862277</v>
      </c>
      <c r="J142">
        <v>-21.901586826347305</v>
      </c>
      <c r="K142">
        <v>-22.053383233532934</v>
      </c>
      <c r="L142">
        <v>-22.201287425149701</v>
      </c>
      <c r="M142">
        <v>-22.314161676646709</v>
      </c>
      <c r="N142">
        <v>-22.427035928143713</v>
      </c>
      <c r="O142">
        <v>-22.544041916167664</v>
      </c>
      <c r="P142">
        <v>-22.664700598802394</v>
      </c>
      <c r="Q142">
        <v>-22.785359281437124</v>
      </c>
      <c r="R142">
        <v>-22.883843843843842</v>
      </c>
      <c r="S142">
        <v>-22.98144144144144</v>
      </c>
      <c r="T142">
        <v>-23.1162874251497</v>
      </c>
      <c r="U142">
        <v>-23.307005988023953</v>
      </c>
      <c r="V142">
        <v>-23.497724550898205</v>
      </c>
      <c r="W142">
        <v>-23.691676646706586</v>
      </c>
      <c r="X142">
        <v>-23.8862874251497</v>
      </c>
      <c r="Y142">
        <v>-24.078862275449104</v>
      </c>
      <c r="Z142">
        <v>-24.265688622754492</v>
      </c>
      <c r="AA142">
        <v>-24.45251497005988</v>
      </c>
      <c r="AB142">
        <v>-24.639341317365272</v>
      </c>
      <c r="AC142">
        <v>-24.82616766467066</v>
      </c>
      <c r="AD142">
        <v>-25.012994011976048</v>
      </c>
      <c r="AE142">
        <v>-25.199820359281436</v>
      </c>
      <c r="AF142">
        <v>-25.386646706586827</v>
      </c>
      <c r="AG142">
        <v>-25.567617977528091</v>
      </c>
      <c r="AH142">
        <v>-25.743872659176031</v>
      </c>
      <c r="AI142">
        <v>-25.920127340823971</v>
      </c>
      <c r="AJ142">
        <v>-26.096382022471911</v>
      </c>
      <c r="AK142">
        <v>-26.272636704119851</v>
      </c>
      <c r="AL142">
        <v>-26.448891385767791</v>
      </c>
      <c r="AM142">
        <v>-26.625146067415731</v>
      </c>
      <c r="AN142">
        <v>-26.801400749063671</v>
      </c>
      <c r="AO142">
        <v>-26.977655430711611</v>
      </c>
      <c r="AP142">
        <v>-27.153910112359551</v>
      </c>
      <c r="AQ142">
        <v>-27.327670411985022</v>
      </c>
      <c r="AR142">
        <v>-27.495161048689141</v>
      </c>
      <c r="AS142">
        <v>-27.662651685393261</v>
      </c>
      <c r="AT142">
        <v>-27.83014232209738</v>
      </c>
      <c r="AU142">
        <v>-27.9976329588015</v>
      </c>
      <c r="AV142">
        <v>-28.165123595505619</v>
      </c>
      <c r="AW142">
        <v>-28.332614232209739</v>
      </c>
      <c r="AX142">
        <v>-28.500104868913859</v>
      </c>
      <c r="AY142">
        <v>-28.667595505617978</v>
      </c>
      <c r="AZ142">
        <v>-28.835086142322098</v>
      </c>
      <c r="BA142">
        <v>-29.002447447447448</v>
      </c>
      <c r="BB142">
        <v>-29.161531531531534</v>
      </c>
      <c r="BC142">
        <v>-29.320615615615615</v>
      </c>
      <c r="BD142">
        <v>-29.479699699699701</v>
      </c>
      <c r="BE142">
        <v>-29.638783783783783</v>
      </c>
      <c r="BF142">
        <v>-29.797867867867868</v>
      </c>
      <c r="BG142">
        <v>-29.95695195195195</v>
      </c>
      <c r="BH142">
        <v>-30.116036036036036</v>
      </c>
      <c r="BI142">
        <v>-30.275120120120121</v>
      </c>
      <c r="BJ142">
        <v>-30.434204204204203</v>
      </c>
      <c r="BK142">
        <v>-30.593288288288289</v>
      </c>
      <c r="BL142">
        <v>-30.747647058823528</v>
      </c>
      <c r="BM142">
        <v>-30.900588235294119</v>
      </c>
      <c r="BN142">
        <v>-31.053636363636365</v>
      </c>
      <c r="BO142">
        <v>-31.207272727272727</v>
      </c>
      <c r="BP142">
        <v>-31.360909090909093</v>
      </c>
      <c r="BQ142">
        <v>-31.511764705882353</v>
      </c>
      <c r="BR142">
        <v>-31.660882352941176</v>
      </c>
      <c r="BS142">
        <v>-31.81</v>
      </c>
      <c r="BT142">
        <v>-31.963636363636365</v>
      </c>
      <c r="BU142">
        <v>-32.117272727272727</v>
      </c>
      <c r="BV142">
        <v>-32.269022556390979</v>
      </c>
      <c r="BW142">
        <v>-32.418571428571433</v>
      </c>
      <c r="BX142">
        <v>-32.568120300751879</v>
      </c>
      <c r="BY142">
        <v>-32.717669172932332</v>
      </c>
      <c r="BZ142">
        <v>-32.867218045112779</v>
      </c>
      <c r="CA142">
        <v>-33.016766917293232</v>
      </c>
      <c r="CB142">
        <v>-33.166315789473686</v>
      </c>
      <c r="CC142">
        <v>-33.315864661654132</v>
      </c>
      <c r="CD142">
        <v>-33.465413533834585</v>
      </c>
      <c r="CE142">
        <v>-33.614962406015032</v>
      </c>
      <c r="CF142">
        <v>-33.763358208955218</v>
      </c>
      <c r="CG142">
        <v>-33.907910447761189</v>
      </c>
      <c r="CH142">
        <v>-34.052462686567161</v>
      </c>
      <c r="CI142">
        <v>-34.197014925373132</v>
      </c>
      <c r="CJ142">
        <v>-34.341567164179104</v>
      </c>
      <c r="CK142">
        <v>-34.486119402985075</v>
      </c>
      <c r="CL142">
        <v>-34.630671641791039</v>
      </c>
      <c r="CM142">
        <v>-34.775223880597011</v>
      </c>
      <c r="CN142">
        <v>-34.919776119402982</v>
      </c>
      <c r="CO142">
        <v>-35.064328358208954</v>
      </c>
      <c r="CP142">
        <v>-35.208880597014925</v>
      </c>
    </row>
    <row r="143" spans="1:94" ht="21.75" thickBot="1" x14ac:dyDescent="0.4">
      <c r="A143" s="30" t="s">
        <v>49</v>
      </c>
      <c r="B143" s="62">
        <v>-22.018918918918921</v>
      </c>
      <c r="C143" s="62">
        <v>-21.69099099099099</v>
      </c>
      <c r="D143">
        <v>-21.363063063063063</v>
      </c>
      <c r="E143">
        <v>-21.328293413173654</v>
      </c>
      <c r="F143">
        <v>-21.363323353293413</v>
      </c>
      <c r="G143">
        <v>-21.428053892215569</v>
      </c>
      <c r="H143">
        <v>-21.587634730538923</v>
      </c>
      <c r="I143">
        <v>-21.747215568862277</v>
      </c>
      <c r="J143">
        <v>-21.901586826347305</v>
      </c>
      <c r="K143">
        <v>-22.053383233532934</v>
      </c>
      <c r="L143">
        <v>-22.201287425149701</v>
      </c>
      <c r="M143">
        <v>-22.314161676646709</v>
      </c>
      <c r="N143">
        <v>-22.427035928143713</v>
      </c>
      <c r="O143">
        <v>-22.544041916167664</v>
      </c>
      <c r="P143">
        <v>-22.664700598802394</v>
      </c>
      <c r="Q143">
        <v>-22.785359281437124</v>
      </c>
      <c r="R143">
        <v>-22.883843843843842</v>
      </c>
      <c r="S143">
        <v>-22.98144144144144</v>
      </c>
      <c r="T143">
        <v>-23.1162874251497</v>
      </c>
      <c r="U143">
        <v>-23.307005988023953</v>
      </c>
      <c r="V143">
        <v>-23.497724550898205</v>
      </c>
      <c r="W143">
        <v>-23.691676646706586</v>
      </c>
      <c r="X143">
        <v>-23.8862874251497</v>
      </c>
      <c r="Y143">
        <v>-24.078862275449104</v>
      </c>
      <c r="Z143">
        <v>-24.265688622754492</v>
      </c>
      <c r="AA143">
        <v>-24.45251497005988</v>
      </c>
      <c r="AB143">
        <v>-24.639341317365272</v>
      </c>
      <c r="AC143">
        <v>-24.82616766467066</v>
      </c>
      <c r="AD143">
        <v>-25.012994011976048</v>
      </c>
      <c r="AE143">
        <v>-25.199820359281436</v>
      </c>
      <c r="AF143">
        <v>-25.386646706586827</v>
      </c>
      <c r="AG143">
        <v>-25.567617977528091</v>
      </c>
      <c r="AH143">
        <v>-25.743872659176031</v>
      </c>
      <c r="AI143">
        <v>-25.920127340823971</v>
      </c>
      <c r="AJ143">
        <v>-26.096382022471911</v>
      </c>
      <c r="AK143">
        <v>-26.272636704119851</v>
      </c>
      <c r="AL143">
        <v>-26.448891385767791</v>
      </c>
      <c r="AM143">
        <v>-26.625146067415731</v>
      </c>
      <c r="AN143">
        <v>-26.801400749063671</v>
      </c>
      <c r="AO143">
        <v>-26.977655430711611</v>
      </c>
      <c r="AP143">
        <v>-27.153910112359551</v>
      </c>
      <c r="AQ143">
        <v>-27.327670411985022</v>
      </c>
      <c r="AR143">
        <v>-27.495161048689141</v>
      </c>
      <c r="AS143">
        <v>-27.662651685393261</v>
      </c>
      <c r="AT143">
        <v>-27.83014232209738</v>
      </c>
      <c r="AU143">
        <v>-27.9976329588015</v>
      </c>
      <c r="AV143">
        <v>-28.165123595505619</v>
      </c>
      <c r="AW143">
        <v>-28.332614232209739</v>
      </c>
      <c r="AX143">
        <v>-28.500104868913859</v>
      </c>
      <c r="AY143">
        <v>-28.667595505617978</v>
      </c>
      <c r="AZ143">
        <v>-28.835086142322098</v>
      </c>
      <c r="BA143">
        <v>-29.002447447447448</v>
      </c>
      <c r="BB143">
        <v>-29.161531531531534</v>
      </c>
      <c r="BC143">
        <v>-29.320615615615615</v>
      </c>
      <c r="BD143">
        <v>-29.479699699699701</v>
      </c>
      <c r="BE143">
        <v>-29.638783783783783</v>
      </c>
      <c r="BF143">
        <v>-29.797867867867868</v>
      </c>
      <c r="BG143">
        <v>-29.95695195195195</v>
      </c>
      <c r="BH143">
        <v>-30.116036036036036</v>
      </c>
      <c r="BI143">
        <v>-30.275120120120121</v>
      </c>
      <c r="BJ143">
        <v>-30.434204204204203</v>
      </c>
      <c r="BK143">
        <v>-30.593288288288289</v>
      </c>
      <c r="BL143">
        <v>-30.747647058823528</v>
      </c>
      <c r="BM143">
        <v>-30.900588235294119</v>
      </c>
      <c r="BN143">
        <v>-31.053636363636365</v>
      </c>
      <c r="BO143">
        <v>-31.207272727272727</v>
      </c>
      <c r="BP143">
        <v>-31.360909090909093</v>
      </c>
      <c r="BQ143">
        <v>-31.511764705882353</v>
      </c>
      <c r="BR143">
        <v>-31.660882352941176</v>
      </c>
      <c r="BS143">
        <v>-31.81</v>
      </c>
      <c r="BT143">
        <v>-31.963636363636365</v>
      </c>
      <c r="BU143">
        <v>-32.117272727272727</v>
      </c>
      <c r="BV143">
        <v>-32.269022556390979</v>
      </c>
      <c r="BW143">
        <v>-32.418571428571433</v>
      </c>
      <c r="BX143">
        <v>-32.568120300751879</v>
      </c>
      <c r="BY143">
        <v>-32.717669172932332</v>
      </c>
      <c r="BZ143">
        <v>-32.867218045112779</v>
      </c>
      <c r="CA143">
        <v>-33.016766917293232</v>
      </c>
      <c r="CB143">
        <v>-33.166315789473686</v>
      </c>
      <c r="CC143">
        <v>-33.315864661654132</v>
      </c>
      <c r="CD143">
        <v>-33.465413533834585</v>
      </c>
      <c r="CE143">
        <v>-33.614962406015032</v>
      </c>
      <c r="CF143">
        <v>-33.763358208955218</v>
      </c>
      <c r="CG143">
        <v>-33.907910447761189</v>
      </c>
      <c r="CH143">
        <v>-34.052462686567161</v>
      </c>
      <c r="CI143">
        <v>-34.197014925373132</v>
      </c>
      <c r="CJ143">
        <v>-34.341567164179104</v>
      </c>
      <c r="CK143">
        <v>-34.486119402985075</v>
      </c>
      <c r="CL143">
        <v>-34.630671641791039</v>
      </c>
      <c r="CM143">
        <v>-34.775223880597011</v>
      </c>
      <c r="CN143">
        <v>-34.919776119402982</v>
      </c>
      <c r="CO143">
        <v>-35.064328358208954</v>
      </c>
      <c r="CP143">
        <v>-35.208880597014925</v>
      </c>
    </row>
    <row r="144" spans="1:94" ht="21.75" thickBot="1" x14ac:dyDescent="0.4">
      <c r="A144" s="30" t="s">
        <v>50</v>
      </c>
      <c r="B144" s="62">
        <v>-22.018918918918921</v>
      </c>
      <c r="C144" s="62">
        <v>-21.69099099099099</v>
      </c>
      <c r="D144">
        <v>-21.363063063063063</v>
      </c>
      <c r="E144">
        <v>-21.328293413173654</v>
      </c>
      <c r="F144">
        <v>-21.363323353293413</v>
      </c>
      <c r="G144">
        <v>-21.428053892215569</v>
      </c>
      <c r="H144">
        <v>-21.587634730538923</v>
      </c>
      <c r="I144">
        <v>-21.747215568862277</v>
      </c>
      <c r="J144">
        <v>-21.901586826347305</v>
      </c>
      <c r="K144">
        <v>-22.053383233532934</v>
      </c>
      <c r="L144">
        <v>-22.201287425149701</v>
      </c>
      <c r="M144">
        <v>-22.314161676646709</v>
      </c>
      <c r="N144">
        <v>-22.427035928143713</v>
      </c>
      <c r="O144">
        <v>-22.544041916167664</v>
      </c>
      <c r="P144">
        <v>-22.664700598802394</v>
      </c>
      <c r="Q144">
        <v>-22.785359281437124</v>
      </c>
      <c r="R144">
        <v>-22.883843843843842</v>
      </c>
      <c r="S144">
        <v>-22.98144144144144</v>
      </c>
      <c r="T144">
        <v>-23.1162874251497</v>
      </c>
      <c r="U144">
        <v>-23.307005988023953</v>
      </c>
      <c r="V144">
        <v>-23.497724550898205</v>
      </c>
      <c r="W144">
        <v>-23.691676646706586</v>
      </c>
      <c r="X144">
        <v>-23.8862874251497</v>
      </c>
      <c r="Y144">
        <v>-24.078862275449104</v>
      </c>
      <c r="Z144">
        <v>-24.265688622754492</v>
      </c>
      <c r="AA144">
        <v>-24.45251497005988</v>
      </c>
      <c r="AB144">
        <v>-24.639341317365272</v>
      </c>
      <c r="AC144">
        <v>-24.82616766467066</v>
      </c>
      <c r="AD144">
        <v>-25.012994011976048</v>
      </c>
      <c r="AE144">
        <v>-25.199820359281436</v>
      </c>
      <c r="AF144">
        <v>-25.386646706586827</v>
      </c>
      <c r="AG144">
        <v>-25.567617977528091</v>
      </c>
      <c r="AH144">
        <v>-25.743872659176031</v>
      </c>
      <c r="AI144">
        <v>-25.920127340823971</v>
      </c>
      <c r="AJ144">
        <v>-26.096382022471911</v>
      </c>
      <c r="AK144">
        <v>-26.272636704119851</v>
      </c>
      <c r="AL144">
        <v>-26.448891385767791</v>
      </c>
      <c r="AM144">
        <v>-26.625146067415731</v>
      </c>
      <c r="AN144">
        <v>-26.801400749063671</v>
      </c>
      <c r="AO144">
        <v>-26.977655430711611</v>
      </c>
      <c r="AP144">
        <v>-27.153910112359551</v>
      </c>
      <c r="AQ144">
        <v>-27.327670411985022</v>
      </c>
      <c r="AR144">
        <v>-27.495161048689141</v>
      </c>
      <c r="AS144">
        <v>-27.662651685393261</v>
      </c>
      <c r="AT144">
        <v>-27.83014232209738</v>
      </c>
      <c r="AU144">
        <v>-27.9976329588015</v>
      </c>
      <c r="AV144">
        <v>-28.165123595505619</v>
      </c>
      <c r="AW144">
        <v>-28.332614232209739</v>
      </c>
      <c r="AX144">
        <v>-28.500104868913859</v>
      </c>
      <c r="AY144">
        <v>-28.667595505617978</v>
      </c>
      <c r="AZ144">
        <v>-28.835086142322098</v>
      </c>
      <c r="BA144">
        <v>-29.002447447447448</v>
      </c>
      <c r="BB144">
        <v>-29.161531531531534</v>
      </c>
      <c r="BC144">
        <v>-29.320615615615615</v>
      </c>
      <c r="BD144">
        <v>-29.479699699699701</v>
      </c>
      <c r="BE144">
        <v>-29.638783783783783</v>
      </c>
      <c r="BF144">
        <v>-29.797867867867868</v>
      </c>
      <c r="BG144">
        <v>-29.95695195195195</v>
      </c>
      <c r="BH144">
        <v>-30.116036036036036</v>
      </c>
      <c r="BI144">
        <v>-30.275120120120121</v>
      </c>
      <c r="BJ144">
        <v>-30.434204204204203</v>
      </c>
      <c r="BK144">
        <v>-30.593288288288289</v>
      </c>
      <c r="BL144">
        <v>-30.747647058823528</v>
      </c>
      <c r="BM144">
        <v>-30.900588235294119</v>
      </c>
      <c r="BN144">
        <v>-31.053636363636365</v>
      </c>
      <c r="BO144">
        <v>-31.207272727272727</v>
      </c>
      <c r="BP144">
        <v>-31.360909090909093</v>
      </c>
      <c r="BQ144">
        <v>-31.511764705882353</v>
      </c>
      <c r="BR144">
        <v>-31.660882352941176</v>
      </c>
      <c r="BS144">
        <v>-31.81</v>
      </c>
      <c r="BT144">
        <v>-31.963636363636365</v>
      </c>
      <c r="BU144">
        <v>-32.117272727272727</v>
      </c>
      <c r="BV144">
        <v>-32.269022556390979</v>
      </c>
      <c r="BW144">
        <v>-32.418571428571433</v>
      </c>
      <c r="BX144">
        <v>-32.568120300751879</v>
      </c>
      <c r="BY144">
        <v>-32.717669172932332</v>
      </c>
      <c r="BZ144">
        <v>-32.867218045112779</v>
      </c>
      <c r="CA144">
        <v>-33.016766917293232</v>
      </c>
      <c r="CB144">
        <v>-33.166315789473686</v>
      </c>
      <c r="CC144">
        <v>-33.315864661654132</v>
      </c>
      <c r="CD144">
        <v>-33.465413533834585</v>
      </c>
      <c r="CE144">
        <v>-33.614962406015032</v>
      </c>
      <c r="CF144">
        <v>-33.763358208955218</v>
      </c>
      <c r="CG144">
        <v>-33.907910447761189</v>
      </c>
      <c r="CH144">
        <v>-34.052462686567161</v>
      </c>
      <c r="CI144">
        <v>-34.197014925373132</v>
      </c>
      <c r="CJ144">
        <v>-34.341567164179104</v>
      </c>
      <c r="CK144">
        <v>-34.486119402985075</v>
      </c>
      <c r="CL144">
        <v>-34.630671641791039</v>
      </c>
      <c r="CM144">
        <v>-34.775223880597011</v>
      </c>
      <c r="CN144">
        <v>-34.919776119402982</v>
      </c>
      <c r="CO144">
        <v>-35.064328358208954</v>
      </c>
      <c r="CP144">
        <v>-35.208880597014925</v>
      </c>
    </row>
    <row r="145" spans="1:94" ht="21.75" thickBot="1" x14ac:dyDescent="0.4">
      <c r="A145" s="30" t="s">
        <v>51</v>
      </c>
      <c r="B145" s="62">
        <v>-22.018918918918921</v>
      </c>
      <c r="C145" s="62">
        <v>-21.69099099099099</v>
      </c>
      <c r="D145">
        <v>-21.363063063063063</v>
      </c>
      <c r="E145">
        <v>-21.328293413173654</v>
      </c>
      <c r="F145">
        <v>-21.363323353293413</v>
      </c>
      <c r="G145">
        <v>-21.428053892215569</v>
      </c>
      <c r="H145">
        <v>-21.587634730538923</v>
      </c>
      <c r="I145">
        <v>-21.747215568862277</v>
      </c>
      <c r="J145">
        <v>-21.901586826347305</v>
      </c>
      <c r="K145">
        <v>-22.053383233532934</v>
      </c>
      <c r="L145">
        <v>-22.201287425149701</v>
      </c>
      <c r="M145">
        <v>-22.314161676646709</v>
      </c>
      <c r="N145">
        <v>-22.427035928143713</v>
      </c>
      <c r="O145">
        <v>-22.544041916167664</v>
      </c>
      <c r="P145">
        <v>-22.664700598802394</v>
      </c>
      <c r="Q145">
        <v>-22.785359281437124</v>
      </c>
      <c r="R145">
        <v>-22.883843843843842</v>
      </c>
      <c r="S145">
        <v>-22.98144144144144</v>
      </c>
      <c r="T145">
        <v>-23.1162874251497</v>
      </c>
      <c r="U145">
        <v>-23.307005988023953</v>
      </c>
      <c r="V145">
        <v>-23.497724550898205</v>
      </c>
      <c r="W145">
        <v>-23.691676646706586</v>
      </c>
      <c r="X145">
        <v>-23.8862874251497</v>
      </c>
      <c r="Y145">
        <v>-24.078862275449104</v>
      </c>
      <c r="Z145">
        <v>-24.265688622754492</v>
      </c>
      <c r="AA145">
        <v>-24.45251497005988</v>
      </c>
      <c r="AB145">
        <v>-24.639341317365272</v>
      </c>
      <c r="AC145">
        <v>-24.82616766467066</v>
      </c>
      <c r="AD145">
        <v>-25.012994011976048</v>
      </c>
      <c r="AE145">
        <v>-25.199820359281436</v>
      </c>
      <c r="AF145">
        <v>-25.386646706586827</v>
      </c>
      <c r="AG145">
        <v>-25.567617977528091</v>
      </c>
      <c r="AH145">
        <v>-25.743872659176031</v>
      </c>
      <c r="AI145">
        <v>-25.920127340823971</v>
      </c>
      <c r="AJ145">
        <v>-26.096382022471911</v>
      </c>
      <c r="AK145">
        <v>-26.272636704119851</v>
      </c>
      <c r="AL145">
        <v>-26.448891385767791</v>
      </c>
      <c r="AM145">
        <v>-26.625146067415731</v>
      </c>
      <c r="AN145">
        <v>-26.801400749063671</v>
      </c>
      <c r="AO145">
        <v>-26.977655430711611</v>
      </c>
      <c r="AP145">
        <v>-27.153910112359551</v>
      </c>
      <c r="AQ145">
        <v>-27.327670411985022</v>
      </c>
      <c r="AR145">
        <v>-27.495161048689141</v>
      </c>
      <c r="AS145">
        <v>-27.662651685393261</v>
      </c>
      <c r="AT145">
        <v>-27.83014232209738</v>
      </c>
      <c r="AU145">
        <v>-27.9976329588015</v>
      </c>
      <c r="AV145">
        <v>-28.165123595505619</v>
      </c>
      <c r="AW145">
        <v>-28.332614232209739</v>
      </c>
      <c r="AX145">
        <v>-28.500104868913859</v>
      </c>
      <c r="AY145">
        <v>-28.667595505617978</v>
      </c>
      <c r="AZ145">
        <v>-28.835086142322098</v>
      </c>
      <c r="BA145">
        <v>-29.002447447447448</v>
      </c>
      <c r="BB145">
        <v>-29.161531531531534</v>
      </c>
      <c r="BC145">
        <v>-29.320615615615615</v>
      </c>
      <c r="BD145">
        <v>-29.479699699699701</v>
      </c>
      <c r="BE145">
        <v>-29.638783783783783</v>
      </c>
      <c r="BF145">
        <v>-29.797867867867868</v>
      </c>
      <c r="BG145">
        <v>-29.95695195195195</v>
      </c>
      <c r="BH145">
        <v>-30.116036036036036</v>
      </c>
      <c r="BI145">
        <v>-30.275120120120121</v>
      </c>
      <c r="BJ145">
        <v>-30.434204204204203</v>
      </c>
      <c r="BK145">
        <v>-30.593288288288289</v>
      </c>
      <c r="BL145">
        <v>-30.747647058823528</v>
      </c>
      <c r="BM145">
        <v>-30.900588235294119</v>
      </c>
      <c r="BN145">
        <v>-31.053636363636365</v>
      </c>
      <c r="BO145">
        <v>-31.207272727272727</v>
      </c>
      <c r="BP145">
        <v>-31.360909090909093</v>
      </c>
      <c r="BQ145">
        <v>-31.511764705882353</v>
      </c>
      <c r="BR145">
        <v>-31.660882352941176</v>
      </c>
      <c r="BS145">
        <v>-31.81</v>
      </c>
      <c r="BT145">
        <v>-31.963636363636365</v>
      </c>
      <c r="BU145">
        <v>-32.117272727272727</v>
      </c>
      <c r="BV145">
        <v>-32.269022556390979</v>
      </c>
      <c r="BW145">
        <v>-32.418571428571433</v>
      </c>
      <c r="BX145">
        <v>-32.568120300751879</v>
      </c>
      <c r="BY145">
        <v>-32.717669172932332</v>
      </c>
      <c r="BZ145">
        <v>-32.867218045112779</v>
      </c>
      <c r="CA145">
        <v>-33.016766917293232</v>
      </c>
      <c r="CB145">
        <v>-33.166315789473686</v>
      </c>
      <c r="CC145">
        <v>-33.315864661654132</v>
      </c>
      <c r="CD145">
        <v>-33.465413533834585</v>
      </c>
      <c r="CE145">
        <v>-33.614962406015032</v>
      </c>
      <c r="CF145">
        <v>-33.763358208955218</v>
      </c>
      <c r="CG145">
        <v>-33.907910447761189</v>
      </c>
      <c r="CH145">
        <v>-34.052462686567161</v>
      </c>
      <c r="CI145">
        <v>-34.197014925373132</v>
      </c>
      <c r="CJ145">
        <v>-34.341567164179104</v>
      </c>
      <c r="CK145">
        <v>-34.486119402985075</v>
      </c>
      <c r="CL145">
        <v>-34.630671641791039</v>
      </c>
      <c r="CM145">
        <v>-34.775223880597011</v>
      </c>
      <c r="CN145">
        <v>-34.919776119402982</v>
      </c>
      <c r="CO145">
        <v>-35.064328358208954</v>
      </c>
      <c r="CP145">
        <v>-35.208880597014925</v>
      </c>
    </row>
    <row r="146" spans="1:94" ht="21.75" thickBot="1" x14ac:dyDescent="0.4">
      <c r="A146" s="30" t="s">
        <v>52</v>
      </c>
      <c r="B146" s="62">
        <v>-15.70018018018018</v>
      </c>
      <c r="C146" s="62">
        <v>-14.888168168168168</v>
      </c>
      <c r="D146">
        <v>-14.076156156156156</v>
      </c>
      <c r="E146">
        <v>-13.171796407185628</v>
      </c>
      <c r="F146">
        <v>-12.245449101796405</v>
      </c>
      <c r="G146">
        <v>-11.336365269461076</v>
      </c>
      <c r="H146">
        <v>-10.482413173652693</v>
      </c>
      <c r="I146">
        <v>-9.628461077844312</v>
      </c>
      <c r="J146">
        <v>-8.8943293413173663</v>
      </c>
      <c r="K146">
        <v>-8.2194191616766474</v>
      </c>
      <c r="L146">
        <v>-7.5707814371257482</v>
      </c>
      <c r="M146">
        <v>-7.1585958083832333</v>
      </c>
      <c r="N146">
        <v>-6.7464101796407192</v>
      </c>
      <c r="O146">
        <v>-6.4751167664670657</v>
      </c>
      <c r="P146">
        <v>-6.3283802395209579</v>
      </c>
      <c r="Q146">
        <v>-6.18164371257485</v>
      </c>
      <c r="R146">
        <v>-6.4226216216216221</v>
      </c>
      <c r="S146">
        <v>-6.6791081081081085</v>
      </c>
      <c r="T146">
        <v>-6.8345568862275448</v>
      </c>
      <c r="U146">
        <v>-6.8384491017964075</v>
      </c>
      <c r="V146">
        <v>-6.8423413173652694</v>
      </c>
      <c r="W146">
        <v>-6.8627245508982035</v>
      </c>
      <c r="X146">
        <v>-6.8864670658682634</v>
      </c>
      <c r="Y146">
        <v>-6.911838323353293</v>
      </c>
      <c r="Z146">
        <v>-6.9418083832335329</v>
      </c>
      <c r="AA146">
        <v>-6.9717784431137719</v>
      </c>
      <c r="AB146">
        <v>-7.0028263473053896</v>
      </c>
      <c r="AC146">
        <v>-7.0343532934131741</v>
      </c>
      <c r="AD146">
        <v>-7.0658802395209586</v>
      </c>
      <c r="AE146">
        <v>-7.0974071856287431</v>
      </c>
      <c r="AF146">
        <v>-7.1289341317365267</v>
      </c>
      <c r="AG146">
        <v>-7.1602584269662923</v>
      </c>
      <c r="AH146">
        <v>-7.1914194756554304</v>
      </c>
      <c r="AI146">
        <v>-7.2225805243445693</v>
      </c>
      <c r="AJ146">
        <v>-7.2537415730337083</v>
      </c>
      <c r="AK146">
        <v>-7.2849026217228463</v>
      </c>
      <c r="AL146">
        <v>-7.3160636704119852</v>
      </c>
      <c r="AM146">
        <v>-7.3472247191011233</v>
      </c>
      <c r="AN146">
        <v>-7.3783857677902622</v>
      </c>
      <c r="AO146">
        <v>-7.4095468164794012</v>
      </c>
      <c r="AP146">
        <v>-7.4407078651685392</v>
      </c>
      <c r="AQ146">
        <v>-7.471370037453184</v>
      </c>
      <c r="AR146">
        <v>-7.5007782771535583</v>
      </c>
      <c r="AS146">
        <v>-7.5301865168539326</v>
      </c>
      <c r="AT146">
        <v>-7.5595947565543069</v>
      </c>
      <c r="AU146">
        <v>-7.5890029962546812</v>
      </c>
      <c r="AV146">
        <v>-7.6184112359550564</v>
      </c>
      <c r="AW146">
        <v>-7.6478194756554307</v>
      </c>
      <c r="AX146">
        <v>-7.6772277153558051</v>
      </c>
      <c r="AY146">
        <v>-7.7066359550561794</v>
      </c>
      <c r="AZ146">
        <v>-7.7360441947565537</v>
      </c>
      <c r="BA146">
        <v>-7.7654249249249245</v>
      </c>
      <c r="BB146">
        <v>-7.7930450450450452</v>
      </c>
      <c r="BC146">
        <v>-7.8206651651651651</v>
      </c>
      <c r="BD146">
        <v>-7.8482852852852849</v>
      </c>
      <c r="BE146">
        <v>-7.8759054054054056</v>
      </c>
      <c r="BF146">
        <v>-7.9035255255255255</v>
      </c>
      <c r="BG146">
        <v>-7.9311456456456453</v>
      </c>
      <c r="BH146">
        <v>-7.958765765765766</v>
      </c>
      <c r="BI146">
        <v>-7.9863858858858858</v>
      </c>
      <c r="BJ146">
        <v>-8.0140060060060065</v>
      </c>
      <c r="BK146">
        <v>-8.0416261261261255</v>
      </c>
      <c r="BL146">
        <v>-8.0679999999999996</v>
      </c>
      <c r="BM146">
        <v>-8.0939999999999994</v>
      </c>
      <c r="BN146">
        <v>-8.1199999999999992</v>
      </c>
      <c r="BO146">
        <v>-8.1460000000000008</v>
      </c>
      <c r="BP146">
        <v>-8.1720000000000006</v>
      </c>
      <c r="BQ146">
        <v>-8.1975294117647053</v>
      </c>
      <c r="BR146">
        <v>-8.2227647058823532</v>
      </c>
      <c r="BS146">
        <v>-8.2479999999999993</v>
      </c>
      <c r="BT146">
        <v>-8.2736060606060597</v>
      </c>
      <c r="BU146">
        <v>-8.2992121212121219</v>
      </c>
      <c r="BV146">
        <v>-8.3241879699248127</v>
      </c>
      <c r="BW146">
        <v>-8.3484285714285722</v>
      </c>
      <c r="BX146">
        <v>-8.3726691729323317</v>
      </c>
      <c r="BY146">
        <v>-8.3969097744360912</v>
      </c>
      <c r="BZ146">
        <v>-8.4211503759398507</v>
      </c>
      <c r="CA146">
        <v>-8.4453909774436084</v>
      </c>
      <c r="CB146">
        <v>-8.469631578947368</v>
      </c>
      <c r="CC146">
        <v>-8.4938721804511275</v>
      </c>
      <c r="CD146">
        <v>-8.518112781954887</v>
      </c>
      <c r="CE146">
        <v>-8.5423533834586465</v>
      </c>
      <c r="CF146">
        <v>-8.5662388059701495</v>
      </c>
      <c r="CG146">
        <v>-8.5889402985074632</v>
      </c>
      <c r="CH146">
        <v>-8.6116417910447769</v>
      </c>
      <c r="CI146">
        <v>-8.6343432835820888</v>
      </c>
      <c r="CJ146">
        <v>-8.6570447761194025</v>
      </c>
      <c r="CK146">
        <v>-8.6797462686567162</v>
      </c>
      <c r="CL146">
        <v>-8.7024477611940299</v>
      </c>
      <c r="CM146">
        <v>-8.7251492537313435</v>
      </c>
      <c r="CN146">
        <v>-8.7478507462686572</v>
      </c>
      <c r="CO146">
        <v>-8.7705522388059709</v>
      </c>
      <c r="CP146">
        <v>-8.7932537313432828</v>
      </c>
    </row>
    <row r="147" spans="1:94" ht="21.75" thickBot="1" x14ac:dyDescent="0.4">
      <c r="A147" s="30" t="s">
        <v>36</v>
      </c>
      <c r="B147" s="62">
        <v>-18.878558558558559</v>
      </c>
      <c r="C147" s="62">
        <v>-18.874654654654655</v>
      </c>
      <c r="D147">
        <v>-18.870750750750751</v>
      </c>
      <c r="E147">
        <v>-18.879431137724552</v>
      </c>
      <c r="F147">
        <v>-18.891107784431139</v>
      </c>
      <c r="G147">
        <v>-18.903712574850299</v>
      </c>
      <c r="H147">
        <v>-18.919281437125747</v>
      </c>
      <c r="I147">
        <v>-18.934850299401198</v>
      </c>
      <c r="J147">
        <v>-18.953023952095808</v>
      </c>
      <c r="K147">
        <v>-18.97248502994012</v>
      </c>
      <c r="L147">
        <v>-18.991946107784429</v>
      </c>
      <c r="M147">
        <v>-19.011407185628741</v>
      </c>
      <c r="N147">
        <v>-19.030868263473053</v>
      </c>
      <c r="O147">
        <v>-19.046197604790418</v>
      </c>
      <c r="P147">
        <v>-19.057874251497005</v>
      </c>
      <c r="Q147">
        <v>-19.069550898203595</v>
      </c>
      <c r="R147">
        <v>-19.028708708708709</v>
      </c>
      <c r="S147">
        <v>-18.985765765765766</v>
      </c>
      <c r="T147">
        <v>-18.970898203592814</v>
      </c>
      <c r="U147">
        <v>-18.998143712574851</v>
      </c>
      <c r="V147">
        <v>-19.025389221556889</v>
      </c>
      <c r="W147">
        <v>-19.052634730538923</v>
      </c>
      <c r="X147">
        <v>-19.079880239520961</v>
      </c>
      <c r="Y147">
        <v>-19.107125748502995</v>
      </c>
      <c r="Z147">
        <v>-19.134371257485032</v>
      </c>
      <c r="AA147">
        <v>-19.161616766467066</v>
      </c>
      <c r="AB147">
        <v>-19.188862275449104</v>
      </c>
      <c r="AC147">
        <v>-19.216107784431138</v>
      </c>
      <c r="AD147">
        <v>-19.243353293413172</v>
      </c>
      <c r="AE147">
        <v>-19.27059880239521</v>
      </c>
      <c r="AF147">
        <v>-19.297844311377244</v>
      </c>
      <c r="AG147">
        <v>-19.324022471910112</v>
      </c>
      <c r="AH147">
        <v>-19.349340823970035</v>
      </c>
      <c r="AI147">
        <v>-19.374659176029962</v>
      </c>
      <c r="AJ147">
        <v>-19.399977528089888</v>
      </c>
      <c r="AK147">
        <v>-19.425295880149811</v>
      </c>
      <c r="AL147">
        <v>-19.450614232209738</v>
      </c>
      <c r="AM147">
        <v>-19.475932584269664</v>
      </c>
      <c r="AN147">
        <v>-19.501250936329587</v>
      </c>
      <c r="AO147">
        <v>-19.526569288389513</v>
      </c>
      <c r="AP147">
        <v>-19.55188764044944</v>
      </c>
      <c r="AQ147">
        <v>-19.576928838951311</v>
      </c>
      <c r="AR147">
        <v>-19.601273408239702</v>
      </c>
      <c r="AS147">
        <v>-19.625617977528091</v>
      </c>
      <c r="AT147">
        <v>-19.649962546816479</v>
      </c>
      <c r="AU147">
        <v>-19.67430711610487</v>
      </c>
      <c r="AV147">
        <v>-19.698651685393259</v>
      </c>
      <c r="AW147">
        <v>-19.722996254681647</v>
      </c>
      <c r="AX147">
        <v>-19.747340823970038</v>
      </c>
      <c r="AY147">
        <v>-19.771685393258426</v>
      </c>
      <c r="AZ147">
        <v>-19.796029962546818</v>
      </c>
      <c r="BA147">
        <v>-19.820345345345345</v>
      </c>
      <c r="BB147">
        <v>-19.842792792792793</v>
      </c>
      <c r="BC147">
        <v>-19.86524024024024</v>
      </c>
      <c r="BD147">
        <v>-19.887687687687688</v>
      </c>
      <c r="BE147">
        <v>-19.910135135135135</v>
      </c>
      <c r="BF147">
        <v>-19.932582582582583</v>
      </c>
      <c r="BG147">
        <v>-19.955030030030031</v>
      </c>
      <c r="BH147">
        <v>-19.977477477477478</v>
      </c>
      <c r="BI147">
        <v>-19.999924924924926</v>
      </c>
      <c r="BJ147">
        <v>-20.022372372372374</v>
      </c>
      <c r="BK147">
        <v>-20.044819819819821</v>
      </c>
      <c r="BL147">
        <v>-20.067647058823528</v>
      </c>
      <c r="BM147">
        <v>-20.090588235294117</v>
      </c>
      <c r="BN147">
        <v>-20.113030303030303</v>
      </c>
      <c r="BO147">
        <v>-20.132727272727273</v>
      </c>
      <c r="BP147">
        <v>-20.152424242424242</v>
      </c>
      <c r="BQ147">
        <v>-20.171764705882353</v>
      </c>
      <c r="BR147">
        <v>-20.190882352941177</v>
      </c>
      <c r="BS147">
        <v>-20.21</v>
      </c>
      <c r="BT147">
        <v>-20.22969696969697</v>
      </c>
      <c r="BU147">
        <v>-20.24939393939394</v>
      </c>
      <c r="BV147">
        <v>-20.269022556390979</v>
      </c>
      <c r="BW147">
        <v>-20.28857142857143</v>
      </c>
      <c r="BX147">
        <v>-20.308120300751881</v>
      </c>
      <c r="BY147">
        <v>-20.327669172932332</v>
      </c>
      <c r="BZ147">
        <v>-20.347218045112783</v>
      </c>
      <c r="CA147">
        <v>-20.366766917293234</v>
      </c>
      <c r="CB147">
        <v>-20.386315789473684</v>
      </c>
      <c r="CC147">
        <v>-20.405864661654135</v>
      </c>
      <c r="CD147">
        <v>-20.425413533834586</v>
      </c>
      <c r="CE147">
        <v>-20.444962406015037</v>
      </c>
      <c r="CF147">
        <v>-20.464253731343284</v>
      </c>
      <c r="CG147">
        <v>-20.48268656716418</v>
      </c>
      <c r="CH147">
        <v>-20.501119402985076</v>
      </c>
      <c r="CI147">
        <v>-20.519552238805971</v>
      </c>
      <c r="CJ147">
        <v>-20.537985074626867</v>
      </c>
      <c r="CK147">
        <v>-20.55641791044776</v>
      </c>
      <c r="CL147">
        <v>-20.574850746268655</v>
      </c>
      <c r="CM147">
        <v>-20.593283582089551</v>
      </c>
      <c r="CN147">
        <v>-20.611716417910447</v>
      </c>
      <c r="CO147">
        <v>-20.630149253731343</v>
      </c>
      <c r="CP147">
        <v>-20.648582089552239</v>
      </c>
    </row>
    <row r="148" spans="1:94" ht="21.75" thickBot="1" x14ac:dyDescent="0.4">
      <c r="A148" s="30" t="s">
        <v>5</v>
      </c>
      <c r="B148" s="62">
        <v>-59.785315315315316</v>
      </c>
      <c r="C148" s="62">
        <v>-57.064294294294292</v>
      </c>
      <c r="D148">
        <v>-54.343273273273276</v>
      </c>
      <c r="E148">
        <v>-51.679131736526941</v>
      </c>
      <c r="F148">
        <v>-49.028532934131732</v>
      </c>
      <c r="G148">
        <v>-46.442904191616762</v>
      </c>
      <c r="H148">
        <v>-44.064760479041915</v>
      </c>
      <c r="I148">
        <v>-41.686616766467068</v>
      </c>
      <c r="J148">
        <v>-39.548113772455089</v>
      </c>
      <c r="K148">
        <v>-37.528053892215567</v>
      </c>
      <c r="L148">
        <v>-35.541856287425148</v>
      </c>
      <c r="M148">
        <v>-33.860419161676646</v>
      </c>
      <c r="N148">
        <v>-32.178982035928144</v>
      </c>
      <c r="O148">
        <v>-30.619431137724554</v>
      </c>
      <c r="P148">
        <v>-29.167634730538925</v>
      </c>
      <c r="Q148">
        <v>-27.715838323353292</v>
      </c>
      <c r="R148">
        <v>-27.333423423423422</v>
      </c>
      <c r="S148">
        <v>-26.993783783783783</v>
      </c>
      <c r="T148">
        <v>-26.995508982035929</v>
      </c>
      <c r="U148">
        <v>-27.509281437125747</v>
      </c>
      <c r="V148">
        <v>-28.023053892215568</v>
      </c>
      <c r="W148">
        <v>-28.530359281437125</v>
      </c>
      <c r="X148">
        <v>-29.036347305389221</v>
      </c>
      <c r="Y148">
        <v>-29.540299401197604</v>
      </c>
      <c r="Z148">
        <v>-30.038502994011978</v>
      </c>
      <c r="AA148">
        <v>-30.536706586826348</v>
      </c>
      <c r="AB148">
        <v>-31.026826347305391</v>
      </c>
      <c r="AC148">
        <v>-31.513353293413175</v>
      </c>
      <c r="AD148">
        <v>-31.998443113772456</v>
      </c>
      <c r="AE148">
        <v>-32.47329341317365</v>
      </c>
      <c r="AF148">
        <v>-32.948143712574847</v>
      </c>
      <c r="AG148">
        <v>-33.403235955056175</v>
      </c>
      <c r="AH148">
        <v>-33.842411985018728</v>
      </c>
      <c r="AI148">
        <v>-34.281588014981274</v>
      </c>
      <c r="AJ148">
        <v>-34.72076404494382</v>
      </c>
      <c r="AK148">
        <v>-35.159940074906366</v>
      </c>
      <c r="AL148">
        <v>-35.599116104868912</v>
      </c>
      <c r="AM148">
        <v>-36.038292134831465</v>
      </c>
      <c r="AN148">
        <v>-36.477468164794011</v>
      </c>
      <c r="AO148">
        <v>-36.916644194756557</v>
      </c>
      <c r="AP148">
        <v>-37.355820224719103</v>
      </c>
      <c r="AQ148">
        <v>-37.774209737827718</v>
      </c>
      <c r="AR148">
        <v>-38.1403520599251</v>
      </c>
      <c r="AS148">
        <v>-38.506494382022474</v>
      </c>
      <c r="AT148">
        <v>-38.872636704119856</v>
      </c>
      <c r="AU148">
        <v>-39.23877902621723</v>
      </c>
      <c r="AV148">
        <v>-39.604921348314612</v>
      </c>
      <c r="AW148">
        <v>-39.971063670411986</v>
      </c>
      <c r="AX148">
        <v>-40.337205992509368</v>
      </c>
      <c r="AY148">
        <v>-40.703348314606743</v>
      </c>
      <c r="AZ148">
        <v>-41.069490636704124</v>
      </c>
      <c r="BA148">
        <v>-41.434354354354355</v>
      </c>
      <c r="BB148">
        <v>-41.71738738738739</v>
      </c>
      <c r="BC148">
        <v>-42.000420420420419</v>
      </c>
      <c r="BD148">
        <v>-42.283453453453454</v>
      </c>
      <c r="BE148">
        <v>-42.56648648648649</v>
      </c>
      <c r="BF148">
        <v>-42.849519519519518</v>
      </c>
      <c r="BG148">
        <v>-43.132552552552553</v>
      </c>
      <c r="BH148">
        <v>-43.415585585585582</v>
      </c>
      <c r="BI148">
        <v>-43.698618618618617</v>
      </c>
      <c r="BJ148">
        <v>-43.981651651651653</v>
      </c>
      <c r="BK148">
        <v>-44.264684684684681</v>
      </c>
      <c r="BL148">
        <v>-44.497647058823524</v>
      </c>
      <c r="BM148">
        <v>-44.715588235294113</v>
      </c>
      <c r="BN148">
        <v>-44.93151515151515</v>
      </c>
      <c r="BO148">
        <v>-45.136363636363633</v>
      </c>
      <c r="BP148">
        <v>-45.341212121212124</v>
      </c>
      <c r="BQ148">
        <v>-45.523529411764706</v>
      </c>
      <c r="BR148">
        <v>-45.691764705882356</v>
      </c>
      <c r="BS148">
        <v>-45.86</v>
      </c>
      <c r="BT148">
        <v>-46.013636363636365</v>
      </c>
      <c r="BU148">
        <v>-46.167272727272724</v>
      </c>
      <c r="BV148">
        <v>-46.288796992481203</v>
      </c>
      <c r="BW148">
        <v>-46.372857142857143</v>
      </c>
      <c r="BX148">
        <v>-46.456917293233083</v>
      </c>
      <c r="BY148">
        <v>-46.540977443609023</v>
      </c>
      <c r="BZ148">
        <v>-46.625037593984963</v>
      </c>
      <c r="CA148">
        <v>-46.709097744360903</v>
      </c>
      <c r="CB148">
        <v>-46.793157894736844</v>
      </c>
      <c r="CC148">
        <v>-46.877218045112784</v>
      </c>
      <c r="CD148">
        <v>-46.961278195488724</v>
      </c>
      <c r="CE148">
        <v>-47.045338345864664</v>
      </c>
      <c r="CF148">
        <v>-47.104179104477609</v>
      </c>
      <c r="CG148">
        <v>-47.078955223880598</v>
      </c>
      <c r="CH148">
        <v>-47.05373134328358</v>
      </c>
      <c r="CI148">
        <v>-47.028507462686569</v>
      </c>
      <c r="CJ148">
        <v>-47.003283582089551</v>
      </c>
      <c r="CK148">
        <v>-46.978059701492541</v>
      </c>
      <c r="CL148">
        <v>-46.952835820895523</v>
      </c>
      <c r="CM148">
        <v>-46.927611940298512</v>
      </c>
      <c r="CN148">
        <v>-46.902388059701494</v>
      </c>
      <c r="CO148">
        <v>-46.877164179104476</v>
      </c>
      <c r="CP148">
        <v>-46.851940298507465</v>
      </c>
    </row>
    <row r="149" spans="1:94" ht="21.75" thickBot="1" x14ac:dyDescent="0.4">
      <c r="A149" s="30" t="s">
        <v>6</v>
      </c>
      <c r="B149" s="62">
        <v>-15.70018018018018</v>
      </c>
      <c r="C149" s="62">
        <v>-14.888168168168168</v>
      </c>
      <c r="D149">
        <v>-14.076156156156156</v>
      </c>
      <c r="E149">
        <v>-13.171796407185628</v>
      </c>
      <c r="F149">
        <v>-12.245449101796405</v>
      </c>
      <c r="G149">
        <v>-11.336365269461076</v>
      </c>
      <c r="H149">
        <v>-10.482413173652693</v>
      </c>
      <c r="I149">
        <v>-9.628461077844312</v>
      </c>
      <c r="J149">
        <v>-8.8943293413173663</v>
      </c>
      <c r="K149">
        <v>-8.2194191616766474</v>
      </c>
      <c r="L149">
        <v>-7.5707814371257482</v>
      </c>
      <c r="M149">
        <v>-7.1585958083832333</v>
      </c>
      <c r="N149">
        <v>-6.7464101796407192</v>
      </c>
      <c r="O149">
        <v>-6.4751167664670657</v>
      </c>
      <c r="P149">
        <v>-6.3283802395209579</v>
      </c>
      <c r="Q149">
        <v>-6.18164371257485</v>
      </c>
      <c r="R149">
        <v>-6.4226216216216221</v>
      </c>
      <c r="S149">
        <v>-6.6791081081081085</v>
      </c>
      <c r="T149">
        <v>-6.8345568862275448</v>
      </c>
      <c r="U149">
        <v>-6.8384491017964075</v>
      </c>
      <c r="V149">
        <v>-6.8423413173652694</v>
      </c>
      <c r="W149">
        <v>-6.8627245508982035</v>
      </c>
      <c r="X149">
        <v>-6.8864670658682634</v>
      </c>
      <c r="Y149">
        <v>-6.911838323353293</v>
      </c>
      <c r="Z149">
        <v>-6.9418083832335329</v>
      </c>
      <c r="AA149">
        <v>-6.9717784431137719</v>
      </c>
      <c r="AB149">
        <v>-7.0028263473053896</v>
      </c>
      <c r="AC149">
        <v>-7.0343532934131741</v>
      </c>
      <c r="AD149">
        <v>-7.0658802395209586</v>
      </c>
      <c r="AE149">
        <v>-7.0974071856287431</v>
      </c>
      <c r="AF149">
        <v>-7.1289341317365267</v>
      </c>
      <c r="AG149">
        <v>-7.1602584269662923</v>
      </c>
      <c r="AH149">
        <v>-7.1914194756554304</v>
      </c>
      <c r="AI149">
        <v>-7.2225805243445693</v>
      </c>
      <c r="AJ149">
        <v>-7.2537415730337083</v>
      </c>
      <c r="AK149">
        <v>-7.2849026217228463</v>
      </c>
      <c r="AL149">
        <v>-7.3160636704119852</v>
      </c>
      <c r="AM149">
        <v>-7.3472247191011233</v>
      </c>
      <c r="AN149">
        <v>-7.3783857677902622</v>
      </c>
      <c r="AO149">
        <v>-7.4095468164794012</v>
      </c>
      <c r="AP149">
        <v>-7.4407078651685392</v>
      </c>
      <c r="AQ149">
        <v>-7.471370037453184</v>
      </c>
      <c r="AR149">
        <v>-7.5007782771535583</v>
      </c>
      <c r="AS149">
        <v>-7.5301865168539326</v>
      </c>
      <c r="AT149">
        <v>-7.5595947565543069</v>
      </c>
      <c r="AU149">
        <v>-7.5890029962546812</v>
      </c>
      <c r="AV149">
        <v>-7.6184112359550564</v>
      </c>
      <c r="AW149">
        <v>-7.6478194756554307</v>
      </c>
      <c r="AX149">
        <v>-7.6772277153558051</v>
      </c>
      <c r="AY149">
        <v>-7.7066359550561794</v>
      </c>
      <c r="AZ149">
        <v>-7.7360441947565537</v>
      </c>
      <c r="BA149">
        <v>-7.7654249249249245</v>
      </c>
      <c r="BB149">
        <v>-7.7930450450450452</v>
      </c>
      <c r="BC149">
        <v>-7.8206651651651651</v>
      </c>
      <c r="BD149">
        <v>-7.8482852852852849</v>
      </c>
      <c r="BE149">
        <v>-7.8759054054054056</v>
      </c>
      <c r="BF149">
        <v>-7.9035255255255255</v>
      </c>
      <c r="BG149">
        <v>-7.9311456456456453</v>
      </c>
      <c r="BH149">
        <v>-7.958765765765766</v>
      </c>
      <c r="BI149">
        <v>-7.9863858858858858</v>
      </c>
      <c r="BJ149">
        <v>-8.0140060060060065</v>
      </c>
      <c r="BK149">
        <v>-8.0416261261261255</v>
      </c>
      <c r="BL149">
        <v>-8.0679999999999996</v>
      </c>
      <c r="BM149">
        <v>-8.0939999999999994</v>
      </c>
      <c r="BN149">
        <v>-8.1199999999999992</v>
      </c>
      <c r="BO149">
        <v>-8.1460000000000008</v>
      </c>
      <c r="BP149">
        <v>-8.1720000000000006</v>
      </c>
      <c r="BQ149">
        <v>-8.1975294117647053</v>
      </c>
      <c r="BR149">
        <v>-8.2227647058823532</v>
      </c>
      <c r="BS149">
        <v>-8.2479999999999993</v>
      </c>
      <c r="BT149">
        <v>-8.2736060606060597</v>
      </c>
      <c r="BU149">
        <v>-8.2992121212121219</v>
      </c>
      <c r="BV149">
        <v>-8.3241879699248127</v>
      </c>
      <c r="BW149">
        <v>-8.3484285714285722</v>
      </c>
      <c r="BX149">
        <v>-8.3726691729323317</v>
      </c>
      <c r="BY149">
        <v>-8.3969097744360912</v>
      </c>
      <c r="BZ149">
        <v>-8.4211503759398507</v>
      </c>
      <c r="CA149">
        <v>-8.4453909774436084</v>
      </c>
      <c r="CB149">
        <v>-8.469631578947368</v>
      </c>
      <c r="CC149">
        <v>-8.4938721804511275</v>
      </c>
      <c r="CD149">
        <v>-8.518112781954887</v>
      </c>
      <c r="CE149">
        <v>-8.5423533834586465</v>
      </c>
      <c r="CF149">
        <v>-8.5662388059701495</v>
      </c>
      <c r="CG149">
        <v>-8.5889402985074632</v>
      </c>
      <c r="CH149">
        <v>-8.6116417910447769</v>
      </c>
      <c r="CI149">
        <v>-8.6343432835820888</v>
      </c>
      <c r="CJ149">
        <v>-8.6570447761194025</v>
      </c>
      <c r="CK149">
        <v>-8.6797462686567162</v>
      </c>
      <c r="CL149">
        <v>-8.7024477611940299</v>
      </c>
      <c r="CM149">
        <v>-8.7251492537313435</v>
      </c>
      <c r="CN149">
        <v>-8.7478507462686572</v>
      </c>
      <c r="CO149">
        <v>-8.7705522388059709</v>
      </c>
      <c r="CP149">
        <v>-8.7932537313432828</v>
      </c>
    </row>
    <row r="150" spans="1:94" ht="21.75" thickBot="1" x14ac:dyDescent="0.4">
      <c r="A150" s="30" t="s">
        <v>7</v>
      </c>
      <c r="B150" s="62">
        <v>-22.018918918918921</v>
      </c>
      <c r="C150" s="62">
        <v>-21.69099099099099</v>
      </c>
      <c r="D150">
        <v>-21.363063063063063</v>
      </c>
      <c r="E150">
        <v>-21.328293413173654</v>
      </c>
      <c r="F150">
        <v>-21.363323353293413</v>
      </c>
      <c r="G150">
        <v>-21.428053892215569</v>
      </c>
      <c r="H150">
        <v>-21.587634730538923</v>
      </c>
      <c r="I150">
        <v>-21.747215568862277</v>
      </c>
      <c r="J150">
        <v>-21.901586826347305</v>
      </c>
      <c r="K150">
        <v>-22.053383233532934</v>
      </c>
      <c r="L150">
        <v>-22.201287425149701</v>
      </c>
      <c r="M150">
        <v>-22.314161676646709</v>
      </c>
      <c r="N150">
        <v>-22.427035928143713</v>
      </c>
      <c r="O150">
        <v>-22.544041916167664</v>
      </c>
      <c r="P150">
        <v>-22.664700598802394</v>
      </c>
      <c r="Q150">
        <v>-22.785359281437124</v>
      </c>
      <c r="R150">
        <v>-22.883843843843842</v>
      </c>
      <c r="S150">
        <v>-22.98144144144144</v>
      </c>
      <c r="T150">
        <v>-23.1162874251497</v>
      </c>
      <c r="U150">
        <v>-23.307005988023953</v>
      </c>
      <c r="V150">
        <v>-23.497724550898205</v>
      </c>
      <c r="W150">
        <v>-23.691676646706586</v>
      </c>
      <c r="X150">
        <v>-23.8862874251497</v>
      </c>
      <c r="Y150">
        <v>-24.078862275449104</v>
      </c>
      <c r="Z150">
        <v>-24.265688622754492</v>
      </c>
      <c r="AA150">
        <v>-24.45251497005988</v>
      </c>
      <c r="AB150">
        <v>-24.639341317365272</v>
      </c>
      <c r="AC150">
        <v>-24.82616766467066</v>
      </c>
      <c r="AD150">
        <v>-25.012994011976048</v>
      </c>
      <c r="AE150">
        <v>-25.199820359281436</v>
      </c>
      <c r="AF150">
        <v>-25.386646706586827</v>
      </c>
      <c r="AG150">
        <v>-25.567617977528091</v>
      </c>
      <c r="AH150">
        <v>-25.743872659176031</v>
      </c>
      <c r="AI150">
        <v>-25.920127340823971</v>
      </c>
      <c r="AJ150">
        <v>-26.096382022471911</v>
      </c>
      <c r="AK150">
        <v>-26.272636704119851</v>
      </c>
      <c r="AL150">
        <v>-26.448891385767791</v>
      </c>
      <c r="AM150">
        <v>-26.625146067415731</v>
      </c>
      <c r="AN150">
        <v>-26.801400749063671</v>
      </c>
      <c r="AO150">
        <v>-26.977655430711611</v>
      </c>
      <c r="AP150">
        <v>-27.153910112359551</v>
      </c>
      <c r="AQ150">
        <v>-27.327670411985022</v>
      </c>
      <c r="AR150">
        <v>-27.495161048689141</v>
      </c>
      <c r="AS150">
        <v>-27.662651685393261</v>
      </c>
      <c r="AT150">
        <v>-27.83014232209738</v>
      </c>
      <c r="AU150">
        <v>-27.9976329588015</v>
      </c>
      <c r="AV150">
        <v>-28.165123595505619</v>
      </c>
      <c r="AW150">
        <v>-28.332614232209739</v>
      </c>
      <c r="AX150">
        <v>-28.500104868913859</v>
      </c>
      <c r="AY150">
        <v>-28.667595505617978</v>
      </c>
      <c r="AZ150">
        <v>-28.835086142322098</v>
      </c>
      <c r="BA150">
        <v>-29.002447447447448</v>
      </c>
      <c r="BB150">
        <v>-29.161531531531534</v>
      </c>
      <c r="BC150">
        <v>-29.320615615615615</v>
      </c>
      <c r="BD150">
        <v>-29.479699699699701</v>
      </c>
      <c r="BE150">
        <v>-29.638783783783783</v>
      </c>
      <c r="BF150">
        <v>-29.797867867867868</v>
      </c>
      <c r="BG150">
        <v>-29.95695195195195</v>
      </c>
      <c r="BH150">
        <v>-30.116036036036036</v>
      </c>
      <c r="BI150">
        <v>-30.275120120120121</v>
      </c>
      <c r="BJ150">
        <v>-30.434204204204203</v>
      </c>
      <c r="BK150">
        <v>-30.593288288288289</v>
      </c>
      <c r="BL150">
        <v>-30.747647058823528</v>
      </c>
      <c r="BM150">
        <v>-30.900588235294119</v>
      </c>
      <c r="BN150">
        <v>-31.053636363636365</v>
      </c>
      <c r="BO150">
        <v>-31.207272727272727</v>
      </c>
      <c r="BP150">
        <v>-31.360909090909093</v>
      </c>
      <c r="BQ150">
        <v>-31.511764705882353</v>
      </c>
      <c r="BR150">
        <v>-31.660882352941176</v>
      </c>
      <c r="BS150">
        <v>-31.81</v>
      </c>
      <c r="BT150">
        <v>-31.963636363636365</v>
      </c>
      <c r="BU150">
        <v>-32.117272727272727</v>
      </c>
      <c r="BV150">
        <v>-32.269022556390979</v>
      </c>
      <c r="BW150">
        <v>-32.418571428571433</v>
      </c>
      <c r="BX150">
        <v>-32.568120300751879</v>
      </c>
      <c r="BY150">
        <v>-32.717669172932332</v>
      </c>
      <c r="BZ150">
        <v>-32.867218045112779</v>
      </c>
      <c r="CA150">
        <v>-33.016766917293232</v>
      </c>
      <c r="CB150">
        <v>-33.166315789473686</v>
      </c>
      <c r="CC150">
        <v>-33.315864661654132</v>
      </c>
      <c r="CD150">
        <v>-33.465413533834585</v>
      </c>
      <c r="CE150">
        <v>-33.614962406015032</v>
      </c>
      <c r="CF150">
        <v>-33.763358208955218</v>
      </c>
      <c r="CG150">
        <v>-33.907910447761189</v>
      </c>
      <c r="CH150">
        <v>-34.052462686567161</v>
      </c>
      <c r="CI150">
        <v>-34.197014925373132</v>
      </c>
      <c r="CJ150">
        <v>-34.341567164179104</v>
      </c>
      <c r="CK150">
        <v>-34.486119402985075</v>
      </c>
      <c r="CL150">
        <v>-34.630671641791039</v>
      </c>
      <c r="CM150">
        <v>-34.775223880597011</v>
      </c>
      <c r="CN150">
        <v>-34.919776119402982</v>
      </c>
      <c r="CO150">
        <v>-35.064328358208954</v>
      </c>
      <c r="CP150">
        <v>-35.208880597014925</v>
      </c>
    </row>
    <row r="151" spans="1:94" ht="21.75" thickBot="1" x14ac:dyDescent="0.4">
      <c r="A151" s="30"/>
    </row>
    <row r="152" spans="1:94" ht="21.75" thickBot="1" x14ac:dyDescent="0.4">
      <c r="A152" s="30"/>
    </row>
    <row r="153" spans="1:94" ht="21.75" thickBot="1" x14ac:dyDescent="0.4">
      <c r="A153" s="30"/>
    </row>
    <row r="154" spans="1:94" ht="21.75" thickBot="1" x14ac:dyDescent="0.4">
      <c r="A154" s="30"/>
    </row>
  </sheetData>
  <mergeCells count="1">
    <mergeCell ref="A97:B9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5</xdr:col>
                    <xdr:colOff>95250</xdr:colOff>
                    <xdr:row>0</xdr:row>
                    <xdr:rowOff>47625</xdr:rowOff>
                  </from>
                  <to>
                    <xdr:col>94</xdr:col>
                    <xdr:colOff>647700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A22"/>
  <sheetViews>
    <sheetView workbookViewId="0">
      <pane xSplit="1" topLeftCell="B1" activePane="topRight" state="frozen"/>
      <selection pane="topRight" activeCell="B24" sqref="B24"/>
    </sheetView>
  </sheetViews>
  <sheetFormatPr defaultRowHeight="21" x14ac:dyDescent="0.35"/>
  <cols>
    <col min="1" max="1" width="4.81640625" customWidth="1"/>
  </cols>
  <sheetData>
    <row r="1" spans="1:1" ht="28.5" x14ac:dyDescent="0.45">
      <c r="A1" s="70">
        <v>0</v>
      </c>
    </row>
    <row r="2" spans="1:1" ht="21.75" customHeight="1" x14ac:dyDescent="0.35">
      <c r="A2" s="71" t="s">
        <v>40</v>
      </c>
    </row>
    <row r="22" spans="1:1" x14ac:dyDescent="0.35">
      <c r="A22" t="e">
        <f>$A$1:$Z$21</f>
        <v>#VALUE!</v>
      </c>
    </row>
  </sheetData>
  <conditionalFormatting sqref="A1:Z21">
    <cfRule type="expression" dxfId="0" priority="1">
      <formula>NOT(ISNUMBER(A1))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12</vt:i4>
      </vt:variant>
    </vt:vector>
  </HeadingPairs>
  <TitlesOfParts>
    <vt:vector size="18" baseType="lpstr">
      <vt:lpstr>Values</vt:lpstr>
      <vt:lpstr>ALL</vt:lpstr>
      <vt:lpstr>FLUID</vt:lpstr>
      <vt:lpstr>SOLID</vt:lpstr>
      <vt:lpstr>EVALUATION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2021-03-05T16:17:23Z</dcterms:modified>
</cp:coreProperties>
</file>